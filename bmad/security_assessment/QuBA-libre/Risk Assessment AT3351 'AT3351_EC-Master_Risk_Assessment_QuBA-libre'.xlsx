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png" ContentType="image/png"/>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Default Extension="bin" ContentType="application/vnd.openxmlformats-officedocument.spreadsheetml.printerSettings"/>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worksheets/sheet16.xml" ContentType="application/vnd.openxmlformats-officedocument.spreadsheetml.worksheet+xml"/>
  <Override PartName="/xl/tables/table23.xml" ContentType="application/vnd.openxmlformats-officedocument.spreadsheetml.table+xml"/>
  <Override PartName="/xl/worksheets/sheet17.xml" ContentType="application/vnd.openxmlformats-officedocument.spreadsheetml.worksheet+xml"/>
  <Override PartName="/xl/tables/table24.xml" ContentType="application/vnd.openxmlformats-officedocument.spreadsheetml.table+xml"/>
  <Override PartName="/xl/worksheets/sheet18.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worksheets/sheet19.xml" ContentType="application/vnd.openxmlformats-officedocument.spreadsheetml.worksheet+xml"/>
  <Override PartName="/xl/tables/table27.xml" ContentType="application/vnd.openxmlformats-officedocument.spreadsheetml.table+xml"/>
  <Override PartName="/xl/worksheets/sheet20.xml" ContentType="application/vnd.openxmlformats-officedocument.spreadsheetml.worksheet+xml"/>
  <Override PartName="/xl/tables/table28.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nussbaumer.ACONTIS\Downloads\"/>
    </mc:Choice>
  </mc:AlternateContent>
  <workbookProtection workbookPassword="EB73" lockStructure="1" lockWindows="1"/>
  <bookViews>
    <workbookView xWindow="-28920" yWindow="30" windowWidth="29040" windowHeight="17520" tabRatio="893" firstSheet="1" activeTab="10"/>
  </bookViews>
  <sheets>
    <sheet name="License" sheetId="33" r:id="rId3"/>
    <sheet name="README" sheetId="28" r:id="rId4"/>
    <sheet name="Version History" sheetId="31" r:id="rId5"/>
    <sheet name="Definitions" sheetId="4" r:id="rId6"/>
    <sheet name="Questions" sheetId="29" r:id="rId7"/>
    <sheet name="Damage Scenarios" sheetId="25" r:id="rId8"/>
    <sheet name="Attack Steps" sheetId="9" r:id="rId9"/>
    <sheet name="Assumptions" sheetId="10" r:id="rId10"/>
    <sheet name="Countermeasures" sheetId="20" r:id="rId11"/>
    <sheet name="Documentation" sheetId="16" r:id="rId12"/>
    <sheet name="Questionnaire" sheetId="3" r:id="rId13"/>
    <sheet name="DS Overview" sheetId="13" r:id="rId14"/>
    <sheet name="Risks" sheetId="12" r:id="rId15"/>
    <sheet name="Mitigation" sheetId="21" r:id="rId16"/>
    <sheet name="Risk Treatment" sheetId="17" r:id="rId17"/>
    <sheet name="Result Summary" sheetId="22" r:id="rId18"/>
    <sheet name="Annex I 1.2 Report" sheetId="27" r:id="rId19"/>
    <sheet name="Tracing" sheetId="32" r:id="rId20"/>
    <sheet name="Tasks" sheetId="14" r:id="rId21"/>
    <sheet name="Quality Indicators" sheetId="24" r:id="rId22"/>
    <sheet name="JSON" sheetId="30" r:id="rId23"/>
    <sheet name="User Information" sheetId="26" state="hidden" r:id="rId24"/>
    <sheet name="Profile Definitions" sheetId="23" state="hidden" r:id="rId25"/>
    <sheet name="Helper" sheetId="19" state="hidden" r:id="rId26"/>
  </sheets>
  <definedNames>
    <definedName name="ApplyDamageMitigation">_xlfn.LAMBDA(_xlpm._in,_xlpm._damageMitigation,_xlpm._result,IF(_xlpm._in="",_xlpm._result,_xlfn.LET(_xlpm._id,LEFT(_xlpm._in,FIND(",",_xlpm._in)-1),_xlpm._gtPos,IFERROR(FIND(","&amp;_xlpm._id&amp;"&gt;",_xlpm._damageMitigation)+LEN(_xlpm._id&amp;"&gt;"),0),_xlpm._parsed,IF(IFERROR(FIND(","&amp;_xlpm._id&amp;",",_xlpm._damageMitigation)&gt;0,FALSE),"",IF(_xlpm._gtPos&gt;0,MID(_xlpm._damageMitigation,_xlpm._gtPos+1,FIND(",",_xlpm._damageMitigation,_xlpm._gtPos)-_xlpm._gtPos),_xlpm._id&amp;",")),ApplyDamageMitigation(SUBSTITUTE(SUBSTITUTE(SUBSTITUTE("#"&amp;_xlpm._in,",",",#"),"#"&amp;_xlpm._id&amp;",",""),"#","")&amp;IF(_xlpm._gtPos&gt;0,IF(IFERROR(FIND(","&amp;_xlpm._parsed,","&amp;_xlpm._result)&gt;0,FALSE),"",_xlpm._parsed),""),_xlpm._damageMitigation,_xlpm._result&amp;IF(_xlpm._gtPos&gt;0,"",_xlpm._parsed)))))</definedName>
    <definedName name="CalculateMaxAndElements">_xlfn.LAMBDA(_xlpm._in,_xlpm._val,_xlpm._list,_xlpm._range,IF(_xlpm._in="",_xlpm._val&amp;":"&amp;_xlpm._list,_xlfn.LET(_xlpm._id,LEFT(_xlpm._in,FIND(",",_xlpm._in)-1),_xlpm._valueOfElement,VLOOKUP(_xlpm._id,_xlpm._range,COLUMNS(_xlpm._range),FALSE),CalculateMaxAndElements(RemoveFirstElement(_xlpm._in),MAX(_xlpm._val,_xlpm._valueOfElement),IF(_xlpm._valueOfElement&lt;_xlpm._val,_xlpm._list,IF(_xlpm._valueOfElement=_xlpm._val,_xlpm._list&amp;_xlpm._id&amp;",",_xlpm._id&amp;",")),_xlpm._range))))</definedName>
    <definedName name="CalculateMaxAndElementsWithFallback">_xlfn.LAMBDA(_xlpm._in,_xlpm._val,_xlpm._list,_xlpm._range1,_xlpm._range2,IF(_xlpm._in="",_xlpm._val&amp;":"&amp;_xlpm._list,_xlfn.LET(_xlpm._id,LEFT(_xlpm._in,FIND(",",_xlpm._in)-1),_xlpm._valueOfElement,IFERROR(VLOOKUP(_xlpm._id,_xlpm._range1,COLUMNS(_xlpm._range1),FALSE),VLOOKUP(_xlpm._id,_xlpm._range2,COLUMNS(_xlpm._range2),FALSE)),CalculateMaxAndElementsWithFallback(RemoveFirstElement(_xlpm._in),MAX(_xlpm._val,_xlpm._valueOfElement),IF(_xlpm._valueOfElement&lt;_xlpm._val,_xlpm._list,IF(_xlpm._valueOfElement=_xlpm._val,_xlpm._list&amp;_xlpm._id&amp;",",_xlpm._id&amp;",")),_xlpm._range1,_xlpm._range2))))</definedName>
    <definedName name="CalculateMaxFromList">_xlfn.LAMBDA(_xlpm._in,_xlpm._val,_xlpm._range,IF(_xlpm._in="",_xlpm._val,_xlfn.LET(_xlpm._id,LEFT(_xlpm._in,FIND(",",_xlpm._in)-1),CalculateMaxFromList(RemoveFirstElement(_xlpm._in),MAX(_xlpm._val,VLOOKUP(_xlpm._id,_xlpm._range,COLUMNS(_xlpm._range),FALSE)),_xlpm._range))))</definedName>
    <definedName name="CheckActiveCountermeasureRecursively">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definedName>
    <definedName name="CheckRelevance">_xlfn.LAMBDA(_xlpm._in,_xlpm._searchIn,IF(_xlpm._in="",FALSE,_xlfn.LET(_xlpm._searchFor,LEFT(_xlpm._in,FIND(",",_xlpm._in)-1),_xlpm._isAndConnectedTerm,IFERROR(FIND("&amp;",_xlpm._searchFor)&gt;0,FALSE),_xlpm._found,IF(_xlpm._isAndConnectedTerm,CheckTerms(SUBSTITUTE(_xlpm._searchFor,"&amp;",",")&amp;",",_xlpm._searchIn),IFERROR(_xlfn.XMATCH("*"&amp;_xlpm._searchFor&amp;"*",_xlpm._searchIn,2)&gt;0,FALSE)),IF(_xlpm._found,_xlpm._found,CheckRelevance(RemoveFirstElement(_xlpm._in),_xlpm._searchIn)))))</definedName>
    <definedName name="CheckTerms">_xlfn.LAMBDA(_xlpm._checkTerm,_xlpm._searchRange,IF(_xlpm._checkTerm="",TRUE,_xlfn.LET(_xlpm._firstElement,LEFT(_xlpm._checkTerm,FIND(",",_xlpm._checkTerm)-1),_xlpm._matchesAnswers,IFERROR(_xlfn.XMATCH("*"&amp;_xlpm._firstElement&amp;"*",_xlpm._searchRange,2)&gt;0,FALSE),IF(_xlpm._matchesAnswers,CheckTerms(RemoveFirstElement(_xlpm._checkTerm),_xlpm._searchRange),FALSE))))</definedName>
    <definedName name="CreateConfirmedInlineMitigations">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definedName>
    <definedName name="CreateID">_xlfn.LAMBDA(_xlpm._header,_xlpm._column,_xlpm._test,IF(ROW()=ROW(_xlpm._header)+1,0,INDEX(_xlpm._column,ROW()-1))+IF(_xlpm._test,1,0))</definedName>
    <definedName name="CreateIndentedString">_xlfn.LAMBDA(_xlpm._in,_xlpm._lineWidth,_xlpm._indentation,REPT(" ",_xlpm._indentation)&amp;SUBSTITUTE(SplitLines(_xlpm._in,_xlpm._lineWidth-_xlpm._indentation,""),CHAR(10),CHAR(10)&amp;REPT(" ",_xlpm._indentation)))</definedName>
    <definedName name="CreateSearchString">_xlfn.LAMBDA(_xlpm._in,IF(_xlpm._in="","",","&amp;SUBSTITUTE(SUBSTITUTE(_xlpm._in,CHAR(10),"")," ","")&amp;IF(RIGHT(_xlpm._in,1)=",","",",")))</definedName>
    <definedName name="CreateTaskID">_xlfn.LAMBDA(_xlpm._ownHeader,_xlpm._ownColumn,_xlpm._searchFor,_xlpm._searchIn,IF(ROW()=ROW(_xlpm._ownHeader)+1,0,INDEX(_xlpm._ownColumn,ROW()-1))+IF(IFERROR(FIND(_xlpm._searchFor,_xlpm._searchIn)&gt;0,FALSE),1,0))</definedName>
    <definedName name="EscapeString">_xlfn.LAMBDA(_xlpm._string,SUBSTITUTE(_xlpm._string,CHAR(34),"'"))</definedName>
    <definedName name="FilterElementsFromList">_xlfn.LAMBDA(_xlpm._inputList,_xlpm._filterList,_xlpm._trueIfIntersectAndFalseIfSubtract,_xlpm._delimiter,IF(_xlpm._inputList="","",_xlfn.LET(_xlpm._id,LEFT(_xlpm._inputList,FIND(",",_xlpm._inputList)-1),IF(_xlpm._trueIfIntersectAndFalseIfSubtract,IF(IFERROR(FIND(","&amp;_xlpm._id&amp;",",","&amp;_xlpm._filterList)&gt;0,FALSE),_xlpm._id&amp;_xlpm._delimiter,""),IF(IFERROR(FIND(","&amp;_xlpm._id&amp;",",","&amp;_xlpm._filterList)&gt;0,FALSE),"",_xlpm._id&amp;_xlpm._delimiter))&amp;FilterElementsFromList(SUBSTITUTE(SUBSTITUTE(SUBSTITUTE("#"&amp;_xlpm._inputList,",",",#"),"#"&amp;_xlpm._id&amp;",",""),"#",""),_xlpm._filterList,_xlpm._trueIfIntersectAndFalseIfSubtract,_xlpm._delimiter))))</definedName>
    <definedName name="FilterPreconditionCandidates">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definedName>
    <definedName name="GenerateAttackPaths">_xlfn.LAMBDA(_xlpm._in,_xlpm._apRange,_xlpm._ownID,IF(_xlpm._in="","",_xlfn.LET(_xlpm._id,LEFT(_xlpm._in,FIND(",",_xlpm._in)-1),_xlpm._attackPaths,VLOOKUP(_xlpm._id,_xlpm._apRange,COLUMNS(_xlpm._apRange),FALSE),SUBSTITUTE(_xlpm._attackPaths,"§",_xlpm._ownID&amp;",§")&amp;GenerateAttackPaths(RemoveFirstElement(_xlpm._in),_xlpm._apRange,_xlpm._ownID))))</definedName>
    <definedName name="GenerateID">_xlfn.LAMBDA(_xlpm._header,_xlpm._test,_xlfn.LET(_xlpm._ownRow,ROW(),_xlpm._headerRow,ROW(_xlpm._header),IF(_xlpm._ownRow=_xlpm._headerRow+1,0,OFFSET(_xlpm._header,_xlpm._ownRow-_xlpm._headerRow-1,0))+IF(_xlpm._test,1,0)))</definedName>
    <definedName name="GenerateRationale">_xlfn.LAMBDA(_xlpm._in,OFFSET(_xlpm._in,0,0)&amp;": "&amp;CHAR(10)&amp;OFFSET(_xlpm._in,0,1)&amp;": "&amp;CHAR(10)&amp;OFFSET(_xlpm._in,0,2)&amp;": "&amp;CHAR(10)&amp;OFFSET(_xlpm._in,0,3)&amp;": "&amp;CHAR(10)&amp;OFFSET(_xlpm._in,0,4)&amp;": ")</definedName>
    <definedName name="GenerateShadowID">_xlfn.LAMBDA(_xlpm._row,_xlpm._header,_xlpm._ownColumn,_xlpm._initialValue,_xlpm._check,IF(_xlpm._row=ROW(_xlpm._header)+1,_xlpm._initialValue,INDEX(_xlpm._ownColumn,_xlpm._row-1))+IF(_xlpm._check,1,0))</definedName>
    <definedName name="GetColumnLetter">_xlfn.LAMBDA(_xlpm._cell,_xlfn.LET(_xlpm._address,CELL("address",_xlpm._cell),_xlpm._start,FIND("$",_xlpm._address)+1,_xlpm._end,FIND("$",SUBSTITUTE(_xlpm._address,"$","#",1)),MID(_xlpm._address,_xlpm._start,_xlpm._end-_xlpm._start)))</definedName>
    <definedName name="GetQualityIssues">_xlfn.LAMBDA(_xlpm._sheet,_xlpm._textColumn,_xlpm._idColumn,_xlpm._elementID,_xlpm._delimiter,_xlfn.LET(_xlpm._qualityIssue,IFERROR(INDEX(INDIRECT(_xlpm._sheet&amp;_xlpm._textColumn),MATCH(_xlpm._elementID,INDIRECT(_xlpm._sheet&amp;_xlpm._idColumn),0)),""),IF(_xlpm._qualityIssue="","",_xlpm._qualityIssue&amp;_xlpm._delimiter&amp;GetQualityIssues(_xlpm._sheet,_xlpm._textColumn,_xlpm._idColumn,_xlpm._elementID+1,_xlpm._delimiter))))</definedName>
    <definedName name="GetReferenceText">_xlfn.LAMBDA(_xlpm._reference,_xlfn.LET(_xlpm._full,CELL("address",_xlpm._reference),"'"&amp;SUBSTITUTE(SUBSTITUTE(RIGHT(_xlpm._full,LEN(_xlpm._full)-FIND("]",_xlpm._full)),"'!","!"),"!","'!")))</definedName>
    <definedName name="GetSheetName">_xlfn.LAMBDA(_xlpm._shadowIDHeader,_xlfn.LET(_xlpm._sheetAddress,CELL("filename",_xlpm._shadowIDHeader),RIGHT(_xlpm._sheetAddress,LEN(_xlpm._sheetAddress)-FIND("]",_xlpm._sheetAddress))))</definedName>
    <definedName name="GetTransformation">_xlfn.LAMBDA(_xlpm._in,_xlpm._range,_xlpm._columnName,_xlpm._delimiter,_xlpm._result,IF(_xlpm._in="",_xlpm._result,_xlfn.LET(_xlpm._id,LEFT(_xlpm._in,FIND(",",_xlpm._in)-1),_xlpm._gtPos,IFERROR(FIND("&gt;",_xlpm._id),0),_xlpm._isTransformation,_xlpm._gtPos&gt;0,_xlpm._replaceString,IF(_xlpm._isTransformation,"[#2]","[#1]"),_xlpm._dsOne,IF(_xlpm._isTransformation,LEFT(_xlpm._id,_xlpm._gtPos-1),_xlpm._id),_xlpm._dsTwo,IF(_xlpm._isTransformation,RIGHT(_xlpm._id,LEN(_xlpm._id)-_xlpm._gtPos),""),GetTransformation(SUBSTITUTE(SUBSTITUTE(SUBSTITUTE("#"&amp;_xlpm._in,",",",#"),"#"&amp;_xlpm._id&amp;",",""),"#",""),_xlpm._range,_xlpm._columnName,_xlpm._delimiter,SUBSTITUTE(_xlpm._result,_xlpm._replaceString,IFERROR(_xlpm._dsOne&amp;" "&amp;VLOOKUP(_xlpm._dsOne,_xlpm._range,_xlpm._columnName,FALSE),"ERROR: Unknown ID: "&amp;_xlpm._dsOne)&amp;IF(_xlpm._isTransformation,CHAR(10)&amp;"-----&gt; "&amp;IFERROR(_xlpm._dsTwo&amp;" "&amp;VLOOKUP(_xlpm._dsTwo,_xlpm._range,_xlpm._columnName,FALSE),"ERROR: Unknown ID: "&amp;_xlpm._dsTwo),"")&amp;_xlpm._delimiter&amp;_xlpm._replaceString)))))</definedName>
    <definedName name="GetValues">_xlfn.LAMBDA(_xlpm._in,_xlpm._lookupRange,_xlpm._delimiter1,_xlpm._delimiter2,_xlpm._addID,IF(_xlpm._in="","",_xlfn.LET(_xlpm._id,LEFT(_xlpm._in,FIND(",",_xlpm._in)-1),_xlpm._value,IFERROR(IF(_xlpm._addID,_xlpm._id&amp;_xlpm._delimiter1,"")&amp;VLOOKUP(_xlpm._id,_xlpm._lookupRange,COLUMNS(_xlpm._lookupRange),FALSE),"ERROR: Unknown ID: "&amp;_xlpm._id),IF(_xlpm._value="","",_xlpm._value&amp;_xlpm._delimiter2)&amp;GetValues(RemoveFirstElement(_xlpm._in),_xlpm._lookupRange,_xlpm._delimiter1,_xlpm._delimiter2,_xlpm._addID))))</definedName>
    <definedName name="GetValuesIgnoreErrors">_xlfn.LAMBDA(_xlpm._in,_xlpm._lookupRange,_xlpm._delimiter1,_xlpm._delimiter2,_xlpm._addID,IF(_xlpm._in="","",_xlfn.LET(_xlpm._id,LEFT(_xlpm._in,FIND(",",_xlpm._in)-1),_xlpm._value,IFERROR(IF(_xlpm._addID,_xlpm._id&amp;_xlpm._delimiter1,"")&amp;VLOOKUP(_xlpm._id,_xlpm._lookupRange,COLUMNS(_xlpm._lookupRange),FALSE),""),IF(_xlpm._value="","",_xlpm._value&amp;_xlpm._delimiter2)&amp;GetValuesIgnoreErrors(RemoveFirstElement(_xlpm._in),_xlpm._lookupRange,_xlpm._delimiter1,_xlpm._delimiter2,_xlpm._addID))))</definedName>
    <definedName name="GetValuesWithFallback">_xlfn.LAMBDA(_xlpm._in,_xlpm._lookupRange1,_xlpm._lookupRange2,_xlpm._delimiter1,_xlpm._delimiter2,_xlpm._addID,IF(_xlpm._in="","",_xlfn.LET(_xlpm._id,LEFT(_xlpm._in,FIND(",",_xlpm._in)-1),_xlpm._value,IFERROR(IF(_xlpm._addID,_xlpm._id&amp;_xlpm._delimiter1,"")&amp;VLOOKUP(_xlpm._id,_xlpm._lookupRange1,COLUMNS(_xlpm._lookupRange1),FALSE),IFERROR(IF(_xlpm._addID,_xlpm._id&amp;_xlpm._delimiter1,"")&amp;VLOOKUP(_xlpm._id,_xlpm._lookupRange2,COLUMNS(_xlpm._lookupRange2),FALSE),"ERROR: Unknown ID: "&amp;_xlpm._id)),IF(_xlpm._value="","",_xlpm._value&amp;_xlpm._delimiter2)&amp;GetValuesWithFallback(RemoveFirstElement(_xlpm._in),_xlpm._lookupRange1,_xlpm._lookupRange2,_xlpm._delimiter1,_xlpm._delimiter2,_xlpm._addID))))</definedName>
    <definedName name="InverseLookup">_xlfn.LAMBDA(_xlpm._ownID,_xlpm._searchHeader,_xlpm._resultHeader,_xlpm._offset,_xlpm._elementCount,_xlpm._delimiter,_xlfn.LET(_xlpm._match,IFERROR(_xlfn.XMATCH("*,"&amp;_xlpm._ownID&amp;",*",OFFSET(_xlpm._searchHeader,_xlpm._offset,0,_xlpm._elementCount,1),2),0),_xlpm._foreignID,IF(_xlpm._match=0,"",OFFSET(_xlpm._resultHeader,_xlpm._offset+_xlpm._match-1,0)),IF(_xlpm._match=0,"",IF(_xlpm._foreignID="","",_xlpm._foreignID&amp;_xlpm._delimiter)&amp;InverseLookup(_xlpm._ownID,_xlpm._searchHeader,_xlpm._resultHeader,_xlpm._offset+_xlpm._match,_xlpm._elementCount,_xlpm._delimiter))))</definedName>
    <definedName name="InverseLookupList">_xlfn.LAMBDA(_xlpm._in,_xlpm._searchHeader,_xlpm._resultHeader,_xlpm._elementCount,_xlpm._delimiter,IF(_xlpm._in="","",_xlfn.LET(_xlpm._id,LEFT(_xlpm._in,FIND(",",_xlpm._in)-1),InverseLookup(_xlpm._id,_xlpm._searchHeader,_xlpm._resultHeader,1,_xlpm._elementCount,_xlpm._delimiter)&amp;InverseLookupList(RemoveFirstElement(_xlpm._in),_xlpm._searchHeader,_xlpm._resultHeader,_xlpm._elementCount,_xlpm._delimiter))))</definedName>
    <definedName name="JSON_Questionnaire">JSON!$C$7</definedName>
    <definedName name="JSON_ResultSummary">JSON!$C$9</definedName>
    <definedName name="JSON_RiskTreatment">JSON!$C$8</definedName>
    <definedName name="JSONParseAttributes">_xlfn.LAMBDA(_xlpm._sheetName,_xlpm._headerRow,_xlpm._row,_xlpm._template,_xlpm._delimiter,_xlpm._columnList,IF(_xlpm._columnList="","",_xlfn.LET(_xlpm._columnLetter,LEFT(_xlpm._columnList,1),_xlpm._header,SUBSTITUTE(INDIRECT("'"&amp;_xlpm._sheetName&amp;"'!"&amp;_xlpm._columnLetter&amp;_xlpm._headerRow),CHAR(10)," "),_xlpm._value,EscapeString(SUBSTITUTE(INDIRECT("'"&amp;_xlpm._sheetName&amp;"'!"&amp;_xlpm._columnLetter&amp;_xlpm._row),CHAR(10)," ")),SUBSTITUTE(SUBSTITUTE(_xlpm._template,"[#1]",_xlpm._header),"[#2]",_xlpm._value)&amp;_xlpm._delimiter&amp;JSONParseAttributes(_xlpm._sheetName,_xlpm._headerRow,_xlpm._row,_xlpm._template,_xlpm._delimiter,RIGHT(_xlpm._columnList,LEN(_xlpm._columnList)-1)))))</definedName>
    <definedName name="JSONParseSheet">_xlfn.LAMBDA(_xlpm._shadowID,_xlpm._sheetName,_xlpm._shadowIDHeader,_xlpm._elementTemplate,_xlpm._attributeTemplate,_xlpm._delimiter,_xlpm._columnList,_xlfn.LET(_xlpm._shadowIDColumnLetter,GetColumnLetter(_xlpm._shadowIDHeader),_xlpm._shadowIDColumn,"'"&amp;_xlpm._sheetName&amp;"'!"&amp;_xlpm._shadowIDColumnLetter&amp;":"&amp;_xlpm._shadowIDColumnLetter,_xlpm._row,IFERROR(MATCH(_xlpm._shadowID,INDIRECT(_xlpm._shadowIDColumn),0),0),IF(_xlpm._row=0,"",_xlfn.LET(_xlpm._element,SUBSTITUTE(_xlpm._elementTemplate,"[#1]",RemoveDelimiter(JSONParseAttributes(_xlpm._sheetName,ROW(_xlpm._shadowIDHeader),_xlpm._row,_xlpm._attributeTemplate,_xlpm._delimiter,_xlpm._columnList),_xlpm._delimiter)),_xlpm._element&amp;JSONParseSheet(_xlpm._shadowID+1,_xlpm._sheetName,_xlpm._shadowIDHeader,_xlpm._elementTemplate,_xlpm._attributeTemplate,_xlpm._delimiter,_xlpm._columnList)))))</definedName>
    <definedName name="JSONParseSheets">_xlfn.LAMBDA(_xlpm._sheetIndex,_xlpm._definitionsSheetNameHeader,_xlpm._definitionsColumnsHeader,_xlpm._definitionsShadowIDColumnHeader,_xlpm._definitionsShadowIDHeaderHeader,_xlpm._jsonTemplate,_xlpm._elementTemplate,_xlpm._attributeTemplate,_xlpm._delimiter,_xlfn.LET(_xlpm._sheetName,OFFSET(_xlpm._definitionsSheetNameHeader,_xlpm._sheetIndex,0),_xlpm._columnList,OFFSET(_xlpm._definitionsColumnsHeader,_xlpm._sheetIndex,0),_xlpm._shadowIDColumnLetter,OFFSET(_xlpm._definitionsShadowIDColumnHeader,_xlpm._sheetIndex,0),_xlpm._shadowIDHeaderRow,OFFSET(_xlpm._definitionsShadowIDHeaderHeader,_xlpm._sheetIndex,0),_xlpm._shadowIDHeader,INDIRECT("'"&amp;_xlpm._sheetName&amp;"'!$"&amp;_xlpm._shadowIDColumnLetter&amp;"$"&amp;_xlpm._shadowIDHeaderRow),IF(_xlpm._sheetName="","",SUBSTITUTE(SUBSTITUTE(_xlpm._jsonTemplate,"[#1]",_xlpm._sheetName),"[#2]",JSONParseSheet(1,_xlpm._sheetName,_xlpm._shadowIDHeader,_xlpm._elementTemplate,_xlpm._attributeTemplate,_xlpm._delimiter,_xlpm._columnList)))))</definedName>
    <definedName name="LookupNames">_xlfn.LAMBDA(_xlpm._in,_xlpm._range,RemoveDelimiter(GetValues(_xlpm._in,_xlpm._range," ",","&amp;CHAR(10),TRUE),","&amp;CHAR(10)))</definedName>
    <definedName name="ParseAllMitigationsFromComment">_xlfn.LAMBDA(_xlpm._ownID,_xlpm._idDelimiter,_xlpm._prefix,_xlpm._comment,_xlpm._syntaxStart,_xlpm._syntaxEnd,_xlpm._rapDelimiter,_xlpm._delimiter,_xlpm._instance,_xlfn.LET(_xlpm._numStarts,LEN(_xlpm._comment)-LEN(SUBSTITUTE(_xlpm._comment,_xlpm._syntaxStart,"")),IFERROR(_xlpm._ownID&amp;_xlpm._idDelimiter&amp;_xlpm._prefix&amp;_xlpm._instance&amp;" "&amp;ParseElementsFromComment(_xlpm._comment,_xlpm._syntaxStart,_xlpm._syntaxEnd,_xlpm._rapDelimiter,_xlpm._instance)&amp;_xlpm._delimiter,"")&amp;IF(_xlpm._instance&gt;_xlpm._numStarts,"",ParseAllMitigationsFromComment(_xlpm._ownID,_xlpm._idDelimiter,_xlpm._prefix,_xlpm._comment,_xlpm._syntaxStart,_xlpm._syntaxEnd,_xlpm._rapDelimiter,_xlpm._delimiter,_xlpm._instance+1))))</definedName>
    <definedName name="ParseAttackPotentialFromComment">_xlfn.LAMBDA(_xlpm._comments,_xlpm._attackPotentialSyntaxStart,_xlpm._additionalElementEndSyntax,_xlpm._attackPontentialsRange,_xlpm._attackPotentialValue,_xlfn.LET(_xlpm._attackPotentialStart,IFERROR(FIND(_xlpm._attackPotentialSyntaxStart,_xlpm._comments),0),_xlpm._attackPotentialEnd,IF(_xlpm._attackPotentialStart=0,0,IFERROR(FIND(_xlpm._additionalElementEndSyntax,_xlpm._comments,_xlpm._attackPotentialStart),0)),IF(OR(_xlpm._attackPotentialStart=0,_xlpm._attackPotentialEnd=0),_xlpm._attackPotentialValue,_xlfn.LET(_xlpm._startSyntaxLength,LEN(_xlpm._attackPotentialSyntaxStart),_xlpm._attackPotentialCandidate,TRIM(MID(_xlpm._comments,_xlpm._attackPotentialStart+_xlpm._startSyntaxLength,_xlpm._attackPotentialEnd-_xlpm._attackPotentialStart-_xlpm._startSyntaxLength)),_xlpm._candidateIndex,IFERROR(MATCH(_xlpm._attackPotentialCandidate,_xlpm._attackPontentialsRange,0),0),ParseAttackPotentialFromComment(RIGHT(_xlpm._comments,LEN(_xlpm._comments)-_xlpm._attackPotentialStart-1),_xlpm._attackPotentialSyntaxStart,_xlpm._additionalElementEndSyntax,_xlpm._attackPontentialsRange,MAX(_xlpm._attackPotentialValue,_xlpm._candidateIndex))))))</definedName>
    <definedName name="ParseElementsFromComment">_xlfn.LAMBDA(_xlpm._in,_xlpm._syntaxStart,_xlpm._syntaxEnd,_xlpm._rapDelimiter,_xlpm._instanceNum,_xlfn.LET(_xlpm._keyWordLength,LEN(_xlpm._syntaxStart&amp;" "),_xlpm._searchFor,REPT(CHAR(1),_xlpm._keyWordLength),_xlpm._searchString,SUBSTITUTE(_xlpm._in,_xlpm._syntaxStart,_xlpm._searchFor,_xlpm._instanceNum),_xlpm._start,FIND(_xlpm._searchFor,_xlpm._searchString)+_xlpm._keyWordLength,_xlpm._end,FIND(_xlpm._syntaxEnd,_xlpm._in,_xlpm._start),_xlpm._fullString,MID(_xlpm._in,_xlpm._start,_xlpm._end-_xlpm._start),_xlpm._attackPotentialPos,IFERROR(FIND(_xlpm._rapDelimiter,_xlpm._fullString),0),IF(_xlpm._attackPotentialPos=_xlpm._attackPotentialPos,_xlpm._fullString,LEFT(_xlpm._fullString,_xlpm._attackPotentialPos-1))))</definedName>
    <definedName name="ParseInlineMitigationString">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definedName>
    <definedName name="PrintDate">_xlfn.LAMBDA(_xlpm._date,TEXT(DAY(_xlpm._date),"00")&amp;"."&amp;TEXT(MONTH(_xlpm._date),"00")&amp;"."&amp;TEXT(YEAR(_xlpm._date),"0000"))</definedName>
    <definedName name="RemoveDelimiter">_xlfn.LAMBDA(_xlpm._in,_xlpm._delimiter,IF(_xlpm._in="","",SUBSTITUTE(SUBSTITUTE(_xlpm._in&amp;CHAR(1),_xlpm._delimiter&amp;CHAR(1),""),CHAR(1),"")))</definedName>
    <definedName name="RemoveFirstElement">_xlfn.LAMBDA(_xlpm._in,IF(_xlpm._in="","",SUBSTITUTE(SUBSTITUTE(SUBSTITUTE("#"&amp;_xlpm._in,",",",#"),"#"&amp;LEFT(_xlpm._in,FIND(",",_xlpm._in)),""),"#","")))</definedName>
    <definedName name="SanitizeInput">_xlfn.LAMBDA(_xlpm._in,IF(_xlpm._in="","",SUBSTITUTE(SUBSTITUTE(_xlpm._in,CHAR(10),"")," ","")&amp;IF(RIGHT(_xlpm._in,1)=",","",",")))</definedName>
    <definedName name="ShowResultingOptions">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definedName>
    <definedName name="SimpleLookup">_xlfn.LAMBDA(_xlpm._id,_xlpm._range,VLOOKUP(_xlpm._id,_xlpm._range,COLUMNS(_xlpm._range),FALSE))</definedName>
    <definedName name="SortList">_xlfn.LAMBDA(_xlpm._in,_xlpm._shadowIDRange,_xlpm._elementCount,_xlpm._result,_xlpm._delimiter,_xlpm._ignoreErrors,IF(_xlpm._in="",SUBSTITUTE(_xlpm._result,"§",""),_xlfn.LET(_xlpm._id,LEFT(_xlpm._in,FIND(",",_xlpm._in)-1),_xlpm._bucketList,IF(_xlpm._result="",REPT("§",_xlpm._elementCount),_xlpm._result),SortList(RemoveFirstElement(_xlpm._in),_xlpm._shadowIDRange,_xlpm._elementCount,IFERROR(SUBSTITUTE(_xlpm._bucketList,"§",_xlpm._id&amp;_xlpm._delimiter&amp;"§",VLOOKUP(_xlpm._id,_xlpm._shadowIDRange,COLUMNS(_xlpm._shadowIDRange),FALSE)),IF(_xlpm._ignoreErrors,_xlpm._bucketList,"Error: Unknown ID: "&amp;_xlpm._id)),_xlpm._delimiter,_xlpm._ignoreErrors))))</definedName>
    <definedName name="SplitLines">_xlfn.LAMBDA(_xlpm._in,_xlpm._lineWidth,_xlpm._currentLine,IF(_xlpm._in="",_xlpm._currentLine,_xlfn.LET(_xlpm._spcPos,FIND(" ",_xlpm._in&amp;" "),_xlpm._word,IFERROR(LEFT(_xlpm._in,_xlpm._spcPos),""),_xlpm._currentLength,LEN(_xlpm._currentLine),_xlpm._rest,IFERROR(RIGHT(_xlpm._in,LEN(_xlpm._in)-_xlpm._spcPos),""),IF(_xlpm._currentLength+_xlpm._spcPos&lt;=_xlpm._lineWidth,SplitLines(_xlpm._rest,_xlpm._lineWidth,IF(_xlpm._currentLine="","",_xlpm._currentLine&amp;" ")&amp;_xlpm._word),LEFT(_xlpm._currentLine,_xlpm._currentLength-1)&amp;CHAR(10)&amp;SplitLines(_xlpm._rest,_xlpm._lineWidth,_xlpm._word)))))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3" l="1" a="1"/>
</calcChain>
</file>

<file path=xl/metadata.xml><?xml version="1.0" encoding="utf-8"?>
<metadata xmlns="http://schemas.openxmlformats.org/spreadsheetml/2006/main" xmlns:xda="http://schemas.microsoft.com/office/spreadsheetml/2017/dynamicarray" xmlns:xlrd="http://schemas.microsoft.com/office/spreadsheetml/2017/richdata">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<sst xmlns="http://schemas.openxmlformats.org/spreadsheetml/2006/main" count="2814" uniqueCount="1796">
  <si>
    <t>Impact Rating</t>
  </si>
  <si>
    <t>Required Attack Potential</t>
  </si>
  <si>
    <t xml:space="preserve">   Safety</t>
  </si>
  <si>
    <t>Comment</t>
  </si>
  <si>
    <t>Worst case impact for loss of confidentiality</t>
  </si>
  <si>
    <t>Worst case impact for loss of availability</t>
  </si>
  <si>
    <t>Worst case impact for loss of integrity</t>
  </si>
  <si>
    <t>Physical communication</t>
  </si>
  <si>
    <t>Logical communication</t>
  </si>
  <si>
    <t>Hardware interfaces and accessibility</t>
  </si>
  <si>
    <t>Yes</t>
  </si>
  <si>
    <t>No</t>
  </si>
  <si>
    <t>The person affected can be significantly impaired in his or her social status or economic circumstances</t>
  </si>
  <si>
    <t>The person affected can be ruinously impaired in his social status and economic circumstances. The freedom of the person concerned is threatened</t>
  </si>
  <si>
    <t>Personal data (low)</t>
  </si>
  <si>
    <t>Personal data (significant)</t>
  </si>
  <si>
    <t>Personal data (ruinous)</t>
  </si>
  <si>
    <t>Low</t>
  </si>
  <si>
    <t>High</t>
  </si>
  <si>
    <t>Critical</t>
  </si>
  <si>
    <t>IP (slightly innovative)</t>
  </si>
  <si>
    <t>Loss of general idea how product works or low impact on markets (little innovation / very small market)</t>
  </si>
  <si>
    <t>IP (moderately innovative)</t>
  </si>
  <si>
    <t>Relevant aspects of system is comprehensible or moderate impact on markets (some innovation in the product / medium size market)</t>
  </si>
  <si>
    <t>Medium</t>
  </si>
  <si>
    <t>IP (highly innovative)</t>
  </si>
  <si>
    <t>Can be copied / technology available or high impact on markets (highly innovative product / high-volume market)</t>
  </si>
  <si>
    <t>&lt; 200.000 EUR</t>
  </si>
  <si>
    <t>Rationale / provide details on the processed data</t>
  </si>
  <si>
    <t>Potentially dangerous situation</t>
  </si>
  <si>
    <t>Light or moderate injury</t>
  </si>
  <si>
    <t>Severe injury (survival probable)</t>
  </si>
  <si>
    <t>Life-threatening injury</t>
  </si>
  <si>
    <t>Disturbance</t>
  </si>
  <si>
    <t>Minor disturbance, customer can quickly fix issue himself (e.g. reset)</t>
  </si>
  <si>
    <t>Service required</t>
  </si>
  <si>
    <t>Disturbance of function, service required</t>
  </si>
  <si>
    <t>Major disturbance</t>
  </si>
  <si>
    <t>Major disturbance of function</t>
  </si>
  <si>
    <t>Critical disturbance (destruction)</t>
  </si>
  <si>
    <t>Accept</t>
  </si>
  <si>
    <t>Avoid</t>
  </si>
  <si>
    <t>Transfer</t>
  </si>
  <si>
    <t>Mitigate</t>
  </si>
  <si>
    <t>ET</t>
  </si>
  <si>
    <t>EX</t>
  </si>
  <si>
    <t>KT</t>
  </si>
  <si>
    <t>WO</t>
  </si>
  <si>
    <t>EQ</t>
  </si>
  <si>
    <t>Local network gateway</t>
  </si>
  <si>
    <t>Internet-facing gateway</t>
  </si>
  <si>
    <t>Does the product have any connectivity?</t>
  </si>
  <si>
    <t>Damage Scenario</t>
  </si>
  <si>
    <t>ID</t>
  </si>
  <si>
    <t>Shadow ID</t>
  </si>
  <si>
    <t>Question</t>
  </si>
  <si>
    <t>Personal data</t>
  </si>
  <si>
    <t>Intellectual property</t>
  </si>
  <si>
    <t>Financial and legal</t>
  </si>
  <si>
    <t>Safety</t>
  </si>
  <si>
    <t>Function and availability</t>
  </si>
  <si>
    <t>Personal data / IP</t>
  </si>
  <si>
    <t/>
  </si>
  <si>
    <t>Is the product typically installed in a physically accessible position?</t>
  </si>
  <si>
    <t>Indentation</t>
  </si>
  <si>
    <t>Can a manipulated product (or its communication) endanger the health of people? Also consider cases where the product is used against its intended use or misconfigured!</t>
  </si>
  <si>
    <t>Can a manipulated product disclose personal data to an attacker? Also consider cases where the product is used against its intended use or misconfigured!</t>
  </si>
  <si>
    <t>Can a manipulated product disclose intellectual property to an attacker? Also consider cases where the product is used against its intended use or misconfigured!</t>
  </si>
  <si>
    <t>Can a manipulated product allow an attacker access to assets of the customer or allow the attacker to attack the customer's network?</t>
  </si>
  <si>
    <t>Does the product have a point-to-point connection to another device?</t>
  </si>
  <si>
    <t>Does the product have a direct connection to a local network?</t>
  </si>
  <si>
    <t>Does the product support wireless connections?</t>
  </si>
  <si>
    <t>Does the product have a direct connection to a mobile network / the Internet?</t>
  </si>
  <si>
    <t>Does the product offer services to other entities on the network?</t>
  </si>
  <si>
    <t>Does the product offer a configuration interface?</t>
  </si>
  <si>
    <t>Does the product have an IP stack (or another routable protocol)?</t>
  </si>
  <si>
    <t>Can the product's software be updated over an interface?</t>
  </si>
  <si>
    <t>Line Width</t>
  </si>
  <si>
    <t>SUM</t>
  </si>
  <si>
    <t>Basic</t>
  </si>
  <si>
    <t>Enhanced-Basic</t>
  </si>
  <si>
    <t>Moderate</t>
  </si>
  <si>
    <t>Beyond High</t>
  </si>
  <si>
    <t>The product has a USB-C interface where a camera might get attached, but does not provide a camera on its own.</t>
  </si>
  <si>
    <t>The data can be written by the customer, consequently, private data might be processed.</t>
  </si>
  <si>
    <t>Patented, but not highly innovative.</t>
  </si>
  <si>
    <t>If the product is used in safety-related use cases, then the product is used against the intended use.</t>
  </si>
  <si>
    <t>Production halted, …</t>
  </si>
  <si>
    <t>Luggage moved to the wrong airplanes, damaged production site caused by attempt to assemble a vehicle incorrectly, …</t>
  </si>
  <si>
    <t>Even in hospitals, this is not plausible, as the AGVs only move items to people who are then responsible for distributing them to the patients.</t>
  </si>
  <si>
    <t>Not the intended use of the product.</t>
  </si>
  <si>
    <t>The device reads RFID tags and has a network interface.</t>
  </si>
  <si>
    <t>See above.</t>
  </si>
  <si>
    <t>Communication partners within a production site, consequently trusted.</t>
  </si>
  <si>
    <t>RF communication between sensor and tag. Additionally WLAN.
Communication partners within a production site, consequently trusted.</t>
  </si>
  <si>
    <t>Only when plugged in to USB-C by the customer.</t>
  </si>
  <si>
    <t>OPC UA (currently planned to act as the server).</t>
  </si>
  <si>
    <t>User name + password, protected with cerficates in the OPC UA case.</t>
  </si>
  <si>
    <t>The data in the tags can be defined arbitrarily.</t>
  </si>
  <si>
    <t>TCP/IP, USB, SD Card.
A secure firmware update provided by SICK is currently in planning.</t>
  </si>
  <si>
    <t>Customer's site</t>
  </si>
  <si>
    <t>Direct wireless communication (see above).</t>
  </si>
  <si>
    <t>Potentially next to tracks, in some cases it might be harder to access.</t>
  </si>
  <si>
    <t>Physically only accessible within the device, not externally available except for potentially the USB interface.</t>
  </si>
  <si>
    <t>Row</t>
  </si>
  <si>
    <t>Attack Path</t>
  </si>
  <si>
    <t>AS1</t>
  </si>
  <si>
    <t>Attack Step</t>
  </si>
  <si>
    <t>AS2</t>
  </si>
  <si>
    <t>AS3</t>
  </si>
  <si>
    <t>AS4</t>
  </si>
  <si>
    <t>AS5</t>
  </si>
  <si>
    <t>AS6</t>
  </si>
  <si>
    <t>AS7</t>
  </si>
  <si>
    <t>Interrupting the product with a denial of service attack</t>
  </si>
  <si>
    <t>Eavesdropping on the product's communication</t>
  </si>
  <si>
    <t>Disrupting the product's communication over the wireless network</t>
  </si>
  <si>
    <t>Prep IDs</t>
  </si>
  <si>
    <t>AS8</t>
  </si>
  <si>
    <t>Answers</t>
  </si>
  <si>
    <t>Answer Search</t>
  </si>
  <si>
    <t>AS9</t>
  </si>
  <si>
    <t>AS10</t>
  </si>
  <si>
    <t>Spoofing / tampering with the product's outgoing communication</t>
  </si>
  <si>
    <t>Spoofing / tampering with the product's incoming communication</t>
  </si>
  <si>
    <t>Attacking devices in the customer's network</t>
  </si>
  <si>
    <t>AS11</t>
  </si>
  <si>
    <t>Denial of Service on the customer's network</t>
  </si>
  <si>
    <t>AS12</t>
  </si>
  <si>
    <t>Creates Attack Paths</t>
  </si>
  <si>
    <t>AS13</t>
  </si>
  <si>
    <t>Elapsed Time</t>
  </si>
  <si>
    <t>&lt;= one day</t>
  </si>
  <si>
    <t xml:space="preserve"> &lt;= one week</t>
  </si>
  <si>
    <t>&lt;= one month</t>
  </si>
  <si>
    <t>&lt;= six months</t>
  </si>
  <si>
    <t>Years</t>
  </si>
  <si>
    <t>Decades</t>
  </si>
  <si>
    <t>Expertise</t>
  </si>
  <si>
    <t>Layman</t>
  </si>
  <si>
    <t>Proficient</t>
  </si>
  <si>
    <t>Expert</t>
  </si>
  <si>
    <t>Multiple experts</t>
  </si>
  <si>
    <t>Knowledge of TOE</t>
  </si>
  <si>
    <t>Public</t>
  </si>
  <si>
    <t>Restricted</t>
  </si>
  <si>
    <t>Sensitive</t>
  </si>
  <si>
    <t>Window of Opportunity</t>
  </si>
  <si>
    <t>Unnecessary / unlimited access</t>
  </si>
  <si>
    <t>Easy</t>
  </si>
  <si>
    <t>Difficult</t>
  </si>
  <si>
    <t>None</t>
  </si>
  <si>
    <t>Equipment</t>
  </si>
  <si>
    <t>Standard</t>
  </si>
  <si>
    <t>Specialized</t>
  </si>
  <si>
    <t>Bespoke</t>
  </si>
  <si>
    <t>Multiple bespoke</t>
  </si>
  <si>
    <t>Damage Scenarios</t>
  </si>
  <si>
    <t>DS1</t>
  </si>
  <si>
    <t>DS2</t>
  </si>
  <si>
    <t>DS3</t>
  </si>
  <si>
    <t>DS4</t>
  </si>
  <si>
    <t>DS5</t>
  </si>
  <si>
    <t>DS6</t>
  </si>
  <si>
    <t>DS7</t>
  </si>
  <si>
    <t>DS8</t>
  </si>
  <si>
    <t>DS9</t>
  </si>
  <si>
    <t>DS10</t>
  </si>
  <si>
    <t>DS11</t>
  </si>
  <si>
    <t>DS12</t>
  </si>
  <si>
    <t>DS13</t>
  </si>
  <si>
    <t>DS14</t>
  </si>
  <si>
    <t>DS15</t>
  </si>
  <si>
    <t>DS16</t>
  </si>
  <si>
    <t>Active Damage Scenarios</t>
  </si>
  <si>
    <t>Active DS</t>
  </si>
  <si>
    <t>R ID</t>
  </si>
  <si>
    <t>AP Shadow ID</t>
  </si>
  <si>
    <t># APs</t>
  </si>
  <si>
    <t>Active AP #</t>
  </si>
  <si>
    <t>Attack Paths Row</t>
  </si>
  <si>
    <t>Attack Paths String</t>
  </si>
  <si>
    <t>Last AP?</t>
  </si>
  <si>
    <t>Active AP</t>
  </si>
  <si>
    <t>DS IDs</t>
  </si>
  <si>
    <t>Immaterial</t>
  </si>
  <si>
    <t>Very High</t>
  </si>
  <si>
    <t>Damage Level</t>
  </si>
  <si>
    <t>RAP</t>
  </si>
  <si>
    <t>Risk Level</t>
  </si>
  <si>
    <t>DL</t>
  </si>
  <si>
    <t>Required Attack Potential - Factors</t>
  </si>
  <si>
    <t>Risk Matrix</t>
  </si>
  <si>
    <t>Damage Levels</t>
  </si>
  <si>
    <t>Yes / No</t>
  </si>
  <si>
    <t>Risk Values</t>
  </si>
  <si>
    <t>Proficient: The attacker needs a basic understanding of denial of service attacks</t>
  </si>
  <si>
    <t>Proficient: The attacker needs a basic understanding of the transmission protocol and sniffing tools</t>
  </si>
  <si>
    <t>The effort is similar to AS3, but can potentially be conducted in less time</t>
  </si>
  <si>
    <t>Specialized: Equipment to disrupt wireless transmissions</t>
  </si>
  <si>
    <t>Proficient: Without additional knowledge of the untrusted network, only some expertise might be required
Easy: The attacker needs access to the wireless network (note that this does not include mobile networks / the Internet, as these are featured in another question)</t>
  </si>
  <si>
    <t>AS14</t>
  </si>
  <si>
    <t>AS15</t>
  </si>
  <si>
    <t>AS16</t>
  </si>
  <si>
    <t>AS17</t>
  </si>
  <si>
    <t>AS18</t>
  </si>
  <si>
    <t>Disrupting the product's communication over the local network</t>
  </si>
  <si>
    <t>Depending on the software used to communicate over the Internet / mobile network, exploits might be easily applicable for attackers with basic knowledge</t>
  </si>
  <si>
    <t>Attack Step Causing Damages</t>
  </si>
  <si>
    <t>ET-val</t>
  </si>
  <si>
    <t>EX-val</t>
  </si>
  <si>
    <t>KT-val</t>
  </si>
  <si>
    <t>WO-val</t>
  </si>
  <si>
    <t>EQ-val</t>
  </si>
  <si>
    <t>A1</t>
  </si>
  <si>
    <t>A2</t>
  </si>
  <si>
    <t>Choices</t>
  </si>
  <si>
    <t>Name</t>
  </si>
  <si>
    <t>Description</t>
  </si>
  <si>
    <t>Options</t>
  </si>
  <si>
    <t>Risk Treatment</t>
  </si>
  <si>
    <t>Type of gateway</t>
  </si>
  <si>
    <t>Value</t>
  </si>
  <si>
    <t># Characters</t>
  </si>
  <si>
    <t>Threshold</t>
  </si>
  <si>
    <t>Class</t>
  </si>
  <si>
    <t>Factor</t>
  </si>
  <si>
    <t>Class ID</t>
  </si>
  <si>
    <t>Key Word:</t>
  </si>
  <si>
    <t>Element</t>
  </si>
  <si>
    <t>Task ID</t>
  </si>
  <si>
    <t>Sheet ID Link</t>
  </si>
  <si>
    <t>Sheet Name Link</t>
  </si>
  <si>
    <t>Sheet Comment Link</t>
  </si>
  <si>
    <t>Sheet Task ID Link</t>
  </si>
  <si>
    <t>Sheet Name</t>
  </si>
  <si>
    <t>ID Column</t>
  </si>
  <si>
    <t>Name Column</t>
  </si>
  <si>
    <t>Comment Column</t>
  </si>
  <si>
    <t>Task ID Column</t>
  </si>
  <si>
    <t>Number of Tasks</t>
  </si>
  <si>
    <t>Task #</t>
  </si>
  <si>
    <t>Task Sheet Shadow ID</t>
  </si>
  <si>
    <t>Task Sheet ID</t>
  </si>
  <si>
    <t>Final Entry?</t>
  </si>
  <si>
    <t>Element Text</t>
  </si>
  <si>
    <t>Comment Text</t>
  </si>
  <si>
    <t>Element Row</t>
  </si>
  <si>
    <t>Header Row</t>
  </si>
  <si>
    <t>Target of Evaluation</t>
  </si>
  <si>
    <t>Template Version History</t>
  </si>
  <si>
    <t>Date</t>
  </si>
  <si>
    <t>Changes</t>
  </si>
  <si>
    <t>Author</t>
  </si>
  <si>
    <t>R1</t>
  </si>
  <si>
    <t>R1-3</t>
  </si>
  <si>
    <t>R1-4</t>
  </si>
  <si>
    <t>R1-5</t>
  </si>
  <si>
    <t>R1-6</t>
  </si>
  <si>
    <t>R1-7</t>
  </si>
  <si>
    <t>R8</t>
  </si>
  <si>
    <t>R1-3-10</t>
  </si>
  <si>
    <t>R1-3-11</t>
  </si>
  <si>
    <t>R1-16</t>
  </si>
  <si>
    <t>All IDs</t>
  </si>
  <si>
    <t># Risks:</t>
  </si>
  <si>
    <t>All IDs Risk Generator:</t>
  </si>
  <si>
    <t>All IDs Risks:</t>
  </si>
  <si>
    <t>Open IDs:</t>
  </si>
  <si>
    <t>Assumption</t>
  </si>
  <si>
    <t>The camera's field of view never includes areas where people are located.</t>
  </si>
  <si>
    <t>The device's operational environment is trustworthy and not compromised by an attacker.</t>
  </si>
  <si>
    <t>A3</t>
  </si>
  <si>
    <t>The device's communication partner is trustworthy and not compromised by an attacker.</t>
  </si>
  <si>
    <t>Countermeasure</t>
  </si>
  <si>
    <t>C1</t>
  </si>
  <si>
    <t>Attack Steps</t>
  </si>
  <si>
    <t>C2</t>
  </si>
  <si>
    <t>Countermeasures and Assumptions</t>
  </si>
  <si>
    <t>Proposed Countermeasures and Assumptions</t>
  </si>
  <si>
    <t>C and A IDs</t>
  </si>
  <si>
    <t>AS IDs</t>
  </si>
  <si>
    <t>Countermeasures</t>
  </si>
  <si>
    <t>Attack Step Search</t>
  </si>
  <si>
    <t># Countermeasures:</t>
  </si>
  <si>
    <t>Countermeasure IDs</t>
  </si>
  <si>
    <t>AS ID</t>
  </si>
  <si>
    <t>Highest Risk with this
Attack Step</t>
  </si>
  <si>
    <t>AP Search</t>
  </si>
  <si>
    <t>Risk Level Value</t>
  </si>
  <si>
    <t>Risks</t>
  </si>
  <si>
    <t>C-ET</t>
  </si>
  <si>
    <t>C-EX</t>
  </si>
  <si>
    <t>C-KT</t>
  </si>
  <si>
    <t>C-WO</t>
  </si>
  <si>
    <t>C-EQ</t>
  </si>
  <si>
    <t>C-ET-val</t>
  </si>
  <si>
    <t>C-EX-val</t>
  </si>
  <si>
    <t>C-KT-val</t>
  </si>
  <si>
    <t>C-WO-val</t>
  </si>
  <si>
    <t>C-EQ-val</t>
  </si>
  <si>
    <t>Selected Countermeasures</t>
  </si>
  <si>
    <t>C&amp;A Search</t>
  </si>
  <si>
    <t># Attack Steps:</t>
  </si>
  <si>
    <t>N-ET</t>
  </si>
  <si>
    <t>N-EX</t>
  </si>
  <si>
    <t>N-KT</t>
  </si>
  <si>
    <t>N-WO</t>
  </si>
  <si>
    <t>N-EQ</t>
  </si>
  <si>
    <t>N-ET-val</t>
  </si>
  <si>
    <t>N-EX-val</t>
  </si>
  <si>
    <t>N-KT-val</t>
  </si>
  <si>
    <t>N-WO-val</t>
  </si>
  <si>
    <t>N-EQ-val</t>
  </si>
  <si>
    <t>N-SUM</t>
  </si>
  <si>
    <t>N-RAP</t>
  </si>
  <si>
    <t>N-Risk Level</t>
  </si>
  <si>
    <t>N-Risk</t>
  </si>
  <si>
    <t>N-Risk Value</t>
  </si>
  <si>
    <t>Dominating Attack Paths</t>
  </si>
  <si>
    <t xml:space="preserve">Dominating Attack Paths </t>
  </si>
  <si>
    <t>Dominating Risks Initial</t>
  </si>
  <si>
    <t>Q IDs</t>
  </si>
  <si>
    <t>Sending manipulated or malicious data to the product (from an untrusted source)</t>
  </si>
  <si>
    <t>Abusing the software update functionality to manipulate the product</t>
  </si>
  <si>
    <t>AS19</t>
  </si>
  <si>
    <t>AS20</t>
  </si>
  <si>
    <t>Providing a malicious software update from an untrusted source</t>
  </si>
  <si>
    <t>AS19, AS20</t>
  </si>
  <si>
    <t>Spoofing an entity sending a software update or manipulation of the update during transmission</t>
  </si>
  <si>
    <t>The attacker needs time, expertise and knowledge to provide a manipulated software update</t>
  </si>
  <si>
    <t>AS21</t>
  </si>
  <si>
    <t>AS22</t>
  </si>
  <si>
    <t>Gaining physical access to the product (3rd party)</t>
  </si>
  <si>
    <t>Gaining physical access to the product (customer)</t>
  </si>
  <si>
    <t>AS23</t>
  </si>
  <si>
    <t>AS21, AS22</t>
  </si>
  <si>
    <t>AS24</t>
  </si>
  <si>
    <t>The area where the product is located is protected against unauthorized access.</t>
  </si>
  <si>
    <t>A4</t>
  </si>
  <si>
    <t>A5</t>
  </si>
  <si>
    <t>The area where the product's communication media are located is protected against unauthorized access.</t>
  </si>
  <si>
    <t>AS25</t>
  </si>
  <si>
    <t>Accessing the product's debug interfaces remotely</t>
  </si>
  <si>
    <t>AS26</t>
  </si>
  <si>
    <t>Prerequisite Attack Steps</t>
  </si>
  <si>
    <t>Active  Based on Answers?</t>
  </si>
  <si>
    <t>Required answers for this attack step</t>
  </si>
  <si>
    <t>Accessing the product's physical debug interfaces</t>
  </si>
  <si>
    <t>R17</t>
  </si>
  <si>
    <t>R19-18</t>
  </si>
  <si>
    <t>R19</t>
  </si>
  <si>
    <t>R21</t>
  </si>
  <si>
    <t>R22</t>
  </si>
  <si>
    <t>R21-23</t>
  </si>
  <si>
    <t>R22-23</t>
  </si>
  <si>
    <t>R21-24</t>
  </si>
  <si>
    <t>R22-24</t>
  </si>
  <si>
    <t>R21-26</t>
  </si>
  <si>
    <t>R22-26</t>
  </si>
  <si>
    <t>AS27</t>
  </si>
  <si>
    <t>Getting physical access to the product's linked communication media (e.g., field buses)</t>
  </si>
  <si>
    <t>The attacker needs to access the communication medium physically with appropriate equipment</t>
  </si>
  <si>
    <t>Assumptions</t>
  </si>
  <si>
    <t># Assumptions:</t>
  </si>
  <si>
    <t>AS28</t>
  </si>
  <si>
    <t>Getting access to a trusted entity</t>
  </si>
  <si>
    <t>A6</t>
  </si>
  <si>
    <t>C3</t>
  </si>
  <si>
    <t>C4</t>
  </si>
  <si>
    <t>Stakeholder</t>
  </si>
  <si>
    <t>Stakeholders</t>
  </si>
  <si>
    <t>Customer</t>
  </si>
  <si>
    <t>Other (see comment)</t>
  </si>
  <si>
    <t>Stakeholder Names</t>
  </si>
  <si>
    <t>A7</t>
  </si>
  <si>
    <t>A8</t>
  </si>
  <si>
    <t>A9</t>
  </si>
  <si>
    <t>A10</t>
  </si>
  <si>
    <t>A11</t>
  </si>
  <si>
    <t>A12</t>
  </si>
  <si>
    <t>A13</t>
  </si>
  <si>
    <t>A14</t>
  </si>
  <si>
    <t>A15</t>
  </si>
  <si>
    <t>A16</t>
  </si>
  <si>
    <t>A17</t>
  </si>
  <si>
    <t>A18</t>
  </si>
  <si>
    <t>A19</t>
  </si>
  <si>
    <t>Note that this assumption does not exclude damage scenarios for information disclosure, it just states that no immediate damages arise from a violation of laws or contracts. Also note that privacy is handled on its own.</t>
  </si>
  <si>
    <t>A20</t>
  </si>
  <si>
    <t>The camera data is handled in compliance to data protection regulations (e.g., GDPR) by the customer.</t>
  </si>
  <si>
    <t>The product is not intended to process personal data.</t>
  </si>
  <si>
    <t>There are no legal or contractual obligations, with the possible exception of privacy-related issues, to keep the data processed / stored by the product confidential.</t>
  </si>
  <si>
    <t>The product is not intended to be applied in safety-relevant use cases.</t>
  </si>
  <si>
    <t>The product is not used to prevent / control access to assets.</t>
  </si>
  <si>
    <t>There are no contract-related fines if the product stops working at the customer's site.</t>
  </si>
  <si>
    <t>There are no legal or contractual fines if the product gets manipulated.</t>
  </si>
  <si>
    <t># Active AS:</t>
  </si>
  <si>
    <t>A14, A15</t>
  </si>
  <si>
    <t>C5</t>
  </si>
  <si>
    <t>C6</t>
  </si>
  <si>
    <t>C7</t>
  </si>
  <si>
    <t>C8</t>
  </si>
  <si>
    <t>C9</t>
  </si>
  <si>
    <t>C10</t>
  </si>
  <si>
    <t>C11</t>
  </si>
  <si>
    <t>C12</t>
  </si>
  <si>
    <t>C13</t>
  </si>
  <si>
    <t>C14</t>
  </si>
  <si>
    <t>C15</t>
  </si>
  <si>
    <t>C16</t>
  </si>
  <si>
    <t>C17</t>
  </si>
  <si>
    <t>C18</t>
  </si>
  <si>
    <t>C19</t>
  </si>
  <si>
    <t>C20</t>
  </si>
  <si>
    <t>C21</t>
  </si>
  <si>
    <t>PR IDs</t>
  </si>
  <si>
    <t>Prerequisites</t>
  </si>
  <si>
    <t>*</t>
  </si>
  <si>
    <t>If the customer is allowed to define passwords, then the customer is responsible for creating secure passwords and for protecting them against unauthorized access.</t>
  </si>
  <si>
    <t>If the customer owns a private key, then the customer is responsible for protecting it against unauthorized access.</t>
  </si>
  <si>
    <t>AS13, AS23, AS25</t>
  </si>
  <si>
    <t>A21</t>
  </si>
  <si>
    <t>If the customer conducts attacks, then only selected damages are in scope of the analysis.</t>
  </si>
  <si>
    <t>DSTs</t>
  </si>
  <si>
    <t>Damage Scenario Transformation</t>
  </si>
  <si>
    <t>Transformed DS IDs</t>
  </si>
  <si>
    <t>Damage Transformation</t>
  </si>
  <si>
    <t>DL after transformation</t>
  </si>
  <si>
    <t>New Damage Level</t>
  </si>
  <si>
    <t>Dependency Search If Active</t>
  </si>
  <si>
    <t>DS17</t>
  </si>
  <si>
    <t>DS18</t>
  </si>
  <si>
    <t>DS6&gt;DS17, DS7&gt;DS17, DS8&gt;DS17, DS9&gt;DS17</t>
  </si>
  <si>
    <t>Disturbance of function until restore</t>
  </si>
  <si>
    <t>Damage Transformation Search If Active</t>
  </si>
  <si>
    <t>Damage Scenario Search If Active</t>
  </si>
  <si>
    <t>Active for Proposal?</t>
  </si>
  <si>
    <t>Active in Risk Treatment?</t>
  </si>
  <si>
    <t>Mitigation Search</t>
  </si>
  <si>
    <t>Explanation Text</t>
  </si>
  <si>
    <t>Related Questions and Answers / Explanation</t>
  </si>
  <si>
    <t>Damage scenario for damage transformation: Restoring a system from a backup takes some time, but prevents longer downtimes</t>
  </si>
  <si>
    <t>DS6&gt;DS18, DS7&gt;DS18, DS8&gt;DS18, DS9&gt;DS18</t>
  </si>
  <si>
    <t>Limited response of the product during DoS attack, recovery afterwards</t>
  </si>
  <si>
    <t>Damage scenario for damage transformation: The product is resistant against DoS attacks and recovers from the attack</t>
  </si>
  <si>
    <t xml:space="preserve">RAP </t>
  </si>
  <si>
    <t xml:space="preserve">Damage Level </t>
  </si>
  <si>
    <t>R27-3</t>
  </si>
  <si>
    <t>R28-3</t>
  </si>
  <si>
    <t>R27-4</t>
  </si>
  <si>
    <t>R28-4</t>
  </si>
  <si>
    <t>R27-5</t>
  </si>
  <si>
    <t>R27-6</t>
  </si>
  <si>
    <t>R27-7</t>
  </si>
  <si>
    <t>R28-7</t>
  </si>
  <si>
    <t>R27-3-10</t>
  </si>
  <si>
    <t>R28-3-10</t>
  </si>
  <si>
    <t>R27-3-11</t>
  </si>
  <si>
    <t>R28-3-11</t>
  </si>
  <si>
    <t>R27-16</t>
  </si>
  <si>
    <t>R28-16</t>
  </si>
  <si>
    <t>R1-25</t>
  </si>
  <si>
    <t>R27-25</t>
  </si>
  <si>
    <t>R28-25</t>
  </si>
  <si>
    <t>R27</t>
  </si>
  <si>
    <t>R28</t>
  </si>
  <si>
    <t>DS1, DS2, DS4, DS5, DS6, DS7, DS8, DS9, DS10, DS11, DS13, DS14, DS15, DS16</t>
  </si>
  <si>
    <t xml:space="preserve">Damage Scenarios </t>
  </si>
  <si>
    <t>C22</t>
  </si>
  <si>
    <t>C23</t>
  </si>
  <si>
    <t>C24</t>
  </si>
  <si>
    <t>AS12, AS17</t>
  </si>
  <si>
    <t>C10, C13, C18</t>
  </si>
  <si>
    <t>C25</t>
  </si>
  <si>
    <t>Risk Treatment Proposal</t>
  </si>
  <si>
    <t>Manual Risk Treatment</t>
  </si>
  <si>
    <t>Risk Treatment Decision</t>
  </si>
  <si>
    <t>Risk Treatment Rationale / Explanation</t>
  </si>
  <si>
    <t>RL Value</t>
  </si>
  <si>
    <t>The customer needs to ensure that a disruption of WLAN connectivity does not impede operations substantially</t>
  </si>
  <si>
    <t>Active Assumption ID</t>
  </si>
  <si>
    <t># Active Assumptions:</t>
  </si>
  <si>
    <t>Is Assumption</t>
  </si>
  <si>
    <t>Active Countermeasure ID</t>
  </si>
  <si>
    <t>Active Or Transitively Active as Dependency</t>
  </si>
  <si>
    <t>Dependency Search</t>
  </si>
  <si>
    <t>Worst  case  impact  for  loss  of  confidentiality</t>
  </si>
  <si>
    <t xml:space="preserve">   Personal  data</t>
  </si>
  <si>
    <t xml:space="preserve">      Does  the  product  have  cameras?</t>
  </si>
  <si>
    <t xml:space="preserve">      Does  the  product  process  personal  data?
      Examples:
      SICK  ID,  address  labels</t>
  </si>
  <si>
    <t xml:space="preserve">   Intellectual  property</t>
  </si>
  <si>
    <t xml:space="preserve">      Does  the  product  contain  SICK  intellectual
      property?</t>
  </si>
  <si>
    <t xml:space="preserve">   Financial  and  legal</t>
  </si>
  <si>
    <t xml:space="preserve">      Is  SICK  (typically)  obliged  to  keep  the
      processed  /  stored  data  (including  third-party
      IP)  confidential  by  contract  or  law?</t>
  </si>
  <si>
    <t xml:space="preserve">      Does  the  product  contain  credentials  /
      cryptographic  keys  that  allow  access  to
      sensitive  data?</t>
  </si>
  <si>
    <t>Worst  case  impact  for  loss  of  availability</t>
  </si>
  <si>
    <t xml:space="preserve">      Can  a  loss  of  availability  of  the  product  (or
      its  communication)  endanger  the  health  of
      people?</t>
  </si>
  <si>
    <t xml:space="preserve">   Function  and  availability</t>
  </si>
  <si>
    <t xml:space="preserve">      Is  the  availability  of  the  product  relevant  for
      its  environment?</t>
  </si>
  <si>
    <t xml:space="preserve">      Can  a  loss  of  availability  allow  an  attacker
      access  to  assets  of  the  customer  (including
      physical  access  not  detected  by  the  SICK
      product)?</t>
  </si>
  <si>
    <t xml:space="preserve">      Can  a  loss  of  availability  cause
      contract-related  fines?</t>
  </si>
  <si>
    <t>Worst  case  impact  for  loss  of  integrity</t>
  </si>
  <si>
    <t xml:space="preserve">      Can  a  manipulated  product  (or  its  communication)
      endanger  the  health  of  people?  Also  consider
      cases  where  the  product  is  used  against  its
      intended  use  or  misconfigured!</t>
  </si>
  <si>
    <t xml:space="preserve">   Personal  data  /  IP</t>
  </si>
  <si>
    <t xml:space="preserve">      Can  a  manipulated  product  disclose  personal  data
      to  an  attacker?  Also  consider  cases  where  the
      product  is  used  against  its  intended  use  or
      misconfigured!</t>
  </si>
  <si>
    <t xml:space="preserve">      Can  a  manipulated  product  disclose  intellectual
      property  to  an  attacker?  Also  consider  cases
      where  the  product  is  used  against  its  intended
      use  or  misconfigured!</t>
  </si>
  <si>
    <t xml:space="preserve">      Can  a  manipulated  product  disclose  cryptographic
      material  to  an  attacker?Also  consider  cases
      where  the  product  does  not  disclose  the
      material  but  misuses  its  access  to  other
      systems!</t>
  </si>
  <si>
    <t xml:space="preserve">      Can  a  manipulated  product  affect  the  operation
      of  its  environment?</t>
  </si>
  <si>
    <t xml:space="preserve">      Can  a  manipulated  product  allow  an  attacker
      access  to  assets  of  the  customer  or  allow  the
      attacker  to  attack  the  customer's  network?</t>
  </si>
  <si>
    <t xml:space="preserve">      Can  a  manipulated  product  cause  contract-related
      /  legal  fines?</t>
  </si>
  <si>
    <t>Does  the  product  have  any  connectivity?</t>
  </si>
  <si>
    <t>Does  the  product  offer  a  gateway  functionality?</t>
  </si>
  <si>
    <t>Physical  communication</t>
  </si>
  <si>
    <t xml:space="preserve">   Does  the  product  have  a  point-to-point  connection
   to  another  device?</t>
  </si>
  <si>
    <t xml:space="preserve">   Does  the  product  have  a  direct  connection  to  a
   local  network?</t>
  </si>
  <si>
    <t xml:space="preserve">   Does  the  product  support  wireless  connections?</t>
  </si>
  <si>
    <t xml:space="preserve">   Does  the  product  have  a  direct  connection  to  a
   mobile  network  /  the  Internet?</t>
  </si>
  <si>
    <t>Logical  communication</t>
  </si>
  <si>
    <t xml:space="preserve">   Does  the  product  offer  services  to  other  entities
   on  the  network?</t>
  </si>
  <si>
    <t xml:space="preserve">      Does  the  product  offer  a  configuration
      interface?</t>
  </si>
  <si>
    <t xml:space="preserve">      Does  the  product  have  an  IP  stack  (or  another
      routable  protocol)?</t>
  </si>
  <si>
    <t xml:space="preserve">      Does  the  product  process  data  from  an  untrusted
      source?</t>
  </si>
  <si>
    <t xml:space="preserve">      Can  the  product's  software  be  updated  over  an
      interface?</t>
  </si>
  <si>
    <t xml:space="preserve">   Does  the  product  have  access  to  a  local  network
   over  a  gateway?</t>
  </si>
  <si>
    <t xml:space="preserve">   Does  the  product  have  access  to  a  wireless
   network  over  a  gateway?</t>
  </si>
  <si>
    <t>Hardware  interfaces  and  accessibility</t>
  </si>
  <si>
    <t xml:space="preserve">   Is  the  product  typically  installed  in  a  physically
   accessible  position?</t>
  </si>
  <si>
    <t xml:space="preserve">   Is  the  product  typically  installed  in  an
   environment  without  restricted  access?</t>
  </si>
  <si>
    <t xml:space="preserve">   Are  the  product's  physical  connections  (such  as
   attached  bus  cables)  typically  installed  in  an
   environment  without  restricted  access?</t>
  </si>
  <si>
    <t>Does  the  product  have  debug  interfaces?</t>
  </si>
  <si>
    <t>Profile A</t>
  </si>
  <si>
    <t>Only as part of a ring topology, but no gateway functionality (routing / firewalling).</t>
  </si>
  <si>
    <t>Ethernet, IP, TCP, Profinet, OPC UA, MQTT.</t>
  </si>
  <si>
    <t>Questionnaire</t>
  </si>
  <si>
    <t xml:space="preserve">                    RAP &gt;
v Damage</t>
  </si>
  <si>
    <t>[QI ID] Missing Rationale</t>
  </si>
  <si>
    <t>[QI Text] Missing Rationale</t>
  </si>
  <si>
    <t>QI ID Reference</t>
  </si>
  <si>
    <t>QI Text Reference</t>
  </si>
  <si>
    <t>Sheet</t>
  </si>
  <si>
    <t>#</t>
  </si>
  <si>
    <t>Criterion</t>
  </si>
  <si>
    <t>Triggering Elements</t>
  </si>
  <si>
    <t>Risk treatment decisions without a rationale</t>
  </si>
  <si>
    <t>QI Element ID Reference</t>
  </si>
  <si>
    <t>Element ID Column</t>
  </si>
  <si>
    <t>Triggering IDs</t>
  </si>
  <si>
    <t>Text Range</t>
  </si>
  <si>
    <t>Open IDs</t>
  </si>
  <si>
    <t>OK for IDs</t>
  </si>
  <si>
    <t>Rationale</t>
  </si>
  <si>
    <t>Element ID Letter</t>
  </si>
  <si>
    <t>Link to First Element</t>
  </si>
  <si>
    <t>QI Text</t>
  </si>
  <si>
    <t>QI ID</t>
  </si>
  <si>
    <t>Active Attack Step</t>
  </si>
  <si>
    <t>QI Text Question Not Answered</t>
  </si>
  <si>
    <t>QI ID Question Not Answered</t>
  </si>
  <si>
    <t>Unanswered questions</t>
  </si>
  <si>
    <t>Answers with missing details</t>
  </si>
  <si>
    <t>QI Text Missing Details</t>
  </si>
  <si>
    <t>QI ID Missing Details</t>
  </si>
  <si>
    <t>QI Text Missing Rationale</t>
  </si>
  <si>
    <t>QI ID Missing Rationale</t>
  </si>
  <si>
    <t>Answers with missing rationale</t>
  </si>
  <si>
    <t xml:space="preserve">Remaining Risk Level </t>
  </si>
  <si>
    <t>QI Text No Risk Treatment</t>
  </si>
  <si>
    <t>QI ID No Risk Treatment</t>
  </si>
  <si>
    <t>Risks without risk treatment</t>
  </si>
  <si>
    <t>QI Text Inconsistent Answers</t>
  </si>
  <si>
    <t>QI ID Inconsistent Answers</t>
  </si>
  <si>
    <t>Questions with inconsistent answers</t>
  </si>
  <si>
    <t>Related Question (for damage scenarios)</t>
  </si>
  <si>
    <t>Factor Explanation</t>
  </si>
  <si>
    <t xml:space="preserve">Factor Explanation </t>
  </si>
  <si>
    <t>Highest Remaining Risk with this
Attack Step</t>
  </si>
  <si>
    <t>Mitigation</t>
  </si>
  <si>
    <t>Q ID</t>
  </si>
  <si>
    <t xml:space="preserve">Disclosure of </t>
  </si>
  <si>
    <t>Damage Scenario Static Text Prefix</t>
  </si>
  <si>
    <t>Damage Scenario Static Text Suffix</t>
  </si>
  <si>
    <t>x</t>
  </si>
  <si>
    <t>)</t>
  </si>
  <si>
    <t xml:space="preserve">Disclosure of cryptographic material causing loss of </t>
  </si>
  <si>
    <t xml:space="preserve"> caused by unavailable product</t>
  </si>
  <si>
    <t xml:space="preserve">Loss of </t>
  </si>
  <si>
    <t xml:space="preserve">Contract-related fines of </t>
  </si>
  <si>
    <t xml:space="preserve"> caused by manipulated product</t>
  </si>
  <si>
    <t xml:space="preserve"> disclosed by manipulated product</t>
  </si>
  <si>
    <t xml:space="preserve"> caused by attacks on customer's assets by manipulated product</t>
  </si>
  <si>
    <t xml:space="preserve">Fines of </t>
  </si>
  <si>
    <t>Answer 1</t>
  </si>
  <si>
    <t>Answer 2</t>
  </si>
  <si>
    <t>Damage Value</t>
  </si>
  <si>
    <t>Fines for leaking data of a another party (</t>
  </si>
  <si>
    <t>The customer might attack the product before it is installed in the inaccessible place</t>
  </si>
  <si>
    <t>The product is installed in a physically inaccessible place. It is difficult for an attacker to gain physical access to the product.</t>
  </si>
  <si>
    <t>Description of the TOE (Target of Evaluation)</t>
  </si>
  <si>
    <t>Can a loss of availability cause contract-related fines (e.g., based on a service level agreement)?</t>
  </si>
  <si>
    <t>b</t>
  </si>
  <si>
    <t>k</t>
  </si>
  <si>
    <t>a</t>
  </si>
  <si>
    <t>h</t>
  </si>
  <si>
    <t>f</t>
  </si>
  <si>
    <t>c</t>
  </si>
  <si>
    <t>i</t>
  </si>
  <si>
    <t>d</t>
  </si>
  <si>
    <t>e</t>
  </si>
  <si>
    <t>g</t>
  </si>
  <si>
    <t>AS29</t>
  </si>
  <si>
    <t>Brute-forcing the authentication mechanism over IP</t>
  </si>
  <si>
    <t>A22</t>
  </si>
  <si>
    <t>The product does not offer any interface that requires authentication over the IP stack.</t>
  </si>
  <si>
    <t>If the product does not offer an interface, then attacks abusing such an interface cannot occur.</t>
  </si>
  <si>
    <t>Is last risk?</t>
  </si>
  <si>
    <t>Risk table not big enough</t>
  </si>
  <si>
    <t>QI Text Table Too Small</t>
  </si>
  <si>
    <t>QI ID Table Too Small</t>
  </si>
  <si>
    <t>INFORMATION AND INSTRUCTIONS TO THE USER</t>
  </si>
  <si>
    <t>&lt;point of contact where information about cybersecurity vulnerabilities of the product can be reported and received&gt;</t>
  </si>
  <si>
    <t>&lt;the name, registered trade name or registered trade mark of the manufacturer, and the postal address and the email address at which the manufacturer can be contacted, on the product or, where that is not possible, on its packaging or in a document accompanying the product&gt;</t>
  </si>
  <si>
    <t>&lt;the correct identification of the type, batch, version or serial number or other element allowing the identification of the product and the corresponding instructions and user information&gt;</t>
  </si>
  <si>
    <t>&lt;the intended use, including the security environment provided by the manufacturer, as well as the product’s essential functionalities and information about the security properties&gt;</t>
  </si>
  <si>
    <t>&lt;-- Kombination aus neuem Freitext und den Assumptions?</t>
  </si>
  <si>
    <t>&lt;any known or foreseeable circumstance, related to the use of the product with digital elements in accordance with its intended purpose or under conditions of reasonably foreseeable misuse, which may lead to significant cybersecurity risks&gt;</t>
  </si>
  <si>
    <t>&lt;-- Auflistung von Restrisiken &gt; Akzeptanzschwelle ("significant cybersecurity risk") oder mit Anforderungen an den Kunden (→ Assumptions)? Hier insbesondere: Foreseeable Misuse wie berücksichtigen?</t>
  </si>
  <si>
    <t>&lt;-- Muss während der Produktion festgelegt werden.</t>
  </si>
  <si>
    <t>&lt;if and, where applicable, where the software bill of materials can be accessed&gt;</t>
  </si>
  <si>
    <t>&lt;-- Während der Entwicklung ableiten.</t>
  </si>
  <si>
    <t>&lt;where applicable, the internet address at which the EU declaration of conformity can be accessed&gt;</t>
  </si>
  <si>
    <t>&lt;the type of technical security support offered by the manufacturer and until when it will be provided, at the very least until when users can expect to receive security updates&gt;</t>
  </si>
  <si>
    <t>&lt;-- Teilweise produktspezifische Angaben.</t>
  </si>
  <si>
    <t>&lt;detailed instructions or an internet address referring to such detailed instructions and information on:
(a) the necessary measures during initial commissioning and throughout the lifetime of the product to ensure its secure use;
(b) how changes to the product can affect the security of data;
(c) how security-relevant updates can be installed;
(d) the secure decommissioning of the product, including information on how user data can be securely removed&gt;</t>
  </si>
  <si>
    <t>&lt;-- a) Könnte teilweise über Textbausteine mit den gewählten Maßnahmen hergeleitet werden?
b) Möglicherweise aus SRA ableiten.</t>
  </si>
  <si>
    <t>Letter</t>
  </si>
  <si>
    <t>Implemented by</t>
  </si>
  <si>
    <t>j</t>
  </si>
  <si>
    <t>Annex I Active Countermeasure Search</t>
  </si>
  <si>
    <t>Active Assumption Annex I Search</t>
  </si>
  <si>
    <t>Products with digital elements shall…</t>
  </si>
  <si>
    <t>be designed, developed and produced to limit attack surfaces, including external interfaces</t>
  </si>
  <si>
    <t>be designed, developed and produced to reduce the impact of an incident using appropriate exploitation mitigation mechanisms and techniques</t>
  </si>
  <si>
    <t>Countermeasure / Assumption Names</t>
  </si>
  <si>
    <t>Annex I Text</t>
  </si>
  <si>
    <t>h, i, k</t>
  </si>
  <si>
    <t>d, g</t>
  </si>
  <si>
    <t>b, d</t>
  </si>
  <si>
    <t>Annex I 1.3 Search (Treatment not Accept)</t>
  </si>
  <si>
    <t>Explicit Risk Treatment</t>
  </si>
  <si>
    <t>Annex I 1.3 Text</t>
  </si>
  <si>
    <t>Answer Search for First Answer Only</t>
  </si>
  <si>
    <t>Active Based on Answers</t>
  </si>
  <si>
    <t>AS30</t>
  </si>
  <si>
    <t>C26</t>
  </si>
  <si>
    <t>Attack Steps Version History</t>
  </si>
  <si>
    <t>Assumptions Version History</t>
  </si>
  <si>
    <t>Countermeasures Version History</t>
  </si>
  <si>
    <t>Does the product have a logical connection to a local network over a gateway?</t>
  </si>
  <si>
    <t>Does the product have a logical connection to a wireless network over a gateway?</t>
  </si>
  <si>
    <t>Syntax Start</t>
  </si>
  <si>
    <t>Syntax End</t>
  </si>
  <si>
    <t>Element Type</t>
  </si>
  <si>
    <t>{A</t>
  </si>
  <si>
    <t>{C</t>
  </si>
  <si>
    <t>}</t>
  </si>
  <si>
    <t>Additional assumptions / countermeasures</t>
  </si>
  <si>
    <t>Sheet Element ID Link</t>
  </si>
  <si>
    <t>Number of Comments with Elements</t>
  </si>
  <si>
    <t>Additional Assumption ID</t>
  </si>
  <si>
    <t># Additional Assumptions</t>
  </si>
  <si>
    <t>Sheet Number of Elements Link</t>
  </si>
  <si>
    <t>Number of Elements Column</t>
  </si>
  <si>
    <t># Elements</t>
  </si>
  <si>
    <t>Is Additional Element</t>
  </si>
  <si>
    <t># Active Countermeasures:</t>
  </si>
  <si>
    <t>Additional Sheet ID</t>
  </si>
  <si>
    <t>Number of Elements For This Sheet</t>
  </si>
  <si>
    <t>Comment ID</t>
  </si>
  <si>
    <t>Number of Elements for this ID</t>
  </si>
  <si>
    <t>Element Within Comment ID</t>
  </si>
  <si>
    <t>Is Last Element for the Comment</t>
  </si>
  <si>
    <t>Comment Content</t>
  </si>
  <si>
    <t>Sheet ID Column</t>
  </si>
  <si>
    <t>ID for Additional Element</t>
  </si>
  <si>
    <t>Last Element for the Sheet</t>
  </si>
  <si>
    <t>Additional Assumptions</t>
  </si>
  <si>
    <t>Additional Countermeasures</t>
  </si>
  <si>
    <t>Additional Countermeasure ID</t>
  </si>
  <si>
    <t># Additional Countermeasures</t>
  </si>
  <si>
    <t>Triggering Answers and Their Comments</t>
  </si>
  <si>
    <t>Additional Assumption ID (Rationale)</t>
  </si>
  <si>
    <t># Additional Assumptions (Rationale)</t>
  </si>
  <si>
    <t>Additional Assumption ID (Comment)</t>
  </si>
  <si>
    <t># Additional Assumptions (Comment)</t>
  </si>
  <si>
    <t>Additional Countermeasure ID (Rationale)</t>
  </si>
  <si>
    <t># Additional Countermeasure (Rationale)</t>
  </si>
  <si>
    <t>Additional Countermeasure ID (Comment)</t>
  </si>
  <si>
    <t># Additional Countermeasure (Comment)</t>
  </si>
  <si>
    <t>Row Within Sheet</t>
  </si>
  <si>
    <t>Row in Lookup Tables</t>
  </si>
  <si>
    <t>Link</t>
  </si>
  <si>
    <t>Activates Assumption or Countermeasure</t>
  </si>
  <si>
    <t>Triggering Answer IDs</t>
  </si>
  <si>
    <t>Triggering Answer Search</t>
  </si>
  <si>
    <t>Display Blue Box</t>
  </si>
  <si>
    <t>Marking for Comments at Answers that Trigger Assumptions / Countermeasures</t>
  </si>
  <si>
    <t>Answer Search Field</t>
  </si>
  <si>
    <t>Assigned C&amp;A Search</t>
  </si>
  <si>
    <t>Assigned to Attack Steps</t>
  </si>
  <si>
    <t>Comments of Related Elements</t>
  </si>
  <si>
    <t>Defined in the Context of Element</t>
  </si>
  <si>
    <t>Dependant Elements</t>
  </si>
  <si>
    <t>Additional Information</t>
  </si>
  <si>
    <t>Go to ID</t>
  </si>
  <si>
    <t>Link Text Explicit</t>
  </si>
  <si>
    <t>Link Text Implicit</t>
  </si>
  <si>
    <t>Text for Default Elements</t>
  </si>
  <si>
    <t>Mitigates Attack Steps</t>
  </si>
  <si>
    <t>Mitigated Attack Steps Mapped to Annex Search</t>
  </si>
  <si>
    <t>Mitigated Attack Steps</t>
  </si>
  <si>
    <t>Is the availability of the product relevant for its operational environment?</t>
  </si>
  <si>
    <t>Can a manipulated product affect the operation of its operational environment?</t>
  </si>
  <si>
    <t>Risks not covered in risk treatment</t>
  </si>
  <si>
    <t>Comment (click to follow the link)</t>
  </si>
  <si>
    <t>Additional Element - Mapping to Annex I 1.3 Search (currently not used)</t>
  </si>
  <si>
    <t>CCSC 1: Support of essential functions</t>
  </si>
  <si>
    <t>CCSC 2: Compensating countermeasures</t>
  </si>
  <si>
    <t>CCSC 3: Least privilege</t>
  </si>
  <si>
    <t>CR 1.1 – Human user identification and authentication</t>
  </si>
  <si>
    <t>CR 1.3 – Account management</t>
  </si>
  <si>
    <t>CR 1.4 – Identifier management</t>
  </si>
  <si>
    <t>CR 1.12 – System use notification</t>
  </si>
  <si>
    <t>CR 2.1 – Authorization enforcement</t>
  </si>
  <si>
    <t>CR 2.2 – Wireless use control</t>
  </si>
  <si>
    <t>CR 2.8 – Auditable events</t>
  </si>
  <si>
    <t>CR 2.10 – Response to audit processing failures</t>
  </si>
  <si>
    <t>CR 3.3 – Security functionality verification</t>
  </si>
  <si>
    <t>CR 3.4 – Software and information integrity</t>
  </si>
  <si>
    <t>CR 3.5 – Input validation</t>
  </si>
  <si>
    <t>CR 3.6 – Deterministic output</t>
  </si>
  <si>
    <t>CR 4.2 – Information persistence</t>
  </si>
  <si>
    <t>CR 4.3 – Use of cryptography</t>
  </si>
  <si>
    <t>CR 5.1 – Network segmentation</t>
  </si>
  <si>
    <t>CR 7.1 – Denial of service protection</t>
  </si>
  <si>
    <t>CR 7.1 RE 1 Manage communication load from component</t>
  </si>
  <si>
    <t>CR 7.2 – Resource management</t>
  </si>
  <si>
    <t>CR 7.6 – Network and security configuration settings</t>
  </si>
  <si>
    <t>CR 7.7 – Least functionality</t>
  </si>
  <si>
    <t>C27</t>
  </si>
  <si>
    <t>C28</t>
  </si>
  <si>
    <t>C29</t>
  </si>
  <si>
    <t>C30</t>
  </si>
  <si>
    <t>If the product stops working / malfunctions, then no other components / processes in its operational environment are affected.</t>
  </si>
  <si>
    <t>Getting access to a trusted operational environment</t>
  </si>
  <si>
    <t>CM1</t>
  </si>
  <si>
    <t>CM3</t>
  </si>
  <si>
    <t>CM4</t>
  </si>
  <si>
    <t>CM5</t>
  </si>
  <si>
    <t>CM6</t>
  </si>
  <si>
    <t>CM7</t>
  </si>
  <si>
    <t>CM8</t>
  </si>
  <si>
    <t>CM10</t>
  </si>
  <si>
    <t>CM11</t>
  </si>
  <si>
    <t>CM12</t>
  </si>
  <si>
    <t>CM14</t>
  </si>
  <si>
    <t>CM15</t>
  </si>
  <si>
    <t>C11, C12</t>
  </si>
  <si>
    <t>AS31</t>
  </si>
  <si>
    <t>&lt;= one day: The exploit might already be available
Proficient: The attacker needs basic understanding of IACS
Restricted: The attacker needs knowledge about the site, including an understanding of the different network segments
Easy: The attacker needs access to a customer network
Standard: Potentially only standard hardware required</t>
  </si>
  <si>
    <t>AS9, AS15, AS31</t>
  </si>
  <si>
    <t>DS6&gt;DS18, DS7&gt;DS18</t>
  </si>
  <si>
    <t>A23</t>
  </si>
  <si>
    <t>The product does not offer a configuration interface, unlike required by CR 7.6 – Network and security configuration settings. For the given product, no such interface is required.</t>
  </si>
  <si>
    <t>CM16</t>
  </si>
  <si>
    <t>CM17</t>
  </si>
  <si>
    <t>SAR 3.2 / EDR 3.2 / HDR 3.2 / NDR 3.2 – Protection from malicious code</t>
  </si>
  <si>
    <t>EDR 3.10 / HDR 3.10 / NDR 3.10 – Support for updates</t>
  </si>
  <si>
    <t>EDR 2.13 / HDR 2.13 / NDR 2.13 – Use of physical diagnostic and test interfaces</t>
  </si>
  <si>
    <t>Explanation</t>
  </si>
  <si>
    <r>
      <t xml:space="preserve">Defines the answers </t>
    </r>
    <r>
      <rPr>
        <i/>
        <sz val="11"/>
        <color theme="0"/>
        <rFont val="Calibri"/>
        <family val="2"/>
        <scheme val="minor"/>
      </rPr>
      <t>yes</t>
    </r>
    <r>
      <rPr>
        <sz val="11"/>
        <color theme="0"/>
        <rFont val="Calibri"/>
        <family val="2"/>
        <scheme val="minor"/>
      </rPr>
      <t xml:space="preserve"> and</t>
    </r>
    <r>
      <rPr>
        <i/>
        <sz val="11"/>
        <color theme="0"/>
        <rFont val="Calibri"/>
        <family val="2"/>
        <scheme val="minor"/>
      </rPr>
      <t xml:space="preserve"> no </t>
    </r>
    <r>
      <rPr>
        <sz val="11"/>
        <color theme="0"/>
        <rFont val="Calibri"/>
        <family val="2"/>
        <scheme val="minor"/>
      </rPr>
      <t xml:space="preserve">for the </t>
    </r>
    <r>
      <rPr>
        <i/>
        <sz val="11"/>
        <color theme="0"/>
        <rFont val="Calibri"/>
        <family val="2"/>
        <scheme val="minor"/>
      </rPr>
      <t>Questionnaire</t>
    </r>
    <r>
      <rPr>
        <sz val="11"/>
        <color theme="0"/>
        <rFont val="Calibri"/>
        <family val="2"/>
        <scheme val="minor"/>
      </rPr>
      <t xml:space="preserve"> sheet.</t>
    </r>
  </si>
  <si>
    <t>Sheet #</t>
  </si>
  <si>
    <t>Column Header Address</t>
  </si>
  <si>
    <t xml:space="preserve">Sheet Name </t>
  </si>
  <si>
    <t>Column</t>
  </si>
  <si>
    <t>Column Letter</t>
  </si>
  <si>
    <t>Sheet Color</t>
  </si>
  <si>
    <t>Black</t>
  </si>
  <si>
    <t>Blue</t>
  </si>
  <si>
    <t>This readme.</t>
  </si>
  <si>
    <t>Calculation and presentation of results.</t>
  </si>
  <si>
    <t>ID of the question making this damage scenario active if answered accordingly.</t>
  </si>
  <si>
    <t>White</t>
  </si>
  <si>
    <t>Green</t>
  </si>
  <si>
    <t>A link.</t>
  </si>
  <si>
    <t>Calculated: The full text of the question matching the ID provided in the previous column.</t>
  </si>
  <si>
    <t>Calculated: The resulting damage scenario text.</t>
  </si>
  <si>
    <r>
      <t xml:space="preserve">The text of the damage scenario can be calculated from the answers in the </t>
    </r>
    <r>
      <rPr>
        <i/>
        <sz val="11"/>
        <color theme="0"/>
        <rFont val="Calibri"/>
        <family val="2"/>
        <scheme val="minor"/>
      </rPr>
      <t>Questionnaire</t>
    </r>
    <r>
      <rPr>
        <sz val="11"/>
        <color theme="0"/>
        <rFont val="Calibri"/>
        <family val="2"/>
        <scheme val="minor"/>
      </rPr>
      <t xml:space="preserve"> sheet. This static prefix is always used if the damage scenario is active.</t>
    </r>
  </si>
  <si>
    <t>A static suffix -- cf. the Static Text Prefix explanation.</t>
  </si>
  <si>
    <t>Describe the attack step.</t>
  </si>
  <si>
    <r>
      <t xml:space="preserve">Calculated: Lists the damage scenarios for the referenced question IDs, based on the answers in the </t>
    </r>
    <r>
      <rPr>
        <i/>
        <sz val="11"/>
        <color theme="0"/>
        <rFont val="Calibri"/>
        <family val="2"/>
        <scheme val="minor"/>
      </rPr>
      <t xml:space="preserve">Questionnaire </t>
    </r>
    <r>
      <rPr>
        <sz val="11"/>
        <color theme="0"/>
        <rFont val="Calibri"/>
        <family val="2"/>
        <scheme val="minor"/>
      </rPr>
      <t>sheet.</t>
    </r>
  </si>
  <si>
    <t>Calculated: Lists the questions for the referenced question IDs.</t>
  </si>
  <si>
    <t>Calculated: Lists the attack steps for the referenced attack step IDs.</t>
  </si>
  <si>
    <t>Estimate the factor Elapsed Time for this attack step.</t>
  </si>
  <si>
    <t>Estimate the factor Expertise for this attack step.</t>
  </si>
  <si>
    <t>Estimate the factor Knowledge of TOE for this attack step.</t>
  </si>
  <si>
    <t>Estimate the factor Window of Opportunity for this attack step.</t>
  </si>
  <si>
    <t>Estimate the factor Equipment for this attack step.</t>
  </si>
  <si>
    <r>
      <t xml:space="preserve">CSV: Define other attack steps as prerequisites for this attack step. For each active attack step in the prerequisites, an attack path will be created in later steps. Attack steps can become active based on answers in the </t>
    </r>
    <r>
      <rPr>
        <i/>
        <sz val="11"/>
        <color theme="0"/>
        <rFont val="Calibri"/>
        <family val="2"/>
        <scheme val="minor"/>
      </rPr>
      <t>Questionnaire</t>
    </r>
    <r>
      <rPr>
        <sz val="11"/>
        <color theme="0"/>
        <rFont val="Calibri"/>
        <family val="2"/>
        <scheme val="minor"/>
      </rPr>
      <t xml:space="preserve"> sheet or if any of their prerequisites are active.</t>
    </r>
  </si>
  <si>
    <t>Provide comments.</t>
  </si>
  <si>
    <t>Describe the assumption in detail.</t>
  </si>
  <si>
    <t>Define a stakeholder responsible for validating the assumption / for implementing compensating countermeasures validating the assumption.</t>
  </si>
  <si>
    <t>Calculated: The referenced attack steps.</t>
  </si>
  <si>
    <t>CSV: Reference by ID the attack steps influenced by this assumption (i.e., the assumption is assigned to any attack path containing any of the referenced attack steps when calculating risk).</t>
  </si>
  <si>
    <t>Estimate the factor Elapsed Time for this assumption.</t>
  </si>
  <si>
    <t>Estimate the factor Expertise for this assumption.</t>
  </si>
  <si>
    <t>Estimate the factor Knowledge of TOE for this assumption.</t>
  </si>
  <si>
    <t>Estimate the factor Window of Opportunity for this assumption.</t>
  </si>
  <si>
    <t>Estimate the factor Equipment for this assumption.</t>
  </si>
  <si>
    <t>Calculated: The resulting required attack potential.</t>
  </si>
  <si>
    <t>Describe the countermeasure in detail.</t>
  </si>
  <si>
    <t>CSV: Reference by ID the attack steps mitigated by this countermeasure (i.e., the countermeasure is assigned to any attack path containing any of the referenced attack steps when calculating risk).</t>
  </si>
  <si>
    <t>CSV: Reference by ID any assumptions or countermeasures required by this countermeasure to be effective.</t>
  </si>
  <si>
    <t>Calculated: The names of the referenced assumptions and countermeasures.</t>
  </si>
  <si>
    <t>Estimate the factor Elapsed Time for this countermeasure.</t>
  </si>
  <si>
    <t>Estimate the factor Expertise for this countermeasure.</t>
  </si>
  <si>
    <t>Estimate the factor Knowledge of TOE for this countermeasure.</t>
  </si>
  <si>
    <t>Estimate the factor Window of Opportunity for this countermeasure.</t>
  </si>
  <si>
    <t>Estimate the factor Equipment for this countermeasure.</t>
  </si>
  <si>
    <r>
      <t xml:space="preserve">Calculated: Lists the resulting damage scenario transformation. Note that the names of the damage scenarios can depend on the answers provided in the </t>
    </r>
    <r>
      <rPr>
        <i/>
        <sz val="11"/>
        <color theme="0"/>
        <rFont val="Calibri"/>
        <family val="2"/>
        <scheme val="minor"/>
      </rPr>
      <t>Questionnaire</t>
    </r>
    <r>
      <rPr>
        <sz val="11"/>
        <color theme="0"/>
        <rFont val="Calibri"/>
        <family val="2"/>
        <scheme val="minor"/>
      </rPr>
      <t xml:space="preserve"> sheet. Consequently, some damage scenarios might be inactive, resulting in empty names next to the IDs in the list.</t>
    </r>
  </si>
  <si>
    <t>The name of the target of evaluation for this assessment.</t>
  </si>
  <si>
    <t>The author of the assessment.</t>
  </si>
  <si>
    <t>A version history for the assessment itself.</t>
  </si>
  <si>
    <t>A version history for the template (independent of the assessment).</t>
  </si>
  <si>
    <t>A version history for the attack step catalog.</t>
  </si>
  <si>
    <t>A version history for the assumption catalog.</t>
  </si>
  <si>
    <t>A version history for the countermeasure catalog.</t>
  </si>
  <si>
    <t>Calculated: Depending on the first answer, an additional question might be raised here.</t>
  </si>
  <si>
    <t>Drop-down menu: Select the second answer to the question, if required. A red box marks empty cells where an answer is needed.</t>
  </si>
  <si>
    <t>Calculated: Depending on the second answer, additional information on that answer and instructions are provided. Typically, this provides additional information on the selection made in the drop-down menu and requests some free-text details or rationales.</t>
  </si>
  <si>
    <t>Additional information and instructions</t>
  </si>
  <si>
    <t>Explicit Link Text</t>
  </si>
  <si>
    <t>General Remarks</t>
  </si>
  <si>
    <r>
      <rPr>
        <sz val="11"/>
        <color theme="0"/>
        <rFont val="Calibri"/>
        <family val="2"/>
        <scheme val="minor"/>
      </rPr>
      <t>* When copying, always</t>
    </r>
    <r>
      <rPr>
        <sz val="11"/>
        <color rgb="FFFFB9B9"/>
        <rFont val="Calibri"/>
        <family val="2"/>
        <scheme val="minor"/>
      </rPr>
      <t xml:space="preserve"> paste as </t>
    </r>
    <r>
      <rPr>
        <b/>
        <sz val="11"/>
        <color rgb="FFFFB9B9"/>
        <rFont val="Calibri"/>
        <family val="2"/>
        <scheme val="minor"/>
      </rPr>
      <t>values</t>
    </r>
    <r>
      <rPr>
        <sz val="11"/>
        <color rgb="FFFFB9B9"/>
        <rFont val="Calibri"/>
        <family val="2"/>
        <scheme val="minor"/>
      </rPr>
      <t>!</t>
    </r>
  </si>
  <si>
    <t>Drop-down menu: Select the first answer to the question. A red box marks empty cells where an answer is needed.</t>
  </si>
  <si>
    <r>
      <t xml:space="preserve">* Some cells are restricted to choosing from a pre-defined list of options, denoted by </t>
    </r>
    <r>
      <rPr>
        <i/>
        <sz val="11"/>
        <color theme="0"/>
        <rFont val="Calibri"/>
        <family val="2"/>
        <scheme val="minor"/>
      </rPr>
      <t>drop-down menu</t>
    </r>
    <r>
      <rPr>
        <sz val="11"/>
        <color theme="0"/>
        <rFont val="Calibri"/>
        <family val="2"/>
        <scheme val="minor"/>
      </rPr>
      <t xml:space="preserve"> in the explanations below.</t>
    </r>
  </si>
  <si>
    <t>A unique ID for the damage scenario.</t>
  </si>
  <si>
    <t>A unique ID for the attack step.</t>
  </si>
  <si>
    <t>A unique ID for the assumption.</t>
  </si>
  <si>
    <t>Calculated: The name of the damage scenario.</t>
  </si>
  <si>
    <r>
      <t xml:space="preserve">Calculated: Lists the IDs of all active damage scenarios. For their definitions, see the </t>
    </r>
    <r>
      <rPr>
        <i/>
        <sz val="11"/>
        <color theme="0"/>
        <rFont val="Calibri"/>
        <family val="2"/>
        <scheme val="minor"/>
      </rPr>
      <t>DS Definition</t>
    </r>
    <r>
      <rPr>
        <sz val="11"/>
        <color theme="0"/>
        <rFont val="Calibri"/>
        <family val="2"/>
        <scheme val="minor"/>
      </rPr>
      <t xml:space="preserve"> sheet.</t>
    </r>
  </si>
  <si>
    <r>
      <t xml:space="preserve">Calculated: The damage level of the damage scenario. Note that this depends on the answers provided in the </t>
    </r>
    <r>
      <rPr>
        <i/>
        <sz val="11"/>
        <color theme="0"/>
        <rFont val="Calibri"/>
        <family val="2"/>
        <scheme val="minor"/>
      </rPr>
      <t xml:space="preserve">Questionnaire </t>
    </r>
    <r>
      <rPr>
        <sz val="11"/>
        <color theme="0"/>
        <rFont val="Calibri"/>
        <family val="2"/>
        <scheme val="minor"/>
      </rPr>
      <t>sheet.</t>
    </r>
  </si>
  <si>
    <t>Calculated: An explanation why this damage scenario is active, listing the triggering question(s) and answers.</t>
  </si>
  <si>
    <t>Calculated: A unique risk ID, based on the final attack step in the attack path and potential additional attack steps, separated by -.</t>
  </si>
  <si>
    <t>Calculated: A description of the attack path, with the final step above the line and the other steps below.</t>
  </si>
  <si>
    <t>Calculated: The (active) damage scenarios caused by the final step of the attack path.</t>
  </si>
  <si>
    <t>Calculated: The (highest) damage level of the damage scenarios.</t>
  </si>
  <si>
    <t>Calculated: The required attack potential of the attack path (by combining the factors along the path and then calculating the RAP).</t>
  </si>
  <si>
    <t>Calculated: Lists all attack steps. The inactive attack steps are displayed in grey.</t>
  </si>
  <si>
    <t>Calculated: The name of the attack step.</t>
  </si>
  <si>
    <t>Calculated: Lists all attack paths where this attack step is included and where the risk is highest among these attack paths.</t>
  </si>
  <si>
    <t>Calculated: The highest risk level for all attack paths including this attack step.</t>
  </si>
  <si>
    <t>Calculated: Provides the names for the proposed IDs.</t>
  </si>
  <si>
    <r>
      <t xml:space="preserve">CSV: Reference by ID assumptions and countermeasures (called </t>
    </r>
    <r>
      <rPr>
        <i/>
        <sz val="11"/>
        <color theme="0"/>
        <rFont val="Calibri"/>
        <family val="2"/>
        <scheme val="minor"/>
      </rPr>
      <t>mitigations</t>
    </r>
    <r>
      <rPr>
        <sz val="11"/>
        <color theme="0"/>
        <rFont val="Calibri"/>
        <family val="2"/>
        <scheme val="minor"/>
      </rPr>
      <t>) affecting the attack step. Note that assigning a mitigation in one row can affect the risk level in multiple rows, as the attack step might be part of several attack paths. It is recommended to search the proposed mitigations for assumptions first, assigning the assumptions where appropriate. Then do a second pass and assign countermeasures where appropriate.</t>
    </r>
  </si>
  <si>
    <t>Calculated: Provides the names for the referenced IDs.</t>
  </si>
  <si>
    <t>Calculated: The highest risk level for all attack paths including this attack step, also considering the assigned assumptions and countermeasures along the attack paths.</t>
  </si>
  <si>
    <r>
      <t xml:space="preserve">List all risk IDs (one per row) to make a documented risk treatment decision for each risk. You can copy the values from the </t>
    </r>
    <r>
      <rPr>
        <i/>
        <sz val="11"/>
        <color theme="0"/>
        <rFont val="Calibri"/>
        <family val="2"/>
        <scheme val="minor"/>
      </rPr>
      <t>All IDs</t>
    </r>
    <r>
      <rPr>
        <sz val="11"/>
        <color theme="0"/>
        <rFont val="Calibri"/>
        <family val="2"/>
        <scheme val="minor"/>
      </rPr>
      <t xml:space="preserve"> column to reduce the amount of manual work.</t>
    </r>
  </si>
  <si>
    <t>Calculated: Provides the name of the attack path causing the referenced risk.</t>
  </si>
  <si>
    <t>Calculated: Provides the names of the damage scenarios caused by the referenced attack path.</t>
  </si>
  <si>
    <t>Calculated: Calculates the (highest) damage level of the referenced damage scenarios.</t>
  </si>
  <si>
    <t>Calculated: Provides an explanation for the origin of each factor for the required attack potential along the attack path (without assumptions or countermeasures).</t>
  </si>
  <si>
    <t>Calculated: Provides the required attack potential resulting from the factors explained in the previous column.</t>
  </si>
  <si>
    <t>Calculated: Provides the risk level resulting from the calculated damage level and the calculated RAP.</t>
  </si>
  <si>
    <t>Calculated: Lists the countermeasures and assumptions assigned to any of the attack steps on the referenced attack path.</t>
  </si>
  <si>
    <t>Calculated: Calculates the damage scenarios under the damage transformation effects of the assigned countermeasures and assumptions.</t>
  </si>
  <si>
    <t>Calculated: Calculates the resulting damage level after damage transformation.</t>
  </si>
  <si>
    <t>Calculated: Provides the factor explanation now including countermeasures and assumptions.</t>
  </si>
  <si>
    <t>Calculated: Provides the resulting required attack potential.</t>
  </si>
  <si>
    <t>Calculated: Proposes risk acceptance for risks below the threshold.</t>
  </si>
  <si>
    <t>Drop-down menu: Select risk treatment decisions here. Make sure that every risk has a risk treatment proposal or a manual risk treatment decision. You may override the proposal by entering a manual decision.</t>
  </si>
  <si>
    <t>Calculated: The resulting risk level (without countermeasures or assumptions).</t>
  </si>
  <si>
    <t>Calculated: Calculates the dominating attack paths (cf. above) again, but this time with the assumptions and countermeasures assigned to any of the attack steps on the attack paths.</t>
  </si>
  <si>
    <t>Provide comments. Note that this is a typical place to define additional countermeasures or assumptions, using the syntax defined in the Definitions sheet.</t>
  </si>
  <si>
    <t>Manual risk treatment decisions require a rationale. Note that this is a typical place to define additional countermeasures or assumptions, using the syntax defined in the Definitions sheet.</t>
  </si>
  <si>
    <t>Calculated: Shows the risk treatment decision. If a manual risk treatment decision is provided, then this value is used. Otherwise, if a proposal is provided, then this value is used. If no value is provided, then a manual risk treatment decision is required.</t>
  </si>
  <si>
    <r>
      <t xml:space="preserve">Calculated: Shows all IDs of risks defined in the </t>
    </r>
    <r>
      <rPr>
        <i/>
        <sz val="11"/>
        <color theme="0"/>
        <rFont val="Calibri"/>
        <family val="2"/>
        <scheme val="minor"/>
      </rPr>
      <t>Risks</t>
    </r>
    <r>
      <rPr>
        <sz val="11"/>
        <color theme="0"/>
        <rFont val="Calibri"/>
        <family val="2"/>
        <scheme val="minor"/>
      </rPr>
      <t xml:space="preserve"> sheet that are currently not listed in the </t>
    </r>
    <r>
      <rPr>
        <i/>
        <sz val="11"/>
        <color theme="0"/>
        <rFont val="Calibri"/>
        <family val="2"/>
        <scheme val="minor"/>
      </rPr>
      <t>R ID</t>
    </r>
    <r>
      <rPr>
        <sz val="11"/>
        <color theme="0"/>
        <rFont val="Calibri"/>
        <family val="2"/>
        <scheme val="minor"/>
      </rPr>
      <t xml:space="preserve"> column. This field must be empty to complete the assessment.</t>
    </r>
  </si>
  <si>
    <t>Calculated: Provides the names of the listed assumptions and countermeasures.</t>
  </si>
  <si>
    <t>Calculated: Lists the IDs of all active assumptions and countermeasures (one per row). This sheet is part of the result documentation.</t>
  </si>
  <si>
    <t>Calculated: If applicable, the stakeholder responsible for implementing the countermeasure / validating the assumption / ensuring that the assumption holds (→ compensating countermeasures) is provided.</t>
  </si>
  <si>
    <r>
      <t>Calculated: Provides additional information on each assumption or countermeasure (</t>
    </r>
    <r>
      <rPr>
        <i/>
        <sz val="11"/>
        <color theme="0"/>
        <rFont val="Calibri"/>
        <family val="2"/>
        <scheme val="minor"/>
      </rPr>
      <t>mitigation</t>
    </r>
    <r>
      <rPr>
        <sz val="11"/>
        <color theme="0"/>
        <rFont val="Calibri"/>
        <family val="2"/>
        <scheme val="minor"/>
      </rPr>
      <t xml:space="preserve">):
* Comments of questions that triggered the mitigation to become active (→ </t>
    </r>
    <r>
      <rPr>
        <i/>
        <sz val="11"/>
        <color theme="0"/>
        <rFont val="Calibri"/>
        <family val="2"/>
        <scheme val="minor"/>
      </rPr>
      <t>Questionnaire</t>
    </r>
    <r>
      <rPr>
        <sz val="11"/>
        <color theme="0"/>
        <rFont val="Calibri"/>
        <family val="2"/>
        <scheme val="minor"/>
      </rPr>
      <t xml:space="preserve"> sheet).
* The attack steps the mitigation is assigned to (→ </t>
    </r>
    <r>
      <rPr>
        <i/>
        <sz val="11"/>
        <color theme="0"/>
        <rFont val="Calibri"/>
        <family val="2"/>
        <scheme val="minor"/>
      </rPr>
      <t xml:space="preserve">Mitigation </t>
    </r>
    <r>
      <rPr>
        <sz val="11"/>
        <color theme="0"/>
        <rFont val="Calibri"/>
        <family val="2"/>
        <scheme val="minor"/>
      </rPr>
      <t xml:space="preserve">sheet).
* Information on the element where this mitigation was defined for new mitigations (→ </t>
    </r>
    <r>
      <rPr>
        <i/>
        <sz val="11"/>
        <color theme="0"/>
        <rFont val="Calibri"/>
        <family val="2"/>
        <scheme val="minor"/>
      </rPr>
      <t>Comment</t>
    </r>
    <r>
      <rPr>
        <sz val="11"/>
        <color theme="0"/>
        <rFont val="Calibri"/>
        <family val="2"/>
        <scheme val="minor"/>
      </rPr>
      <t xml:space="preserve"> or </t>
    </r>
    <r>
      <rPr>
        <i/>
        <sz val="11"/>
        <color theme="0"/>
        <rFont val="Calibri"/>
        <family val="2"/>
        <scheme val="minor"/>
      </rPr>
      <t>Rationale</t>
    </r>
    <r>
      <rPr>
        <sz val="11"/>
        <color theme="0"/>
        <rFont val="Calibri"/>
        <family val="2"/>
        <scheme val="minor"/>
      </rPr>
      <t xml:space="preserve"> columns on several sheets).
* Mitigations that become active because they are prerequisites of active countermeasures (→ </t>
    </r>
    <r>
      <rPr>
        <i/>
        <sz val="11"/>
        <color theme="0"/>
        <rFont val="Calibri"/>
        <family val="2"/>
        <scheme val="minor"/>
      </rPr>
      <t>Countermeasures</t>
    </r>
    <r>
      <rPr>
        <sz val="11"/>
        <color theme="0"/>
        <rFont val="Calibri"/>
        <family val="2"/>
        <scheme val="minor"/>
      </rPr>
      <t xml:space="preserve"> sheet).</t>
    </r>
  </si>
  <si>
    <t>Allows you to enter the ID of an element you want to inspect by clicking on the link in the next column.</t>
  </si>
  <si>
    <r>
      <t xml:space="preserve">Calculated: If the </t>
    </r>
    <r>
      <rPr>
        <i/>
        <sz val="11"/>
        <color theme="0"/>
        <rFont val="Calibri"/>
        <family val="2"/>
        <scheme val="minor"/>
      </rPr>
      <t xml:space="preserve">Go to ID </t>
    </r>
    <r>
      <rPr>
        <sz val="11"/>
        <color theme="0"/>
        <rFont val="Calibri"/>
        <family val="2"/>
        <scheme val="minor"/>
      </rPr>
      <t xml:space="preserve">field is empty, then this provides a link to either the element referenced in the </t>
    </r>
    <r>
      <rPr>
        <i/>
        <sz val="11"/>
        <color theme="0"/>
        <rFont val="Calibri"/>
        <family val="2"/>
        <scheme val="minor"/>
      </rPr>
      <t xml:space="preserve">ID </t>
    </r>
    <r>
      <rPr>
        <sz val="11"/>
        <color theme="0"/>
        <rFont val="Calibri"/>
        <family val="2"/>
        <scheme val="minor"/>
      </rPr>
      <t>column or the cell where the mitigation was defined (for mitigations defined in comments). If the field is not empty, then the link leads to the element with the provided ID (if it exists). Note that you can use Alt+LEFTARROW to navigate back to this sheet after clicking on a link.</t>
    </r>
  </si>
  <si>
    <t>Calculated: Provides the comment of the referenced element (note that you must not enter new comments here).</t>
  </si>
  <si>
    <t>Lists the requirements within that section.</t>
  </si>
  <si>
    <t>Calculated: Provides the names of the referenced assumptions and countermeasures.</t>
  </si>
  <si>
    <r>
      <t xml:space="preserve">Calculated: Provides all instances of explicit risk treatment (→ </t>
    </r>
    <r>
      <rPr>
        <i/>
        <sz val="11"/>
        <color theme="0"/>
        <rFont val="Calibri"/>
        <family val="2"/>
        <scheme val="minor"/>
      </rPr>
      <t xml:space="preserve">Risk Treatment </t>
    </r>
    <r>
      <rPr>
        <sz val="11"/>
        <color theme="0"/>
        <rFont val="Calibri"/>
        <family val="2"/>
        <scheme val="minor"/>
      </rPr>
      <t xml:space="preserve">sheet) for each entry, based on the mapping in the </t>
    </r>
    <r>
      <rPr>
        <i/>
        <sz val="11"/>
        <color theme="0"/>
        <rFont val="Calibri"/>
        <family val="2"/>
        <scheme val="minor"/>
      </rPr>
      <t>Attack Steps</t>
    </r>
    <r>
      <rPr>
        <sz val="11"/>
        <color theme="0"/>
        <rFont val="Calibri"/>
        <family val="2"/>
        <scheme val="minor"/>
      </rPr>
      <t xml:space="preserve"> sheet.</t>
    </r>
  </si>
  <si>
    <r>
      <t xml:space="preserve">* All comment columns that accept text can be used with the </t>
    </r>
    <r>
      <rPr>
        <i/>
        <sz val="11"/>
        <color theme="0"/>
        <rFont val="Calibri"/>
        <family val="2"/>
        <scheme val="minor"/>
      </rPr>
      <t>Tasks</t>
    </r>
    <r>
      <rPr>
        <sz val="11"/>
        <color theme="0"/>
        <rFont val="Calibri"/>
        <family val="2"/>
        <scheme val="minor"/>
      </rPr>
      <t xml:space="preserve"> feature (see the explanation for the </t>
    </r>
    <r>
      <rPr>
        <i/>
        <sz val="11"/>
        <color theme="0"/>
        <rFont val="Calibri"/>
        <family val="2"/>
        <scheme val="minor"/>
      </rPr>
      <t xml:space="preserve">Tasks </t>
    </r>
    <r>
      <rPr>
        <sz val="11"/>
        <color theme="0"/>
        <rFont val="Calibri"/>
        <family val="2"/>
        <scheme val="minor"/>
      </rPr>
      <t>sheet).</t>
    </r>
  </si>
  <si>
    <t>Key Word</t>
  </si>
  <si>
    <t>Define a key word to be searched for in all comment / rationale columns. If the key word is found in a cell, then the cell is highlighted. This can be used to define TODOs at the appropriate elements.</t>
  </si>
  <si>
    <r>
      <t xml:space="preserve">Calculated: Shows the number of untreated instances triggering this quality indicator. In general, each quality indicator hints at potential issues in the assessment. These issues can either be fixed at the triggering element or be accepted (in the </t>
    </r>
    <r>
      <rPr>
        <i/>
        <sz val="11"/>
        <color theme="0"/>
        <rFont val="Calibri"/>
        <family val="2"/>
        <scheme val="minor"/>
      </rPr>
      <t>OK for IDs</t>
    </r>
    <r>
      <rPr>
        <sz val="11"/>
        <color theme="0"/>
        <rFont val="Calibri"/>
        <family val="2"/>
        <scheme val="minor"/>
      </rPr>
      <t xml:space="preserve"> column) with a rationale. An untreated instance is an instance violating the indicator without explicit acceptance.</t>
    </r>
  </si>
  <si>
    <t>Describes the criterion for the quality indicator.</t>
  </si>
  <si>
    <t>Calculated: Lists all elements triggering the indicator (including those with explicit acceptance).</t>
  </si>
  <si>
    <t>Calculated: Provides a link to the first untreated element in the list.</t>
  </si>
  <si>
    <t>Calculated: Lists all untreated instances triggering the indicator.</t>
  </si>
  <si>
    <t>CSV: Provide all IDs where triggering the quality indicator is explicitly accepted.</t>
  </si>
  <si>
    <t>Provide a rationale for explicit acceptance.</t>
  </si>
  <si>
    <t>Light Green</t>
  </si>
  <si>
    <t>Text Format</t>
  </si>
  <si>
    <r>
      <t xml:space="preserve">The target of a link from the </t>
    </r>
    <r>
      <rPr>
        <i/>
        <sz val="11"/>
        <color theme="0"/>
        <rFont val="Calibri"/>
        <family val="2"/>
        <scheme val="minor"/>
      </rPr>
      <t>Tasks</t>
    </r>
    <r>
      <rPr>
        <sz val="11"/>
        <color theme="0"/>
        <rFont val="Calibri"/>
        <family val="2"/>
        <scheme val="minor"/>
      </rPr>
      <t xml:space="preserve"> sheet (typically a TODO).</t>
    </r>
  </si>
  <si>
    <t>Fill these sheets to complete the analysis.</t>
  </si>
  <si>
    <t>Dark Grey</t>
  </si>
  <si>
    <t>Light Grey</t>
  </si>
  <si>
    <t>Damage Criteria</t>
  </si>
  <si>
    <t>Category</t>
  </si>
  <si>
    <t>Damage Categories</t>
  </si>
  <si>
    <t>Personal Data</t>
  </si>
  <si>
    <t>Loss of Intellectual Property</t>
  </si>
  <si>
    <t>Financial and Legal</t>
  </si>
  <si>
    <t>Function and Availability</t>
  </si>
  <si>
    <r>
      <t xml:space="preserve">Damage Criteria for </t>
    </r>
    <r>
      <rPr>
        <b/>
        <i/>
        <sz val="11"/>
        <color theme="8" tint="0.79998"/>
        <rFont val="Calibri"/>
        <family val="2"/>
        <scheme val="minor"/>
      </rPr>
      <t>Financial and Legal</t>
    </r>
    <r>
      <rPr>
        <b/>
        <sz val="11"/>
        <color theme="8" tint="0.79998"/>
        <rFont val="Calibri"/>
        <family val="2"/>
        <scheme val="minor"/>
      </rPr>
      <t xml:space="preserve"> and </t>
    </r>
    <r>
      <rPr>
        <b/>
        <i/>
        <sz val="11"/>
        <color theme="8" tint="0.79998"/>
        <rFont val="Calibri"/>
        <family val="2"/>
        <scheme val="minor"/>
      </rPr>
      <t>Function and Availability</t>
    </r>
  </si>
  <si>
    <t>Not first of Category</t>
  </si>
  <si>
    <t>Initial version</t>
  </si>
  <si>
    <t>Initial catalog</t>
  </si>
  <si>
    <t>Active DS ID</t>
  </si>
  <si>
    <t>Is Active?</t>
  </si>
  <si>
    <t>Provide criteria (in a formula) defining when the damage scenario becomes active.</t>
  </si>
  <si>
    <t>Calculated values, do not edit as the formula is included in template version management.</t>
  </si>
  <si>
    <t>Catalogs - these are versioned and centrally managed. Do not edit during an analysis.</t>
  </si>
  <si>
    <t>Calculated: Shows and links the ID and the name of the element where the key word was found. Note that the table contains links that are not underlined, as having fully underlined text is hard to read.</t>
  </si>
  <si>
    <t>Calculated: Shows and links the text containing the key word. Note that the table contains links that are not underlined, as having fully underlined text is hard to read.</t>
  </si>
  <si>
    <t>DS19</t>
  </si>
  <si>
    <t>Active DS Shadow ID</t>
  </si>
  <si>
    <t>Calculated: Calculates the damage level from the damage criterion.</t>
  </si>
  <si>
    <t>CM18</t>
  </si>
  <si>
    <t>Proposed Active Assumptions</t>
  </si>
  <si>
    <t>Proposal Search</t>
  </si>
  <si>
    <t>Active Assumptions Proposal</t>
  </si>
  <si>
    <t>Potential Additional Assumptions</t>
  </si>
  <si>
    <r>
      <t xml:space="preserve">Calculated: Based on the </t>
    </r>
    <r>
      <rPr>
        <i/>
        <sz val="11"/>
        <color theme="0"/>
        <rFont val="Calibri"/>
        <family val="2"/>
        <scheme val="minor"/>
      </rPr>
      <t>Countermeasures</t>
    </r>
    <r>
      <rPr>
        <sz val="11"/>
        <color theme="0"/>
        <rFont val="Calibri"/>
        <family val="2"/>
        <scheme val="minor"/>
      </rPr>
      <t xml:space="preserve"> sheet, the tool proposes a list of IDs countermeasure that reference the attack step.</t>
    </r>
  </si>
  <si>
    <r>
      <t xml:space="preserve">Calculated: Based on the </t>
    </r>
    <r>
      <rPr>
        <i/>
        <sz val="11"/>
        <color theme="0"/>
        <rFont val="Calibri"/>
        <family val="2"/>
        <scheme val="minor"/>
      </rPr>
      <t>Assumptions</t>
    </r>
    <r>
      <rPr>
        <sz val="11"/>
        <color theme="0"/>
        <rFont val="Calibri"/>
        <family val="2"/>
        <scheme val="minor"/>
      </rPr>
      <t xml:space="preserve"> sheet, the tool proposes a list of IDs of active assumptions (based on the </t>
    </r>
    <r>
      <rPr>
        <i/>
        <sz val="11"/>
        <color theme="0"/>
        <rFont val="Calibri"/>
        <family val="2"/>
        <scheme val="minor"/>
      </rPr>
      <t xml:space="preserve">Questionnaire </t>
    </r>
    <r>
      <rPr>
        <sz val="11"/>
        <color theme="0"/>
        <rFont val="Calibri"/>
        <family val="2"/>
        <scheme val="minor"/>
      </rPr>
      <t>sheet) that reference the attack step.</t>
    </r>
  </si>
  <si>
    <r>
      <t xml:space="preserve">Calculated: Based on the </t>
    </r>
    <r>
      <rPr>
        <i/>
        <sz val="11"/>
        <color theme="0"/>
        <rFont val="Calibri"/>
        <family val="2"/>
        <scheme val="minor"/>
      </rPr>
      <t>Assumptions</t>
    </r>
    <r>
      <rPr>
        <sz val="11"/>
        <color theme="0"/>
        <rFont val="Calibri"/>
        <family val="2"/>
        <scheme val="minor"/>
      </rPr>
      <t xml:space="preserve"> sheet, the tool proposes a list of IDs of additional assumptions (not currently active given the answers in the </t>
    </r>
    <r>
      <rPr>
        <i/>
        <sz val="11"/>
        <color theme="0"/>
        <rFont val="Calibri"/>
        <family val="2"/>
        <scheme val="minor"/>
      </rPr>
      <t xml:space="preserve">Questionnaire </t>
    </r>
    <r>
      <rPr>
        <sz val="11"/>
        <color theme="0"/>
        <rFont val="Calibri"/>
        <family val="2"/>
        <scheme val="minor"/>
      </rPr>
      <t>sheet) that reference the attack step.</t>
    </r>
  </si>
  <si>
    <t>DS3&gt;DS19, DS12&gt;DS19</t>
  </si>
  <si>
    <t>A24</t>
  </si>
  <si>
    <t>As the product does not store any credentials or cryptographic secrets, no such data can be extracted from the product or be misused by an attacker.</t>
  </si>
  <si>
    <t>Damage scenario for damage transformation: Patents protect intellectual property</t>
  </si>
  <si>
    <t>Contents of the analysis or the template. May be text or a formula.</t>
  </si>
  <si>
    <t>C4, C26, A19</t>
  </si>
  <si>
    <t>C4, C26, A20</t>
  </si>
  <si>
    <t>AS32</t>
  </si>
  <si>
    <t>Creates Risk</t>
  </si>
  <si>
    <t>Prep Attack Search</t>
  </si>
  <si>
    <t>Is Active Attack Step</t>
  </si>
  <si>
    <r>
      <t xml:space="preserve">* Whenever several items can be referenced, use comma-separated lists, denoted as </t>
    </r>
    <r>
      <rPr>
        <i/>
        <sz val="11"/>
        <color theme="0"/>
        <rFont val="Calibri"/>
        <family val="2"/>
        <scheme val="minor"/>
      </rPr>
      <t>CSV</t>
    </r>
    <r>
      <rPr>
        <sz val="11"/>
        <color theme="0"/>
        <rFont val="Calibri"/>
        <family val="2"/>
        <scheme val="minor"/>
      </rPr>
      <t xml:space="preserve"> in the explanations below.</t>
    </r>
  </si>
  <si>
    <t>Calculated: Provides the remaining risk, given the calculated damage level and RAP with countermeasures and assumptions.</t>
  </si>
  <si>
    <t>Damage Scenario Text (depends on answers to questionnaire)</t>
  </si>
  <si>
    <t>Compromising the product using a software vulnerability</t>
  </si>
  <si>
    <t>Compromising an untrusted device that communicates directly with the product</t>
  </si>
  <si>
    <t>Questionnaire Provides Damage Criterion?</t>
  </si>
  <si>
    <r>
      <t xml:space="preserve">Place an x here if the second answer in the </t>
    </r>
    <r>
      <rPr>
        <i/>
        <sz val="11"/>
        <color theme="0"/>
        <rFont val="Calibri"/>
        <family val="2"/>
        <scheme val="minor"/>
      </rPr>
      <t>Questionnaire</t>
    </r>
    <r>
      <rPr>
        <sz val="11"/>
        <color theme="0"/>
        <rFont val="Calibri"/>
        <family val="2"/>
        <scheme val="minor"/>
      </rPr>
      <t xml:space="preserve"> sheet contains the damage criterion for the damage scenario.</t>
    </r>
  </si>
  <si>
    <t>Explicit Damage Criterion</t>
  </si>
  <si>
    <t>Calculated: If the damage scenario is active, then a damage criterion is calculated: If an explicit damage criterion is provided, then this criterion applies. Otherwise, the damage criterion specified in Answer 2 applies.</t>
  </si>
  <si>
    <t>Explicit Explanation Text</t>
  </si>
  <si>
    <t>Optional: Provide an explanation for why the damage scenario is active and for its damage level.</t>
  </si>
  <si>
    <t>Calculated: If an explicit explanation text is provided, then this text is used. Otherwise, if a question ID is referenced, then the questions and answers belonging to this question ID are used.</t>
  </si>
  <si>
    <t>Active Damage Criterion</t>
  </si>
  <si>
    <t>Mitigated Attack Step Names</t>
  </si>
  <si>
    <t>Attack Step IDs</t>
  </si>
  <si>
    <t xml:space="preserve">Diplay at most # APs
(empty = all) </t>
  </si>
  <si>
    <t>Limit the number of displayed dominating attack paths to the given number. Leaving this empty displays all dominating attack paths.</t>
  </si>
  <si>
    <t>Drop-down menu: Optionally reference a damage criterion that differs from Answer 2.</t>
  </si>
  <si>
    <t>C4, A19</t>
  </si>
  <si>
    <t>AS33</t>
  </si>
  <si>
    <t>Disclosure of data by an untrusted entity receiving data from the product</t>
  </si>
  <si>
    <t>CM19</t>
  </si>
  <si>
    <t>A25</t>
  </si>
  <si>
    <t>As the product does not communicate any confidential data to its external communication partner, the communication partner cannot abuse the received information by disclosing it.</t>
  </si>
  <si>
    <t>DS1, DS2, DS3, DS4, DS5</t>
  </si>
  <si>
    <r>
      <t xml:space="preserve">Copy + Paste </t>
    </r>
    <r>
      <rPr>
        <b/>
        <sz val="11"/>
        <color rgb="FFFFB9B9"/>
        <rFont val="Calibri"/>
        <family val="2"/>
        <scheme val="minor"/>
      </rPr>
      <t>Values</t>
    </r>
    <r>
      <rPr>
        <sz val="11"/>
        <color rgb="FFFFB9B9"/>
        <rFont val="Calibri"/>
        <family val="2"/>
        <scheme val="minor"/>
      </rPr>
      <t>!</t>
    </r>
  </si>
  <si>
    <t>Helper: All IDs</t>
  </si>
  <si>
    <r>
      <t xml:space="preserve">Calculated: Lists all risk IDs currently defined in the </t>
    </r>
    <r>
      <rPr>
        <i/>
        <sz val="11"/>
        <color theme="0"/>
        <rFont val="Calibri"/>
        <family val="2"/>
        <scheme val="minor"/>
      </rPr>
      <t>Risks</t>
    </r>
    <r>
      <rPr>
        <sz val="11"/>
        <color theme="0"/>
        <rFont val="Calibri"/>
        <family val="2"/>
        <scheme val="minor"/>
      </rPr>
      <t xml:space="preserve"> sheet. These can be copied (as </t>
    </r>
    <r>
      <rPr>
        <b/>
        <sz val="11"/>
        <color theme="0"/>
        <rFont val="Calibri"/>
        <family val="2"/>
        <scheme val="minor"/>
      </rPr>
      <t>values</t>
    </r>
    <r>
      <rPr>
        <sz val="11"/>
        <color theme="0"/>
        <rFont val="Calibri"/>
        <family val="2"/>
        <scheme val="minor"/>
      </rPr>
      <t xml:space="preserve">!) into the </t>
    </r>
    <r>
      <rPr>
        <i/>
        <sz val="11"/>
        <color theme="0"/>
        <rFont val="Calibri"/>
        <family val="2"/>
        <scheme val="minor"/>
      </rPr>
      <t>R ID</t>
    </r>
    <r>
      <rPr>
        <sz val="11"/>
        <color theme="0"/>
        <rFont val="Calibri"/>
        <family val="2"/>
        <scheme val="minor"/>
      </rPr>
      <t xml:space="preserve"> column for ease of use.</t>
    </r>
  </si>
  <si>
    <t># Attack Paths:</t>
  </si>
  <si>
    <t># Additional Assumptions:</t>
  </si>
  <si>
    <t># Additional Countermeasures:</t>
  </si>
  <si>
    <t># Questions:</t>
  </si>
  <si>
    <t xml:space="preserve"> caused by a disclosure or misuse of cyptographic material by the manipulated product</t>
  </si>
  <si>
    <t>AS34</t>
  </si>
  <si>
    <t>Attacking the product's outgoing communication to an external communication partner over the Internet or a mobile network</t>
  </si>
  <si>
    <t>A26</t>
  </si>
  <si>
    <t>A27</t>
  </si>
  <si>
    <t>AS35</t>
  </si>
  <si>
    <t>Getting access to a wireless network</t>
  </si>
  <si>
    <t>CM20</t>
  </si>
  <si>
    <t>A28</t>
  </si>
  <si>
    <t>AS1, AS2, AS13, AS27, AS34</t>
  </si>
  <si>
    <t>Attacking the product or its communication from an untrusted local network</t>
  </si>
  <si>
    <t>A29</t>
  </si>
  <si>
    <t>The product cannot ensure that the wireless communication network is available. Consequently, the operational environment must ensure the availability of the wireless infrastructure or offer compensating countermeasures if the wireless communication network is not available.</t>
  </si>
  <si>
    <t>As the product does not transmit confidential cryptographic material, eavesdropping on its communication cannot disclose confidential cryptographic material.</t>
  </si>
  <si>
    <t>DS7, DS9</t>
  </si>
  <si>
    <t>AS1, AS13, AS27</t>
  </si>
  <si>
    <t>AS3, AS5, AS7, AS16, AS18, AS23, AS24, AS25, AS26, AS29</t>
  </si>
  <si>
    <t>A30</t>
  </si>
  <si>
    <t>Vandalism or other forms of physical destruction of the product are not in scope of this analysis.</t>
  </si>
  <si>
    <t>Scope definition - physical vandalism cannot be managed by the product's cybersecurity, but must be handled by compensating countermeasures, such as physical access control or monitoring.</t>
  </si>
  <si>
    <t>AS25, AS26</t>
  </si>
  <si>
    <t>A31</t>
  </si>
  <si>
    <t>Attacking the product from the Internet or a mobile network</t>
  </si>
  <si>
    <t>Attacking the product's incoming communication from the Internet or a mobile network</t>
  </si>
  <si>
    <t>AS36</t>
  </si>
  <si>
    <t xml:space="preserve"> AS7, AS19, AS34, AS36</t>
  </si>
  <si>
    <t>AS1, AS2, AS9, AS12, AS13, AS27, AS28, AS36</t>
  </si>
  <si>
    <t>C4, C18</t>
  </si>
  <si>
    <t>AS1, AS2, AS12, AS13, AS27, AS34, AS36</t>
  </si>
  <si>
    <t>Can a loss of availability of the product (or its communication) endanger the health of people?
(Consider how the operational environment reacts to a loss of availability of the product.)</t>
  </si>
  <si>
    <t>Accumulated Elements for This Sheet</t>
  </si>
  <si>
    <t>It is possible that the person affected will be negatively affected in his or her social status or economic situation</t>
  </si>
  <si>
    <t>Writing a functioning exploit typically requires a few weeks of preparation, expert knowledge and information regarding the targeted system (potentially gained with reverse engineering)</t>
  </si>
  <si>
    <t>Spoofing or tampering with outgoing communication in a meaningful (malicious!) way typically requires a few days of preparation, expert knowledge and information regarding the targeted system (potentially gained with reverse engineering). Note that this is typically easier than writing an exploit for a software vulnerability</t>
  </si>
  <si>
    <t>Spoofing or tampering with incoming communication in a meaningful (malicious!) way typically requires a few days of preparation, expert knowledge and information regarding the targeted system (potentially gained with reverse engineering). Note that this is typically easier than writing an exploit for a software vulnerability</t>
  </si>
  <si>
    <t>In the worst case, the product has a known vulnerability with available exploit over the Internet. Note that this differs from finding and exploiting a software vulnerability in an embedded system, as this might be standard communication software with well-known parts</t>
  </si>
  <si>
    <t>&lt;= one week: The attacker needs a few days to prepare the attack
Expert: The attacker needs to understand how to construct malicious data for the targeted product
Restricted: The attacker needs to know the targeted product</t>
  </si>
  <si>
    <t>Expert: The attacker needs skill to extract data (that can be analyzed later)
The other factors depend on the kind of memory that is being attacked</t>
  </si>
  <si>
    <t xml:space="preserve"> &lt;= one week: The attacker needs a few days to develop the attack
Expert: The attacker needs profound understanding of hardware manipulation
Restricted: The attacker needs internal knowledge about the attacked system (including its memory layout, potentially obtained by reverse engineering)</t>
  </si>
  <si>
    <t>Proficient: The attacker needs knowledge of the attacked protocol. In case of web protocols (such as RESTful APIs etc.) this might be well-known to many
Unnecessary / unlimited access: The attack can be conducted over the Internet or a mobile network</t>
  </si>
  <si>
    <t>None: See the description</t>
  </si>
  <si>
    <t>None: As the operational environment is trustworthy, no attacks are expected to originate from there</t>
  </si>
  <si>
    <t>Difficult: As the product is not easily accessible, gaining access to it is difficult</t>
  </si>
  <si>
    <t>None: As access to the area is restricted, physical access by unauthorized entities is not relevant for the analysis</t>
  </si>
  <si>
    <t>As no confidential data is communicated, the receiving entity cannot disclose any confidential data</t>
  </si>
  <si>
    <t>As no cryptographic material is transmitted, no such data can be misused by eavesdropping on transmissions</t>
  </si>
  <si>
    <t>As the customer is prepared to handle outages of wireless communication, the loss of wireless communication does not cause significant disturbances in the product's operational environment</t>
  </si>
  <si>
    <t>Managing the communication load limits the effects of an active DoS attack and ensures that the product can recover after the attack</t>
  </si>
  <si>
    <t>Note that this protects intellectual property to a certain degree while also making reverse engineering attempts more difficult (in terms of the time required as well as the expertise needed).</t>
  </si>
  <si>
    <t>None: Given a secure password, guessing the password within a reasonable time frame is highly unlikely</t>
  </si>
  <si>
    <t>None: Without access to the private key for the certificate, the attacker cannot authenticate successfully</t>
  </si>
  <si>
    <t>As the debug interfaces are physically closed, accessing them is not plausible</t>
  </si>
  <si>
    <t>Given state-of-the-art protocols, cryptographic algorithms, and parameters, an attacker cannot access transmitted data within a reasonable time frame</t>
  </si>
  <si>
    <t>Patents do not prevent leakage of intellectual property, but they can prevent its abuse by competitors</t>
  </si>
  <si>
    <t>QA1</t>
  </si>
  <si>
    <t>QA2[Yes|Internet-facing gateway]</t>
  </si>
  <si>
    <t>QA2[Yes|*]</t>
  </si>
  <si>
    <t>QA2</t>
  </si>
  <si>
    <t>QA3[Yes|No]</t>
  </si>
  <si>
    <t>QA3</t>
  </si>
  <si>
    <t>QA3[Yes|*], QA4[Yes|*]</t>
  </si>
  <si>
    <t>QA4</t>
  </si>
  <si>
    <t>QA5[Yes|*]</t>
  </si>
  <si>
    <t>QA5</t>
  </si>
  <si>
    <t>QA6</t>
  </si>
  <si>
    <t>QA7</t>
  </si>
  <si>
    <t>QA8[Yes|*]</t>
  </si>
  <si>
    <t>QA8[No]</t>
  </si>
  <si>
    <t>QA8</t>
  </si>
  <si>
    <t>QA9[Yes]</t>
  </si>
  <si>
    <t>QA9</t>
  </si>
  <si>
    <t>QA4[Yes|No], QA12[Yes|No]</t>
  </si>
  <si>
    <t>QA12</t>
  </si>
  <si>
    <t>QA4[Yes|Yes], QA12[Yes|Yes], QA13[Yes|Yes]</t>
  </si>
  <si>
    <t>QA5[Yes|*], QA13[Yes|*]</t>
  </si>
  <si>
    <t>QA13</t>
  </si>
  <si>
    <t>QA14[Yes]</t>
  </si>
  <si>
    <t>QA14[*]</t>
  </si>
  <si>
    <t>QA14[No]</t>
  </si>
  <si>
    <t>QA14</t>
  </si>
  <si>
    <t>QA15[No]</t>
  </si>
  <si>
    <t>QA15</t>
  </si>
  <si>
    <t>QA16[No]</t>
  </si>
  <si>
    <t>QA3[Yes|Yes], QA4[Yes|Yes], QA5[Yes|Yes], QA15[No], QA16[No]</t>
  </si>
  <si>
    <t>QA16</t>
  </si>
  <si>
    <t>QA17[Yes|Yes]</t>
  </si>
  <si>
    <t>QA17[Yes|*]</t>
  </si>
  <si>
    <t>QA17</t>
  </si>
  <si>
    <t>QI16</t>
  </si>
  <si>
    <t>QI16[No]</t>
  </si>
  <si>
    <t>QI15</t>
  </si>
  <si>
    <t>QI14</t>
  </si>
  <si>
    <t>QI14[Yes|Disturbance], QI14[Yes|Service Required], QI14[Yes|Major Disturbance]</t>
  </si>
  <si>
    <t>QI13</t>
  </si>
  <si>
    <t>QI12</t>
  </si>
  <si>
    <t>QI11</t>
  </si>
  <si>
    <t>QI10</t>
  </si>
  <si>
    <t>QI10, QI14, QI15, QI16</t>
  </si>
  <si>
    <t>QI10, QI11, QI12, QI13, QI14, QI15, QI16</t>
  </si>
  <si>
    <t>QI10[No]</t>
  </si>
  <si>
    <t>QI9</t>
  </si>
  <si>
    <t>QI9[No]</t>
  </si>
  <si>
    <t>QI8</t>
  </si>
  <si>
    <t>QI8[No]</t>
  </si>
  <si>
    <t>QI7</t>
  </si>
  <si>
    <t>QI7[Yes|Disturbance], QI7[Yes|Service Required], QI7[Yes|Major Disturbance]</t>
  </si>
  <si>
    <t>QI6</t>
  </si>
  <si>
    <t>QI6, QI7, QI8, QI9</t>
  </si>
  <si>
    <t>QI6, QI7, QI8, QI9, QI10, QI11, QI12, QI13, QI14, QI15, QI16</t>
  </si>
  <si>
    <t>QI5</t>
  </si>
  <si>
    <t>QI5[No]</t>
  </si>
  <si>
    <t>QI4</t>
  </si>
  <si>
    <t>QI4[No]</t>
  </si>
  <si>
    <t>QI3</t>
  </si>
  <si>
    <t>QI3, QI12</t>
  </si>
  <si>
    <t>QI2</t>
  </si>
  <si>
    <t>QI2, QI4, QI5</t>
  </si>
  <si>
    <t>QI2[Yes|*], QI4[Yes|*], QI5[Yes|*]</t>
  </si>
  <si>
    <t>QI1</t>
  </si>
  <si>
    <t>QI1, QI10, QI11, QI12, QI13, QI14, QI15, QI16</t>
  </si>
  <si>
    <t>QI1, QI2, QI4, QI5</t>
  </si>
  <si>
    <t>QI1, QI2, QI3, QI4, QI5</t>
  </si>
  <si>
    <t>QI1[Yes|Yes]</t>
  </si>
  <si>
    <t>QI1[Yes|No]</t>
  </si>
  <si>
    <t>QI2[No]</t>
  </si>
  <si>
    <t>A32</t>
  </si>
  <si>
    <t>Even if the product is manipulated and used against its intended purpose, it cannot disclose personal data to an attacker as the product has no access to personal data.</t>
  </si>
  <si>
    <t>QI11[No]</t>
  </si>
  <si>
    <t>QI7[No]</t>
  </si>
  <si>
    <t>A33</t>
  </si>
  <si>
    <t>Even a compromised product cannot affect the availability of its operational environment.</t>
  </si>
  <si>
    <t>QI14[No]</t>
  </si>
  <si>
    <t>AS37</t>
  </si>
  <si>
    <t>The product is manipulated during production and consequently behaves maliciously</t>
  </si>
  <si>
    <t>AS38</t>
  </si>
  <si>
    <t>AS1, AS2, AS9, AS12, AS13, AS15, AS17, AS27, AS28</t>
  </si>
  <si>
    <t>AS1, AS2, AS9, AS12, AS13, AS15, AS27, AS28</t>
  </si>
  <si>
    <t>Manipulated parts from the supply chain are integrated into the product, leading to the product behaving maliciously</t>
  </si>
  <si>
    <t>PM Contact</t>
  </si>
  <si>
    <t>RD Contact</t>
  </si>
  <si>
    <t>CSS</t>
  </si>
  <si>
    <t>CSTS</t>
  </si>
  <si>
    <t>Company Name</t>
  </si>
  <si>
    <t xml:space="preserve"> </t>
  </si>
  <si>
    <t>Are the product's physical connections (such as attached bus cables) typically installed in an environment with public access?</t>
  </si>
  <si>
    <t>QI Mitigation and Proposal Do Not Match Text</t>
  </si>
  <si>
    <t>QI Mitigation ID</t>
  </si>
  <si>
    <t>Selected mitigations that do not match the proposed options</t>
  </si>
  <si>
    <t>Destruction of plant, severe damage to assets or operational environment, critical disturbance of function</t>
  </si>
  <si>
    <t>Singular incident with limited environmental damage</t>
  </si>
  <si>
    <t>Definitions and Damage Scenarios Version History</t>
  </si>
  <si>
    <t>Environmental damage</t>
  </si>
  <si>
    <t>Critical environmental damage</t>
  </si>
  <si>
    <t>Environmental damages that accumulate to critical impact over time as well as critical damages that happen in a single incident</t>
  </si>
  <si>
    <t>An attacker prevents the product from communicating with an external entity (over the Internet or a mobile network). Consequently, the product cannot fulfill any functionality that depends on communication with the external entity.</t>
  </si>
  <si>
    <t>Disrupting the product's communication with an external entity (with communication over the Internet or a mobile network)</t>
  </si>
  <si>
    <t>QA18</t>
  </si>
  <si>
    <t>QA19</t>
  </si>
  <si>
    <t>Is the product produced in a secure environment?</t>
  </si>
  <si>
    <t>QA18[Yes]</t>
  </si>
  <si>
    <t>QA18[*]</t>
  </si>
  <si>
    <t>QA19[Yes|Yes]</t>
  </si>
  <si>
    <t>QA19[*]</t>
  </si>
  <si>
    <r>
      <t xml:space="preserve">As the product does not receive any sensitive data (except updates / configuration / debug communication, as these are covered separately), attacks on received data are not plausible. </t>
    </r>
    <r>
      <rPr>
        <i/>
        <sz val="11"/>
        <color theme="0"/>
        <rFont val="Calibri"/>
        <family val="2"/>
        <scheme val="minor"/>
      </rPr>
      <t>Sensitive data</t>
    </r>
    <r>
      <rPr>
        <sz val="11"/>
        <color theme="0"/>
        <rFont val="Calibri"/>
        <family val="2"/>
        <scheme val="minor"/>
      </rPr>
      <t xml:space="preserve"> includes any data that must be confidential or authentic.</t>
    </r>
  </si>
  <si>
    <t>As no sensitive data is exchanged, no damages can occur.</t>
  </si>
  <si>
    <t>C1, C3, C5, C6, C7, C8, C28</t>
  </si>
  <si>
    <t>C1, C18</t>
  </si>
  <si>
    <t>C1, C27</t>
  </si>
  <si>
    <t>C1, C3, C5, C6, C7, C8, C18, C28</t>
  </si>
  <si>
    <t>SSH with universal key</t>
  </si>
  <si>
    <t>Replay protection
Encryption
Secret shared among several devices (e.g., device familiy)</t>
  </si>
  <si>
    <t>SSH with individual key</t>
  </si>
  <si>
    <t>Replay protection
Encryption
Individual secret for each device</t>
  </si>
  <si>
    <t>Standard Oauth2</t>
  </si>
  <si>
    <t>OpenID Connect</t>
  </si>
  <si>
    <t>Options Range Header</t>
  </si>
  <si>
    <t>Resulting Options</t>
  </si>
  <si>
    <t>Info Text</t>
  </si>
  <si>
    <t xml:space="preserve">Options Range Header </t>
  </si>
  <si>
    <t xml:space="preserve">Resulting Options </t>
  </si>
  <si>
    <t xml:space="preserve">Info Text </t>
  </si>
  <si>
    <t>H1</t>
  </si>
  <si>
    <t>Text</t>
  </si>
  <si>
    <t>Height</t>
  </si>
  <si>
    <t xml:space="preserve">Height </t>
  </si>
  <si>
    <t>First Answer</t>
  </si>
  <si>
    <t>Second Answer</t>
  </si>
  <si>
    <t>H1.1</t>
  </si>
  <si>
    <t>H1.2</t>
  </si>
  <si>
    <t>H1.3</t>
  </si>
  <si>
    <t>H2</t>
  </si>
  <si>
    <t>H2.1</t>
  </si>
  <si>
    <t>H2.2</t>
  </si>
  <si>
    <t>H2.3</t>
  </si>
  <si>
    <t>Is a Question</t>
  </si>
  <si>
    <t>H1.1.1</t>
  </si>
  <si>
    <t>H1.1.2</t>
  </si>
  <si>
    <t>H1.1.3</t>
  </si>
  <si>
    <t>H1.2.1</t>
  </si>
  <si>
    <t>H1.2.2</t>
  </si>
  <si>
    <t>H1.2.3</t>
  </si>
  <si>
    <t>H1.3.1</t>
  </si>
  <si>
    <t>H1.3.2</t>
  </si>
  <si>
    <t>H1.3.3</t>
  </si>
  <si>
    <t>H1.3.4</t>
  </si>
  <si>
    <t>A1 Options Header</t>
  </si>
  <si>
    <t>A1 Height</t>
  </si>
  <si>
    <t>A2 Options Header</t>
  </si>
  <si>
    <t>A2 Height</t>
  </si>
  <si>
    <t>A1 Info Text</t>
  </si>
  <si>
    <t>A2 Info Text</t>
  </si>
  <si>
    <t>Inactive</t>
  </si>
  <si>
    <t>Inactive On</t>
  </si>
  <si>
    <t>QA1[No]</t>
  </si>
  <si>
    <t>Is Inactive</t>
  </si>
  <si>
    <t>Second Answer Required</t>
  </si>
  <si>
    <t>QA1[No], QA7[No]</t>
  </si>
  <si>
    <t>A unique ID for the questionnaire element.</t>
  </si>
  <si>
    <t>This sheet contains questions as well as headings to structure the questionnaire.</t>
  </si>
  <si>
    <t>A unique ID for the question. Note that IDs of non-question items are hidden to keep the focus on the questions.</t>
  </si>
  <si>
    <r>
      <t xml:space="preserve">Defines the indentation of the element in the </t>
    </r>
    <r>
      <rPr>
        <i/>
        <sz val="11"/>
        <color theme="0"/>
        <rFont val="Calibri"/>
        <family val="2"/>
        <scheme val="minor"/>
      </rPr>
      <t>Questionnaire</t>
    </r>
    <r>
      <rPr>
        <sz val="11"/>
        <color theme="0"/>
        <rFont val="Calibri"/>
        <family val="2"/>
        <scheme val="minor"/>
      </rPr>
      <t xml:space="preserve"> sheet.</t>
    </r>
  </si>
  <si>
    <t>Usually indicates the hierarchy of the element within the sheet.</t>
  </si>
  <si>
    <r>
      <t xml:space="preserve">IDs of non-question elements will be hidden in the </t>
    </r>
    <r>
      <rPr>
        <i/>
        <sz val="11"/>
        <color theme="0"/>
        <rFont val="Calibri"/>
        <family val="2"/>
        <scheme val="minor"/>
      </rPr>
      <t xml:space="preserve">Questionnaire </t>
    </r>
    <r>
      <rPr>
        <sz val="11"/>
        <color theme="0"/>
        <rFont val="Calibri"/>
        <family val="2"/>
        <scheme val="minor"/>
      </rPr>
      <t>sheet.</t>
    </r>
  </si>
  <si>
    <t>Defines whether an element is a question or another element. Use an "x" to mark an element as question.</t>
  </si>
  <si>
    <t>Additional information</t>
  </si>
  <si>
    <t>Provide the height of the answer options.</t>
  </si>
  <si>
    <r>
      <t xml:space="preserve">Provide the address of the topmost cell in the range of possible answers to the question. This range defines the values in the drop-down menu for Answer 1 on the </t>
    </r>
    <r>
      <rPr>
        <i/>
        <sz val="11"/>
        <color theme="0"/>
        <rFont val="Calibri"/>
        <family val="2"/>
        <scheme val="minor"/>
      </rPr>
      <t>Questionnaire</t>
    </r>
    <r>
      <rPr>
        <sz val="11"/>
        <color theme="0"/>
        <rFont val="Calibri"/>
        <family val="2"/>
        <scheme val="minor"/>
      </rPr>
      <t xml:space="preserve"> sheet.</t>
    </r>
  </si>
  <si>
    <t>Calculated: Displays the values in the provided range (see the previous two columns).</t>
  </si>
  <si>
    <t>Provide the text to be displayed, depending on the provided answer. Make sure that all values are covered, potentially by an empty string.</t>
  </si>
  <si>
    <t>List answers that cause this element to become inactive.</t>
  </si>
  <si>
    <t>Syntax:
&lt;Answer value 1&gt;: &lt;Text value 1&gt;Line_break
…
&lt;Answer value n&gt;: &lt;Text value n&gt;</t>
  </si>
  <si>
    <t>Syntax:
&lt;Question ID&gt;[&lt;Answer&gt;], …
Example:
QA1[No], QA7[No]</t>
  </si>
  <si>
    <t>Question Text</t>
  </si>
  <si>
    <t>C14, C15, C25, C27</t>
  </si>
  <si>
    <t>Decades: Given a secure password, guessing the password within a reasonable time frame is highly unlikely</t>
  </si>
  <si>
    <t>Decades: Without access to the private key for the certificate, the attacker cannot authenticate successfully</t>
  </si>
  <si>
    <t>Secure update: RE1 Update authenticity and integrity
EDR 3.10 / HDR 3.10 / NDR 3.10 – Support for updates</t>
  </si>
  <si>
    <t>A34</t>
  </si>
  <si>
    <t>The product's configuration is secure by default. If user generated passwords are required, then the user is prompted to change the password on first use. The secure defaults are restored by a factory reset, if applicable.</t>
  </si>
  <si>
    <t>Compromising the product with direct access to its persistent memory</t>
  </si>
  <si>
    <t>Data extraction from the product's persistent memory</t>
  </si>
  <si>
    <t>AS39</t>
  </si>
  <si>
    <t>Data extraction from the product's volatile memory</t>
  </si>
  <si>
    <t>&lt;= one month: It takes time to create a suitable setup.
Expert: Extracting data from volatile memory is difficult.
Restricted: The attacker needs to understand the memory layout.
Moderate: The device must be removed and disassembled.
Bespoke: Non-standard equipment for the process.</t>
  </si>
  <si>
    <t>CM21</t>
  </si>
  <si>
    <t>Protection in hardware prevents attackers from accessing data in the TEE</t>
  </si>
  <si>
    <t xml:space="preserve">
The attacker needs significant time and knowledge to attack secure boot, as well as access to the attacked hardware.</t>
  </si>
  <si>
    <t>AS3, AS39</t>
  </si>
  <si>
    <t>None: The supply chain partners are trustworthy and protected against attacks</t>
  </si>
  <si>
    <t>C1, C3, C5, C6, C7, C8, C28, A19</t>
  </si>
  <si>
    <t>Given state-of-the-art cryptography and parameters, an attacker cannot successfully provide a manipulated software update without the receiving party noticing it</t>
  </si>
  <si>
    <t>LDAP over TLS</t>
  </si>
  <si>
    <t>Lightweight Directory Access Protocol (LDAP) with Transport Layer Security (TLS)</t>
  </si>
  <si>
    <t>A35</t>
  </si>
  <si>
    <t>Attack path not applicable or not plausible</t>
  </si>
  <si>
    <t>This assumption is assigned in cases where an attack path (derived from the answers to the questionnaire) is not applicable or not plausible at closer inspection. Note that this requires a rationale in the comment when applied.</t>
  </si>
  <si>
    <t>No Risk</t>
  </si>
  <si>
    <t>TODO</t>
  </si>
  <si>
    <t>CM5, CM11</t>
  </si>
  <si>
    <t>Can a manipulated product disclose credentials / cryptographic material to an attacker? Also consider cases where the product does not disclose the material but misuses its access to other systems! (E.g., product contains access credentials to store data on a server.)</t>
  </si>
  <si>
    <t>QA10a</t>
  </si>
  <si>
    <t>QA10b</t>
  </si>
  <si>
    <t>Does the product communicate with an external system locally (e.g., a USB stick, an SD card, an RFID tag)?</t>
  </si>
  <si>
    <t>QA6[Yes], QA10b[Yes|*]</t>
  </si>
  <si>
    <t>QA10a[Yes|No], QA10b[Yes|No]</t>
  </si>
  <si>
    <t>QA3[Yes|Yes], QA10a[Yes|Yes], QA10b[Yes|Yes]</t>
  </si>
  <si>
    <t>QA10b[Yes|*]</t>
  </si>
  <si>
    <t>Does the product have debug / development interfaces (e.g., JTAG, root access over ssh)?</t>
  </si>
  <si>
    <t xml:space="preserve"> &lt;= one week: The attacker needs a few days to find inputs that circumvent the input validation
Expert: The attacker needs to understand that input validation is operational and how to circumvent it
Sensitive: The attacker needs to understand how the product validates its inputs</t>
  </si>
  <si>
    <t>QA4[Yes|Yes], QA5[Yes|Yes], QA12[Yes|Yes], QA13[Yes|Yes]</t>
  </si>
  <si>
    <t>A36</t>
  </si>
  <si>
    <t>The wireless network used over a gateway is trustworthy and sufficiently protected against attacks that would allow attackers to access this network.</t>
  </si>
  <si>
    <t>QA13[Yes|Yes]</t>
  </si>
  <si>
    <t>Prevents attackers from accessing the trusted wireless network the product uses over a gateway. Note that this network is not part of the product.</t>
  </si>
  <si>
    <t>Are the supply chain partners trustworthy and protected against attacks?</t>
  </si>
  <si>
    <t>Note that compensating countermeasures are typically linked to specific assumptions resulting from answers to the questionnaire. These assumptions must be communicated clearly to the party responsible for implementing the compensating countermeasures -- typically the customer.</t>
  </si>
  <si>
    <r>
      <t xml:space="preserve">Recommendation: Copy the column </t>
    </r>
    <r>
      <rPr>
        <i/>
        <sz val="11"/>
        <color theme="0"/>
        <rFont val="Calibri"/>
        <family val="2"/>
        <scheme val="minor"/>
      </rPr>
      <t>Proposed Active Assumptions</t>
    </r>
    <r>
      <rPr>
        <sz val="11"/>
        <color theme="0"/>
        <rFont val="Calibri"/>
        <family val="2"/>
        <scheme val="minor"/>
      </rPr>
      <t xml:space="preserve"> and paste </t>
    </r>
    <r>
      <rPr>
        <i/>
        <sz val="11"/>
        <color theme="0"/>
        <rFont val="Calibri"/>
        <family val="2"/>
        <scheme val="minor"/>
      </rPr>
      <t xml:space="preserve">as values </t>
    </r>
    <r>
      <rPr>
        <sz val="11"/>
        <color theme="0"/>
        <rFont val="Calibri"/>
        <family val="2"/>
        <scheme val="minor"/>
      </rPr>
      <t xml:space="preserve">into the column </t>
    </r>
    <r>
      <rPr>
        <i/>
        <sz val="11"/>
        <color theme="0"/>
        <rFont val="Calibri"/>
        <family val="2"/>
        <scheme val="minor"/>
      </rPr>
      <t>C and A IDs</t>
    </r>
    <r>
      <rPr>
        <sz val="11"/>
        <color theme="0"/>
        <rFont val="Calibri"/>
        <family val="2"/>
        <scheme val="minor"/>
      </rPr>
      <t>.
These assumptions match the answers provided in the questionnnaire. See below for additional information.</t>
    </r>
  </si>
  <si>
    <r>
      <t xml:space="preserve">Recommendation: Copy these first:
(1) Select the proposed assumptions: Select the cell below </t>
    </r>
    <r>
      <rPr>
        <i/>
        <sz val="11"/>
        <color theme="0"/>
        <rFont val="Calibri"/>
        <family val="2"/>
        <scheme val="minor"/>
      </rPr>
      <t>Proposed Active Assumptions</t>
    </r>
    <r>
      <rPr>
        <sz val="11"/>
        <color theme="0"/>
        <rFont val="Calibri"/>
        <family val="2"/>
        <scheme val="minor"/>
      </rPr>
      <t xml:space="preserve">, then press Ctrl+Space.
(2) Copy the values: Press Ctrl+C.
(3) Select the target: Select the cell below </t>
    </r>
    <r>
      <rPr>
        <i/>
        <sz val="11"/>
        <color theme="0"/>
        <rFont val="Calibri"/>
        <family val="2"/>
        <scheme val="minor"/>
      </rPr>
      <t>C and A IDs</t>
    </r>
    <r>
      <rPr>
        <sz val="11"/>
        <color theme="0"/>
        <rFont val="Calibri"/>
        <family val="2"/>
        <scheme val="minor"/>
      </rPr>
      <t>.
(4) Paste as values:
   Right click --&gt; Paste as values or
   Ctrl+Alt+V --&gt; Values.</t>
    </r>
  </si>
  <si>
    <t>If the message "Please enlarge the table to calculate all risks!" is displayed, then follow these steps:
(1) Click on the blue triangle in the bottom right corner of the table, above the area colored in red.
(2) Hold the left mouse button and drag the mouse downward until the red area is covered.</t>
  </si>
  <si>
    <t>Quick Start Guide (See below for more detailed explanations)</t>
  </si>
  <si>
    <t>Lime</t>
  </si>
  <si>
    <t>Highlights the sheets that must be filled in an analysis.</t>
  </si>
  <si>
    <t>Detailed explanations for each sheet</t>
  </si>
  <si>
    <t>A37</t>
  </si>
  <si>
    <t>Short-range wireless communication (such as RFID) cannot be accessed easily. Consequently, it is hard for an attacker to eavesdrop on the communication or to manipulate transmissions.</t>
  </si>
  <si>
    <t>AS5, AS6</t>
  </si>
  <si>
    <r>
      <t xml:space="preserve">* For all questions that contain several criteria (e.g., "Is the access to the network restricted </t>
    </r>
    <r>
      <rPr>
        <sz val="11"/>
        <color rgb="FFFFB9B9"/>
        <rFont val="Calibri"/>
        <family val="2"/>
        <scheme val="minor"/>
      </rPr>
      <t>and</t>
    </r>
    <r>
      <rPr>
        <sz val="11"/>
        <color theme="0"/>
        <rFont val="Calibri"/>
        <family val="2"/>
        <scheme val="minor"/>
      </rPr>
      <t xml:space="preserve"> are the devices in the network considered as trustworthy?":</t>
    </r>
  </si>
  <si>
    <t xml:space="preserve">   Only select "Yes" as an answer if all criteria a true (in this case, access is restricted and the devices are trustworthy).</t>
  </si>
  <si>
    <t>QA20</t>
  </si>
  <si>
    <t>QA21</t>
  </si>
  <si>
    <t>What is the product's expected lifetime?</t>
  </si>
  <si>
    <t>What is the product's planned support duration?</t>
  </si>
  <si>
    <t>Time frame</t>
  </si>
  <si>
    <t>0 - 5 years</t>
  </si>
  <si>
    <t>5 - 10 years</t>
  </si>
  <si>
    <t>10 - 20 years</t>
  </si>
  <si>
    <t>20+ years</t>
  </si>
  <si>
    <t>0 - 5 years:
5 - 10 years:
10 - 20 years:
20+ years:</t>
  </si>
  <si>
    <r>
      <t xml:space="preserve">Comment
</t>
    </r>
    <r>
      <rPr>
        <sz val="9"/>
        <color theme="0"/>
        <rFont val="Calibri"/>
        <family val="2"/>
        <scheme val="minor"/>
      </rPr>
      <t>To add a control or assumption:
{&lt;C or A&gt; &lt;Name&gt;[: &lt;RAP&gt;]}
RAP Options: Basic, Enhanced-Basic, Moderate, High, Beyond High</t>
    </r>
  </si>
  <si>
    <t>N-RAP-Calculated</t>
  </si>
  <si>
    <t>:</t>
  </si>
  <si>
    <t>N-RAP-Inline</t>
  </si>
  <si>
    <r>
      <t>RAP Delimiter
(</t>
    </r>
    <r>
      <rPr>
        <i/>
        <sz val="11"/>
        <color theme="0"/>
        <rFont val="Calibri"/>
        <family val="2"/>
        <scheme val="minor"/>
      </rPr>
      <t>Mitigation</t>
    </r>
    <r>
      <rPr>
        <sz val="11"/>
        <color theme="0"/>
        <rFont val="Calibri"/>
        <family val="2"/>
        <scheme val="minor"/>
      </rPr>
      <t xml:space="preserve"> sheet only)</t>
    </r>
  </si>
  <si>
    <t>Additional Mitigations</t>
  </si>
  <si>
    <t>Remaining Risk Factor Explanation</t>
  </si>
  <si>
    <t>Inline Mitigations</t>
  </si>
  <si>
    <t>QI Text Mismatch QA2 and QA6</t>
  </si>
  <si>
    <t>QI ID Mismatch QA2 and QA62</t>
  </si>
  <si>
    <t>Mismatch between the answers to QA2 and QA6</t>
  </si>
  <si>
    <t>QI Incorrect Risk ID Text</t>
  </si>
  <si>
    <t>QI Incorrect Risk ID ID</t>
  </si>
  <si>
    <t>Helper Link</t>
  </si>
  <si>
    <t>Additonal Question</t>
  </si>
  <si>
    <t>Sheet Names</t>
  </si>
  <si>
    <t>Undefined risk IDs in risk treatment</t>
  </si>
  <si>
    <r>
      <t xml:space="preserve">Defines risk treatment options for the </t>
    </r>
    <r>
      <rPr>
        <i/>
        <sz val="11"/>
        <color theme="0"/>
        <rFont val="Calibri"/>
        <family val="2"/>
        <scheme val="minor"/>
      </rPr>
      <t xml:space="preserve">Risk Treatment </t>
    </r>
    <r>
      <rPr>
        <sz val="11"/>
        <color theme="0"/>
        <rFont val="Calibri"/>
        <family val="2"/>
        <scheme val="minor"/>
      </rPr>
      <t>sheet.</t>
    </r>
  </si>
  <si>
    <r>
      <t xml:space="preserve">Defines options for a matching question in the </t>
    </r>
    <r>
      <rPr>
        <i/>
        <sz val="11"/>
        <color theme="0"/>
        <rFont val="Calibri"/>
        <family val="2"/>
        <scheme val="minor"/>
      </rPr>
      <t xml:space="preserve">Questionnaire </t>
    </r>
    <r>
      <rPr>
        <sz val="11"/>
        <color theme="0"/>
        <rFont val="Calibri"/>
        <family val="2"/>
        <scheme val="minor"/>
      </rPr>
      <t>sheet.</t>
    </r>
  </si>
  <si>
    <r>
      <t xml:space="preserve">Defines the maximum number of characters in each line for the questions in the </t>
    </r>
    <r>
      <rPr>
        <i/>
        <sz val="11"/>
        <color theme="0"/>
        <rFont val="Calibri"/>
        <family val="2"/>
        <scheme val="minor"/>
      </rPr>
      <t xml:space="preserve">Questionnaire </t>
    </r>
    <r>
      <rPr>
        <sz val="11"/>
        <color theme="0"/>
        <rFont val="Calibri"/>
        <family val="2"/>
        <scheme val="minor"/>
      </rPr>
      <t>sheet (→ formatting).</t>
    </r>
  </si>
  <si>
    <r>
      <t xml:space="preserve">Defines the stakeholders for assumptions, usually implying the party responsible for implementing compensating countermeasures from the product's point of view. Relevant in the </t>
    </r>
    <r>
      <rPr>
        <i/>
        <sz val="11"/>
        <color theme="0"/>
        <rFont val="Calibri"/>
        <family val="2"/>
        <scheme val="minor"/>
      </rPr>
      <t>Assumptions</t>
    </r>
    <r>
      <rPr>
        <sz val="11"/>
        <color theme="0"/>
        <rFont val="Calibri"/>
        <family val="2"/>
        <scheme val="minor"/>
      </rPr>
      <t xml:space="preserve"> and in the </t>
    </r>
    <r>
      <rPr>
        <i/>
        <sz val="11"/>
        <color theme="0"/>
        <rFont val="Calibri"/>
        <family val="2"/>
        <scheme val="minor"/>
      </rPr>
      <t xml:space="preserve">Assumptions and Countermeasures </t>
    </r>
    <r>
      <rPr>
        <sz val="11"/>
        <color theme="0"/>
        <rFont val="Calibri"/>
        <family val="2"/>
        <scheme val="minor"/>
      </rPr>
      <t>sheet.</t>
    </r>
  </si>
  <si>
    <r>
      <t xml:space="preserve">Defines the syntax for adding additional assumptions or countermeasures in comments or rationales. These additional elements are then listed in the </t>
    </r>
    <r>
      <rPr>
        <i/>
        <sz val="11"/>
        <color theme="0"/>
        <rFont val="Calibri"/>
        <family val="2"/>
        <scheme val="minor"/>
      </rPr>
      <t xml:space="preserve">Assumptions and Countermeasures </t>
    </r>
    <r>
      <rPr>
        <sz val="11"/>
        <color theme="0"/>
        <rFont val="Calibri"/>
        <family val="2"/>
        <scheme val="minor"/>
      </rPr>
      <t>sheet.</t>
    </r>
  </si>
  <si>
    <r>
      <t xml:space="preserve">Some answers to questions in the </t>
    </r>
    <r>
      <rPr>
        <i/>
        <sz val="11"/>
        <color theme="0"/>
        <rFont val="Calibri"/>
        <family val="2"/>
        <scheme val="minor"/>
      </rPr>
      <t xml:space="preserve">Questionnaire </t>
    </r>
    <r>
      <rPr>
        <sz val="11"/>
        <color theme="0"/>
        <rFont val="Calibri"/>
        <family val="2"/>
        <scheme val="minor"/>
      </rPr>
      <t xml:space="preserve">sheet activate assumptions or countermeasures. In this case, the comment for these questions is displayed in the </t>
    </r>
    <r>
      <rPr>
        <i/>
        <sz val="11"/>
        <color theme="0"/>
        <rFont val="Calibri"/>
        <family val="2"/>
        <scheme val="minor"/>
      </rPr>
      <t xml:space="preserve">Assumptions and Countermeasures </t>
    </r>
    <r>
      <rPr>
        <sz val="11"/>
        <color theme="0"/>
        <rFont val="Calibri"/>
        <family val="2"/>
        <scheme val="minor"/>
      </rPr>
      <t xml:space="preserve">sheet for the activated assumption or countermeasure.
Setting the entry under </t>
    </r>
    <r>
      <rPr>
        <i/>
        <sz val="11"/>
        <color theme="0"/>
        <rFont val="Calibri"/>
        <family val="2"/>
        <scheme val="minor"/>
      </rPr>
      <t xml:space="preserve">Display Blue Box </t>
    </r>
    <r>
      <rPr>
        <sz val="11"/>
        <color theme="0"/>
        <rFont val="Calibri"/>
        <family val="2"/>
        <scheme val="minor"/>
      </rPr>
      <t xml:space="preserve">to </t>
    </r>
    <r>
      <rPr>
        <i/>
        <sz val="11"/>
        <color theme="0"/>
        <rFont val="Calibri"/>
        <family val="2"/>
        <scheme val="minor"/>
      </rPr>
      <t xml:space="preserve">yes </t>
    </r>
    <r>
      <rPr>
        <sz val="11"/>
        <color theme="0"/>
        <rFont val="Calibri"/>
        <family val="2"/>
        <scheme val="minor"/>
      </rPr>
      <t>marks such comments with a blue margin.</t>
    </r>
  </si>
  <si>
    <t>The text of the questionnaire element.</t>
  </si>
  <si>
    <r>
      <t xml:space="preserve">Calculated: The first answer provided in the </t>
    </r>
    <r>
      <rPr>
        <i/>
        <sz val="11"/>
        <color theme="0"/>
        <rFont val="Calibri"/>
        <family val="2"/>
        <scheme val="minor"/>
      </rPr>
      <t>Questionnaire</t>
    </r>
    <r>
      <rPr>
        <sz val="11"/>
        <color theme="0"/>
        <rFont val="Calibri"/>
        <family val="2"/>
        <scheme val="minor"/>
      </rPr>
      <t xml:space="preserve"> sheet to the referenced question (see the </t>
    </r>
    <r>
      <rPr>
        <i/>
        <sz val="11"/>
        <color theme="0"/>
        <rFont val="Calibri"/>
        <family val="2"/>
        <scheme val="minor"/>
      </rPr>
      <t xml:space="preserve">ID </t>
    </r>
    <r>
      <rPr>
        <sz val="11"/>
        <color theme="0"/>
        <rFont val="Calibri"/>
        <family val="2"/>
        <scheme val="minor"/>
      </rPr>
      <t>column).</t>
    </r>
  </si>
  <si>
    <r>
      <t xml:space="preserve">Calculated: The second answer provided in the </t>
    </r>
    <r>
      <rPr>
        <i/>
        <sz val="11"/>
        <color theme="0"/>
        <rFont val="Calibri"/>
        <family val="2"/>
        <scheme val="minor"/>
      </rPr>
      <t>Questionnaire</t>
    </r>
    <r>
      <rPr>
        <sz val="11"/>
        <color theme="0"/>
        <rFont val="Calibri"/>
        <family val="2"/>
        <scheme val="minor"/>
      </rPr>
      <t xml:space="preserve"> sheet to the referenced question (see the </t>
    </r>
    <r>
      <rPr>
        <i/>
        <sz val="11"/>
        <color theme="0"/>
        <rFont val="Calibri"/>
        <family val="2"/>
        <scheme val="minor"/>
      </rPr>
      <t xml:space="preserve">ID </t>
    </r>
    <r>
      <rPr>
        <sz val="11"/>
        <color theme="0"/>
        <rFont val="Calibri"/>
        <family val="2"/>
        <scheme val="minor"/>
      </rPr>
      <t>column).</t>
    </r>
  </si>
  <si>
    <t>Syntax: &lt;Q ID&gt;[&lt;Answer 1&gt;|&lt;Answer 2&gt;]
Examples: QA4[Yes|Yes], QA14[Yes], QI2[Yes|*], where * serves as a wildcard accepting any answer.</t>
  </si>
  <si>
    <r>
      <t xml:space="preserve">CSV: Reference the IDs of questions whose answers imply damage scenarios caused by the attack step (cf. the </t>
    </r>
    <r>
      <rPr>
        <i/>
        <sz val="11"/>
        <color theme="0"/>
        <rFont val="Calibri"/>
        <family val="2"/>
        <scheme val="minor"/>
      </rPr>
      <t>DS Definition</t>
    </r>
    <r>
      <rPr>
        <sz val="11"/>
        <color theme="0"/>
        <rFont val="Calibri"/>
        <family val="2"/>
        <scheme val="minor"/>
      </rPr>
      <t xml:space="preserve"> sheet).</t>
    </r>
  </si>
  <si>
    <t>Example: The attack steps causes the damage scenarios related to question Qx. The actual damage scenario depends on the specific answers provided to Qx and might be "no damage scenario".</t>
  </si>
  <si>
    <t>CSV: Reference answers that activate this assumption (i.e., make sure that an answer that invalidates an attack path results in a documented assumption, e.g., on intended use of the product).</t>
  </si>
  <si>
    <t>Syntax: &lt;Q ID&gt;[&lt;Answer 1&gt;|&lt;Answer 2&gt;]
Examples: QI1[Yes|Yes], QI4[No], *, where * serves as a wildcard accepting any answer.</t>
  </si>
  <si>
    <t>Define damage scenario transformation effects here.</t>
  </si>
  <si>
    <t>Syntax: Use a DS ID to remove a damage scenario or DSx&gt;DSy to transform DSx into DSy.
Example: DS1, DS2&gt;DS3, DS4 removes damage scenarios DS1 and DS4 and transforms DS2 into DS3.</t>
  </si>
  <si>
    <t>CSV: Reference answers that activate this countermeasure (i.e., some countermeasures are required when specific circumstances apply).</t>
  </si>
  <si>
    <t>Syntax: &lt;Q ID&gt;[&lt;Answer 1&gt;|&lt;Answer 2&gt;]
Examples: QI1[Yes|No], QA8[Yes|*], *, where * serves as a wildcard accepting any answer.</t>
  </si>
  <si>
    <r>
      <t xml:space="preserve">Calculated: Lists the resulting damage scenario transformation. Note that the names of the damage scenarios can depend on the answers provided in the </t>
    </r>
    <r>
      <rPr>
        <i/>
        <sz val="11"/>
        <color theme="0"/>
        <rFont val="Calibri"/>
        <family val="2"/>
        <scheme val="minor"/>
      </rPr>
      <t xml:space="preserve">Questionnaire </t>
    </r>
    <r>
      <rPr>
        <sz val="11"/>
        <color theme="0"/>
        <rFont val="Calibri"/>
        <family val="2"/>
        <scheme val="minor"/>
      </rPr>
      <t>sheet. Consequently, some damage scenarios might be inactive, resulting in empty names next to the IDs in the list.</t>
    </r>
  </si>
  <si>
    <r>
      <t xml:space="preserve">A structuring element or a question. The sheet begins with questions on the </t>
    </r>
    <r>
      <rPr>
        <i/>
        <sz val="11"/>
        <color theme="0"/>
        <rFont val="Calibri"/>
        <family val="2"/>
        <scheme val="minor"/>
      </rPr>
      <t>impact rating</t>
    </r>
    <r>
      <rPr>
        <sz val="11"/>
        <color theme="0"/>
        <rFont val="Calibri"/>
        <family val="2"/>
        <scheme val="minor"/>
      </rPr>
      <t xml:space="preserve">, followed by questions on the </t>
    </r>
    <r>
      <rPr>
        <i/>
        <sz val="11"/>
        <color theme="0"/>
        <rFont val="Calibri"/>
        <family val="2"/>
        <scheme val="minor"/>
      </rPr>
      <t>attack feasibility rating</t>
    </r>
    <r>
      <rPr>
        <sz val="11"/>
        <color theme="0"/>
        <rFont val="Calibri"/>
        <family val="2"/>
        <scheme val="minor"/>
      </rPr>
      <t xml:space="preserve"> by first determining the assets and then the attack surface of the product and its operational environment.</t>
    </r>
  </si>
  <si>
    <t>Note that the questions are formatted by a formula, while the actual definitions of the text are located in the Questions sheet.</t>
  </si>
  <si>
    <r>
      <t xml:space="preserve">Provide a rationale or details when asked to. You may also add comments. Note that some answers activate assumptions or countermeasures. In this case, the comment for these questions is displayed in the </t>
    </r>
    <r>
      <rPr>
        <i/>
        <sz val="11"/>
        <color theme="0"/>
        <rFont val="Calibri"/>
        <family val="2"/>
        <scheme val="minor"/>
      </rPr>
      <t>Assumptions and Countermeasures</t>
    </r>
    <r>
      <rPr>
        <sz val="11"/>
        <color theme="0"/>
        <rFont val="Calibri"/>
        <family val="2"/>
        <scheme val="minor"/>
      </rPr>
      <t xml:space="preserve"> sheet for the activated assumption or countermeasure. Setting the entry under </t>
    </r>
    <r>
      <rPr>
        <i/>
        <sz val="11"/>
        <color theme="0"/>
        <rFont val="Calibri"/>
        <family val="2"/>
        <scheme val="minor"/>
      </rPr>
      <t>Display Blue Box</t>
    </r>
    <r>
      <rPr>
        <sz val="11"/>
        <color theme="0"/>
        <rFont val="Calibri"/>
        <family val="2"/>
        <scheme val="minor"/>
      </rPr>
      <t xml:space="preserve"> in the </t>
    </r>
    <r>
      <rPr>
        <i/>
        <sz val="11"/>
        <color theme="0"/>
        <rFont val="Calibri"/>
        <family val="2"/>
        <scheme val="minor"/>
      </rPr>
      <t>Definitions</t>
    </r>
    <r>
      <rPr>
        <sz val="11"/>
        <color theme="0"/>
        <rFont val="Calibri"/>
        <family val="2"/>
        <scheme val="minor"/>
      </rPr>
      <t xml:space="preserve"> sheet to </t>
    </r>
    <r>
      <rPr>
        <i/>
        <sz val="11"/>
        <color theme="0"/>
        <rFont val="Calibri"/>
        <family val="2"/>
        <scheme val="minor"/>
      </rPr>
      <t>yes</t>
    </r>
    <r>
      <rPr>
        <sz val="11"/>
        <color theme="0"/>
        <rFont val="Calibri"/>
        <family val="2"/>
        <scheme val="minor"/>
      </rPr>
      <t xml:space="preserve"> marks such comments with a blue margin.</t>
    </r>
  </si>
  <si>
    <t>Note that this is a typical place to define additional countermeasures or assumptions, using the syntax defined in the Definitions sheet.</t>
  </si>
  <si>
    <t>QI Missing Risk Text</t>
  </si>
  <si>
    <t>QI Missing Risk ID</t>
  </si>
  <si>
    <t>Risk ID Search</t>
  </si>
  <si>
    <t>Defines the options for the links linking to this sheet.</t>
  </si>
  <si>
    <t>Defines the name of the company.</t>
  </si>
  <si>
    <t>Symbol (not allowed in IDs)</t>
  </si>
  <si>
    <t>Provide a description of the target of evaluation.</t>
  </si>
  <si>
    <t>Diplay at most # APs (empty = all)</t>
  </si>
  <si>
    <t>Proposed Counter-measures</t>
  </si>
  <si>
    <t>Column Original Name</t>
  </si>
  <si>
    <t>To add a control or assumption:
{&lt;C or A&gt; &lt;Name&gt;[: &lt;RAP&gt;]}
RAP Options: Basic, Enhanced-Basic, Moderate, High, Beyond High.</t>
  </si>
  <si>
    <r>
      <t xml:space="preserve">Calculated: Lists all IDs defined in the </t>
    </r>
    <r>
      <rPr>
        <i/>
        <sz val="11"/>
        <color theme="0"/>
        <rFont val="Calibri"/>
        <family val="2"/>
        <scheme val="minor"/>
      </rPr>
      <t>Risks</t>
    </r>
    <r>
      <rPr>
        <sz val="11"/>
        <color theme="0"/>
        <rFont val="Calibri"/>
        <family val="2"/>
        <scheme val="minor"/>
      </rPr>
      <t xml:space="preserve"> sheet that are currently </t>
    </r>
    <r>
      <rPr>
        <u val="single"/>
        <sz val="11"/>
        <color theme="0"/>
        <rFont val="Calibri"/>
        <family val="2"/>
        <scheme val="minor"/>
      </rPr>
      <t>not</t>
    </r>
    <r>
      <rPr>
        <sz val="11"/>
        <color theme="0"/>
        <rFont val="Calibri"/>
        <family val="2"/>
        <scheme val="minor"/>
      </rPr>
      <t xml:space="preserve"> listed in the table on this sheet (i.e., they are currently not considered for risk treatment and must consequently be added to treat all risks).</t>
    </r>
  </si>
  <si>
    <t>Question Shadow ID</t>
  </si>
  <si>
    <t>JSON Template</t>
  </si>
  <si>
    <t>Duplicate risk IDs</t>
  </si>
  <si>
    <t>QI Duplicate Risk ID Text</t>
  </si>
  <si>
    <t>QI Duplicate Risk ID</t>
  </si>
  <si>
    <t>Element Template</t>
  </si>
  <si>
    <t>Attribute Template</t>
  </si>
  <si>
    <t>"[#1]": "[#2]"</t>
  </si>
  <si>
    <t>JSONParseAttributes</t>
  </si>
  <si>
    <t>JSONParseSheet</t>
  </si>
  <si>
    <t xml:space="preserve">{
[#1]
},
</t>
  </si>
  <si>
    <t>JSON Export</t>
  </si>
  <si>
    <t>Columns</t>
  </si>
  <si>
    <t>JSONParseSheets</t>
  </si>
  <si>
    <t>Shadow ID Column</t>
  </si>
  <si>
    <t>Shadow ID Header</t>
  </si>
  <si>
    <r>
      <t xml:space="preserve">Defines the sheets and columns on these sheets to be exported on the </t>
    </r>
    <r>
      <rPr>
        <i/>
        <sz val="11"/>
        <color theme="0"/>
        <rFont val="Calibri"/>
        <family val="2"/>
        <scheme val="minor"/>
      </rPr>
      <t>JSON</t>
    </r>
    <r>
      <rPr>
        <sz val="11"/>
        <color theme="0"/>
        <rFont val="Calibri"/>
        <family val="2"/>
        <scheme val="minor"/>
      </rPr>
      <t xml:space="preserve"> sheet. In detail:
* Use a formula to calculate the sheet name from which to export data (see existing entries for the formula.)
* Use a formula to reference the columns to be exported for each entry (see existing entries for the formula.)
* Use a formula to reference the </t>
    </r>
    <r>
      <rPr>
        <i/>
        <sz val="11"/>
        <color theme="0"/>
        <rFont val="Calibri"/>
        <family val="2"/>
        <scheme val="minor"/>
      </rPr>
      <t>Shadow ID</t>
    </r>
    <r>
      <rPr>
        <sz val="11"/>
        <color theme="0"/>
        <rFont val="Calibri"/>
        <family val="2"/>
        <scheme val="minor"/>
      </rPr>
      <t xml:space="preserve"> column for each sheet (this column is usually hidden and on most sheets one column right of the </t>
    </r>
    <r>
      <rPr>
        <i/>
        <sz val="11"/>
        <color theme="0"/>
        <rFont val="Calibri"/>
        <family val="2"/>
        <scheme val="minor"/>
      </rPr>
      <t>Comment</t>
    </r>
    <r>
      <rPr>
        <sz val="11"/>
        <color theme="0"/>
        <rFont val="Calibri"/>
        <family val="2"/>
        <scheme val="minor"/>
      </rPr>
      <t xml:space="preserve"> column).
* Use a formula to calculate the header row for each sheet (see existing entries for the formula).</t>
    </r>
  </si>
  <si>
    <t>You can also add text instead of calculating the values with a formula. However, renaming sheets or adding / removing columns easily breaks references, while formula-generated references remain operational unless one of the referenced columns is deleted. Even in this case, the visual #REF! error is helpful to find and fix the issue.</t>
  </si>
  <si>
    <t>CM22</t>
  </si>
  <si>
    <t>Isolation using virtualization or containers</t>
  </si>
  <si>
    <t>Virtual machines or software containers are used to isolate processes from each other</t>
  </si>
  <si>
    <t>Inconsistent Answers</t>
  </si>
  <si>
    <t>Completeness and Correctness</t>
  </si>
  <si>
    <t>QI QA11 and C27 inconsistent Text</t>
  </si>
  <si>
    <t>QI QA11 and C27 inconsistent ID</t>
  </si>
  <si>
    <t>C27 Search</t>
  </si>
  <si>
    <t>QI Mitigation Assigned to Inactive AS Text</t>
  </si>
  <si>
    <t>QI Mitigation Assigned to Inactive AS ID</t>
  </si>
  <si>
    <t>Inactive attack steps with assigned mitigations</t>
  </si>
  <si>
    <t>A38</t>
  </si>
  <si>
    <t>Export String (copy to MS Word)</t>
  </si>
  <si>
    <r>
      <t xml:space="preserve">Shows the names of the sheets to be exported according to the </t>
    </r>
    <r>
      <rPr>
        <i/>
        <sz val="11"/>
        <color theme="0"/>
        <rFont val="Calibri"/>
        <family val="2"/>
        <scheme val="minor"/>
      </rPr>
      <t xml:space="preserve">Definitions </t>
    </r>
    <r>
      <rPr>
        <sz val="11"/>
        <color theme="0"/>
        <rFont val="Calibri"/>
        <family val="2"/>
        <scheme val="minor"/>
      </rPr>
      <t>sheet.</t>
    </r>
  </si>
  <si>
    <r>
      <t xml:space="preserve">Provides a string representing a JSON export for each sheet. The sheets to be selected are defined in the </t>
    </r>
    <r>
      <rPr>
        <i/>
        <sz val="11"/>
        <color theme="0"/>
        <rFont val="Calibri"/>
        <family val="2"/>
        <scheme val="minor"/>
      </rPr>
      <t>Definitions</t>
    </r>
    <r>
      <rPr>
        <sz val="11"/>
        <color theme="0"/>
        <rFont val="Calibri"/>
        <family val="2"/>
        <scheme val="minor"/>
      </rPr>
      <t xml:space="preserve"> sheet.</t>
    </r>
  </si>
  <si>
    <t>The result is split among several rows as Excel cells can only support a limited number of characters. Consequently, storing the full export string in a single cell is typically not possible.
Also note that copying and pasting the string to MS Word is recommended, as pasting it into another application often results in many additional quotation marks (") around and within the string.</t>
  </si>
  <si>
    <t>A version history for the Definitions sheet. Note that this usually relates to changes in the assessment model.</t>
  </si>
  <si>
    <t>QuBA Change History</t>
  </si>
  <si>
    <t>Release</t>
  </si>
  <si>
    <t>AS40</t>
  </si>
  <si>
    <t>Secure Production</t>
  </si>
  <si>
    <t>Supply Chain Security</t>
  </si>
  <si>
    <t>Defines options to answer question QA18 (related to production security).</t>
  </si>
  <si>
    <t>Defines options to answer question QA19 (related to supply chain security).</t>
  </si>
  <si>
    <t>Software: CI/CD Pipeline</t>
  </si>
  <si>
    <t>QA11a</t>
  </si>
  <si>
    <t>QA11b</t>
  </si>
  <si>
    <t>Are software updates in the field (regularly or event-based) planned?</t>
  </si>
  <si>
    <t>QA11a[Yes|*]</t>
  </si>
  <si>
    <t>QA11a[Yes|No]</t>
  </si>
  <si>
    <t>QA8[Yes|*], QA11a[Yes|*], QA17[Yes|*]</t>
  </si>
  <si>
    <t>QA11b[Yes]</t>
  </si>
  <si>
    <t>CM23</t>
  </si>
  <si>
    <t>Hardware exchange</t>
  </si>
  <si>
    <t>Exchanging a vulnerable product with a secure product protects against incidents exploiting the vulnerability</t>
  </si>
  <si>
    <t>QA11b[No|Yes]</t>
  </si>
  <si>
    <t>Manipulating the product's configuration via its configuration interface</t>
  </si>
  <si>
    <t>Does the product contain credentials / cryptographic keys that allow access to sensitive data or to systems in the product's operational environment? (Note: this includes cryptographic data introduced by the customer.)</t>
  </si>
  <si>
    <t>A39</t>
  </si>
  <si>
    <t>DS3, DS12</t>
  </si>
  <si>
    <t>The current release version (as a date).</t>
  </si>
  <si>
    <r>
      <t xml:space="preserve">See the </t>
    </r>
    <r>
      <rPr>
        <i/>
        <sz val="11"/>
        <color theme="0"/>
        <rFont val="Calibri"/>
        <family val="2"/>
        <scheme val="minor"/>
      </rPr>
      <t>Release Version</t>
    </r>
    <r>
      <rPr>
        <sz val="11"/>
        <color theme="0"/>
        <rFont val="Calibri"/>
        <family val="2"/>
        <scheme val="minor"/>
      </rPr>
      <t xml:space="preserve"> above for the column in the history (an analysis might get updated and imported into a new template with a higher release version).</t>
    </r>
  </si>
  <si>
    <t>Template Release</t>
  </si>
  <si>
    <t>CM2a</t>
  </si>
  <si>
    <t>CM2b</t>
  </si>
  <si>
    <t>The product's software is developed in compliance with the required activities according to IEC 62443.</t>
  </si>
  <si>
    <t>&lt;= six months: The attacker must invest significant time to find a vulnerability, as easily detectable vulnerabilities are typically found and closed during development
Multiple Experts: The attackers must understand how to find exploits and develop exploits in tested code
Restricted: The attacker need knowledge about the product to find vulnerabilities. Note that this knowledge might be obtained by reverse engineering
Note that software security also requires and includes the ability to update the product if vulnerabilities become known.</t>
  </si>
  <si>
    <t>Abusing the lack of a software update functionality to exploit an unpatched vulnerability</t>
  </si>
  <si>
    <t>The product's expected lifetime exceeds the support duration.</t>
  </si>
  <si>
    <t>QI Text Support Time Too Short</t>
  </si>
  <si>
    <t>QI ID Support Time Too Short</t>
  </si>
  <si>
    <t>Attacking the product's internal gateway from the Internet</t>
  </si>
  <si>
    <t>Attacking a customer network from another customer network via the product's internal gateway</t>
  </si>
  <si>
    <t>SDL IEC 62443 Cybersecurity</t>
  </si>
  <si>
    <t>Removes damage scenarios not plausible when the customer acts as an attacker.
Note that safety-related aspects are not covered in this assumption, as people might wish to circumvent safety measures to "optimize" processes.</t>
  </si>
  <si>
    <t>DS6, DS10</t>
  </si>
  <si>
    <t>Allows customers to apply the principle of least privilege, preventing workers from disabling safety measures on purpose.</t>
  </si>
  <si>
    <t>Enter the string of confirmed assumptions and countermeasures.</t>
  </si>
  <si>
    <r>
      <t xml:space="preserve">Calculated: Lists the risks as defined in the </t>
    </r>
    <r>
      <rPr>
        <i/>
        <sz val="11"/>
        <color theme="0"/>
        <rFont val="Calibri"/>
        <family val="2"/>
        <scheme val="minor"/>
      </rPr>
      <t>Risks</t>
    </r>
    <r>
      <rPr>
        <sz val="11"/>
        <color theme="0"/>
        <rFont val="Calibri"/>
        <family val="2"/>
        <scheme val="minor"/>
      </rPr>
      <t xml:space="preserve"> sheet. Enlarge the table if red lines are visible to list all risks.</t>
    </r>
  </si>
  <si>
    <t>Planned Countermeasures and Assumptions</t>
  </si>
  <si>
    <t>Risk Level
(Planned)</t>
  </si>
  <si>
    <t>Confirmed Countermeasures and Assumptions</t>
  </si>
  <si>
    <t>Confirm:</t>
  </si>
  <si>
    <t>Calculated: Shows all IDs of planned countermeasures and assumptions that are not confirmed by the entry above.</t>
  </si>
  <si>
    <t>This is typically used for countermeasures and assumptions that do not have catalog IDs.</t>
  </si>
  <si>
    <t>Calculated: Calculates the damage scenarios under the damage transformation effects of the planned countermeasures and assumptions.</t>
  </si>
  <si>
    <t>Calculated: Provides the factor explanation including the planned countermeasures and assumptions.</t>
  </si>
  <si>
    <t>Calculated: Provides the required attack potential with the planned countermeasures and assumptions.</t>
  </si>
  <si>
    <t>Calculated: Provides the remaining risk, given the calculated damage level and RAP with the planned countermeasures and assumptions.</t>
  </si>
  <si>
    <t>Calculated: Provides the remaining risk, given the calculated damage level and RAP with the confirmed countermeasures and assumptions.</t>
  </si>
  <si>
    <t>Calculated: Lists the planned countermeasures and assumptions.</t>
  </si>
  <si>
    <t>Calculated: Lists the confirmed countermeasures and assumptions.</t>
  </si>
  <si>
    <t>Note that these represent a subset of the planned countermeasures and assumptions.</t>
  </si>
  <si>
    <t>Calculated: Calculates the damage scenarios under the damage transformation effects of the confirmed countermeasures and assumptions.</t>
  </si>
  <si>
    <t>Calculated: Provides the factor explanation including the confirmed countermeasures and assumptions.</t>
  </si>
  <si>
    <t>Calculated: Provides the required attack potential with the confirmed countermeasures and assumptions.</t>
  </si>
  <si>
    <t>Own ID for Catalog Lookup</t>
  </si>
  <si>
    <t>Planned C&amp;A</t>
  </si>
  <si>
    <t>All Countermeasures and Assumptions</t>
  </si>
  <si>
    <t>Assigned Mitigations</t>
  </si>
  <si>
    <t>Planned Inline C&amp;A</t>
  </si>
  <si>
    <t>Confirmed C&amp;A</t>
  </si>
  <si>
    <t>Confirmed Inline C&amp;A</t>
  </si>
  <si>
    <t>Confirmed C&amp;A by Catalog Import Search</t>
  </si>
  <si>
    <t>All Confirmed C&amp;A List</t>
  </si>
  <si>
    <t>Confirmed C&amp;A by Catalog Import</t>
  </si>
  <si>
    <r>
      <t xml:space="preserve">Confirm additional assumptions and countermeasures here. </t>
    </r>
    <r>
      <rPr>
        <sz val="11"/>
        <color rgb="FFFFB9B9"/>
        <rFont val="Calibri"/>
        <family val="2"/>
        <scheme val="minor"/>
      </rPr>
      <t>Important: Ensure that these are / will be implemented!</t>
    </r>
  </si>
  <si>
    <t>T-ET</t>
  </si>
  <si>
    <t>T-EX</t>
  </si>
  <si>
    <t>T-KT</t>
  </si>
  <si>
    <t>T-WO</t>
  </si>
  <si>
    <t>T-EQ</t>
  </si>
  <si>
    <t>T-ET-val</t>
  </si>
  <si>
    <t>T-EX-val</t>
  </si>
  <si>
    <t>T-KT-val</t>
  </si>
  <si>
    <t>T-WO-val</t>
  </si>
  <si>
    <t>T-EQ-val</t>
  </si>
  <si>
    <t>T-SUM</t>
  </si>
  <si>
    <t>T-RAP-Calculated</t>
  </si>
  <si>
    <t>T-RAP-Inline</t>
  </si>
  <si>
    <t>T-RAP</t>
  </si>
  <si>
    <t>T-Risk Level</t>
  </si>
  <si>
    <t>T-Risk Value</t>
  </si>
  <si>
    <t>Confirmed Countermeasures in Tracing</t>
  </si>
  <si>
    <t>CT-ET</t>
  </si>
  <si>
    <t>CT-EX</t>
  </si>
  <si>
    <t>CT-KT</t>
  </si>
  <si>
    <t>CT-WO</t>
  </si>
  <si>
    <t>CT-EQ</t>
  </si>
  <si>
    <t>CT-ET-val</t>
  </si>
  <si>
    <t>CT-EX-val</t>
  </si>
  <si>
    <t>CT-KT-val</t>
  </si>
  <si>
    <t>CT-WO-val</t>
  </si>
  <si>
    <t>CT-EQ-val</t>
  </si>
  <si>
    <t>Planned Inline C&amp;A Full</t>
  </si>
  <si>
    <t>Confirmed Inline C&amp;A Full</t>
  </si>
  <si>
    <t>CT-DL after transformation</t>
  </si>
  <si>
    <t>CT-New Damage Level</t>
  </si>
  <si>
    <t>CT-Damage Transformation</t>
  </si>
  <si>
    <t>CT-Transformed DS IDs</t>
  </si>
  <si>
    <t>Not confirmed by import:</t>
  </si>
  <si>
    <t>Catalog import:</t>
  </si>
  <si>
    <t># Mitigation Rows:</t>
  </si>
  <si>
    <t># Active Mitigations:</t>
  </si>
  <si>
    <t>Is Last?</t>
  </si>
  <si>
    <t>Assumptions and Countermeasures Table not big enough</t>
  </si>
  <si>
    <t>A41</t>
  </si>
  <si>
    <t>If the product's Internet connectivity / connection over a mobile network is lost, then only quality-related damages occur, but no safety-related damages or damages regarding the product's core functionality and its operational environment happen.</t>
  </si>
  <si>
    <t>DS6, DS7, DS8</t>
  </si>
  <si>
    <t>This differentiates loss of availability for the product from loss of availability of the product's external communication.</t>
  </si>
  <si>
    <t>Does the product have cameras or other sensors that can potentially recognize people?</t>
  </si>
  <si>
    <t>Component shall
* provide an immutable source of trust leveraging hardware-based security and;
* enforce authentication of
   - mutable code by the immutable source on every boot;
   - the bootloader;
* use either a public key or a hash of a public key;
* support deactivation of public keys whose private key has been leaked or misused and activation
of a spare public key
Component should
* provision sufficient space for keys;
* support renewal of secure boot keys.</t>
  </si>
  <si>
    <t>Product Life Time / Support Duration</t>
  </si>
  <si>
    <t>Defines the options for the product life time and the support duration.</t>
  </si>
  <si>
    <t>C31</t>
  </si>
  <si>
    <t>CR 1.10 – Authenticator feedback</t>
  </si>
  <si>
    <t>C32</t>
  </si>
  <si>
    <t>C33</t>
  </si>
  <si>
    <t>SCR 1.1 - Processed personal data</t>
  </si>
  <si>
    <t>C34</t>
  </si>
  <si>
    <t>SCR 1.2 - Telemetry data</t>
  </si>
  <si>
    <t>SCR 2.1 - Device Firewall</t>
  </si>
  <si>
    <t>The component shall
* be capable of filtering incoming and outgoing network traffic as well as information which is forwarded from one to another interface based on pre-defined rules.
* be delivered in a known secure state that allows only traffic that is necessary for one of its functions.
The component should analyze packets at multiple layers (e.g. IP, TCP, UDP) and either allow or block traffic based on criteria like port number, protocol, and source/destination IP address.
The component should provide an interface to configure the firewall settings, including the removal of settings and the possibility to restore known secure settings.</t>
  </si>
  <si>
    <t>Prevents an attacker from reading confidential information by data extraction from the storage medium. This requires hardware security to store the secret key securely, as otherwise, an attacker can simply extract the key from memory and then decrypt the data
None: The attacker can only extract encrypted data from the hard disk. Note that the attacker might attack the key stored in hardware to decrypt the data. Consequently, this control requires hardware protection mechanisms for the cryptographic material</t>
  </si>
  <si>
    <t>SCR 2.2 - Hardware based Storage Encryption</t>
  </si>
  <si>
    <t>The component shall,
provide storage encryption with hardware security mechanisms to ensure the confidentiality and integrity of data at rest;
adhere to industry-standard cryptographic algorithms and provide key management functionalities that adhere to best practices for secure storage of encryption keys as outlined in the "Cryptographic algorithms and keylength in products";
The implementation must ensure that encryption keys are stored securely within dedicated hardware modules only, such as Trusted Platform Modules (TPM) or Hardware Security Modules (HSM), to prevent unauthorized access and tampering.
Generally, the implementation of cryptography must follow the guideline on "Cryptographic algorithms and keylength in products";</t>
  </si>
  <si>
    <t>SCR 2.3 - Password based authentication (human)</t>
  </si>
  <si>
    <t>Components shall,
provide authentication with username and password as an authentication method for all human user accounts;
enforce password complexity rules (if provided);
allow for password change for all human user accounts;
Components may,
provide the component owner the possibility to define password complexity rules for human users; including a minimum password length;</t>
  </si>
  <si>
    <t>SCR 2.4 - Authentication with certificates (human)</t>
  </si>
  <si>
    <t>Components shall,
provide authentication with certificates as an authentication method for all human user accounts;
provide the capability to add and remove certificates to individual human user accounts;
authenticate human users only with certificates signed by Certificate Authorities that are configured as trusted;
support integration into enrollment, renewal, and revocation of certificates processes of a pki (if applicable);
validate certificates upon each authentication attempt;
determine valid certificates by checking the certificate's validity period, revocation status, and the authenticity of the issuing CA;
store certificates securely, adhering to the crypto policy;</t>
  </si>
  <si>
    <t>QI ID Error Text</t>
  </si>
  <si>
    <t>QI ID Error ID</t>
  </si>
  <si>
    <t>The product communicates over a secure channel where the product is authenticated and the channel ensures the integrity and the confidentiality of the outgoing data.
Given state-of-the-art protocols, cryptographic algorithms, and parameters, an attacker cannot access transmitted data within a reasonable time frame</t>
  </si>
  <si>
    <t>The component shall
* have the capability to establish a secure channel to safeguard the integrity, authenticity and the confidentiality of transmitted data;
* authenticate itself to the communication partner.</t>
  </si>
  <si>
    <t>* The component shall be made available without any usable debug functionalities;
* If debug functionalities are meant to be activatable in the field, the procedure to do so shall require appropriate authorization.</t>
  </si>
  <si>
    <t>SCR 2.5 - Secure boot</t>
  </si>
  <si>
    <t>SCR 2.7 - Close debug interfaces</t>
  </si>
  <si>
    <t>SCR 2.6 - Secure channel with product authentication</t>
  </si>
  <si>
    <t>SCR 2.8 - Obfuscation</t>
  </si>
  <si>
    <t>The component shall be made available with adequately obfuscated parts of software and configuration such that it maintains functionality while increasing the difficulty for users to understand or replicate the underlying logic and design.</t>
  </si>
  <si>
    <t>SCR 2.9 - Secure channel with communication partner authentication</t>
  </si>
  <si>
    <t>The component shall
* have the capability to provide a secure channel to safeguard the integrity and the confidentiality of data received;
* accept data only from authenticated communication partners.</t>
  </si>
  <si>
    <t>SCR 2.10 - Password-based authentication (machine)</t>
  </si>
  <si>
    <t>Components shall
* provide an authentication mechanism based on a password for all machine-to-machine access;
* allow for password change used for the machine-to-machine access by accordingly privileged users;
unless excluded by a compulsory state of the art specification.</t>
  </si>
  <si>
    <t>SCR 2.11 - Secure Wi-Fi</t>
  </si>
  <si>
    <t>The component shall allow configurations in which a known secure Wi-Fi standard is used.</t>
  </si>
  <si>
    <t>A secure Wi-Fi channel protects against attacks on the product's wireless communication, using, e.g., WPA3</t>
  </si>
  <si>
    <t>SCR 2.12 - Trusted Execution Environment (TEE)</t>
  </si>
  <si>
    <t>The component shall
* support hardware-based isolation to run trusted and untrusted code in separate environments;
* have the capability to provide cryptographic proof that its execution environment is untampered;
* only include cryptographic modules within the TEE that are compliant with FIPS 140-2 or equivalent.
The TEE should be isolated from the main operating system, with access controlled by hardware-level security mechanisms.</t>
  </si>
  <si>
    <t>SCR 2.13 - Public key-based authentication at debug interfaces</t>
  </si>
  <si>
    <t>The component shall
* provide authentication based on public key as an authentication method for all debug interfaces;
* provide the capability to add and remove keys related to those debug interfaces;
* authenticate humans only with keys signed by certificate authorities that are configured as trusted;
* support integration into enrollment, renewal, and revocation of key processes of a pki;
* validate keys upon each authentication attempt;
* determine valid keys by checking at least the key's validity period, revocation status, and the authenticity of the issuing CA;
* store key pairs securely, adhering to the crypto policy;
* provide the user with a second factor to approve any access for all active debug interfaces.</t>
  </si>
  <si>
    <t>SCR 2.14 - Password-based authentication at debug interfaces</t>
  </si>
  <si>
    <t>Components shall
* provide authentication with a password as an authentication method for all debug interfaces;
* allow for password change for the password associated with the debug interfaces;
* provide the user with a second factor to approve any access for all debug interfaces;
* The authentication method provided by the component may require an username;</t>
  </si>
  <si>
    <t>SCR 2.15 - Patents</t>
  </si>
  <si>
    <t>The component shall
* be made available only if a patent has been filed for the essential parts of the intellectual property contained in it or;
* be made available only under an appropriate license, or both;</t>
  </si>
  <si>
    <t>SCR 2.16 - Authentication with certificates (machine)</t>
  </si>
  <si>
    <t>Components shall
* provide authentication with certificates as an authentication method for all machine user accounts;
* provide the capability to add and remove certificates to individual machine user accounts;
* authenticate machine users only with certificates signed by Certificate Authorities that are configured as trusted;
* support integration into enrollment, renewal, and revocation of certificates processes of a pki (if applicable);
* validate certificates upon each authentication attempt;
* determine valid certificates by checking the certificate's validity period, revocation status, and the authenticity of the issuing CA;
* store certificates securely, adhering to the crypto policy.</t>
  </si>
  <si>
    <t>Depending on the type of product, the following requirements apply:
SAR 3.2 – Protection from malicious code
The application product supplier shall qualify and document which protection from malicious code mechanisms are compatible with the application and note any special configuration requirements.
EDR 3.2 – Protection from malicious code
The embedded device shall provide the capability to protect from installation and execution of unauthorized software.
HDR 3.2 – Protection from malicious code
There shall be mechanisms on host devices that are qualified by the IACS product supplier to provide protection from malicious code. The IACS product supplier shall document any special configuration requirements related to protection from malicious code.
NDR 3.2 – Protection from malicious code
The network device shall provide for protection from malicious code.</t>
  </si>
  <si>
    <t>Depending on the type of product, the following requirements apply:
EDR 2.13 – Use of physical diagnostic and test interfaces
Embedded devices shall protect against unauthorized use of the physical factory diagnostic and test interface(s) (e.g. JTAG debugging).
HDR 2.13 – Use of physical diagnostic and test interfaces
Host devices shall protect against unauthorized use of the physical factory diagnostic and test interface(s) (e.g. JTAG debugging).
NDR 2.13 – Use of physical diagnostic and test interfaces
Network devices shall protect against unauthorized use of the physical factory diagnostic and test interface(s) (e.g. JTAG debugging).</t>
  </si>
  <si>
    <t>Depending on the type of product, the following requirements apply:
EDR 3.10 – Support for updates
The embedded device shall support the ability to be updated and upgraded.
HDR 3.10 – Support for updates
Host devices shall support the ability to be updated and upgraded.
NDR 3.10 – Support for updates
Network devices shall support the ability to be updated and upgraded.
AS40 specifically targets systems that do not receive updates. Consequently, this countermeasure removes the Window of Opportunity for AS40, but does not prevent reliably against vulnerabilities in general.</t>
  </si>
  <si>
    <t>C35</t>
  </si>
  <si>
    <t>EDR 3.14 / HDR 3.14 / NDR 3.14 – Integrity of the boot process</t>
  </si>
  <si>
    <t>A42</t>
  </si>
  <si>
    <t>SDR 1.1 – List all network traffic</t>
  </si>
  <si>
    <t>The user documentation shall contain a list of all intended network connections together with an appropriate high-level description including its associated use case and destination.</t>
  </si>
  <si>
    <t>SDR 1.2 – Handling of personal data</t>
  </si>
  <si>
    <t>The user documentation shall state
* that the product does not have the capability to appropriately protect personal data and/or is not intended to handle personal data;
* that the user shall ensure that data collected by the solution is handled in compliance with data protection regulations (e.g. GDPR, DSGVO).</t>
  </si>
  <si>
    <t>SDR 1.3 – Product cannot film people</t>
  </si>
  <si>
    <t>The user documentation shall state that the sensor’s input field or the camera’s field of vision can not be positioned by the operator in a way that could create artifacts capable of identifying people.</t>
  </si>
  <si>
    <t>The customer buying the product can understand the intended communication of the product.</t>
  </si>
  <si>
    <t>SDR 1.4 – Privacy-compliant handling of camera data</t>
  </si>
  <si>
    <t>Requirements</t>
  </si>
  <si>
    <t>Provided the requirements resulting from active assumptions, such as required entries in the product documentation.</t>
  </si>
  <si>
    <t>SDR 1.5 – Product is not used for safety-relevant use cases</t>
  </si>
  <si>
    <t>The user documentation shall state that the product is not intended to be applied in safety-relevant use cases.</t>
  </si>
  <si>
    <t>SDR 1.6 – Product not relevant for availability of operational environment</t>
  </si>
  <si>
    <t>The user documentation shall state that the product must not be used in such a way that the loss of availability negatively impacts its operational environment.</t>
  </si>
  <si>
    <t xml:space="preserve">SDR 1.7 – Limited damages in case of loss of availability </t>
  </si>
  <si>
    <t>SDR 1.8 – Limited damages in case of a loss of integrity of the product</t>
  </si>
  <si>
    <t>SDR 1.9 – Not used for access control</t>
  </si>
  <si>
    <t>The contractual document with the user shall contain,
a limitation/waiver for liability of damages to the operational environment due to the loss of availability by the product.</t>
  </si>
  <si>
    <t>The contractual document with the user shall contain,
 a limitation/ waiver for liability of damages to the operational environment due to the loss of integrity of the product as the potential impact is neither considered far reaching nor serious in criticality.</t>
  </si>
  <si>
    <t>The user documentation shall state
that using the product outside of the specified applications may impose cybersecurity risks to the product and its operational environment</t>
  </si>
  <si>
    <t>SDR 1.10 – Device operates in trustworthy operational environment</t>
  </si>
  <si>
    <t>SDR 1.11 – Trustworthy communication partner</t>
  </si>
  <si>
    <t>SDR 1.12 – Product inaccessible</t>
  </si>
  <si>
    <t>SDR 1.13 – Area with restricted access</t>
  </si>
  <si>
    <t>SDR 1.14 – Communication media located in restricted access area</t>
  </si>
  <si>
    <t>The user documentation shall state that the customer must ensure a secure operational environment for the device including a continuous assessment for indicators of compromise.</t>
  </si>
  <si>
    <t>The user documentation shall state that the customer must ensure the trustworthiness and integrity of the device's communication partners.</t>
  </si>
  <si>
    <t>The user documentation shall state that the product is intended to be installed in a place with protection measures preventing physical access.</t>
  </si>
  <si>
    <t>The user documentation shall state that the customer must ensure that the area where the product is located is protected against unauthorized physical access.</t>
  </si>
  <si>
    <t>The user documentation shall state that the customer must ensure that the area where the product's communication media are located is protected against unauthorized physical access.</t>
  </si>
  <si>
    <t>SDR 1.15 – Password security</t>
  </si>
  <si>
    <t>SDR 1.16 – Private key security</t>
  </si>
  <si>
    <t>The user documentation shall state
that the customer must ensure adequate password strength and protection of those passwords against unauthorized access.</t>
  </si>
  <si>
    <t>The user documentation shall state
that the customer shall ensure adequate protection for any private key related to the product owned by the customer against unauthorized access.</t>
  </si>
  <si>
    <t>SDR 1.17 - Sensing capabilities</t>
  </si>
  <si>
    <t>The customer buying the product can understand the sensing capabilities of the product.</t>
  </si>
  <si>
    <t>A43</t>
  </si>
  <si>
    <t>SDR 1.18 - Well-protected trustworthy wireless network</t>
  </si>
  <si>
    <t>The user documentation shall state that the product is intended to be operated only with connections to a trustworthy and sufficiently protected wireless network whose provision and secure operation of networks is the sole responsibility of the customer.</t>
  </si>
  <si>
    <t>SDR 1.19 - Physical destruction</t>
  </si>
  <si>
    <t>The user documentation shall state that the product is incapable of protecting its functionality against violent acts with massive physical force.</t>
  </si>
  <si>
    <t>SDR 1.20 - Least privilege for provided credentials</t>
  </si>
  <si>
    <t>SDR 1.21 - Product not storing secrets</t>
  </si>
  <si>
    <t>The user documentation shall state that the product does not store any cryptographic secrets and such data can not be extracted from the product or misused by an attacker.</t>
  </si>
  <si>
    <t>SDR 1.22 - The product does not communicate any confidential data to an external communication partner</t>
  </si>
  <si>
    <t>SDR 1.23 - The product does not send any sensitive data to external communication partners over the Internet or a mobile network</t>
  </si>
  <si>
    <t>SDR 1.24 - The product does not receive any sensitive data (except updates / configuration / debug communication) from external communication partners over the Internet or a mobile network</t>
  </si>
  <si>
    <t>SDR 1.25 - The product does not transmit confidential cryptographic material (such as passwords)</t>
  </si>
  <si>
    <t>SDR 1.26 - The customer ensures that a loss of wireless communication with the product is manageable</t>
  </si>
  <si>
    <t>The user documentation shall state that the product does not send any confidential data to communication partners and therefore can not be extracted from communication of  the product or misused by an attacker.</t>
  </si>
  <si>
    <t>The user documentation shall state that the product does not receive any sensitive data from external communication partners via the Internet or mobile network, except for data related to updates, configuration, or debug communication.</t>
  </si>
  <si>
    <t>The user documentation shall state that the product does not transmit confidential cryptographic material (such as passwords, private keys, or other sensitive information) over networks or any other communication channels.</t>
  </si>
  <si>
    <t>The user documentation shall state that the customer ensures the loss of wireless communication with the product is manageable.</t>
  </si>
  <si>
    <t>SDR 1.27 - The product has no access to personal data</t>
  </si>
  <si>
    <t>SDR 1.28 - The product cannot affect the availability of its operational environment</t>
  </si>
  <si>
    <t>The user documentation shall state
that the product has no access to personal data. The product is designed to operate without collecting, storing, or processing any personal information.</t>
  </si>
  <si>
    <t>The user documentation shall state
that the product cannot affect the availability of its operational environment;</t>
  </si>
  <si>
    <t>SDR 1.29 - Loss of external connectivity (Internet, mobile network) only leads to quality-related issues</t>
  </si>
  <si>
    <t>The user documentation shall state that the product continues to function even in the event of a loss of external connectivity (e.g., Internet or mobile network), but may experience quality-related issues. These could include reduced performance, delays, or degraded service in certain features that rely on real-time connectivity. The reliability of the system and core functionalities that do not depend on external connections remain unaffected.</t>
  </si>
  <si>
    <t>SDR 2.1 – No legal or contractual obligations for data confidentiality</t>
  </si>
  <si>
    <t>The contractual document shall not contain obligations to protect confidentiality for data other than personally identifiable information, which is processed by the product.</t>
  </si>
  <si>
    <t>SDR 2.2 – No contractual obligations regarding product availability</t>
  </si>
  <si>
    <t>SDR 2.3 – No legal or contractual obligations for product integrity</t>
  </si>
  <si>
    <t>The contractual document shall not contain compensations in the case that the solution's availability is affected by a cybersecurity incident.</t>
  </si>
  <si>
    <t>The contractual document shall not contain contractual fines in the case that the solution's integrity gets affected in the event of solution tampering.</t>
  </si>
  <si>
    <t>SDR 2.4 – Secure production</t>
  </si>
  <si>
    <t>SDR 2.5 – Secure supply chain</t>
  </si>
  <si>
    <t>SDR 2.6 - Limited accessibility of short-range wireless communication</t>
  </si>
  <si>
    <t>The component shall be designed in a way that all available wireless interfaces are only suitable for short-range communication (less than 10m) either by their nature or by reducing signal strength.</t>
  </si>
  <si>
    <t>SDR 2.7 - Scope for customer-based attacks</t>
  </si>
  <si>
    <t>SDR 2.8 - No authentication over the IP stack possible</t>
  </si>
  <si>
    <t>SDR 2.9 - No configuration interface required</t>
  </si>
  <si>
    <t>The component shall be designed in a way
that no authentication shall be possible over the IP stack;</t>
  </si>
  <si>
    <t>The component shall be designed in a way
that the component shall not provide a configuration interface;</t>
  </si>
  <si>
    <t>SDR 2.10 - The product is delivered with a secure by default configuration</t>
  </si>
  <si>
    <t>The technical documentation and production steps documentation shall ensure and document that the product is delivered in a known-secure state.</t>
  </si>
  <si>
    <t>Decades: This countermeasure increases the time required for a successful brute-force attack significantly.</t>
  </si>
  <si>
    <t>None: After using the factory reset, extracting customer-specific information from the device is no longer possible</t>
  </si>
  <si>
    <t>l</t>
  </si>
  <si>
    <t>m</t>
  </si>
  <si>
    <t>provide the possibility for users to securely and easily remove on a permanent basis all data and settings and, where such data can be transferred to other products or systems, ensure that this is done in a secure manner</t>
  </si>
  <si>
    <t>be made available on the market without known exploitable vulnerabilities</t>
  </si>
  <si>
    <t>be made available on the market with a secure by default configuration, unless otherwise agreed between manufacturer and business user in relation to a tailor-made product with digital elements, including the possibility to reset the product to its original state</t>
  </si>
  <si>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</si>
  <si>
    <t>ensure protection from unauthorised access by appropriate control mechanisms, including but not limited to authentication, identity or access management systems, and report on possible unauthorised access</t>
  </si>
  <si>
    <t>protect the confidentiality of stored, transmitted or otherwise processed data, personal or other, such as by encrypting relevant data at rest or in transit by state of the art mechanisms, and by using other technical means</t>
  </si>
  <si>
    <t>protect the integrity of stored, transmitted or otherwise processed data, personal or other, commands, programs and configuration against any manipulation or modification not authorised by the user, and report on corruptions</t>
  </si>
  <si>
    <t>process only data, personal or other, that are adequate, relevant and limited to what is necessary in relation to the intended purpose of the product with digital elements (data minimisation)</t>
  </si>
  <si>
    <t>protect the availability of essential and basic functions, also after an incident, including through resilience  and mitigation measures against denial-of-service attacks</t>
  </si>
  <si>
    <t>minimise the negative impact by the products themselves or connected devices on the availability of services provided by other devices or networks</t>
  </si>
  <si>
    <t>provide security related information by recording and monitoring relevant internal activity, including the access to or modification of data, services or functions, with an opt-out mechanism for the user</t>
  </si>
  <si>
    <t>e, f</t>
  </si>
  <si>
    <t>j, k</t>
  </si>
  <si>
    <t>e, f, j</t>
  </si>
  <si>
    <t>g, j</t>
  </si>
  <si>
    <t>Mapping to CRA, Annex I (1.2)</t>
  </si>
  <si>
    <t>a, k</t>
  </si>
  <si>
    <t>d, l</t>
  </si>
  <si>
    <t>d, e, f</t>
  </si>
  <si>
    <t>Recovery and reconstitution allows the product to quickly become operational again after an incident</t>
  </si>
  <si>
    <t>Circumventing a protected boot process without hardware protection is non-trivial, but possible.</t>
  </si>
  <si>
    <t>The product does not process data from an external communication partner and consequently cannot be attacked by the communication partner (except for attacking vulnerabilities / configuration interfaces, which are covered by attacks not affected by this countermeasure)</t>
  </si>
  <si>
    <t>QA1[Yes]</t>
  </si>
  <si>
    <t>The user documentation shall list all external sensing capabilities of the device in an accessible way that is clear and transparent.</t>
  </si>
  <si>
    <t>AS40 specifically targets systems that do not receive updates. Consequently, this countermeasure removes the Window of Opportunity for AS40, but does not prevent reliably against vulnerabilities in general.</t>
  </si>
  <si>
    <t>QI6[*]</t>
  </si>
  <si>
    <t>A loss of availability of the product does not cause safety-related damages. This may imply that the product has mechanisms to ensure that it enters a fail-safe state on error (potentially enabling its operational environment to handle the loss of availability).</t>
  </si>
  <si>
    <t>The user documentation shall state that the customer ensures the implementation of least privilege when providing credentials.</t>
  </si>
  <si>
    <t>QI5[*]</t>
  </si>
  <si>
    <t>No protection</t>
  </si>
  <si>
    <t>Internal production - only access control</t>
  </si>
  <si>
    <t>Internal production according to IT requirements</t>
  </si>
  <si>
    <t>Internal validated production (e.g., ISACA OT-Check)</t>
  </si>
  <si>
    <t>Certified production (e.g., IEC 62443)</t>
  </si>
  <si>
    <t>Software: Internal Audit</t>
  </si>
  <si>
    <t>Software: ISO-certified</t>
  </si>
  <si>
    <t>Established supplier (several years of positive cooperation, sufficient size) (Open source alternative: git with regular updates)</t>
  </si>
  <si>
    <t>Renowned supplier (internationally well-known) (Open Source: large renowned project)</t>
  </si>
  <si>
    <t>Supplier agreed to cybersecurity requirements in a contract (Open source alternative: Foundation / open source steward)</t>
  </si>
  <si>
    <t>Supplier is audited (by the Q-department)</t>
  </si>
  <si>
    <t>Supplier is certified</t>
  </si>
  <si>
    <t>e, g</t>
  </si>
  <si>
    <t>b, h, k</t>
  </si>
  <si>
    <t>Note that providing an empty list is a valid option if the product is not supposed to communicate over a network.</t>
  </si>
  <si>
    <t>Can a manipulated product cause contract-related / legal fines? (Note that this concerns individual obligations, not the standard product warranty).</t>
  </si>
  <si>
    <t>The attacker must understand how to access the debug interface (Proficient), where the interface can be accessed and how (Restricted), and the right hardware to do it (Specialized).</t>
  </si>
  <si>
    <t>DS1, DS2, DS4, DS5, DS7, DS8, DS9, DS10, DS11, DS13, DS14, DS15, DS16</t>
  </si>
  <si>
    <t>&lt;= one week: The attacker needs time to find exploitable features in the firewall's configuration
Expert: The attacker requires understanding of network components
Restricted: The attacker must obtain or probe the configuration
Difficult: The attacker must find a way to circumvent the firewall or VLAN</t>
  </si>
  <si>
    <t>QI7[Yes|*], QI14[Yes|*]</t>
  </si>
  <si>
    <t>Filtered Preconditions</t>
  </si>
  <si>
    <t>Damage Scenario with Damage Level</t>
  </si>
  <si>
    <t>AS24, AS30</t>
  </si>
  <si>
    <t>Extracting information from a decommissioned or second-hand device's persistent memory</t>
  </si>
  <si>
    <t>AS41</t>
  </si>
  <si>
    <t>Extracting information from a decommissioned or second-hand device's RAM</t>
  </si>
  <si>
    <t>CSV: Reference answers in the Questionnaire sheet that are required for making this attack step active. If no answers are referenced, then prerequisite attack steps should be considered.</t>
  </si>
  <si>
    <t>&lt;= six months: It takes a while to create a proper setup for reading out RAM of another device
Expert: The attack is sophisticated
Restricted: The attacker needs to know or reverse-engineer the memory layout to interpret the data
Unnecessary / unlimited access: The attacker has full access to the device
Specialized: The attacker needs non-standard equipment for the attack</t>
  </si>
  <si>
    <t>AS30, AS41</t>
  </si>
  <si>
    <t>SDR 1.5 - The product's availability is not relevant for safety</t>
  </si>
  <si>
    <t>C30a</t>
  </si>
  <si>
    <t>CR 7.3 – Control system backup</t>
  </si>
  <si>
    <t>Backups allow the product to quickly become operational again after an incident</t>
  </si>
  <si>
    <t>QA2[Yes|*], QA6[Yes], QA14[Yes] &amp; QA15[Yes]</t>
  </si>
  <si>
    <t>Currently not in use.</t>
  </si>
  <si>
    <t>Supply Chain Answers</t>
  </si>
  <si>
    <t>Answer</t>
  </si>
  <si>
    <t>The answer options for QA19 (supply chain partners are trustworthy, not trustworthy, or no supply chain partners exist).</t>
  </si>
  <si>
    <t>N/A</t>
  </si>
  <si>
    <t>Not applicable: no supplier</t>
  </si>
  <si>
    <t>The suppliers are trustworthy</t>
  </si>
  <si>
    <t>At least one supplier is not trusted</t>
  </si>
  <si>
    <t>Provide the letters of entries from the CRA, Annex I (1.2) related to this attack step.</t>
  </si>
  <si>
    <t>Provide the letters of entries from the CRA, Annex I (1.2) related to this assumption.</t>
  </si>
  <si>
    <t>Provide the letters of entries from the CRA, Annex I (1.2) related to this countermeasure.</t>
  </si>
  <si>
    <t>Lists all letters structuring Annex I 1.2 of the Cyber Resilience Act.</t>
  </si>
  <si>
    <r>
      <t xml:space="preserve">Calculated: Lists the IDs of countermeasures and assumptions implementing these requirements, based on
* The entries in the </t>
    </r>
    <r>
      <rPr>
        <i/>
        <sz val="11"/>
        <color theme="0"/>
        <rFont val="Calibri"/>
        <family val="2"/>
        <scheme val="minor"/>
      </rPr>
      <t>Assumptions</t>
    </r>
    <r>
      <rPr>
        <sz val="11"/>
        <color theme="0"/>
        <rFont val="Calibri"/>
        <family val="2"/>
        <scheme val="minor"/>
      </rPr>
      <t xml:space="preserve"> and </t>
    </r>
    <r>
      <rPr>
        <i/>
        <sz val="11"/>
        <color theme="0"/>
        <rFont val="Calibri"/>
        <family val="2"/>
        <scheme val="minor"/>
      </rPr>
      <t xml:space="preserve">Countermeasures </t>
    </r>
    <r>
      <rPr>
        <sz val="11"/>
        <color theme="0"/>
        <rFont val="Calibri"/>
        <family val="2"/>
        <scheme val="minor"/>
      </rPr>
      <t xml:space="preserve">sheets, assigning the respective elements to each other, as well as
* by following these relations:
assumption/countermeasure |-- mitigates --&gt; attack step |-- is assigned to (in the </t>
    </r>
    <r>
      <rPr>
        <i/>
        <sz val="11"/>
        <color theme="0"/>
        <rFont val="Calibri"/>
        <family val="2"/>
        <scheme val="minor"/>
      </rPr>
      <t>Attack Steps</t>
    </r>
    <r>
      <rPr>
        <sz val="11"/>
        <color theme="0"/>
        <rFont val="Calibri"/>
        <family val="2"/>
        <scheme val="minor"/>
      </rPr>
      <t xml:space="preserve"> sheet) --&gt; Annex I 1.2 entry.</t>
    </r>
  </si>
  <si>
    <t>Missing meta-information
(Note that for the change history this only checks if it contains at least one entry.)</t>
  </si>
  <si>
    <t xml:space="preserve">{
"[#1]": [
[#2]
]
},
</t>
  </si>
  <si>
    <t>Denial of service protection limits the effects of an active DoS attack and ensures that the product can recover after the attack. It makes it more difficult for an attacker to effectively run a denial of service attack against the product.</t>
  </si>
  <si>
    <t>A44</t>
  </si>
  <si>
    <t>Network monitoring</t>
  </si>
  <si>
    <t>The customer monitors relevant networks and manages network outages, including denial-of-service attacks on networks.</t>
  </si>
  <si>
    <t>DS7, DS9, DS17, DS18</t>
  </si>
  <si>
    <t>Does the product connect two networks to each other (e.g., as a gateway)?</t>
  </si>
  <si>
    <t>QA5[Yes|*], QA6[Yes|*]</t>
  </si>
  <si>
    <t>Decades: Given state-of-the-art protocols, cryptographic algorithms, and parameters, an attacker cannot access transmitted data within a reasonable time frame.
Note that "to protect the confidentiality of information at rest for which explicit read authorization is supported" does not imply encrypted memory or hardware security (this is modeled in another countermeasure).</t>
  </si>
  <si>
    <t>The summary of the resulting assumptions and countermeasures, including IDs for the external catalog, if available.</t>
  </si>
  <si>
    <t>A45</t>
  </si>
  <si>
    <t>Physical tampering with the product not plausible</t>
  </si>
  <si>
    <t>As the product is in a (temporarily) physically accessible but monitored or well-observed environment, it is not plausible that an attacker can tamper with the product's hardware without being detected.</t>
  </si>
  <si>
    <t>This assumes that the attacker needs more time to execute the attack than available in a well-observed environment.</t>
  </si>
  <si>
    <t>QA15[Yes|No]</t>
  </si>
  <si>
    <t>SDR 2.13 - No processing of external data</t>
  </si>
  <si>
    <t>Illustration / photos of the product, including component / data flow / sequence diagrams, if available.</t>
  </si>
  <si>
    <t>Provide illustrations of the target of evaluation.</t>
  </si>
  <si>
    <t>Is the product typically installed in an operational environment with public access?</t>
  </si>
  <si>
    <r>
      <t xml:space="preserve">For each possible answer to the first question, decide whether a second question or additional information in the comment is required. If this is the case, add a line with the answer to the first question, followed by ":".
Then, in the next line, provide the address of the topmost cell in the range of possible answers to the question. This range defines the values in the drop-down menu for Answer 2 on the </t>
    </r>
    <r>
      <rPr>
        <i/>
        <sz val="11"/>
        <color theme="0"/>
        <rFont val="Calibri"/>
        <family val="2"/>
        <scheme val="minor"/>
      </rPr>
      <t xml:space="preserve">Questionnaire </t>
    </r>
    <r>
      <rPr>
        <sz val="11"/>
        <color theme="0"/>
        <rFont val="Calibri"/>
        <family val="2"/>
        <scheme val="minor"/>
      </rPr>
      <t>sheet.
If you only want a text requesting additional information, then provide no topmost cell after the ":".</t>
    </r>
  </si>
  <si>
    <t>Provide the height of the answer options for each first answer. If you only want a text requesting additional information, then height = 0.</t>
  </si>
  <si>
    <t>Provide the text to be displayed, depending on the provided first and second answer. Make sure that all values are covered, potentially by an empty string. You can use "*:" to catch all cases.</t>
  </si>
  <si>
    <t>Syntax:
___&lt;First answer value 1&gt;___
&lt;Second answer value 1&gt;: &lt;Text value 1&gt;&lt;Line_break&gt;
…
&lt;Second answer value n&gt;: &lt;Text value n&gt;&lt;Line_break&gt;
… 
___&lt;First answer value m&gt;___
&lt;Second answer value 1&gt;: &lt;Text value 1&gt;&lt;Line_break&gt;
…
&lt;Second answer value k&gt;: &lt;Text value k&gt;
Alternatively to the &lt;Second answer to value 1&gt; to &lt;Second answer to value n&gt; blocks, you can use:
*: &lt;Text value for all cases&gt;&lt;Line_break&gt;</t>
  </si>
  <si>
    <t>Reference</t>
  </si>
  <si>
    <t>Optional: Embed a reference, e.g., a foreign ID for the assumption (in another catalog).</t>
  </si>
  <si>
    <t>Optional: Embed a reference, e.g., a foreign ID for the countermeasure (in another catalog).</t>
  </si>
  <si>
    <t>Calculated: Lists the references (e.g., foreign IDs) for the item</t>
  </si>
  <si>
    <t>Version</t>
  </si>
  <si>
    <t xml:space="preserve">  </t>
  </si>
  <si>
    <t>Is last</t>
  </si>
  <si>
    <t>The attacker needs some knowledge on how to (mis-) configure the product and basic hacking skills</t>
  </si>
  <si>
    <t>Easy: The attacker needs physical access to the product</t>
  </si>
  <si>
    <t>Defines damage categories in accordance with the OEM's security risk assessment method to be used in the Questionnaire sheet.</t>
  </si>
  <si>
    <t>Defines damage criteria in accordance with the OEM's security risk assessment method to be used in the Questionnaire sheet.</t>
  </si>
  <si>
    <t>Defines the damage levels for risk calculation (sheets Risks, Mitigation, and Risk Treatment) in accordance with the OEM's security risk assessment method.</t>
  </si>
  <si>
    <t>Defines the required attack potential levels and their thresholds for risk calculation (sheets Risks, Mitigation, and Risk Treatment) in accordance with the OEM's security risk assessment method.</t>
  </si>
  <si>
    <t>Defines the contribution of each RAP factor for risk calculation (sheets Risks, Mitigation, and Risk Treatment) in accordance with the OEM's security risk assessment method.</t>
  </si>
  <si>
    <t>Defines the risk values for risk calculation (sheets Risks, Mitigation, and Risk Treatment) in accordance with the OEM's security risk assessment method.</t>
  </si>
  <si>
    <t>Defines the risk matrix for risk calculation (sheets Risks, Mitigation, and Risk Treatment) in accordance with the OEM's security risk assessment method.</t>
  </si>
  <si>
    <t>Use an export of foreign IDs (e.g., from an external catalog) for the confirmed assumptions and countermeasures.</t>
  </si>
  <si>
    <t>qubalibre@SICK.de
riskassessments@aisec.fraunhofer.de</t>
  </si>
  <si>
    <t>Low financial damage</t>
  </si>
  <si>
    <t>Direct loss, fines for infringements of laws, or violations of contracts (low volume)</t>
  </si>
  <si>
    <t>Medium financial damage</t>
  </si>
  <si>
    <t>Direct loss, fines for infringements of laws, or violations of contracts (medium volume)</t>
  </si>
  <si>
    <t>High financial damage</t>
  </si>
  <si>
    <t>Direct loss, fines for infringements of laws, or violations of contracts (high volume)</t>
  </si>
  <si>
    <t>Critical financial damage</t>
  </si>
  <si>
    <t>Loss of freedom for employees, direct loss, fines for infringements of laws, or violations of contracts (critical volume)</t>
  </si>
  <si>
    <t>Does the product process personal data?
Examples: User ID, address labels</t>
  </si>
  <si>
    <t>Proficient: The attacker needs to understand how to use the compromised device to attack the product
Restricted: The attacker needs knowledge of the attacked product</t>
  </si>
  <si>
    <t>Note: Attacks on IP are covered by other attacks
Proficient: The attacker needs basic understanding on how to extract data from a device
Moderate: The attacker needs to obtain the device</t>
  </si>
  <si>
    <t>Applied selectively by the security expert conducting the analysis, given a good rationale.</t>
  </si>
  <si>
    <t>See IEC 62443</t>
  </si>
  <si>
    <t>Oauth2</t>
  </si>
  <si>
    <t>The attack needs to find and exploit a software vulnerability first, then escape from the virtual system / the container to attack the target software.</t>
  </si>
  <si>
    <t>State of the art identity management.</t>
  </si>
  <si>
    <t>The attacker must wait for the legitimate user to access the ssh server on the product for the first time (after that, the public key of the product is stored on the client and a man-in-the-middle attack is noticed).</t>
  </si>
  <si>
    <t>State of the art identity management. Requires a trustworthy trust anchor to be secure (e.g., certificate from a well-managed PKI).</t>
  </si>
  <si>
    <r>
      <rPr>
        <b/>
        <sz val="11"/>
        <color rgb="FFB2D6EC"/>
        <rFont val="Calibri"/>
        <family val="2"/>
        <scheme val="minor"/>
      </rPr>
      <t>Intended Use</t>
    </r>
    <r>
      <rPr>
        <b/>
        <sz val="11"/>
        <color theme="0"/>
        <rFont val="Calibri"/>
        <family val="2"/>
        <scheme val="minor"/>
      </rPr>
      <t xml:space="preserve">
</t>
    </r>
    <r>
      <rPr>
        <sz val="11"/>
        <color theme="0"/>
        <rFont val="Calibri"/>
        <family val="2"/>
        <scheme val="minor"/>
      </rPr>
      <t xml:space="preserve">Describe the intended usage scenario(s) and main use cases for the product. Also include foreseeable (or known) usage scenario(s) outside the scope documented here.
</t>
    </r>
    <r>
      <rPr>
        <b/>
        <sz val="11"/>
        <color rgb="FFB2D6EC"/>
        <rFont val="Calibri"/>
        <family val="2"/>
        <scheme val="minor"/>
      </rPr>
      <t>Application area / Operational environment</t>
    </r>
    <r>
      <rPr>
        <b/>
        <sz val="11"/>
        <color theme="0"/>
        <rFont val="Calibri"/>
        <family val="2"/>
        <scheme val="minor"/>
      </rPr>
      <t xml:space="preserve">
</t>
    </r>
    <r>
      <rPr>
        <sz val="11"/>
        <color theme="0"/>
        <rFont val="Calibri"/>
        <family val="2"/>
        <scheme val="minor"/>
      </rPr>
      <t xml:space="preserve">Describe the application area and the operational environment of the product.
</t>
    </r>
    <r>
      <rPr>
        <b/>
        <sz val="11"/>
        <color rgb="FFB2D6EC"/>
        <rFont val="Calibri"/>
        <family val="2"/>
        <scheme val="minor"/>
      </rPr>
      <t>Interfaces</t>
    </r>
    <r>
      <rPr>
        <b/>
        <sz val="11"/>
        <color theme="0"/>
        <rFont val="Calibri"/>
        <family val="2"/>
        <scheme val="minor"/>
      </rPr>
      <t xml:space="preserve">
</t>
    </r>
    <r>
      <rPr>
        <sz val="11"/>
        <color theme="0"/>
        <rFont val="Calibri"/>
        <family val="2"/>
        <scheme val="minor"/>
      </rPr>
      <t>Remove all interfaces from the following list that are not typically used in or provided by the product (externally, for configuration or integration in systems). Add interfaces missing in this list:
   - physical
      &gt; Serial (RS232, RS485, ...)
      &gt; Ethernet port(s) (switched, independent)
      &gt; IO Link
      &gt; PROFINET
      &gt; PROFIBUS
      &gt; EtherCAT
      &gt; EtherNet/IP
      &gt; Hiperface DSL
      &gt; SD Card
      &gt; USB (HID, Data)
      &gt; WiFi
      &gt; RFID
      &gt; Bluetooth, BTLE
      &gt; SafetyBUS p
      &gt; CAN
      &gt; HMI, dip switches, buttons (describe purpose)
      &gt; Backplane port
      &gt; Barcode Scanner for configuration
   - logical
      &gt; Modbus / RTU / ASCII / TCP
      &gt; HTTP / HTTPS
      &gt; FTP / FTPS / SFTP
      &gt; SSH
      &gt; MQTT</t>
    </r>
  </si>
  <si>
    <t>The product shall be designed to prevent attacks by external communication partners after commissioning by not processing any data from external sources on applicable interfaces
Example:
The product has an interface for initial setup and configuration which is disabled as part of the commissioning process.</t>
  </si>
  <si>
    <t>The Product Manager (PM).</t>
  </si>
  <si>
    <t>The Research &amp; Development contact (R&amp;D).</t>
  </si>
  <si>
    <t>The Cybersecurity Specialist (CSS) (central security department).</t>
  </si>
  <si>
    <t>The Cybersecurity Team Specialist (CSTS) (security expert embedded in a department).</t>
  </si>
  <si>
    <t>1.0.0</t>
  </si>
  <si>
    <t>CR 2.11 – Timestamps</t>
  </si>
  <si>
    <t>* This document requires the Microsoft 365 version of Excel</t>
  </si>
  <si>
    <t>TODO: No values are given, as the process is OEM-individual -- please set the values accordingly for the initial setup of the template!</t>
  </si>
  <si>
    <t>See ETSI EN 303 645 V2.1.1 (2020-06), Provision 6-1, 6-2, and 6-3</t>
  </si>
  <si>
    <t>See ETSI EN 303 645 V2.1.1 (2020-06), Provision 6-4, and 6-5</t>
  </si>
  <si>
    <t>CM24</t>
  </si>
  <si>
    <t>CM25</t>
  </si>
  <si>
    <t>CM26</t>
  </si>
  <si>
    <t>CM27</t>
  </si>
  <si>
    <t>CM28</t>
  </si>
  <si>
    <t>CR 1.5 – Authenticator management</t>
  </si>
  <si>
    <t>CR 4.1 – Information confidentiality</t>
  </si>
  <si>
    <t>CR 7.4 – Control system recovery and reconstitution</t>
  </si>
  <si>
    <t>CR 1.11 - Unsuccessful login attempts</t>
  </si>
  <si>
    <t>CR 7.8 - Control system component inventory</t>
  </si>
  <si>
    <t>C0</t>
  </si>
  <si>
    <t>See IEC 62443‑3‑3:2013, Clause 4</t>
  </si>
  <si>
    <r>
      <t xml:space="preserve">A unique ID for the countermeasure. IDs with the structure </t>
    </r>
    <r>
      <rPr>
        <i/>
        <sz val="11"/>
        <color theme="0"/>
        <rFont val="Calibri"/>
        <family val="2"/>
        <scheme val="minor"/>
      </rPr>
      <t>C&lt;number&gt;</t>
    </r>
    <r>
      <rPr>
        <sz val="11"/>
        <color theme="0"/>
        <rFont val="Calibri"/>
        <family val="2"/>
        <scheme val="minor"/>
      </rPr>
      <t xml:space="preserve"> represent basic requirements, typically based on standards, while countermeasures with a </t>
    </r>
    <r>
      <rPr>
        <i/>
        <sz val="11"/>
        <color theme="0"/>
        <rFont val="Calibri"/>
        <family val="2"/>
        <scheme val="minor"/>
      </rPr>
      <t>CM&lt;number&gt;</t>
    </r>
    <r>
      <rPr>
        <sz val="11"/>
        <color theme="0"/>
        <rFont val="Calibri"/>
        <family val="2"/>
        <scheme val="minor"/>
      </rPr>
      <t xml:space="preserve"> ID represent more specific requirements / countermeasures.</t>
    </r>
  </si>
  <si>
    <r>
      <t xml:space="preserve">Name the countermeasure. If the name contains an ID, then it usually represents the ID in a standard or technical specification. The acronym </t>
    </r>
    <r>
      <rPr>
        <i/>
        <sz val="11"/>
        <color theme="0"/>
        <rFont val="Calibri"/>
        <family val="2"/>
        <scheme val="minor"/>
      </rPr>
      <t>SCR</t>
    </r>
    <r>
      <rPr>
        <sz val="11"/>
        <color theme="0"/>
        <rFont val="Calibri"/>
        <family val="2"/>
        <scheme val="minor"/>
      </rPr>
      <t xml:space="preserve"> represents </t>
    </r>
    <r>
      <rPr>
        <i/>
        <sz val="11"/>
        <color theme="0"/>
        <rFont val="Calibri"/>
        <family val="2"/>
        <scheme val="minor"/>
      </rPr>
      <t>Security Component Requirement</t>
    </r>
    <r>
      <rPr>
        <sz val="11"/>
        <color theme="0"/>
        <rFont val="Calibri"/>
        <family val="2"/>
        <scheme val="minor"/>
      </rPr>
      <t>.</t>
    </r>
  </si>
  <si>
    <t>The attacker needs to extract the universal key from a single device to then spoof a legitimate client.</t>
  </si>
  <si>
    <t>Make sure you tailor the document, especially the assessment model contained in the Definitions sheet and the catalogs, to your organization.
For example, adapt the exemplary risk matrix to a matrix that fits your organization and its context.</t>
  </si>
  <si>
    <r>
      <t xml:space="preserve">Name the assumption. The </t>
    </r>
    <r>
      <rPr>
        <i/>
        <sz val="11"/>
        <color theme="0"/>
        <rFont val="Calibri"/>
        <family val="2"/>
        <scheme val="minor"/>
      </rPr>
      <t>SDR&lt;number&gt;</t>
    </r>
    <r>
      <rPr>
        <sz val="11"/>
        <color theme="0"/>
        <rFont val="Calibri"/>
        <family val="2"/>
        <scheme val="minor"/>
      </rPr>
      <t xml:space="preserve"> IDs in the initial catalog represent </t>
    </r>
    <r>
      <rPr>
        <i/>
        <sz val="11"/>
        <color theme="0"/>
        <rFont val="Calibri"/>
        <family val="2"/>
        <scheme val="minor"/>
      </rPr>
      <t>Security Documentation Requirements</t>
    </r>
    <r>
      <rPr>
        <sz val="11"/>
        <color theme="0"/>
        <rFont val="Calibri"/>
        <family val="2"/>
        <scheme val="minor"/>
      </rPr>
      <t>, as assumptions typically must be documented and communicated accordingly.</t>
    </r>
  </si>
  <si>
    <t>The user documentation shall state that the product does not send any sensitive data to communication partners over the Internet or a mobile network.</t>
  </si>
  <si>
    <t>Intended Use
Describe the intended usage scenario(s) and main use cases for the product. Also include foreseeable (or known) usage scenario(s) outside the scope documented here.
Application area / Operational environment
Describe the application area and the operational environment of the product.
Interfaces
Remove all interfaces from the following list that are not typically used in or provided by the product (externally, for configuration or integration in systems). Add interfaces missing in this list:
   - physical
      &gt; Serial (RS232, RS485, ...)
      &gt; Ethernet port(s) (switched, independent)
      &gt; IO Link
      &gt; PROFINET
      &gt; PROFIBUS
      &gt; EtherCAT
      &gt; EtherNet/IP
      &gt; Hiperface DSL
      &gt; SD Card
      &gt; USB (HID, Data)
      &gt; WiFi
      &gt; RFID
      &gt; Bluetooth, BTLE
      &gt; SafetyBUS p
      &gt; CAN
      &gt; HMI, dip switches, buttons (describe purpose)
      &gt; Backplane port
      &gt; Barcode Scanner for configuration
   - logical
      &gt; Modbus/RTU/ASCII/TCP
      &gt; http/s
      &gt; ftp/s
      &gt; ssh</t>
  </si>
  <si>
    <t xml:space="preserve">    Questionnaire-Based Assessment (QuBA)  © 2025 by SICK AG and Fraunhofer-Institut für Angewandte und Integrierte Sicherheit AISEC is licensed under CC BY-SA 4.0. To view a copy of this license, visit https://creativecommons.org/licenses/by-sa/4.0/</t>
  </si>
  <si>
    <t>acontis techonlogies GmbH</t>
  </si>
  <si>
    <t>EC-Master</t>
  </si>
  <si>
    <t>Timo Nußbaumer</t>
  </si>
  <si>
    <t>Christoph Widmann</t>
  </si>
  <si>
    <t>The complete EC-Master is acontis IP</t>
  </si>
  <si>
    <t>The EC-Master stack just transports data but does not process nor store data. The data is opauqe for the EC-Master stack.</t>
  </si>
  <si>
    <t>Again, the EC-Master stack just transports data but does not process nor store data. The data is opauqe for the EC-Master stack. TLS excluded in this answer.</t>
  </si>
  <si>
    <t>The customer/user must ensure correct and safe usage by applying counter measures. At least by using the product correctly.</t>
  </si>
  <si>
    <t>EC-Master can be used in all conceivable systems, from large industrial plants (e.g. nuclear power stations) to defence systems, medical equipment and consumer devices.</t>
  </si>
  <si>
    <t>see QI7</t>
  </si>
  <si>
    <t>RAS, Layer 2 switch, EtherCAT</t>
  </si>
  <si>
    <t>Access control on many levels</t>
  </si>
  <si>
    <t>eXpat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</si>
</sst>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7" formatCode="dd/mm/yyyy"/>
  </numFmts>
  <fonts count="40">
    <font>
      <sz val="11"/>
      <color theme="1"/>
      <name val="Calibri"/>
      <family val="2"/>
      <scheme val="minor"/>
    </font>
    <font>
      <sz val="10"/>
      <color theme="1"/>
      <name val="Arial"/>
      <family val="2"/>
    </font>
    <font>
      <b/>
      <sz val="11"/>
      <color theme="0"/>
      <name val="Calibri"/>
      <family val="2"/>
      <scheme val="minor"/>
    </font>
    <font>
      <sz val="11"/>
      <color theme="0"/>
      <name val="Calibri"/>
      <family val="2"/>
      <scheme val="minor"/>
    </font>
    <font>
      <b/>
      <sz val="18"/>
      <color theme="0"/>
      <name val="Calibri"/>
      <family val="2"/>
      <scheme val="minor"/>
    </font>
    <font>
      <sz val="8"/>
      <name val="Calibri"/>
      <family val="2"/>
      <scheme val="minor"/>
    </font>
    <font>
      <b/>
      <sz val="11"/>
      <color theme="9" tint="0.59999"/>
      <name val="Calibri"/>
      <family val="2"/>
      <scheme val="minor"/>
    </font>
    <font>
      <sz val="11"/>
      <color theme="9" tint="0.59999"/>
      <name val="Calibri"/>
      <family val="2"/>
      <scheme val="minor"/>
    </font>
    <font>
      <sz val="11"/>
      <color rgb="FFFFFFFF"/>
      <name val="Calibri"/>
      <family val="2"/>
    </font>
    <font>
      <sz val="9"/>
      <color theme="9" tint="0.59999"/>
      <name val="Calibri"/>
      <family val="2"/>
      <scheme val="minor"/>
    </font>
    <font>
      <sz val="8"/>
      <color theme="9" tint="0.59999"/>
      <name val="Calibri"/>
      <family val="2"/>
      <scheme val="minor"/>
    </font>
    <font>
      <b/>
      <sz val="14"/>
      <color theme="0"/>
      <name val="Calibri"/>
      <family val="2"/>
      <scheme val="minor"/>
    </font>
    <font>
      <b/>
      <sz val="16"/>
      <color theme="0"/>
      <name val="Calibri"/>
      <family val="2"/>
      <scheme val="minor"/>
    </font>
    <font>
      <u val="single"/>
      <sz val="11"/>
      <color theme="10"/>
      <name val="Calibri"/>
      <family val="2"/>
      <scheme val="minor"/>
    </font>
    <font>
      <sz val="11"/>
      <color rgb="FF99FFCC"/>
      <name val="Calibri"/>
      <family val="2"/>
      <scheme val="minor"/>
    </font>
    <font>
      <u val="single"/>
      <sz val="11"/>
      <color theme="0"/>
      <name val="Calibri"/>
      <family val="2"/>
      <scheme val="minor"/>
    </font>
    <font>
      <b/>
      <sz val="12"/>
      <color theme="9" tint="0.59999"/>
      <name val="Calibri"/>
      <family val="2"/>
      <scheme val="minor"/>
    </font>
    <font>
      <b/>
      <sz val="12"/>
      <color theme="0"/>
      <name val="Calibri"/>
      <family val="2"/>
      <scheme val="minor"/>
    </font>
    <font>
      <sz val="12"/>
      <color theme="0"/>
      <name val="Calibri"/>
      <family val="2"/>
      <scheme val="minor"/>
    </font>
    <font>
      <b/>
      <sz val="11"/>
      <color rgb="FFB2D6EC"/>
      <name val="Calibri"/>
      <family val="2"/>
      <scheme val="minor"/>
    </font>
    <font>
      <u val="single"/>
      <sz val="11"/>
      <color rgb="FF99FFCC"/>
      <name val="Calibri"/>
      <family val="2"/>
      <scheme val="minor"/>
    </font>
    <font>
      <sz val="11"/>
      <color theme="5" tint="0.59999"/>
      <name val="Calibri"/>
      <family val="2"/>
      <scheme val="minor"/>
    </font>
    <font>
      <b/>
      <sz val="15"/>
      <color theme="3"/>
      <name val="Calibri"/>
      <family val="2"/>
      <scheme val="minor"/>
    </font>
    <font>
      <i/>
      <sz val="11"/>
      <color theme="0"/>
      <name val="Calibri"/>
      <family val="2"/>
      <scheme val="minor"/>
    </font>
    <font>
      <sz val="11"/>
      <color rgb="FFFFB9B9"/>
      <name val="Calibri"/>
      <family val="2"/>
      <scheme val="minor"/>
    </font>
    <font>
      <b/>
      <sz val="11"/>
      <color rgb="FFFFB9B9"/>
      <name val="Calibri"/>
      <family val="2"/>
      <scheme val="minor"/>
    </font>
    <font>
      <b/>
      <sz val="11"/>
      <color rgb="FF99FFCC"/>
      <name val="Calibri"/>
      <family val="2"/>
      <scheme val="minor"/>
    </font>
    <font>
      <sz val="11"/>
      <color theme="0" tint="-0.34998"/>
      <name val="Calibri"/>
      <family val="2"/>
      <scheme val="minor"/>
    </font>
    <font>
      <b/>
      <sz val="11"/>
      <color theme="8" tint="0.79998"/>
      <name val="Calibri"/>
      <family val="2"/>
      <scheme val="minor"/>
    </font>
    <font>
      <b/>
      <i/>
      <sz val="11"/>
      <color theme="8" tint="0.79998"/>
      <name val="Calibri"/>
      <family val="2"/>
      <scheme val="minor"/>
    </font>
    <font>
      <sz val="11"/>
      <color theme="0"/>
      <name val="Calibri"/>
      <family val="2"/>
    </font>
    <font>
      <b/>
      <sz val="11"/>
      <color theme="1"/>
      <name val="Calibri"/>
      <family val="2"/>
      <scheme val="minor"/>
    </font>
    <font>
      <sz val="9"/>
      <color theme="0"/>
      <name val="Calibri"/>
      <family val="2"/>
      <scheme val="minor"/>
    </font>
    <font>
      <b/>
      <sz val="11"/>
      <color theme="1" tint="0.15"/>
      <name val="Calibri"/>
      <family val="2"/>
      <scheme val="minor"/>
    </font>
    <font>
      <sz val="11"/>
      <color theme="1" tint="0.15"/>
      <name val="Calibri"/>
      <family val="2"/>
      <scheme val="minor"/>
    </font>
    <font>
      <b/>
      <sz val="11"/>
      <color rgb="FFCCFF33"/>
      <name val="Calibri"/>
      <family val="2"/>
      <scheme val="minor"/>
    </font>
    <font>
      <sz val="14"/>
      <color theme="0"/>
      <name val="Calibri"/>
      <family val="2"/>
      <scheme val="minor"/>
    </font>
    <font>
      <sz val="8"/>
      <color theme="0"/>
      <name val="Calibri"/>
      <family val="2"/>
      <scheme val="minor"/>
    </font>
    <font>
      <sz val="16"/>
      <color theme="0"/>
      <name val="Calibri"/>
      <family val="2"/>
      <scheme val="minor"/>
    </font>
    <font>
      <sz val="11"/>
      <color rgb="FFC6E0B4"/>
      <name val="Calibri"/>
      <family val="2"/>
      <scheme val="minor"/>
    </font>
  </fonts>
  <fills count="9">
    <fill>
      <patternFill patternType="none"/>
    </fill>
    <fill>
      <patternFill patternType="gray125"/>
    </fill>
    <fill>
      <patternFill patternType="solid">
        <fgColor theme="1" tint="0.15"/>
        <bgColor indexed="64"/>
      </patternFill>
    </fill>
    <fill>
      <patternFill patternType="solid">
        <fgColor theme="1" tint="0.34999"/>
        <bgColor indexed="64"/>
      </patternFill>
    </fill>
    <fill>
      <patternFill patternType="solid">
        <fgColor theme="1"/>
        <bgColor indexed="64"/>
      </patternFill>
    </fill>
    <fill>
      <patternFill patternType="solid">
        <fgColor theme="6"/>
        <bgColor indexed="64"/>
      </patternFill>
    </fill>
    <fill>
      <patternFill patternType="solid">
        <fgColor theme="3"/>
        <bgColor indexed="64"/>
      </patternFill>
    </fill>
    <fill>
      <patternFill patternType="solid">
        <fgColor theme="9" tint="-0.49997"/>
        <bgColor indexed="64"/>
      </patternFill>
    </fill>
    <fill>
      <patternFill patternType="solid">
        <fgColor theme="1" tint="0.14997"/>
        <bgColor indexed="64"/>
      </patternFill>
    </fill>
  </fills>
  <borders count="7">
    <border>
      <left/>
      <right/>
      <top/>
      <bottom/>
      <diagonal/>
    </border>
    <border>
      <left/>
      <right/>
      <top/>
      <bottom style="thick">
        <color theme="4"/>
      </bottom>
    </border>
    <border>
      <left/>
      <right/>
      <top/>
      <bottom style="thin">
        <color theme="0"/>
      </bottom>
    </border>
    <border>
      <left/>
      <right style="thin">
        <color theme="0"/>
      </right>
      <top/>
      <bottom/>
    </border>
    <border>
      <left/>
      <right/>
      <top style="thin">
        <color theme="0"/>
      </top>
      <bottom/>
    </border>
    <border>
      <left style="thin">
        <color theme="0"/>
      </left>
      <right/>
      <top/>
      <bottom/>
    </border>
    <border>
      <left style="thin">
        <color theme="0"/>
      </left>
      <right style="thin">
        <color theme="0"/>
      </right>
      <top style="thin">
        <color theme="0"/>
      </top>
      <bottom style="thin">
        <color theme="0"/>
      </bottom>
    </border>
  </borders>
  <cellStyleXfs count="8">
    <xf numFmtId="0" fontId="0" fillId="0" borderId="0">
      <alignment/>
      <protection/>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3" fillId="0" borderId="0" applyNumberFormat="0" applyFill="0" applyBorder="0" applyAlignment="0" applyProtection="0">
      <alignment/>
    </xf>
    <xf numFmtId="0" fontId="22" fillId="0" borderId="1" applyNumberFormat="0" applyFill="0" applyAlignment="0" applyProtection="0">
      <alignment/>
    </xf>
  </cellStyleXfs>
  <cellXfs count="152">
    <xf numFmtId="0" fontId="0" fillId="0" borderId="0" xfId="0">
      <alignment/>
    </xf>
    <xf numFmtId="0" fontId="2" fillId="2" borderId="0" xfId="0" applyFont="1" applyFill="1">
      <alignment/>
    </xf>
    <xf numFmtId="0" fontId="3" fillId="2" borderId="0" xfId="0" applyFont="1" applyFill="1">
      <alignment/>
    </xf>
    <xf numFmtId="0" fontId="2" fillId="2" borderId="0" xfId="0" applyFont="1" applyFill="1" applyAlignment="1">
      <alignment wrapText="1"/>
    </xf>
    <xf numFmtId="0" fontId="3" fillId="2" borderId="0" xfId="0" applyFont="1" applyFill="1" applyAlignment="1">
      <alignment wrapText="1"/>
    </xf>
    <xf numFmtId="0" fontId="2" fillId="2" borderId="0" xfId="0" applyFont="1" applyFill="1" applyBorder="1" applyAlignment="1">
      <alignment wrapText="1"/>
    </xf>
    <xf numFmtId="0" fontId="4" fillId="2" borderId="0" xfId="0" applyFont="1" applyFill="1" applyAlignment="1">
      <alignment wrapText="1"/>
    </xf>
    <xf numFmtId="0" fontId="6" fillId="2" borderId="0" xfId="0" applyFont="1" applyFill="1" applyAlignment="1">
      <alignment wrapText="1"/>
    </xf>
    <xf numFmtId="0" fontId="7" fillId="2" borderId="0" xfId="0" applyFont="1" applyFill="1" applyAlignment="1">
      <alignment wrapText="1"/>
    </xf>
    <xf numFmtId="0" fontId="7" fillId="2" borderId="0" xfId="0" applyFont="1" applyFill="1">
      <alignment/>
    </xf>
    <xf numFmtId="0" fontId="3" fillId="0" borderId="0" xfId="0" applyFont="1" applyFill="1">
      <alignment/>
    </xf>
    <xf numFmtId="0" fontId="2" fillId="2" borderId="0" xfId="0" applyFont="1" applyFill="1" applyAlignment="1">
      <alignment/>
    </xf>
    <xf numFmtId="0" fontId="3" fillId="2" borderId="0" xfId="0" applyFont="1" applyFill="1" applyAlignment="1">
      <alignment/>
    </xf>
    <xf numFmtId="0" fontId="3" fillId="0" borderId="0" xfId="0" applyFont="1" applyFill="1" applyAlignment="1">
      <alignment wrapText="1"/>
    </xf>
    <xf numFmtId="0" fontId="8" fillId="0" borderId="0" xfId="0" applyFont="1" applyFill="1">
      <alignment/>
    </xf>
    <xf numFmtId="0" fontId="7" fillId="0" borderId="0" xfId="0" applyFont="1" applyFill="1">
      <alignment/>
    </xf>
    <xf numFmtId="0" fontId="7" fillId="0" borderId="0" xfId="0" applyFont="1" applyFill="1" applyAlignment="1">
      <alignment wrapText="1"/>
    </xf>
    <xf numFmtId="0" fontId="9" fillId="2" borderId="0" xfId="0" applyFont="1" applyFill="1">
      <alignment/>
    </xf>
    <xf numFmtId="0" fontId="3" fillId="2" borderId="0" xfId="0" applyFont="1" applyFill="1" applyAlignment="1">
      <alignment horizontal="right" wrapText="1"/>
    </xf>
    <xf numFmtId="0" fontId="10" fillId="0" borderId="0" xfId="0" applyFont="1" applyFill="1" applyAlignment="1">
      <alignment wrapText="1"/>
    </xf>
    <xf numFmtId="0" fontId="8" fillId="0" borderId="0" xfId="0" applyNumberFormat="1" applyFont="1" applyFill="1">
      <alignment/>
    </xf>
    <xf numFmtId="0" fontId="3" fillId="0" borderId="0" xfId="0" applyNumberFormat="1" applyFont="1" applyFill="1">
      <alignment/>
    </xf>
    <xf numFmtId="0" fontId="3" fillId="0" borderId="0" xfId="0" applyFont="1" applyFill="1" applyAlignment="1">
      <alignment/>
    </xf>
    <xf numFmtId="0" fontId="3" fillId="0" borderId="0" xfId="0" applyNumberFormat="1" applyFont="1" applyFill="1" applyAlignment="1">
      <alignment wrapText="1"/>
    </xf>
    <xf numFmtId="0" fontId="8" fillId="0" borderId="0" xfId="0" applyFont="1" applyFill="1" applyAlignment="1">
      <alignment wrapText="1"/>
    </xf>
    <xf numFmtId="0" fontId="2" fillId="2" borderId="0" xfId="0" applyFont="1" applyFill="1" applyBorder="1" applyAlignment="1">
      <alignment/>
    </xf>
    <xf numFmtId="0" fontId="12" fillId="2" borderId="0" xfId="0" applyFont="1" applyFill="1" applyBorder="1" applyAlignment="1">
      <alignment/>
    </xf>
    <xf numFmtId="0" fontId="3" fillId="2" borderId="0" xfId="0" applyFont="1" applyFill="1" applyAlignment="1">
      <alignment horizontal="right"/>
    </xf>
    <xf numFmtId="0" fontId="7" fillId="2" borderId="0" xfId="0" applyNumberFormat="1" applyFont="1" applyFill="1" applyAlignment="1">
      <alignment wrapText="1"/>
    </xf>
    <xf numFmtId="0" fontId="2" fillId="3" borderId="0" xfId="0" applyFont="1" applyFill="1">
      <alignment/>
    </xf>
    <xf numFmtId="0" fontId="14" fillId="0" borderId="0" xfId="6" applyFont="1" applyFill="1" applyAlignment="1">
      <alignment wrapText="1"/>
    </xf>
    <xf numFmtId="0" fontId="11" fillId="2" borderId="0" xfId="0" applyFont="1" applyFill="1">
      <alignment/>
    </xf>
    <xf numFmtId="14" fontId="3" fillId="0" borderId="0" xfId="0" applyNumberFormat="1" applyFont="1" applyFill="1">
      <alignment/>
    </xf>
    <xf numFmtId="0" fontId="7" fillId="0" borderId="0" xfId="0" applyNumberFormat="1" applyFont="1" applyFill="1" applyAlignment="1">
      <alignment wrapText="1"/>
    </xf>
    <xf numFmtId="0" fontId="10" fillId="0" borderId="0" xfId="0" applyNumberFormat="1" applyFont="1" applyFill="1" applyAlignment="1">
      <alignment wrapText="1"/>
    </xf>
    <xf numFmtId="0" fontId="14" fillId="0" borderId="0" xfId="6" applyNumberFormat="1" applyFont="1" applyFill="1" applyAlignment="1">
      <alignment wrapText="1"/>
    </xf>
    <xf numFmtId="0" fontId="9" fillId="0" borderId="0" xfId="0" applyFont="1" applyFill="1" applyAlignment="1">
      <alignment wrapText="1"/>
    </xf>
    <xf numFmtId="0" fontId="9" fillId="0" borderId="0" xfId="0" applyNumberFormat="1" applyFont="1" applyFill="1" applyAlignment="1">
      <alignment wrapText="1"/>
    </xf>
    <xf numFmtId="0" fontId="12" fillId="2" borderId="0" xfId="0" applyFont="1" applyFill="1" applyBorder="1" applyAlignment="1">
      <alignment wrapText="1"/>
    </xf>
    <xf numFmtId="0" fontId="17" fillId="2" borderId="0" xfId="0" applyFont="1" applyFill="1">
      <alignment/>
    </xf>
    <xf numFmtId="0" fontId="18" fillId="2" borderId="0" xfId="0" applyFont="1" applyFill="1">
      <alignment/>
    </xf>
    <xf numFmtId="0" fontId="18" fillId="0" borderId="0" xfId="0" applyFont="1" applyFill="1">
      <alignment/>
    </xf>
    <xf numFmtId="0" fontId="16" fillId="2" borderId="2" xfId="0" applyFont="1" applyFill="1" applyBorder="1" applyAlignment="1">
      <alignment horizontal="center"/>
    </xf>
    <xf numFmtId="0" fontId="16" fillId="2" borderId="2" xfId="0" applyFont="1" applyFill="1" applyBorder="1" applyAlignment="1">
      <alignment wrapText="1"/>
    </xf>
    <xf numFmtId="0" fontId="17" fillId="2" borderId="2" xfId="0" applyFont="1" applyFill="1" applyBorder="1">
      <alignment/>
    </xf>
    <xf numFmtId="0" fontId="7" fillId="2" borderId="0" xfId="0" applyFont="1" applyFill="1" applyAlignment="1">
      <alignment horizontal="center" vertical="center"/>
    </xf>
    <xf numFmtId="0" fontId="3" fillId="2" borderId="0" xfId="0" applyFont="1" applyFill="1" applyBorder="1">
      <alignment/>
    </xf>
    <xf numFmtId="0" fontId="19" fillId="2" borderId="0" xfId="0" applyFont="1" applyFill="1">
      <alignment/>
    </xf>
    <xf numFmtId="0" fontId="9" fillId="2" borderId="0" xfId="0" applyFont="1" applyFill="1" applyAlignment="1">
      <alignment wrapText="1"/>
    </xf>
    <xf numFmtId="0" fontId="7" fillId="3" borderId="0" xfId="0" applyFont="1" applyFill="1" applyAlignment="1">
      <alignment wrapText="1"/>
    </xf>
    <xf numFmtId="0" fontId="20" fillId="2" borderId="0" xfId="6" applyFont="1" applyFill="1" applyAlignment="1">
      <alignment wrapText="1"/>
    </xf>
    <xf numFmtId="0" fontId="14" fillId="2" borderId="0" xfId="0" applyFont="1" applyFill="1" applyAlignment="1">
      <alignment wrapText="1"/>
    </xf>
    <xf numFmtId="0" fontId="3" fillId="0" borderId="0" xfId="0" applyFont="1" applyFill="1" applyAlignment="1">
      <alignment horizontal="center" vertical="center" wrapText="1"/>
    </xf>
    <xf numFmtId="0" fontId="21" fillId="2" borderId="0" xfId="0" applyFont="1" applyFill="1">
      <alignment/>
    </xf>
    <xf numFmtId="0" fontId="22" fillId="0" borderId="1" xfId="7" applyAlignment="1">
      <alignment wrapText="1"/>
    </xf>
    <xf numFmtId="0" fontId="0" fillId="0" borderId="0" xfId="0" applyAlignment="1">
      <alignment wrapText="1"/>
    </xf>
    <xf numFmtId="0" fontId="7" fillId="0" borderId="0" xfId="0" applyFont="1" applyFill="1" applyAlignment="1">
      <alignment/>
    </xf>
    <xf numFmtId="0" fontId="3" fillId="2" borderId="0" xfId="0" applyNumberFormat="1" applyFont="1" applyFill="1" applyAlignment="1">
      <alignment/>
    </xf>
    <xf numFmtId="0" fontId="11" fillId="2" borderId="0" xfId="0" applyFont="1" applyFill="1" applyAlignment="1">
      <alignment/>
    </xf>
    <xf numFmtId="0" fontId="20" fillId="0" borderId="0" xfId="6" applyNumberFormat="1" applyFont="1" applyFill="1" applyAlignment="1">
      <alignment wrapText="1"/>
    </xf>
    <xf numFmtId="0" fontId="24" fillId="2" borderId="0" xfId="0" applyFont="1" applyFill="1" applyAlignment="1">
      <alignment wrapText="1"/>
    </xf>
    <xf numFmtId="0" fontId="3" fillId="0" borderId="0" xfId="0" applyNumberFormat="1" applyFont="1" applyFill="1" applyAlignment="1">
      <alignment/>
    </xf>
    <xf numFmtId="0" fontId="3" fillId="2" borderId="0" xfId="0" applyFont="1" applyFill="1" applyAlignment="1">
      <alignment horizontal="left" wrapText="1"/>
    </xf>
    <xf numFmtId="0" fontId="2" fillId="2" borderId="0" xfId="0" applyFont="1" applyFill="1" applyAlignment="1">
      <alignment horizontal="left" wrapText="1"/>
    </xf>
    <xf numFmtId="0" fontId="3" fillId="4" borderId="0" xfId="0" applyFont="1" applyFill="1" applyAlignment="1">
      <alignment horizontal="left" wrapText="1"/>
    </xf>
    <xf numFmtId="0" fontId="3" fillId="5" borderId="0" xfId="0" applyFont="1" applyFill="1" applyAlignment="1">
      <alignment horizontal="left" wrapText="1"/>
    </xf>
    <xf numFmtId="0" fontId="3" fillId="6" borderId="0" xfId="0" applyFont="1" applyFill="1" applyAlignment="1">
      <alignment horizontal="left" wrapText="1"/>
    </xf>
    <xf numFmtId="0" fontId="2" fillId="2" borderId="2" xfId="0" applyFont="1" applyFill="1" applyBorder="1" applyAlignment="1">
      <alignment horizontal="left" wrapText="1"/>
    </xf>
    <xf numFmtId="0" fontId="2" fillId="2" borderId="2" xfId="0" applyFont="1" applyFill="1" applyBorder="1" applyAlignment="1">
      <alignment wrapText="1"/>
    </xf>
    <xf numFmtId="0" fontId="7" fillId="2" borderId="0" xfId="0" applyFont="1" applyFill="1" applyAlignment="1">
      <alignment horizontal="left" wrapText="1"/>
    </xf>
    <xf numFmtId="0" fontId="20" fillId="2" borderId="0" xfId="0" applyFont="1" applyFill="1" applyAlignment="1">
      <alignment horizontal="left" wrapText="1"/>
    </xf>
    <xf numFmtId="0" fontId="20" fillId="0" borderId="0" xfId="0" applyFont="1" applyFill="1" applyAlignment="1">
      <alignment wrapText="1"/>
    </xf>
    <xf numFmtId="0" fontId="17" fillId="2" borderId="2" xfId="0" applyFont="1" applyFill="1" applyBorder="1" applyAlignment="1">
      <alignment wrapText="1"/>
    </xf>
    <xf numFmtId="0" fontId="3" fillId="2" borderId="0" xfId="0" applyFont="1" applyFill="1" applyBorder="1" applyAlignment="1">
      <alignment wrapText="1"/>
    </xf>
    <xf numFmtId="0" fontId="3" fillId="2" borderId="2" xfId="0" applyFont="1" applyFill="1" applyBorder="1">
      <alignment/>
    </xf>
    <xf numFmtId="0" fontId="26" fillId="2" borderId="0" xfId="0" applyFont="1" applyFill="1" applyAlignment="1">
      <alignment horizontal="left" wrapText="1"/>
    </xf>
    <xf numFmtId="0" fontId="13" fillId="0" borderId="0" xfId="6" applyNumberFormat="1" applyFill="1" applyAlignment="1">
      <alignment wrapText="1"/>
    </xf>
    <xf numFmtId="0" fontId="8" fillId="0" borderId="0" xfId="0" applyNumberFormat="1" applyFont="1" applyFill="1" applyAlignment="1">
      <alignment wrapText="1"/>
    </xf>
    <xf numFmtId="0" fontId="3" fillId="0" borderId="0" xfId="0" applyNumberFormat="1" applyFont="1" applyFill="1" applyAlignment="1">
      <alignment horizontal="center" vertical="center" wrapText="1"/>
    </xf>
    <xf numFmtId="0" fontId="27" fillId="0" borderId="0" xfId="0" applyFont="1" applyFill="1" applyAlignment="1">
      <alignment wrapText="1"/>
    </xf>
    <xf numFmtId="0" fontId="27" fillId="0" borderId="0" xfId="0" applyNumberFormat="1" applyFont="1" applyFill="1" applyAlignment="1">
      <alignment wrapText="1"/>
    </xf>
    <xf numFmtId="0" fontId="30" fillId="2" borderId="0" xfId="0" applyNumberFormat="1" applyFont="1" applyFill="1">
      <alignment/>
    </xf>
    <xf numFmtId="0" fontId="2" fillId="2" borderId="3" xfId="0" applyFont="1" applyFill="1" applyBorder="1" applyAlignment="1">
      <alignment wrapText="1"/>
    </xf>
    <xf numFmtId="0" fontId="6" fillId="2" borderId="0" xfId="0" applyFont="1" applyFill="1" applyBorder="1">
      <alignment/>
    </xf>
    <xf numFmtId="0" fontId="7" fillId="2" borderId="4" xfId="0" applyFont="1" applyFill="1" applyBorder="1">
      <alignment/>
    </xf>
    <xf numFmtId="0" fontId="24" fillId="2" borderId="0" xfId="0" applyFont="1" applyFill="1" applyAlignment="1">
      <alignment horizontal="center"/>
    </xf>
    <xf numFmtId="0" fontId="31" fillId="0" borderId="0" xfId="0" applyFont="1" applyAlignment="1">
      <alignment wrapText="1"/>
    </xf>
    <xf numFmtId="0" fontId="3" fillId="2" borderId="0" xfId="0" applyFont="1" applyFill="1" applyAlignment="1">
      <alignment horizontal="left"/>
    </xf>
    <xf numFmtId="0" fontId="3" fillId="0" borderId="5" xfId="0" applyFont="1" applyFill="1" applyBorder="1">
      <alignment/>
    </xf>
    <xf numFmtId="0" fontId="3" fillId="0" borderId="0" xfId="0" applyFont="1" applyFill="1" applyBorder="1" applyAlignment="1">
      <alignment wrapText="1"/>
    </xf>
    <xf numFmtId="0" fontId="3" fillId="0" borderId="3" xfId="0" applyFont="1" applyFill="1" applyBorder="1">
      <alignment/>
    </xf>
    <xf numFmtId="0" fontId="32" fillId="0" borderId="5" xfId="0" applyFont="1" applyFill="1" applyBorder="1" applyAlignment="1">
      <alignment wrapText="1"/>
    </xf>
    <xf numFmtId="0" fontId="7" fillId="0" borderId="0" xfId="0" applyFont="1" applyFill="1" applyBorder="1">
      <alignment/>
    </xf>
    <xf numFmtId="0" fontId="32" fillId="0" borderId="3" xfId="0" applyFont="1" applyFill="1" applyBorder="1" applyAlignment="1">
      <alignment wrapText="1"/>
    </xf>
    <xf numFmtId="0" fontId="4" fillId="2" borderId="0" xfId="0" applyFont="1" applyFill="1" applyAlignment="1">
      <alignment horizontal="left" wrapText="1"/>
    </xf>
    <xf numFmtId="0" fontId="33" fillId="2" borderId="0" xfId="0" applyFont="1" applyFill="1" applyAlignment="1">
      <alignment horizontal="right" wrapText="1"/>
    </xf>
    <xf numFmtId="0" fontId="34" fillId="2" borderId="0" xfId="0" applyFont="1" applyFill="1" applyAlignment="1">
      <alignment horizontal="right" wrapText="1"/>
    </xf>
    <xf numFmtId="0" fontId="9" fillId="0" borderId="0" xfId="0" applyFont="1" applyFill="1" applyBorder="1" applyAlignment="1">
      <alignment wrapText="1"/>
    </xf>
    <xf numFmtId="0" fontId="6" fillId="0" borderId="0" xfId="0" applyFont="1" applyFill="1">
      <alignment/>
    </xf>
    <xf numFmtId="0" fontId="7" fillId="0" borderId="0" xfId="0" applyNumberFormat="1" applyFont="1" applyFill="1">
      <alignment/>
    </xf>
    <xf numFmtId="0" fontId="32" fillId="0" borderId="0" xfId="0" applyFont="1" applyFill="1" applyBorder="1" applyAlignment="1">
      <alignment wrapText="1"/>
    </xf>
    <xf numFmtId="0" fontId="20" fillId="2" borderId="0" xfId="6" applyFont="1" applyFill="1" applyAlignment="1">
      <alignment/>
    </xf>
    <xf numFmtId="0" fontId="35" fillId="0" borderId="0" xfId="0" applyNumberFormat="1" applyFont="1" applyFill="1" applyAlignment="1">
      <alignment wrapText="1"/>
    </xf>
    <xf numFmtId="0" fontId="35" fillId="2" borderId="0" xfId="0" applyFont="1" applyFill="1" applyAlignment="1">
      <alignment horizontal="left" wrapText="1"/>
    </xf>
    <xf numFmtId="0" fontId="11" fillId="2" borderId="2" xfId="0" applyFont="1" applyFill="1" applyBorder="1" applyAlignment="1">
      <alignment horizontal="left"/>
    </xf>
    <xf numFmtId="0" fontId="36" fillId="2" borderId="2" xfId="0" applyFont="1" applyFill="1" applyBorder="1" applyAlignment="1">
      <alignment/>
    </xf>
    <xf numFmtId="0" fontId="36" fillId="2" borderId="2" xfId="0" applyFont="1" applyFill="1" applyBorder="1">
      <alignment/>
    </xf>
    <xf numFmtId="0" fontId="36" fillId="2" borderId="0" xfId="0" applyFont="1" applyFill="1" applyAlignment="1">
      <alignment/>
    </xf>
    <xf numFmtId="0" fontId="36" fillId="2" borderId="0" xfId="0" applyFont="1" applyFill="1">
      <alignment/>
    </xf>
    <xf numFmtId="0" fontId="11" fillId="2" borderId="2" xfId="0" applyFont="1" applyFill="1" applyBorder="1" applyAlignment="1">
      <alignment horizontal="left" wrapText="1"/>
    </xf>
    <xf numFmtId="0" fontId="32" fillId="0" borderId="0" xfId="0" applyFont="1" applyFill="1" applyAlignment="1">
      <alignment wrapText="1"/>
    </xf>
    <xf numFmtId="0" fontId="3"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7" fillId="0" borderId="0" xfId="0" applyNumberFormat="1" applyFont="1" applyFill="1" applyAlignment="1">
      <alignment/>
    </xf>
    <xf numFmtId="0" fontId="14" fillId="2" borderId="0" xfId="0" applyFont="1" applyFill="1" applyAlignment="1">
      <alignment horizontal="center" vertical="center" wrapText="1"/>
    </xf>
    <xf numFmtId="0" fontId="14" fillId="2" borderId="0" xfId="0" applyFont="1" applyFill="1" applyAlignment="1">
      <alignment horizontal="center" vertical="center"/>
    </xf>
    <xf numFmtId="0" fontId="14" fillId="2" borderId="0" xfId="0" applyFont="1" applyFill="1">
      <alignment/>
    </xf>
    <xf numFmtId="0" fontId="37" fillId="0" borderId="0" xfId="0" applyFont="1" applyFill="1" applyAlignment="1">
      <alignment wrapText="1"/>
    </xf>
    <xf numFmtId="0" fontId="24" fillId="2" borderId="0" xfId="0" applyFont="1" applyFill="1" applyAlignment="1">
      <alignment horizontal="center" vertical="center"/>
    </xf>
    <xf numFmtId="0" fontId="36" fillId="0" borderId="0" xfId="0" applyFont="1" applyFill="1">
      <alignment/>
    </xf>
    <xf numFmtId="0" fontId="38" fillId="2" borderId="0" xfId="0" applyFont="1" applyFill="1" applyAlignment="1">
      <alignment horizontal="center"/>
    </xf>
    <xf numFmtId="0" fontId="14" fillId="2" borderId="0" xfId="0" applyFont="1" applyFill="1" applyAlignment="1">
      <alignment horizontal="right" vertical="center"/>
    </xf>
    <xf numFmtId="0" fontId="9" fillId="0" borderId="0" xfId="6" applyNumberFormat="1" applyFont="1" applyFill="1" applyAlignment="1">
      <alignment wrapText="1"/>
    </xf>
    <xf numFmtId="0" fontId="32" fillId="3" borderId="6" xfId="0" applyFont="1" applyFill="1" applyBorder="1" applyAlignment="1">
      <alignment/>
    </xf>
    <xf numFmtId="0" fontId="2" fillId="2" borderId="0" xfId="0" applyFont="1" applyFill="1" applyAlignment="1">
      <alignment vertical="center" wrapText="1"/>
    </xf>
    <xf numFmtId="0" fontId="6" fillId="2" borderId="0" xfId="0" applyFont="1" applyFill="1" applyAlignment="1">
      <alignment vertical="center" wrapText="1"/>
    </xf>
    <xf numFmtId="0" fontId="9" fillId="3" borderId="6" xfId="0" applyFont="1" applyFill="1" applyBorder="1" applyAlignment="1">
      <alignment wrapText="1"/>
    </xf>
    <xf numFmtId="0" fontId="8" fillId="0" borderId="0" xfId="0" applyFont="1" applyFill="1" applyAlignment="1">
      <alignment/>
    </xf>
    <xf numFmtId="0" fontId="8" fillId="0" borderId="0" xfId="0" applyNumberFormat="1" applyFont="1" applyFill="1" applyAlignment="1">
      <alignment/>
    </xf>
    <xf numFmtId="0" fontId="39" fillId="0" borderId="0" xfId="0" applyFont="1" applyFill="1">
      <alignment/>
    </xf>
    <xf numFmtId="0" fontId="39" fillId="0" borderId="0" xfId="0" applyFont="1" applyFill="1" applyAlignment="1">
      <alignment wrapText="1"/>
    </xf>
    <xf numFmtId="0" fontId="3" fillId="7" borderId="0" xfId="0" applyFont="1" applyFill="1" applyAlignment="1">
      <alignment horizontal="left" wrapText="1"/>
    </xf>
    <xf numFmtId="0" fontId="2" fillId="8" borderId="0" xfId="0" applyFont="1" applyFill="1" applyBorder="1">
      <alignment/>
    </xf>
    <xf numFmtId="14" fontId="3" fillId="3" borderId="4" xfId="0" applyNumberFormat="1" applyFont="1" applyFill="1" applyBorder="1">
      <alignment/>
    </xf>
    <xf numFmtId="0" fontId="3" fillId="3" borderId="4" xfId="0" applyFont="1" applyFill="1" applyBorder="1">
      <alignment/>
    </xf>
    <xf numFmtId="0" fontId="2" fillId="8" borderId="0" xfId="0" applyFont="1" applyFill="1">
      <alignment/>
    </xf>
    <xf numFmtId="14" fontId="3" fillId="2" borderId="0" xfId="0" applyNumberFormat="1" applyFont="1" applyFill="1">
      <alignment/>
    </xf>
    <xf numFmtId="0" fontId="20" fillId="0" borderId="0" xfId="6" applyFont="1" applyFill="1" applyAlignment="1">
      <alignment wrapText="1"/>
    </xf>
    <xf numFmtId="0" fontId="11" fillId="2" borderId="0" xfId="0" applyFont="1" applyFill="1" applyBorder="1" applyAlignment="1">
      <alignment horizontal="left"/>
    </xf>
    <xf numFmtId="0" fontId="36" fillId="2" borderId="0" xfId="0" applyFont="1" applyFill="1" applyBorder="1">
      <alignment/>
    </xf>
    <xf numFmtId="0" fontId="3" fillId="2" borderId="0" xfId="6" applyFont="1" applyFill="1" applyAlignment="1">
      <alignment horizontal="left" wrapText="1"/>
    </xf>
    <xf numFmtId="0" fontId="2" fillId="2" borderId="5" xfId="0" applyFont="1" applyFill="1" applyBorder="1" applyAlignment="1">
      <alignment horizontal="center"/>
    </xf>
    <xf numFmtId="0" fontId="2" fillId="2" borderId="0" xfId="0" applyFont="1" applyFill="1" applyBorder="1" applyAlignment="1">
      <alignment horizontal="center"/>
    </xf>
    <xf numFmtId="0" fontId="2" fillId="2" borderId="3" xfId="0" applyFont="1" applyFill="1" applyBorder="1" applyAlignment="1">
      <alignment horizontal="center"/>
    </xf>
    <xf numFmtId="0" fontId="3" fillId="3" borderId="0" xfId="0" applyFont="1" applyFill="1" applyAlignment="1">
      <alignment horizontal="left" vertical="top" wrapText="1"/>
    </xf>
    <xf numFmtId="0" fontId="11" fillId="3" borderId="0" xfId="0" applyFont="1" applyFill="1" applyAlignment="1">
      <alignment horizontal="left"/>
    </xf>
    <xf numFmtId="0" fontId="3" fillId="3" borderId="0" xfId="0" applyFont="1" applyFill="1" applyAlignment="1">
      <alignment horizontal="left"/>
    </xf>
    <xf numFmtId="0" fontId="7" fillId="3" borderId="0" xfId="0" applyNumberFormat="1" applyFont="1" applyFill="1" applyAlignment="1">
      <alignment horizontal="left"/>
    </xf>
    <xf numFmtId="0" fontId="2" fillId="3" borderId="0" xfId="0" applyFont="1" applyFill="1" applyAlignment="1">
      <alignment horizontal="left" vertical="top"/>
    </xf>
    <xf numFmtId="0" fontId="11" fillId="2" borderId="4" xfId="0" applyFont="1" applyFill="1" applyBorder="1" applyAlignment="1">
      <alignment horizontal="center"/>
    </xf>
    <xf numFmtId="0" fontId="11" fillId="2" borderId="0" xfId="0" applyFont="1" applyFill="1" applyAlignment="1">
      <alignment horizontal="center" vertical="center"/>
    </xf>
    <xf numFmtId="0" fontId="2" fillId="2" borderId="2" xfId="0" applyFont="1" applyFill="1" applyBorder="1" applyAlignment="1">
      <alignment horizontal="center" wrapText="1"/>
    </xf>
  </cellXfs>
  <cellStyles count="8">
    <cellStyle name="Normal" xfId="0" builtinId="0"/>
    <cellStyle name="Percent" xfId="1" builtinId="5"/>
    <cellStyle name="Currency" xfId="2" builtinId="4"/>
    <cellStyle name="Currency [0]" xfId="3" builtinId="7"/>
    <cellStyle name="Comma" xfId="4" builtinId="3"/>
    <cellStyle name="Comma [0]" xfId="5" builtinId="6"/>
    <cellStyle name="Link" xfId="6" builtinId="8"/>
    <cellStyle name="Überschrift 1" xfId="7" builtinId="16"/>
  </cellStyles>
  <dxfs count="695">
    <dxf>
      <border>
        <bottom style="thin">
          <color theme="0"/>
        </bottom>
      </border>
    </dxf>
    <dxf>
      <fill>
        <patternFill>
          <bgColor theme="1" tint="0.14997"/>
        </patternFill>
      </fill>
    </dxf>
    <dxf>
      <border>
        <left style="thin">
          <color rgb="FFFFB9B9"/>
        </left>
        <right style="thin">
          <color rgb="FFFFB9B9"/>
        </right>
        <top style="thin">
          <color rgb="FFFFB9B9"/>
        </top>
        <bottom style="thin">
          <color rgb="FFFFB9B9"/>
        </bottom>
      </border>
    </dxf>
    <dxf>
      <font>
        <color theme="9" tint="-0.49997"/>
      </font>
      <fill>
        <patternFill>
          <bgColor theme="9" tint="0.79998"/>
        </patternFill>
      </fill>
    </dxf>
    <dxf>
      <font>
        <color theme="5" tint="-0.49997"/>
      </font>
      <fill>
        <patternFill>
          <bgColor theme="5" tint="0.79998"/>
        </patternFill>
      </fill>
    </dxf>
    <dxf>
      <fill>
        <patternFill>
          <bgColor theme="1" tint="0.34999"/>
        </patternFill>
      </fill>
    </dxf>
    <dxf>
      <font>
        <b/>
        <i val="0"/>
        <color rgb="FF99FFCC"/>
      </font>
    </dxf>
    <dxf>
      <border>
        <left style="thin">
          <color rgb="FFFFB9B9"/>
        </left>
        <right style="thin">
          <color rgb="FFFFB9B9"/>
        </right>
        <top style="thin">
          <color rgb="FFFFB9B9"/>
        </top>
        <bottom style="thin">
          <color rgb="FFFFB9B9"/>
        </bottom>
      </border>
    </dxf>
    <dxf>
      <border>
        <left style="thin">
          <color rgb="FFFFB9B9"/>
        </left>
        <right style="thin">
          <color rgb="FFFFB9B9"/>
        </right>
        <top style="thin">
          <color rgb="FFFFB9B9"/>
        </top>
        <bottom style="thin">
          <color rgb="FFFFB9B9"/>
        </bottom>
      </border>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7"/>
      </font>
      <fill>
        <patternFill>
          <bgColor theme="3" tint="0.59996"/>
        </patternFill>
      </fill>
    </dxf>
    <dxf>
      <fill>
        <patternFill>
          <bgColor rgb="FFFFB9B9"/>
        </patternFill>
      </fill>
    </dxf>
    <dxf>
      <font>
        <b/>
        <i val="0"/>
        <color rgb="FF99FFCC"/>
      </font>
    </dxf>
    <dxf>
      <border>
        <bottom style="hair">
          <color theme="0"/>
        </bottom>
      </border>
    </dxf>
    <dxf>
      <border>
        <bottom style="hair">
          <color theme="0"/>
        </bottom>
      </border>
    </dxf>
    <dxf>
      <fill>
        <patternFill>
          <bgColor rgb="FFFFB9B9"/>
        </patternFill>
      </fill>
    </dxf>
    <dxf>
      <font>
        <b/>
        <i val="0"/>
        <color rgb="FF99FFCC"/>
      </font>
    </dxf>
    <dxf>
      <border>
        <left style="thin">
          <color rgb="FFFFB9B9"/>
        </left>
        <right style="thin">
          <color rgb="FFFFB9B9"/>
        </right>
        <top style="thin">
          <color rgb="FFFFB9B9"/>
        </top>
        <bottom style="thin">
          <color rgb="FFFFB9B9"/>
        </bottom>
      </border>
    </dxf>
    <dxf>
      <border>
        <left style="thin">
          <color rgb="FFFFB9B9"/>
        </left>
        <right style="thin">
          <color rgb="FFFFB9B9"/>
        </right>
        <top style="thin">
          <color rgb="FFFFB9B9"/>
        </top>
        <bottom style="thin">
          <color rgb="FFFFB9B9"/>
        </bottom>
      </border>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7"/>
      </font>
      <fill>
        <patternFill>
          <bgColor theme="3" tint="0.59996"/>
        </patternFill>
      </fill>
    </dxf>
    <dxf>
      <font>
        <b/>
        <i val="0"/>
        <color rgb="FF99FFCC"/>
      </font>
    </dxf>
    <dxf>
      <border>
        <left style="thin">
          <color rgb="FFFFFF9B"/>
        </left>
        <right style="thin">
          <color rgb="FFFFFF9B"/>
        </right>
        <top style="thin">
          <color rgb="FFFFFF9B"/>
        </top>
        <bottom style="thin">
          <color rgb="FFFFFF9B"/>
        </bottom>
      </border>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7"/>
      </font>
      <fill>
        <patternFill>
          <bgColor theme="3" tint="0.59996"/>
        </patternFill>
      </fill>
    </dxf>
    <dxf>
      <fill>
        <patternFill>
          <bgColor theme="9" tint="0.59996"/>
        </patternFill>
      </fill>
    </dxf>
    <dxf>
      <font>
        <color theme="0" tint="-0.34998"/>
      </font>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7"/>
      </font>
      <fill>
        <patternFill>
          <bgColor theme="3" tint="0.59996"/>
        </patternFill>
      </fill>
    </dxf>
    <dxf>
      <fill>
        <patternFill>
          <bgColor rgb="FFFFB9B9"/>
        </patternFill>
      </fill>
    </dxf>
    <dxf>
      <fill>
        <patternFill>
          <bgColor theme="5" tint="0.59996"/>
        </patternFill>
      </fill>
    </dxf>
    <dxf>
      <border>
        <left style="thin">
          <color theme="4" tint="0.59996"/>
        </left>
        <right style="thin">
          <color theme="4" tint="0.59996"/>
        </right>
        <top style="thin">
          <color theme="4" tint="0.59996"/>
        </top>
        <bottom style="thin">
          <color theme="4" tint="0.59996"/>
        </bottom>
      </border>
    </dxf>
    <dxf>
      <border>
        <left style="thin">
          <color rgb="FFFFB9B9"/>
        </left>
        <right style="thin">
          <color rgb="FFFFB9B9"/>
        </right>
        <top style="thin">
          <color rgb="FFFFB9B9"/>
        </top>
        <bottom style="thin">
          <color rgb="FFFFB9B9"/>
        </bottom>
      </border>
    </dxf>
    <dxf>
      <font>
        <b/>
        <i val="0"/>
        <color rgb="FF99FFCC"/>
      </font>
    </dxf>
    <dxf>
      <font>
        <color rgb="FFFFB9B9"/>
      </font>
    </dxf>
    <dxf>
      <font>
        <color theme="5" tint="0.39995"/>
      </font>
    </dxf>
    <dxf>
      <font>
        <color rgb="FFFFFF9B"/>
      </font>
    </dxf>
    <dxf>
      <font>
        <color rgb="FF92D050"/>
      </font>
    </dxf>
    <dxf>
      <border>
        <left style="thin">
          <color rgb="FFFFB9B9"/>
        </left>
        <right style="thin">
          <color rgb="FFFFB9B9"/>
        </right>
        <top style="thin">
          <color rgb="FFFFB9B9"/>
        </top>
        <bottom style="thin">
          <color rgb="FFFFB9B9"/>
        </bottom>
      </border>
    </dxf>
    <dxf>
      <border>
        <left style="thin">
          <color rgb="FFFFB9B9"/>
        </left>
        <right style="thin">
          <color rgb="FFFFB9B9"/>
        </right>
        <top style="thin">
          <color rgb="FFFFB9B9"/>
        </top>
        <bottom style="thin">
          <color rgb="FFFFB9B9"/>
        </bottom>
      </border>
    </dxf>
    <dxf>
      <border>
        <left style="thin">
          <color rgb="FFFFB9B9"/>
        </left>
        <right style="thin">
          <color rgb="FFFFB9B9"/>
        </right>
        <top style="thin">
          <color rgb="FFFFB9B9"/>
        </top>
        <bottom style="thin">
          <color rgb="FFFFB9B9"/>
        </bottom>
      </border>
    </dxf>
    <dxf>
      <font>
        <color theme="1" tint="0.49998"/>
      </font>
    </dxf>
    <dxf>
      <border>
        <top style="thin">
          <color theme="0"/>
        </top>
        <bottom style="thin">
          <color theme="0"/>
        </bottom>
      </border>
    </dxf>
    <dxf>
      <font>
        <color theme="0"/>
      </font>
    </dxf>
    <dxf>
      <fill>
        <patternFill>
          <bgColor theme="1" tint="0.34999"/>
        </patternFill>
      </fill>
    </dxf>
    <dxf>
      <font>
        <b/>
        <i val="0"/>
        <color rgb="FF99FFCC"/>
      </font>
    </dxf>
    <dxf>
      <font>
        <strike/>
        <color rgb="FFC00000"/>
      </font>
      <border>
        <left style="thin">
          <color rgb="FFC00000"/>
        </left>
        <right style="thin">
          <color rgb="FFC00000"/>
        </right>
        <top style="thin">
          <color rgb="FFC00000"/>
        </top>
        <bottom style="thin">
          <color rgb="FFC00000"/>
        </bottom>
      </border>
    </dxf>
    <dxf>
      <font>
        <b/>
        <i val="0"/>
        <color rgb="FF99FFCC"/>
      </font>
    </dxf>
    <dxf>
      <font>
        <color theme="0" tint="-0.34998"/>
      </font>
    </dxf>
    <dxf>
      <font>
        <strike/>
        <color rgb="FFC00000"/>
      </font>
      <border>
        <left style="thin">
          <color rgb="FFC00000"/>
        </left>
        <right style="thin">
          <color rgb="FFC00000"/>
        </right>
        <top style="thin">
          <color rgb="FFC00000"/>
        </top>
        <bottom style="thin">
          <color rgb="FFC00000"/>
        </bottom>
      </border>
    </dxf>
    <dxf>
      <font>
        <b/>
        <i val="0"/>
        <color rgb="FF99FFCC"/>
      </font>
    </dxf>
    <dxf>
      <font>
        <strike/>
        <color rgb="FFC00000"/>
      </font>
      <border>
        <left style="thin">
          <color rgb="FFC00000"/>
        </left>
        <right style="thin">
          <color rgb="FFC00000"/>
        </right>
        <top style="thin">
          <color rgb="FFC00000"/>
        </top>
        <bottom style="thin">
          <color rgb="FFC00000"/>
        </bottom>
      </border>
    </dxf>
    <dxf>
      <font>
        <b/>
        <i val="0"/>
        <color rgb="FF99FFCC"/>
      </font>
    </dxf>
    <dxf>
      <font>
        <strike/>
        <color rgb="FFC00000"/>
      </font>
      <border>
        <left style="thin">
          <color rgb="FFC00000"/>
        </left>
        <right style="thin">
          <color rgb="FFC00000"/>
        </right>
        <top style="thin">
          <color rgb="FFC00000"/>
        </top>
        <bottom style="thin">
          <color rgb="FFC00000"/>
        </bottom>
      </border>
    </dxf>
    <dxf>
      <font>
        <b/>
        <i val="0"/>
        <color rgb="FF99FFCC"/>
      </font>
    </dxf>
    <dxf>
      <border>
        <bottom style="dotted">
          <color theme="0"/>
        </bottom>
      </border>
    </dxf>
    <dxf>
      <font>
        <color theme="1" tint="0.14997"/>
      </font>
    </dxf>
    <dxf>
      <font>
        <color theme="1" tint="0.34999"/>
      </font>
    </dxf>
    <dxf>
      <border>
        <left style="thin">
          <color rgb="FFFFB9B9"/>
        </left>
        <right style="thin">
          <color rgb="FFFFB9B9"/>
        </right>
        <top style="thin">
          <color rgb="FFFFB9B9"/>
        </top>
        <bottom style="thin">
          <color rgb="FFFFB9B9"/>
        </bottom>
      </border>
    </dxf>
    <dxf>
      <border>
        <bottom style="dotted">
          <color theme="0"/>
        </bottom>
      </border>
    </dxf>
    <dxf>
      <font>
        <color theme="1" tint="0.14997"/>
      </font>
    </dxf>
    <dxf>
      <font>
        <color theme="1" tint="0.34999"/>
      </font>
    </dxf>
    <dxf>
      <border>
        <left style="thin">
          <color rgb="FFFFB9B9"/>
        </left>
        <right style="thin">
          <color rgb="FFFFB9B9"/>
        </right>
        <top style="thin">
          <color rgb="FFFFB9B9"/>
        </top>
        <bottom style="thin">
          <color rgb="FFFFB9B9"/>
        </bottom>
      </border>
    </dxf>
    <dxf>
      <border>
        <bottom style="thin">
          <color theme="0"/>
        </bottom>
      </border>
    </dxf>
    <dxf>
      <fill>
        <patternFill>
          <bgColor theme="1" tint="0.34999"/>
        </patternFill>
      </fill>
    </dxf>
    <dxf>
      <font>
        <color theme="9" tint="0.59996"/>
      </font>
    </dxf>
    <dxf>
      <font>
        <color theme="9" tint="0.59996"/>
      </font>
    </dxf>
    <dxf>
      <font>
        <color theme="9" tint="0.59996"/>
      </font>
    </dxf>
    <dxf>
      <font>
        <color theme="9" tint="0.59996"/>
      </font>
    </dxf>
    <dxf>
      <font>
        <color theme="9" tint="0.59996"/>
      </font>
    </dxf>
    <dxf>
      <fill>
        <patternFill>
          <bgColor theme="1" tint="0.34999"/>
        </patternFill>
      </fill>
    </dxf>
    <dxf>
      <fill>
        <patternFill>
          <bgColor theme="1" tint="0.14997"/>
        </patternFill>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0"/>
      </font>
      <fill>
        <patternFill patternType="none"/>
      </fill>
    </dxf>
    <dxf>
      <fill>
        <patternFill patternType="none"/>
      </fill>
    </dxf>
    <dxf>
      <font>
        <b/>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2"/>
        <name val="Calibri"/>
        <family val="2"/>
        <color theme="0"/>
      </font>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rgb="FF99FFCC"/>
      </font>
      <numFmt numFmtId="0" formatCode="General"/>
      <fill>
        <patternFill patternType="none"/>
      </fill>
      <alignment horizontal="general" vertical="bottom" textRotation="0" wrapText="1" shrinkToFit="0" readingOrder="0"/>
    </dxf>
    <dxf>
      <font>
        <b val="0"/>
        <i val="0"/>
        <u val="none"/>
        <strike val="0"/>
        <sz val="11"/>
        <name val="Calibri"/>
        <family val="2"/>
        <color rgb="FF99FFCC"/>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fill>
        <patternFill patternType="none"/>
      </fill>
      <alignment horizontal="general" vertical="bottom" textRotation="0" wrapText="1" shrinkToFit="0" readingOrder="0"/>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fill>
        <patternFill patternType="none"/>
      </fill>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single"/>
        <strike val="0"/>
        <sz val="11"/>
        <name val="Calibri"/>
        <family val="2"/>
        <color rgb="FF99FFCC"/>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tint="-0.34998"/>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numFmt numFmtId="0" formatCode="General"/>
      <fill>
        <patternFill patternType="none"/>
      </fill>
    </dxf>
    <dxf>
      <font>
        <b val="0"/>
        <i val="0"/>
        <u val="none"/>
        <strike val="0"/>
        <sz val="11"/>
        <name val="Calibri"/>
        <family val="2"/>
        <color theme="9" tint="0.59999"/>
      </font>
      <fill>
        <patternFill patternType="none"/>
      </fill>
    </dxf>
    <dxf>
      <font>
        <b/>
        <i val="0"/>
        <u val="none"/>
        <strike val="0"/>
        <sz val="11"/>
        <name val="Calibri"/>
        <family val="2"/>
        <color theme="9" tint="0.59999"/>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rgb="FFC6E0B4"/>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8"/>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ill>
    </dxf>
    <dxf>
      <font>
        <b val="0"/>
        <i val="0"/>
        <u val="none"/>
        <strike val="0"/>
        <sz val="11"/>
        <name val="Calibri"/>
        <family val="2"/>
        <color rgb="FFFFFFFF"/>
      </font>
      <numFmt numFmtId="0" formatCode="General"/>
      <fill>
        <patternFill patternType="none">
          <fgColor rgb="FF000000"/>
        </patternFill>
      </fill>
    </dxf>
    <dxf>
      <font>
        <b val="0"/>
        <i val="0"/>
        <u val="none"/>
        <strike val="0"/>
        <sz val="11"/>
        <name val="Calibri"/>
        <family val="2"/>
        <color rgb="FFFFFFFF"/>
      </font>
      <numFmt numFmtId="0" formatCode="General"/>
      <fill>
        <patternFill patternType="none">
          <fgColor rgb="FF000000"/>
        </patternFill>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center" vertical="center"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center" vertical="center" textRotation="0" wrapText="1" shrinkToFit="0" readingOrder="0"/>
    </dxf>
    <dxf>
      <font>
        <b val="0"/>
        <i val="0"/>
        <u val="none"/>
        <strike val="0"/>
        <sz val="11"/>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rgb="FFFFFFFF"/>
      </font>
      <fill>
        <patternFill patternType="none">
          <fgColor rgb="FF000000"/>
        </patternFill>
      </fill>
    </dxf>
    <dxf>
      <font>
        <b val="0"/>
        <i val="0"/>
        <u val="none"/>
        <strike val="0"/>
        <sz val="11"/>
        <name val="Calibri"/>
        <family val="2"/>
        <color theme="0"/>
      </font>
      <fill>
        <patternFill patternType="none"/>
      </fill>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9"/>
        <name val="Calibri"/>
        <family val="2"/>
        <color theme="0"/>
      </font>
      <fill>
        <patternFill patternType="none"/>
      </fill>
      <alignment horizontal="general" vertical="bottom" textRotation="0" wrapText="1" shrinkToFit="0" readingOrder="0"/>
      <border>
        <left/>
        <right style="thin">
          <color theme="0"/>
        </right>
        <top/>
        <bottom/>
      </border>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9"/>
        <name val="Calibri"/>
        <family val="2"/>
        <color theme="0"/>
      </font>
      <fill>
        <patternFill patternType="none"/>
      </fill>
      <alignment horizontal="general" vertical="bottom" textRotation="0" wrapText="1" shrinkToFit="0" readingOrder="0"/>
    </dxf>
    <dxf>
      <font>
        <b val="0"/>
        <i val="0"/>
        <u val="none"/>
        <strike val="0"/>
        <sz val="9"/>
        <name val="Calibri"/>
        <family val="2"/>
        <color theme="0"/>
      </font>
      <fill>
        <patternFill patternType="none"/>
      </fill>
      <alignment horizontal="general" vertical="bottom" textRotation="0" wrapText="1" shrinkToFit="0" readingOrder="0"/>
      <border>
        <left style="thin">
          <color theme="0"/>
        </left>
        <right/>
        <top/>
        <bottom/>
      </border>
    </dxf>
    <dxf>
      <font>
        <b val="0"/>
        <i val="0"/>
        <u val="none"/>
        <strike val="0"/>
        <sz val="9"/>
        <name val="Calibri"/>
        <family val="2"/>
        <color theme="0"/>
      </font>
      <fill>
        <patternFill patternType="none"/>
      </fill>
      <alignment horizontal="general" vertical="bottom" textRotation="0" wrapText="1" shrinkToFit="0" readingOrder="0"/>
      <border>
        <left/>
        <right style="thin">
          <color theme="0"/>
        </right>
        <top/>
        <bottom/>
      </border>
    </dxf>
    <dxf>
      <font>
        <b val="0"/>
        <i val="0"/>
        <u val="none"/>
        <strike val="0"/>
        <sz val="9"/>
        <name val="Calibri"/>
        <family val="2"/>
        <color theme="9" tint="0.59999"/>
      </font>
      <numFmt numFmtId="0" formatCode="General"/>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9"/>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center" vertical="center" textRotation="0" wrapText="1" shrinkToFit="0" readingOrder="0"/>
      <border>
        <left/>
        <right style="thin">
          <color theme="0"/>
        </right>
        <top/>
        <bottom/>
      </border>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val="0"/>
        <i val="0"/>
        <u val="none"/>
        <strike val="0"/>
        <sz val="11"/>
        <name val="Calibri"/>
        <family val="2"/>
        <color theme="0"/>
      </font>
      <fill>
        <patternFill patternType="solid">
          <bgColor theme="1" tint="0.15"/>
        </patternFill>
      </fill>
      <alignment horizontal="general" vertical="bottom" textRotation="0" wrapText="1" shrinkToFit="0" readingOrder="0"/>
    </dxf>
    <dxf>
      <font>
        <b/>
        <i val="0"/>
        <u val="none"/>
        <strike val="0"/>
        <sz val="11"/>
        <name val="Calibri"/>
        <family val="2"/>
        <color theme="0"/>
      </font>
      <fill>
        <patternFill patternType="solid">
          <bgColor theme="1" tint="0.15"/>
        </patternFill>
      </fill>
      <alignment horizontal="general" vertical="bottom" textRotation="0" wrapText="0" shrinkToFit="0" readingOrder="0"/>
    </dxf>
    <dxf>
      <font>
        <b val="0"/>
        <i val="0"/>
        <u val="none"/>
        <strike val="0"/>
        <sz val="11"/>
        <name val="Calibri"/>
        <family val="2"/>
        <color theme="0"/>
      </font>
      <numFmt numFmtId="0" formatCode="General"/>
      <fill>
        <patternFill patternType="solid">
          <bgColor theme="1" tint="0.15"/>
        </patternFill>
      </fill>
    </dxf>
    <dxf>
      <font>
        <b val="0"/>
        <i val="0"/>
        <u val="none"/>
        <strike val="0"/>
        <sz val="11"/>
        <name val="Calibri"/>
        <family val="2"/>
        <color theme="0"/>
      </font>
      <fill>
        <patternFill patternType="solid">
          <bgColor theme="1" tint="0.14997"/>
        </patternFill>
      </fill>
    </dxf>
    <dxf>
      <font>
        <b val="0"/>
        <i val="0"/>
        <u val="none"/>
        <strike val="0"/>
        <sz val="11"/>
        <name val="Calibri"/>
        <family val="2"/>
        <color theme="0"/>
      </font>
      <numFmt numFmtId="177" formatCode="dd/mm/yyyy"/>
      <fill>
        <patternFill patternType="solid">
          <bgColor theme="1" tint="0.14997"/>
        </patternFill>
      </fill>
    </dxf>
    <dxf>
      <font>
        <b val="0"/>
        <i val="0"/>
        <u val="none"/>
        <strike val="0"/>
        <sz val="11"/>
        <name val="Calibri"/>
        <family val="2"/>
        <color theme="0"/>
      </font>
      <numFmt numFmtId="177" formatCode="dd/mm/yyyy"/>
      <fill>
        <patternFill patternType="solid">
          <bgColor theme="1" tint="0.14997"/>
        </patternFill>
      </fill>
    </dxf>
    <dxf>
      <font>
        <b/>
        <i val="0"/>
        <u val="none"/>
        <strike val="0"/>
        <sz val="11"/>
        <name val="Calibri"/>
        <family val="2"/>
        <color theme="0"/>
      </font>
      <fill>
        <patternFill patternType="solid">
          <bgColor theme="1" tint="0.14997"/>
        </patternFill>
      </fill>
    </dxf>
    <dxf>
      <font>
        <b val="0"/>
        <i val="0"/>
        <u val="none"/>
        <strike val="0"/>
        <sz val="11"/>
        <name val="Calibri"/>
        <family val="2"/>
        <color theme="0"/>
      </font>
      <numFmt numFmtId="0" formatCode="General"/>
      <fill>
        <patternFill patternType="solid">
          <bgColor theme="1" tint="0.15"/>
        </patternFill>
      </fill>
    </dxf>
    <dxf>
      <font>
        <b val="0"/>
        <i val="0"/>
        <u val="none"/>
        <strike val="0"/>
        <sz val="11"/>
        <name val="Calibri"/>
        <family val="2"/>
        <color theme="0"/>
      </font>
      <fill>
        <patternFill patternType="solid">
          <bgColor theme="1" tint="0.34999"/>
        </patternFill>
      </fill>
    </dxf>
    <dxf>
      <font>
        <b val="0"/>
        <i val="0"/>
        <u val="none"/>
        <strike val="0"/>
        <sz val="11"/>
        <name val="Calibri"/>
        <family val="2"/>
        <color theme="0"/>
      </font>
      <fill>
        <patternFill patternType="solid">
          <bgColor theme="1" tint="0.34999"/>
        </patternFill>
      </fill>
      <alignment horizontal="general" vertical="bottom" textRotation="0" wrapText="1" shrinkToFit="0" readingOrder="0"/>
    </dxf>
    <dxf>
      <font>
        <b val="0"/>
        <i val="0"/>
        <u val="none"/>
        <strike val="0"/>
        <sz val="11"/>
        <name val="Calibri"/>
        <family val="2"/>
        <color theme="0"/>
      </font>
      <numFmt numFmtId="177" formatCode="dd/mm/yyyy"/>
      <fill>
        <patternFill patternType="solid">
          <bgColor theme="1" tint="0.34999"/>
        </patternFill>
      </fill>
    </dxf>
    <dxf>
      <font>
        <b val="0"/>
        <i val="0"/>
        <u val="none"/>
        <strike val="0"/>
        <sz val="11"/>
        <name val="Calibri"/>
        <family val="2"/>
        <color theme="0"/>
      </font>
      <numFmt numFmtId="177" formatCode="dd/mm/yyyy"/>
      <fill>
        <patternFill patternType="solid">
          <bgColor theme="1" tint="0.34999"/>
        </patternFill>
      </fill>
    </dxf>
    <dxf>
      <font>
        <b/>
        <i val="0"/>
        <u val="none"/>
        <strike val="0"/>
        <sz val="11"/>
        <name val="Calibri"/>
        <family val="2"/>
        <color theme="0"/>
      </font>
      <fill>
        <patternFill patternType="solid">
          <bgColor theme="1" tint="0.14997"/>
        </patternFill>
      </fill>
    </dxf>
    <dxf>
      <font>
        <b val="0"/>
        <i val="0"/>
        <u val="none"/>
        <strike val="0"/>
        <sz val="11"/>
        <name val="Calibri"/>
        <family val="2"/>
        <color theme="0"/>
      </font>
      <numFmt numFmtId="0" formatCode="General"/>
      <fill>
        <patternFill patternType="solid">
          <bgColor theme="1" tint="0.15"/>
        </patternFill>
      </fill>
    </dxf>
    <dxf>
      <font>
        <b val="0"/>
        <i val="0"/>
        <u val="none"/>
        <strike val="0"/>
        <sz val="11"/>
        <name val="Calibri"/>
        <family val="2"/>
        <color theme="0"/>
      </font>
      <fill>
        <patternFill patternType="solid">
          <bgColor theme="1" tint="0.14997"/>
        </patternFill>
      </fill>
    </dxf>
    <dxf>
      <font>
        <b val="0"/>
        <i val="0"/>
        <u val="none"/>
        <strike val="0"/>
        <sz val="11"/>
        <name val="Calibri"/>
        <family val="2"/>
        <color theme="0"/>
      </font>
      <fill>
        <patternFill patternType="solid">
          <bgColor theme="1" tint="0.14997"/>
        </patternFill>
      </fill>
      <alignment horizontal="general" vertical="bottom" textRotation="0" wrapText="1" shrinkToFit="0" readingOrder="0"/>
    </dxf>
    <dxf>
      <font>
        <b val="0"/>
        <i val="0"/>
        <u val="none"/>
        <strike val="0"/>
        <sz val="11"/>
        <name val="Calibri"/>
        <family val="2"/>
        <color theme="0"/>
      </font>
      <numFmt numFmtId="177" formatCode="dd/mm/yyyy"/>
      <fill>
        <patternFill patternType="solid">
          <bgColor theme="1" tint="0.14997"/>
        </patternFill>
      </fill>
    </dxf>
    <dxf>
      <font>
        <b val="0"/>
        <i val="0"/>
        <u val="none"/>
        <strike val="0"/>
        <sz val="11"/>
        <name val="Calibri"/>
        <family val="2"/>
        <color theme="0"/>
      </font>
      <numFmt numFmtId="177" formatCode="dd/mm/yyyy"/>
      <fill>
        <patternFill patternType="solid">
          <bgColor theme="1" tint="0.14997"/>
        </patternFill>
      </fill>
    </dxf>
    <dxf>
      <font>
        <b/>
        <i val="0"/>
        <u val="none"/>
        <strike val="0"/>
        <sz val="11"/>
        <name val="Calibri"/>
        <family val="2"/>
        <color theme="0"/>
      </font>
      <fill>
        <patternFill patternType="solid">
          <bgColor theme="1" tint="0.14997"/>
        </patternFill>
      </fill>
    </dxf>
    <dxf>
      <font>
        <b val="0"/>
        <i val="0"/>
        <u val="none"/>
        <strike val="0"/>
        <sz val="11"/>
        <name val="Calibri"/>
        <family val="2"/>
        <color theme="0"/>
      </font>
      <numFmt numFmtId="0" formatCode="General"/>
      <fill>
        <patternFill patternType="solid">
          <bgColor theme="1" tint="0.15"/>
        </patternFill>
      </fill>
    </dxf>
    <dxf>
      <font>
        <b/>
        <i val="0"/>
        <u val="none"/>
        <strike val="0"/>
        <sz val="11"/>
        <name val="Calibri"/>
        <family val="2"/>
        <color theme="0"/>
      </font>
      <fill>
        <patternFill patternType="solid">
          <bgColor theme="1" tint="0.14997"/>
        </patternFill>
      </fill>
    </dxf>
    <dxf>
      <font>
        <b val="0"/>
        <i val="0"/>
        <u val="none"/>
        <strike val="0"/>
        <sz val="11"/>
        <name val="Calibri"/>
        <family val="2"/>
        <color theme="0"/>
      </font>
      <numFmt numFmtId="0" formatCode="General"/>
      <fill>
        <patternFill patternType="solid">
          <bgColor theme="1" tint="0.15"/>
        </patternFill>
      </fill>
    </dxf>
    <dxf>
      <fill>
        <patternFill patternType="none"/>
      </fill>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numFmt numFmtId="177" formatCode="dd/mm/yyyy"/>
      <fill>
        <patternFill patternType="none"/>
      </fill>
    </dxf>
    <dxf>
      <font>
        <b val="0"/>
        <i val="0"/>
        <u val="none"/>
        <strike val="0"/>
        <sz val="11"/>
        <name val="Calibri"/>
        <family val="2"/>
        <color theme="0"/>
      </font>
      <numFmt numFmtId="177" formatCode="dd/mm/yyyy"/>
      <fill>
        <patternFill patternType="none"/>
      </fill>
    </dxf>
    <dxf>
      <font>
        <b/>
        <i val="0"/>
        <u val="none"/>
        <strike val="0"/>
        <sz val="11"/>
        <name val="Calibri"/>
        <family val="2"/>
        <color theme="0"/>
      </font>
      <fill>
        <patternFill patternType="solid">
          <bgColor theme="1" tint="0.14997"/>
        </patternFill>
      </fill>
    </dxf>
    <dxf>
      <font>
        <b val="0"/>
        <i val="0"/>
        <u val="none"/>
        <strike val="0"/>
        <sz val="11"/>
        <name val="Calibri"/>
        <family val="2"/>
        <color theme="0"/>
      </font>
      <numFmt numFmtId="0" formatCode="General"/>
      <fill>
        <patternFill patternType="none"/>
      </fill>
      <alignment horizontal="general" vertical="bottom" textRotation="0" wrapText="0" shrinkToFit="0" readingOrder="0"/>
    </dxf>
    <dxf>
      <font>
        <b val="0"/>
        <i val="0"/>
        <u val="none"/>
        <strike val="0"/>
        <sz val="11"/>
        <name val="Calibri"/>
        <family val="2"/>
        <color theme="0"/>
      </font>
      <numFmt numFmtId="0" formatCode="General"/>
      <fill>
        <patternFill patternType="none"/>
      </fill>
      <alignment horizontal="general" vertical="bottom" textRotation="0" wrapText="0" shrinkToFit="0" readingOrder="0"/>
    </dxf>
    <dxf>
      <font>
        <b val="0"/>
        <i val="0"/>
        <u val="none"/>
        <strike val="0"/>
        <sz val="11"/>
        <name val="Calibri"/>
        <family val="2"/>
        <color theme="0"/>
      </font>
      <numFmt numFmtId="0" formatCode="General"/>
      <fill>
        <patternFill patternType="none"/>
      </fill>
      <alignment horizontal="general" vertical="bottom" textRotation="0" wrapText="0" shrinkToFit="0" readingOrder="0"/>
    </dxf>
    <dxf>
      <font>
        <b val="0"/>
        <i val="0"/>
        <u val="none"/>
        <strike val="0"/>
        <sz val="11"/>
        <name val="Calibri"/>
        <family val="2"/>
        <color theme="0"/>
      </font>
      <numFmt numFmtId="0" formatCode="General"/>
      <fill>
        <patternFill patternType="none"/>
      </fill>
      <alignment horizontal="general" vertical="bottom" textRotation="0" wrapText="0" shrinkToFit="0" readingOrder="0"/>
    </dxf>
    <dxf>
      <font>
        <b val="0"/>
        <i val="0"/>
        <u val="none"/>
        <strike val="0"/>
        <sz val="11"/>
        <name val="Calibri"/>
        <family val="2"/>
        <color theme="0"/>
      </font>
      <numFmt numFmtId="0" formatCode="General"/>
      <fill>
        <patternFill patternType="none"/>
      </fill>
      <alignment horizontal="general" vertical="bottom" textRotation="0" wrapText="0"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none"/>
        <strike val="0"/>
        <sz val="11"/>
        <name val="Calibri"/>
        <family val="2"/>
        <color theme="0"/>
      </font>
      <fill>
        <patternFill patternType="none"/>
      </fill>
      <alignment horizontal="general" vertical="bottom" textRotation="0" wrapText="1" shrinkToFit="0" readingOrder="0"/>
    </dxf>
    <dxf>
      <font>
        <b val="0"/>
        <i val="0"/>
        <u val="single"/>
        <strike val="0"/>
        <sz val="11"/>
        <name val="Calibri"/>
        <family val="2"/>
        <color rgb="FF99FFCC"/>
      </font>
      <numFmt numFmtId="0" formatCode="General"/>
      <fill>
        <patternFill patternType="none"/>
      </fill>
      <alignment horizontal="general" vertical="bottom" textRotation="0" wrapText="1" shrinkToFit="0" readingOrder="0"/>
    </dxf>
    <dxf>
      <font>
        <b val="0"/>
        <i val="0"/>
        <u val="none"/>
        <strike val="0"/>
        <sz val="11"/>
        <name val="Calibri"/>
        <family val="2"/>
        <color theme="0"/>
      </font>
      <numFmt numFmtId="0" formatCode="General"/>
      <fill>
        <patternFill patternType="none"/>
      </fill>
      <alignment horizontal="general" vertical="bottom" textRotation="0" wrapText="1" shrinkToFit="0" readingOrder="0"/>
    </dxf>
    <dxf>
      <fill>
        <patternFill>
          <bgColor theme="1" tint="0.14997"/>
        </patternFill>
      </fill>
    </dxf>
    <dxf>
      <fill>
        <patternFill>
          <bgColor theme="1" tint="0.34999"/>
        </patternFill>
      </fill>
    </dxf>
    <dxf>
      <font>
        <b/>
        <i val="0"/>
      </font>
      <fill>
        <patternFill>
          <bgColor theme="1" tint="0.14997"/>
        </patternFill>
      </fill>
      <border>
        <bottom style="thin">
          <color theme="0"/>
        </bottom>
      </border>
    </dxf>
    <dxf>
      <font>
        <color theme="0"/>
      </font>
    </dxf>
    <dxf>
      <font>
        <b/>
        <i val="0"/>
        <color rgb="FF99FFCC"/>
      </font>
    </dxf>
    <dxf>
      <font>
        <color rgb="FF92D050"/>
      </font>
    </dxf>
    <dxf>
      <font>
        <color rgb="FFFFFF9B"/>
      </font>
    </dxf>
    <dxf>
      <font>
        <color theme="5" tint="0.39995"/>
      </font>
    </dxf>
    <dxf>
      <font>
        <color rgb="FFFFB9B9"/>
      </font>
    </dxf>
    <dxf>
      <font>
        <color theme="3" tint="-0.49997"/>
      </font>
      <fill>
        <patternFill>
          <bgColor theme="3" tint="0.59996"/>
        </patternFill>
      </fill>
    </dxf>
    <dxf>
      <font>
        <color theme="1"/>
      </font>
      <fill>
        <patternFill>
          <bgColor rgb="FF99FFCC"/>
        </patternFill>
      </fill>
    </dxf>
    <dxf>
      <font>
        <color theme="1"/>
      </font>
      <fill>
        <patternFill>
          <bgColor rgb="FFCCFF33"/>
        </patternFill>
      </fill>
    </dxf>
    <dxf>
      <font>
        <color theme="1"/>
      </font>
      <fill>
        <patternFill>
          <bgColor rgb="FFFFCC00"/>
        </patternFill>
      </fill>
    </dxf>
    <dxf>
      <font>
        <color theme="1"/>
      </font>
      <fill>
        <patternFill>
          <bgColor rgb="FFFF3300"/>
        </patternFill>
      </fill>
    </dxf>
  </dxfs>
  <tableStyles count="2" defaultTableStyle="TableStyleMedium2" defaultPivotStyle="PivotStyleLight16">
    <tableStyle name="DarkCustom" pivot="0" table="0" count="4">
      <tableStyleElement type="wholeTable" dxfId="684"/>
      <tableStyleElement type="headerRow" dxfId="683"/>
      <tableStyleElement type="firstRowStripe" dxfId="682"/>
      <tableStyleElement type="secondRowStripe" dxfId="681"/>
    </tableStyle>
    <tableStyle name="Invisible Table" pivot="0" table="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5" Type="http://schemas.openxmlformats.org/officeDocument/2006/relationships/worksheet" Target="worksheets/sheet3.xml" /><Relationship Id="rId9" Type="http://schemas.openxmlformats.org/officeDocument/2006/relationships/worksheet" Target="worksheets/sheet7.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sharedStrings" Target="sharedString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4" Type="http://schemas.openxmlformats.org/officeDocument/2006/relationships/worksheet" Target="worksheets/sheet2.xml" /><Relationship Id="rId28" Type="http://schemas.openxmlformats.org/officeDocument/2006/relationships/sheetMetadata" Target="metadata.xml" /><Relationship Id="rId29" Type="http://schemas.openxmlformats.org/officeDocument/2006/relationships/calcChain" Target="calcChain.xml" /><Relationship Id="rId8" Type="http://schemas.openxmlformats.org/officeDocument/2006/relationships/worksheet" Target="worksheets/sheet6.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3" Type="http://schemas.openxmlformats.org/officeDocument/2006/relationships/worksheet" Target="worksheets/sheet1.xml" /><Relationship Id="rId18" Type="http://schemas.openxmlformats.org/officeDocument/2006/relationships/worksheet" Target="worksheets/sheet16.xml" /><Relationship Id="rId19" Type="http://schemas.openxmlformats.org/officeDocument/2006/relationships/worksheet" Target="worksheets/sheet17.xml" /><Relationship Id="rId1" Type="http://schemas.openxmlformats.org/officeDocument/2006/relationships/theme" Target="theme/theme1.xml" /><Relationship Id="rId2" Type="http://schemas.openxmlformats.org/officeDocument/2006/relationships/styles" Target="styles.xml" /><Relationship Id="rId7" Type="http://schemas.openxmlformats.org/officeDocument/2006/relationships/worksheet" Target="worksheets/sheet5.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2</xdr:col>
      <xdr:colOff>2466975</xdr:colOff>
      <xdr:row>5</xdr:row>
      <xdr:rowOff>19050</xdr:rowOff>
    </xdr:from>
    <xdr:to>
      <xdr:col>2</xdr:col>
      <xdr:colOff>3905451</xdr:colOff>
      <xdr:row>6</xdr:row>
      <xdr:rowOff>543025</xdr:rowOff>
    </xdr:to>
    <xdr:pic>
      <xdr:nvPicPr>
        <xdr:cNvPr id="2" name="Picture 1">
          <a:extLst>
            <a:ext uri="{FF2B5EF4-FFF2-40B4-BE49-F238E27FC236}">
              <a16:creationId xmlns:a16="http://schemas.microsoft.com/office/drawing/2014/main" id="{fed584c5-e2e9-bffe-f324-23fb8e03f69c}"/>
            </a:ext>
          </a:extLst>
        </xdr:cNvPr>
        <xdr:cNvPicPr>
          <a:picLocks noChangeAspect="1"/>
        </xdr:cNvPicPr>
      </xdr:nvPicPr>
      <xdr:blipFill>
        <a:blip r:embed="rId1"/>
        <a:stretch>
          <a:fillRect/>
        </a:stretch>
      </xdr:blipFill>
      <xdr:spPr>
        <a:xfrm>
          <a:off x="7896225" y="1209675"/>
          <a:ext cx="1438275" cy="704850"/>
        </a:xfrm>
        <a:prstGeom prst="rect"/>
      </xdr:spPr>
    </xdr:pic>
    <xdr:clientData/>
  </xdr:twoCellAnchor>
  <xdr:twoCellAnchor>
    <xdr:from>
      <xdr:col>2</xdr:col>
      <xdr:colOff>3438525</xdr:colOff>
      <xdr:row>6</xdr:row>
      <xdr:rowOff>200025</xdr:rowOff>
    </xdr:from>
    <xdr:to>
      <xdr:col>2</xdr:col>
      <xdr:colOff>3952875</xdr:colOff>
      <xdr:row>6</xdr:row>
      <xdr:rowOff>457200</xdr:rowOff>
    </xdr:to>
    <xdr:sp>
      <xdr:nvSpPr>
        <xdr:cNvPr id="3" name="Rectangle 2">
          <a:extLst>
            <a:ext uri="{FF2B5EF4-FFF2-40B4-BE49-F238E27FC236}">
              <a16:creationId xmlns:a16="http://schemas.microsoft.com/office/drawing/2014/main" id="{31c7c45e-68d3-37cf-e7ac-4e913d5234ca}"/>
            </a:ext>
          </a:extLst>
        </xdr:cNvPr>
        <xdr:cNvSpPr/>
      </xdr:nvSpPr>
      <xdr:spPr>
        <a:xfrm>
          <a:off x="8867775" y="1571625"/>
          <a:ext cx="514350" cy="257175"/>
        </a:xfrm>
        <a:prstGeom prst="rect"/>
        <a:noFill/>
        <a:ln w="38100">
          <a:solidFill>
            <a:srgbClr val="B2D6EC"/>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de-DE" sz="1100"/>
        </a:p>
      </xdr:txBody>
    </xdr:sp>
    <xdr:clientData/>
  </xdr:twoCellAnchor>
</xdr:wsDr>
</file>

<file path=xl/tables/table1.xml><?xml version="1.0" encoding="utf-8"?>
<table xmlns="http://schemas.openxmlformats.org/spreadsheetml/2006/main" id="1" name="Table1" displayName="Table1" ref="A36:I258" totalsRowShown="0">
  <autoFilter ref="A36:I258"/>
  <tableColumns count="9">
    <tableColumn id="1" name="Sheet" dataDxfId="680">
      <calculatedColumnFormula array="1">IF(INDEX($H:$H,ROW()-1)&lt;&gt;$H37,$E37,"")</calculatedColumnFormula>
    </tableColumn>
    <tableColumn id="2" name="Column" dataDxfId="679">
      <calculatedColumnFormula array="1">IF($K37="","",_xlfn.LET(_xlpm._fullName,IF($L37="",SUBSTITUTE(SUBSTITUTE(INDIRECT($K37),CHAR(10)," "),"  "," "),$L37),_xlpm._truncatedName,IF(LEN(_xlpm._fullName)&gt;250,LEFT(_xlpm._fullName,250)&amp;"[…]",_xlpm._fullName),HYPERLINK("#'"&amp;$E37&amp;"'!"&amp;$F37&amp;$G37,_xlpm._truncatedName)))</calculatedColumnFormula>
    </tableColumn>
    <tableColumn id="3" name="Explanation" dataDxfId="678"/>
    <tableColumn id="4" name="Comment" dataDxfId="677"/>
    <tableColumn id="6" name="Sheet Name " dataDxfId="676">
      <calculatedColumnFormula>IF($K37="","",_xlfn.LET(_xlpm._in,$K37,_xlpm._start,FIND("]",_xlpm._in)+1,SUBSTITUTE(MID(_xlpm._in,_xlpm._start,FIND("!",_xlpm._in)-_xlpm._start),"'","")))</calculatedColumnFormula>
    </tableColumn>
    <tableColumn id="8" name="Column Letter" dataDxfId="675">
      <calculatedColumnFormula>IF($K37="","",_xlfn.LET(_xlpm._in,SUBSTITUTE($K37,"$","§",1),_xlpm._start,FIND("§",_xlpm._in)+1,SUBSTITUTE(MID(_xlpm._in,_xlpm._start,FIND("$",_xlpm._in)-_xlpm._start),"'","")))</calculatedColumnFormula>
    </tableColumn>
    <tableColumn id="7" name="Header Row" dataDxfId="674">
      <calculatedColumnFormula>IF($K37="","",RIGHT($K37,LEN($K37)-FIND("$",SUBSTITUTE($K37,"$","§",1))))</calculatedColumnFormula>
    </tableColumn>
    <tableColumn id="5" name="Sheet #" dataDxfId="673">
      <calculatedColumnFormula array="1">CreateID($H$36,$H:$H,$E37&lt;&gt;INDEX($E:$E,ROW()-1))</calculatedColumnFormula>
    </tableColumn>
    <tableColumn id="9" name="Column Original Name" dataDxfId="672">
      <calculatedColumnFormula array="1">INDIRECT($K37)</calculatedColumnFormula>
    </tableColumn>
  </tableColumns>
  <tableStyleInfo name="DarkCustom" showFirstColumn="0" showLastColumn="0" showRowStripes="1" showColumnStripes="0"/>
</table>
</file>

<file path=xl/tables/table2.xml><?xml version="1.0" encoding="utf-8"?>
<table xmlns="http://schemas.openxmlformats.org/spreadsheetml/2006/main" id="19" name="Table19" displayName="Table19" ref="B2:F3" totalsRowShown="0" headerRowDxfId="671">
  <autoFilter ref="B2:F3"/>
  <tableColumns count="5">
    <tableColumn id="1" name="Date" dataDxfId="670"/>
    <tableColumn id="2" name="Version" dataDxfId="669"/>
    <tableColumn id="3" name="Changes" dataDxfId="668"/>
    <tableColumn id="4" name="Author" dataDxfId="667"/>
    <tableColumn id="5" name="Is last" dataDxfId="666">
      <calculatedColumnFormula array="1">_xlfn.LAMBDA(_xlpm._dateCell,AND(_xlpm._dateCell&lt;&gt;"",OFFSET(_xlpm._dateCell,1,0)=""))($B3)</calculatedColumnFormula>
    </tableColumn>
  </tableColumns>
  <tableStyleInfo name="DarkCustom" showFirstColumn="0" showLastColumn="0" showRowStripes="1" showColumnStripes="0"/>
</table>
</file>

<file path=xl/tables/table3.xml><?xml version="1.0" encoding="utf-8"?>
<table xmlns="http://schemas.openxmlformats.org/spreadsheetml/2006/main" id="20" name="Table20" displayName="Table20" ref="B6:F7" totalsRowShown="0" headerRowDxfId="665">
  <autoFilter ref="B6:F7"/>
  <tableColumns count="5">
    <tableColumn id="1" name="Date"/>
    <tableColumn id="2" name=" "/>
    <tableColumn id="3" name="Changes"/>
    <tableColumn id="4" name="  "/>
    <tableColumn id="5" name="Is last" dataDxfId="664">
      <calculatedColumnFormula array="1">_xlfn.LAMBDA(_xlpm._dateCell,AND(_xlpm._dateCell&lt;&gt;"",OFFSET(_xlpm._dateCell,1,0)=""))($B7)</calculatedColumnFormula>
    </tableColumn>
  </tableColumns>
  <tableStyleInfo name="DarkCustom" showFirstColumn="0" showLastColumn="0" showRowStripes="1" showColumnStripes="0"/>
</table>
</file>

<file path=xl/tables/table4.xml><?xml version="1.0" encoding="utf-8"?>
<table xmlns="http://schemas.openxmlformats.org/spreadsheetml/2006/main" id="21" name="Table21" displayName="Table21" ref="B10:F11" totalsRowShown="0" headerRowDxfId="663">
  <autoFilter ref="B10:F11"/>
  <tableColumns count="5">
    <tableColumn id="1" name="Date" dataDxfId="662"/>
    <tableColumn id="2" name="  " dataDxfId="661"/>
    <tableColumn id="3" name="Changes" dataDxfId="660"/>
    <tableColumn id="4" name=" " dataDxfId="659"/>
    <tableColumn id="5" name="Is last" dataDxfId="658">
      <calculatedColumnFormula array="1">_xlfn.LAMBDA(_xlpm._dateCell,AND(_xlpm._dateCell&lt;&gt;"",OFFSET(_xlpm._dateCell,1,0)=""))($B11)</calculatedColumnFormula>
    </tableColumn>
  </tableColumns>
  <tableStyleInfo name="DarkCustom" showFirstColumn="0" showLastColumn="0" showRowStripes="1" showColumnStripes="0"/>
</table>
</file>

<file path=xl/tables/table5.xml><?xml version="1.0" encoding="utf-8"?>
<table xmlns="http://schemas.openxmlformats.org/spreadsheetml/2006/main" id="22" name="Table22" displayName="Table22" ref="B14:F15" totalsRowShown="0" headerRowDxfId="657">
  <autoFilter ref="B14:F15"/>
  <tableColumns count="5">
    <tableColumn id="1" name="Date" dataDxfId="656"/>
    <tableColumn id="2" name="  " dataDxfId="655"/>
    <tableColumn id="3" name="Changes" dataDxfId="654"/>
    <tableColumn id="4" name=" " dataDxfId="653"/>
    <tableColumn id="5" name="Is last" dataDxfId="652">
      <calculatedColumnFormula array="1">_xlfn.LAMBDA(_xlpm._dateCell,AND(_xlpm._dateCell&lt;&gt;"",OFFSET(_xlpm._dateCell,1,0)=""))($B15)</calculatedColumnFormula>
    </tableColumn>
  </tableColumns>
  <tableStyleInfo name="DarkCustom" showFirstColumn="0" showLastColumn="0" showRowStripes="1" showColumnStripes="0"/>
</table>
</file>

<file path=xl/tables/table6.xml><?xml version="1.0" encoding="utf-8"?>
<table xmlns="http://schemas.openxmlformats.org/spreadsheetml/2006/main" id="28" name="Table28" displayName="Table28" ref="B18:F19" totalsRowShown="0" headerRowDxfId="651">
  <autoFilter ref="B18:F19"/>
  <tableColumns count="5">
    <tableColumn id="1" name="Date" dataDxfId="650"/>
    <tableColumn id="2" name="  " dataDxfId="649"/>
    <tableColumn id="3" name="Changes"/>
    <tableColumn id="4" name=" " dataDxfId="648"/>
    <tableColumn id="5" name="Is last" dataDxfId="647">
      <calculatedColumnFormula array="1">_xlfn.LAMBDA(_xlpm._dateCell,AND(_xlpm._dateCell&lt;&gt;"",OFFSET(_xlpm._dateCell,1,0)=""))($B19)</calculatedColumnFormula>
    </tableColumn>
  </tableColumns>
  <tableStyleInfo name="DarkCustom" showFirstColumn="0" showLastColumn="0" showRowStripes="1" showColumnStripes="0"/>
</table>
</file>

<file path=xl/tables/table7.xml><?xml version="1.0" encoding="utf-8"?>
<table xmlns="http://schemas.openxmlformats.org/spreadsheetml/2006/main" id="23" name="Table23" displayName="Table23" ref="G3:K23" totalsRowShown="0" headerRowDxfId="646" dataDxfId="645">
  <autoFilter ref="G3:K23"/>
  <tableColumns count="5">
    <tableColumn id="1" name="Category" dataDxfId="644">
      <calculatedColumnFormula>$E$8</calculatedColumnFormula>
    </tableColumn>
    <tableColumn id="2" name="Name" dataDxfId="643"/>
    <tableColumn id="3" name="Description" dataDxfId="642"/>
    <tableColumn id="4" name="Damage Level" dataDxfId="641"/>
    <tableColumn id="5" name="Not first of Category" dataDxfId="640">
      <calculatedColumnFormula>OFFSET($G4,-1,0)=$G4</calculatedColumnFormula>
    </tableColumn>
  </tableColumns>
  <tableStyleInfo name="Invisible Table" showFirstColumn="0" showLastColumn="0" showRowStripes="1" showColumnStripes="0"/>
</table>
</file>

<file path=xl/tables/table8.xml><?xml version="1.0" encoding="utf-8"?>
<table xmlns="http://schemas.openxmlformats.org/spreadsheetml/2006/main" id="26" name="Table26" displayName="Table26" ref="Y3:AC26" totalsRowShown="0" headerRowDxfId="639" dataDxfId="638">
  <autoFilter ref="Y3:AC26"/>
  <tableColumns count="5">
    <tableColumn id="1" name="Class" dataDxfId="637"/>
    <tableColumn id="2" name="Factor" dataDxfId="636"/>
    <tableColumn id="3" name="Value" dataDxfId="635"/>
    <tableColumn id="4" name="Class ID" dataDxfId="634">
      <calculatedColumnFormula array="1">IF(ROW()=ROW($AB$3)+1,0,INDEX($AB:$AB,ROW()-1))+IF($Y4=INDEX($Y:$Y,ROW()-1),0,1)</calculatedColumnFormula>
    </tableColumn>
    <tableColumn id="5" name="Not first of Category" dataDxfId="633">
      <calculatedColumnFormula>OFFSET($AB4,-1,0)=$AB4</calculatedColumnFormula>
    </tableColumn>
  </tableColumns>
  <tableStyleInfo name="Invisible Table" showFirstColumn="0" showLastColumn="0" showRowStripes="1" showColumnStripes="0"/>
</table>
</file>

<file path=xl/tables/table9.xml><?xml version="1.0" encoding="utf-8"?>
<table xmlns="http://schemas.openxmlformats.org/spreadsheetml/2006/main" id="15" name="Table15" displayName="Table15" ref="A3:R60" totalsRowShown="0" headerRowDxfId="632" dataDxfId="631">
  <autoFilter ref="A3:R60"/>
  <tableColumns count="18">
    <tableColumn id="1" name="ID" dataDxfId="630"/>
    <tableColumn id="2" name="Text" dataDxfId="629"/>
    <tableColumn id="3" name="Indentation" dataDxfId="628"/>
    <tableColumn id="13" name="Is a Question" dataDxfId="627">
      <calculatedColumnFormula>IF($A4="","",IF(LEFT($A4,1)="Q","x",""))</calculatedColumnFormula>
    </tableColumn>
    <tableColumn id="4" name="Options Range Header" dataDxfId="626"/>
    <tableColumn id="5" name="Height" dataDxfId="625"/>
    <tableColumn id="6" name="Resulting Options" dataDxfId="624">
      <calculatedColumnFormula>IF($E4="","",_xlfn.TEXTJOIN(CHAR(10),TRUE,OFFSET(INDIRECT($E4),0,0,$F4,1)))</calculatedColumnFormula>
    </tableColumn>
    <tableColumn id="7" name="Info Text" dataDxfId="623"/>
    <tableColumn id="8" name="Options Range Header " dataDxfId="622"/>
    <tableColumn id="9" name="Height " dataDxfId="621"/>
    <tableColumn id="10" name="Resulting Options " dataDxfId="620">
      <calculatedColumnFormula array="1">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J4),CHAR(10))</calculatedColumnFormula>
    </tableColumn>
    <tableColumn id="11" name="Info Text " dataDxfId="619"/>
    <tableColumn id="12" name="Inactive On" dataDxfId="618"/>
    <tableColumn id="17" name="Comment" dataDxfId="617"/>
    <tableColumn id="14" name="Shadow ID" dataDxfId="616">
      <calculatedColumnFormula array="1">CreateID($O$3,$O:$O,$A4&lt;&gt;"")</calculatedColumnFormula>
    </tableColumn>
    <tableColumn id="18" name="Task ID" dataDxfId="615">
      <calculatedColumnFormula array="1">CreateTaskID($P$3,$P:$P,Tasks!$B$17,$N4)</calculatedColumnFormula>
    </tableColumn>
    <tableColumn id="15" name="Is Inactive" dataDxfId="614">
      <calculatedColumnFormula array="1">IF($M4="",FALSE,CheckRelevance(SanitizeInput($M4),Questionnaire!$AA:$AA))</calculatedColumnFormula>
    </tableColumn>
    <tableColumn id="19" name="Question Shadow ID" dataDxfId="613">
      <calculatedColumnFormula array="1">CreateID($R$3,$R:$R,AND($A4&lt;&gt;"",$D4&lt;&gt;""))</calculatedColumnFormula>
    </tableColumn>
  </tableColumns>
  <tableStyleInfo name="DarkCustom" showFirstColumn="0" showLastColumn="0" showRowStripes="1" showColumnStripes="0"/>
</table>
</file>

<file path=xl/tables/table10.xml><?xml version="1.0" encoding="utf-8"?>
<table xmlns="http://schemas.openxmlformats.org/spreadsheetml/2006/main" id="4" name="Table2678185" displayName="Table2678185" ref="A2:V21" totalsRowShown="0" headerRowDxfId="612" dataDxfId="611">
  <autoFilter ref="A2:V21"/>
  <tableColumns count="22">
    <tableColumn id="1" name="ID" dataDxfId="610"/>
    <tableColumn id="4" name="Q ID" dataDxfId="609"/>
    <tableColumn id="6" name="Question" dataDxfId="608">
      <calculatedColumnFormula array="1">IF($B3="","",IFERROR(SimpleLookup($B3,Questions!$A:$B),"Error: Unknown ID: "&amp;$B3))</calculatedColumnFormula>
    </tableColumn>
    <tableColumn id="13" name="Is Active?" dataDxfId="607">
      <calculatedColumnFormula>_xlfn.LET(_xlpm._dsID,$A3,_xlpm._qID,$B3,_xlpm._dynamicReference,$F3,_xlpm._firstAnswer,$H3,_xlpm._secondAnswer,$I3,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calculatedColumnFormula>
    </tableColumn>
    <tableColumn id="2" name="Damage Scenario Static Text Prefix" dataDxfId="606"/>
    <tableColumn id="7" name="Questionnaire Provides Damage Criterion?" dataDxfId="605"/>
    <tableColumn id="8" name="Damage Scenario Static Text Suffix" dataDxfId="604"/>
    <tableColumn id="30" name="Answer 1" dataDxfId="603">
      <calculatedColumnFormula array="1">IF($B3="","",_xlfn.LET(_xlpm._value,SimpleLookup($B3,Questionnaire!$A:$C),IF(_xlpm._value="","",_xlpm._value)))</calculatedColumnFormula>
    </tableColumn>
    <tableColumn id="29" name="Answer 2" dataDxfId="602">
      <calculatedColumnFormula array="1">IF($B3="","",_xlfn.LET(_xlpm._value,SimpleLookup($B3,Questionnaire!$A:$E),IF(_xlpm._value="","",_xlpm._value)))</calculatedColumnFormula>
    </tableColumn>
    <tableColumn id="9" name="Damage Scenario Text (depends on answers to questionnaire)" dataDxfId="601">
      <calculatedColumnFormula>_xlfn.LET(_xlpm._dynamicText,$I3,_xlpm._ds,$E3&amp;IF($F3="","",_xlpm._dynamicText)&amp;$G3,IF(_xlpm._ds="","",IF(AND($F3&lt;&gt;"",_xlpm._dynamicText=""),"",_xlpm._ds)))</calculatedColumnFormula>
    </tableColumn>
    <tableColumn id="11" name="Explicit Damage Criterion" dataDxfId="600"/>
    <tableColumn id="17" name="Active Damage Criterion" dataDxfId="599">
      <calculatedColumnFormula>IF($D3="x",IF($K3="",$I3,$K3),"")</calculatedColumnFormula>
    </tableColumn>
    <tableColumn id="26" name="Damage Level" dataDxfId="598">
      <calculatedColumnFormula array="1">IF($L3="","",IFERROR(SimpleLookup($L3,Definitions!$H:$J),""))</calculatedColumnFormula>
    </tableColumn>
    <tableColumn id="18" name="Explicit Explanation Text" dataDxfId="597"/>
    <tableColumn id="14" name="Explanation Text" dataDxfId="596">
      <calculatedColumnFormula array="1">IF($N3&lt;&gt;"",$N3,_xlfn.LET(_xlpm._qID,$B3,_xlpm._firstAnswer,$H3,_xlpm._secondAnswer,$I3,_xlpm._question,IFERROR(SimpleLookup(_xlpm._qID,Questions!$A:$B),""),_xlpm._secondQuestion,IFERROR(SimpleLookup(_xlpm._qID,Questionnaire!$A:$D),""),_xlpm._qID&amp;"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calculatedColumnFormula>
    </tableColumn>
    <tableColumn id="5" name="Comment" dataDxfId="595"/>
    <tableColumn id="3" name="Shadow ID" dataDxfId="594">
      <calculatedColumnFormula array="1">IF(ROW()=ROW($Q$2)+1,0,INDEX($Q:$Q,ROW()-1))+IF($A3="",0,1)</calculatedColumnFormula>
    </tableColumn>
    <tableColumn id="31" name="Task ID" dataDxfId="593">
      <calculatedColumnFormula array="1">CreateTaskID($R$2,$R:$R,Tasks!$B$17,$P3)</calculatedColumnFormula>
    </tableColumn>
    <tableColumn id="10" name="Active DS Shadow ID" dataDxfId="592">
      <calculatedColumnFormula array="1">CreateID($S$2,$S:$S,$D3="x")</calculatedColumnFormula>
    </tableColumn>
    <tableColumn id="16" name="Active DS ID" dataDxfId="591">
      <calculatedColumnFormula>IF($D3="","",$A3)</calculatedColumnFormula>
    </tableColumn>
    <tableColumn id="15" name="Damage Value" dataDxfId="590">
      <calculatedColumnFormula array="1">IF($M3="",0,SimpleLookup($M3,Definitions!$Q:$R))</calculatedColumnFormula>
    </tableColumn>
    <tableColumn id="12" name="Damage Scenario with Damage Level" dataDxfId="589">
      <calculatedColumnFormula>IF($J3="","",$J3&amp;" ["&amp;$M3&amp;"]")</calculatedColumnFormula>
    </tableColumn>
  </tableColumns>
  <tableStyleInfo name="DarkCustom" showFirstColumn="0" showLastColumn="0" showRowStripes="1" showColumnStripes="0"/>
</table>
</file>

<file path=xl/tables/table11.xml><?xml version="1.0" encoding="utf-8"?>
<table xmlns="http://schemas.openxmlformats.org/spreadsheetml/2006/main" id="6" name="Table267" displayName="Table267" ref="A2:AI43" totalsRowShown="0" headerRowDxfId="588" dataDxfId="587">
  <autoFilter ref="A2:AI43"/>
  <tableColumns count="35">
    <tableColumn id="1" name="ID" dataDxfId="586"/>
    <tableColumn id="2" name="Attack Step" dataDxfId="585"/>
    <tableColumn id="6" name="Prep IDs" dataDxfId="584"/>
    <tableColumn id="16" name="Prerequisite Attack Steps" dataDxfId="583">
      <calculatedColumnFormula array="1">LookupNames(SanitizeInput($C3),$A:$B)</calculatedColumnFormula>
    </tableColumn>
    <tableColumn id="20" name="Q IDs" dataDxfId="582"/>
    <tableColumn id="21" name="Related Question (for damage scenarios)" dataDxfId="581">
      <calculatedColumnFormula array="1">RemoveDelimiter(GetValues(SanitizeInput($E3),Questions!$A:$B,"   ",CHAR(10),TRUE),CHAR(10))</calculatedColumnFormula>
    </tableColumn>
    <tableColumn id="18" name="Active Damage Scenarios" dataDxfId="580">
      <calculatedColumnFormula array="1">LookupNames($T3,'Damage Scenarios'!$A:$J)</calculatedColumnFormula>
    </tableColumn>
    <tableColumn id="7" name="Elapsed Time" dataDxfId="579"/>
    <tableColumn id="8" name="Expertise" dataDxfId="578"/>
    <tableColumn id="9" name="Knowledge of TOE" dataDxfId="577"/>
    <tableColumn id="10" name="Window of Opportunity" dataDxfId="576"/>
    <tableColumn id="11" name="Equipment" dataDxfId="575"/>
    <tableColumn id="34" name="RAP" dataDxfId="574">
      <calculatedColumnFormula>IF($A3="","",IFERROR(VLOOKUP($AC3,Definitions!$V:$W,COLUMNS(Definitions!$V:$W),TRUE),""))</calculatedColumnFormula>
    </tableColumn>
    <tableColumn id="12" name="Required answers for this attack step" dataDxfId="573"/>
    <tableColumn id="17" name="Mapping to CRA, Annex I (1.2)" dataDxfId="572"/>
    <tableColumn id="5" name="Comment" dataDxfId="571"/>
    <tableColumn id="3" name="Shadow ID" dataDxfId="570">
      <calculatedColumnFormula array="1">IF(ROW()=ROW($Q$2)+1,0,INDEX($Q:$Q,ROW()-1))+IF($A3="",0,1)</calculatedColumnFormula>
    </tableColumn>
    <tableColumn id="15" name="Active  Based on Answers?" dataDxfId="569">
      <calculatedColumnFormula>OR(CheckRelevance(SanitizeInput(N3),Questionnaire!$I:$I),CheckRelevance(SanitizeInput(N3),Questionnaire!$J:$J))</calculatedColumnFormula>
    </tableColumn>
    <tableColumn id="4" name="Creates Attack Paths" dataDxfId="568">
      <calculatedColumnFormula array="1">IF(AND($N3&lt;&gt;"",$R3=FALSE),"",IF(AND($R3,$C3=""),$A3&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A:$S,$A3))</calculatedColumnFormula>
    </tableColumn>
    <tableColumn id="19" name="Active DS" dataDxfId="567">
      <calculatedColumnFormula array="1">GetValues(SanitizeInput($E3),'Damage Scenarios'!$B:$T,"",",",FALSE)</calculatedColumnFormula>
    </tableColumn>
    <tableColumn id="30" name="Creates Risk" dataDxfId="566">
      <calculatedColumnFormula>AND($S3&lt;&gt;"",$T3&lt;&gt;"")</calculatedColumnFormula>
    </tableColumn>
    <tableColumn id="23" name="AP Shadow ID" dataDxfId="565">
      <calculatedColumnFormula array="1">CreateID($V$2,$V:$V,$U3)</calculatedColumnFormula>
    </tableColumn>
    <tableColumn id="24" name="# APs" dataDxfId="564">
      <calculatedColumnFormula>IF($U3,LEN($S3)-LEN(SUBSTITUTE($S3,"§","")),0)</calculatedColumnFormula>
    </tableColumn>
    <tableColumn id="25" name="ET" dataDxfId="563">
      <calculatedColumnFormula>IF(H3="",0,VLOOKUP(H3,Definitions!$Z:$AA,COLUMNS(Definitions!$Z:$AA),FALSE))</calculatedColumnFormula>
    </tableColumn>
    <tableColumn id="26" name="EX" dataDxfId="562">
      <calculatedColumnFormula>IF(I3="",0,VLOOKUP(I3,Definitions!$Z:$AA,COLUMNS(Definitions!$Z:$AA),FALSE))</calculatedColumnFormula>
    </tableColumn>
    <tableColumn id="27" name="KT" dataDxfId="561">
      <calculatedColumnFormula>IF(J3="",0,VLOOKUP(J3,Definitions!$Z:$AA,COLUMNS(Definitions!$Z:$AA),FALSE))</calculatedColumnFormula>
    </tableColumn>
    <tableColumn id="28" name="WO" dataDxfId="560">
      <calculatedColumnFormula>IF(K3="",0,VLOOKUP(K3,Definitions!$Z:$AA,COLUMNS(Definitions!$Z:$AA),FALSE))</calculatedColumnFormula>
    </tableColumn>
    <tableColumn id="29" name="EQ" dataDxfId="559">
      <calculatedColumnFormula>IF(L3="",0,VLOOKUP(L3,Definitions!$Z:$AA,COLUMNS(Definitions!$Z:$AA),FALSE))</calculatedColumnFormula>
    </tableColumn>
    <tableColumn id="35" name="SUM" dataDxfId="558">
      <calculatedColumnFormula>SUM(OFFSET($X3,0,0,1,COLUMNS($X:$AB)))</calculatedColumnFormula>
    </tableColumn>
    <tableColumn id="13" name="Task ID" dataDxfId="557">
      <calculatedColumnFormula array="1">CreateTaskID($AD$2,$AD:$AD,Tasks!$B$17,$P3)</calculatedColumnFormula>
    </tableColumn>
    <tableColumn id="14" name="Countermeasures" dataDxfId="556">
      <calculatedColumnFormula array="1">InverseLookup($A3,Countermeasures!$X$2,Countermeasures!$A$2,1,Helper!$B$4,",")</calculatedColumnFormula>
    </tableColumn>
    <tableColumn id="22" name="Active Assumptions Proposal" dataDxfId="555">
      <calculatedColumnFormula array="1">InverseLookup($A3,Assumptions!$X$3,Assumptions!$A$3,1,Helper!$B$6,",")</calculatedColumnFormula>
    </tableColumn>
    <tableColumn id="32" name="Assumptions" dataDxfId="554">
      <calculatedColumnFormula array="1">InverseLookup($A3,Assumptions!$Y$3,Assumptions!$A$3,1,Helper!$B$6,",")</calculatedColumnFormula>
    </tableColumn>
    <tableColumn id="31" name="Prep Attack Search" dataDxfId="553">
      <calculatedColumnFormula array="1">IF($U3,CreateSearchString(SUBSTITUTE($S3,"§","")),"")</calculatedColumnFormula>
    </tableColumn>
    <tableColumn id="33" name="Is Active Attack Step" dataDxfId="552">
      <calculatedColumnFormula>IFERROR(_xlfn.XMATCH("*,"&amp;$A3&amp;",*",$AH:$AH,2)&gt;0,FALSE)</calculatedColumnFormula>
    </tableColumn>
  </tableColumns>
  <tableStyleInfo name="DarkCustom" showFirstColumn="0" showLastColumn="0" showRowStripes="1" showColumnStripes="0"/>
</table>
</file>

<file path=xl/tables/table12.xml><?xml version="1.0" encoding="utf-8"?>
<table xmlns="http://schemas.openxmlformats.org/spreadsheetml/2006/main" id="7" name="Table2678" displayName="Table2678" ref="A3:AO47" totalsRowShown="0" headerRowDxfId="551" dataDxfId="550">
  <autoFilter ref="A3:AO47"/>
  <tableColumns count="41">
    <tableColumn id="1" name="ID" dataDxfId="549"/>
    <tableColumn id="2" name="Assumption" dataDxfId="548"/>
    <tableColumn id="8" name="Description" dataDxfId="547"/>
    <tableColumn id="41" name="Requirements" dataDxfId="546"/>
    <tableColumn id="22" name="Stakeholder" dataDxfId="545"/>
    <tableColumn id="4" name="Answers" dataDxfId="544"/>
    <tableColumn id="10" name="AS IDs" dataDxfId="543"/>
    <tableColumn id="9" name="Attack Steps" dataDxfId="542">
      <calculatedColumnFormula array="1">LookupNames(SanitizeInput($G4),'Attack Steps'!$A:$B)</calculatedColumnFormula>
    </tableColumn>
    <tableColumn id="26" name="DSTs" dataDxfId="541"/>
    <tableColumn id="25" name="Damage Scenario Transformation" dataDxfId="540">
      <calculatedColumnFormula array="1">IF($I4="","",SUBSTITUTE(SUBSTITUTE(SUBSTITUTE(SUBSTITUTE(SUBSTITUTE(SUBSTITUTE(SUBSTITUTE(SUBSTITUTE(SUBSTITUTE(GetTransformation(SanitizeInput($I4),'Damage Scenarios'!$A:$J,COLUMNS('Damage Scenarios'!$A:$J),CHAR(10),"[#0][#1][#2]")&amp;"§","[#1][#2]",""),"[#2]",""),"[#0][#1]","[#1]"),"[#0]","Removes:"&amp;CHAR(10)),"[#1]","Transforms:"&amp;CHAR(10)),CHAR(10)&amp;"§",""),"§",""),CHAR(10),CHAR(10)&amp;"   "),"   "&amp;"Transforms:","Transforms:"))</calculatedColumnFormula>
    </tableColumn>
    <tableColumn id="11" name="Elapsed Time" dataDxfId="539"/>
    <tableColumn id="12" name="Expertise" dataDxfId="538"/>
    <tableColumn id="15" name="Knowledge of TOE" dataDxfId="537"/>
    <tableColumn id="13" name="Window of Opportunity" dataDxfId="536"/>
    <tableColumn id="14" name="Equipment" dataDxfId="535"/>
    <tableColumn id="29" name="RAP" dataDxfId="534">
      <calculatedColumnFormula>IF($A4="","",IFERROR(VLOOKUP($AE4,Definitions!$V:$W,COLUMNS(Definitions!$V:$W),TRUE),""))</calculatedColumnFormula>
    </tableColumn>
    <tableColumn id="23" name="Mapping to CRA, Annex I (1.2)" dataDxfId="533"/>
    <tableColumn id="39" name="Reference" dataDxfId="532"/>
    <tableColumn id="5" name="Comment" dataDxfId="531"/>
    <tableColumn id="3" name="Shadow ID" dataDxfId="530">
      <calculatedColumnFormula array="1">IF(ROW()=ROW($T$3)+1,0,INDEX($T:$T,ROW()-1))+IF($A4="",0,1)</calculatedColumnFormula>
    </tableColumn>
    <tableColumn id="6" name="Active for Proposal?" dataDxfId="529">
      <calculatedColumnFormula>OR(CheckRelevance(SanitizeInput(F4),Questionnaire!$I:$I),IFERROR(_xlfn.XMATCH("*,"&amp;$A4&amp;",*",Countermeasures!$AG:$AG,2)&gt;0,FALSE))</calculatedColumnFormula>
    </tableColumn>
    <tableColumn id="27" name="Active in Risk Treatment?" dataDxfId="528">
      <calculatedColumnFormula>IFERROR(_xlfn.XMATCH("*,"&amp;$A4&amp;",*",Mitigation!$X:$X,2)&gt;0,FALSE)</calculatedColumnFormula>
    </tableColumn>
    <tableColumn id="7" name="Task ID" dataDxfId="527">
      <calculatedColumnFormula array="1">CreateTaskID($W$3,$W:$W,Tasks!$B$17,$S4)</calculatedColumnFormula>
    </tableColumn>
    <tableColumn id="38" name="Proposal Search" dataDxfId="526">
      <calculatedColumnFormula array="1">IF(OR($G4="",NOT($U4)),"",","&amp;SanitizeInput($G4))</calculatedColumnFormula>
    </tableColumn>
    <tableColumn id="16" name="Attack Step Search" dataDxfId="525">
      <calculatedColumnFormula array="1">IF($G4="","",","&amp;SanitizeInput($G4))</calculatedColumnFormula>
    </tableColumn>
    <tableColumn id="17" name="ET" dataDxfId="524">
      <calculatedColumnFormula>IF(K4="",0,VLOOKUP(K4,Definitions!$Z:$AA,COLUMNS(Definitions!$Z:$AA),FALSE))</calculatedColumnFormula>
    </tableColumn>
    <tableColumn id="18" name="EX" dataDxfId="523">
      <calculatedColumnFormula>IF(L4="",0,VLOOKUP(L4,Definitions!$Z:$AA,COLUMNS(Definitions!$Z:$AA),FALSE))</calculatedColumnFormula>
    </tableColumn>
    <tableColumn id="19" name="KT" dataDxfId="522">
      <calculatedColumnFormula>IF(M4="",0,VLOOKUP(M4,Definitions!$Z:$AA,COLUMNS(Definitions!$Z:$AA),FALSE))</calculatedColumnFormula>
    </tableColumn>
    <tableColumn id="20" name="WO" dataDxfId="521">
      <calculatedColumnFormula>IF(N4="",0,VLOOKUP(N4,Definitions!$Z:$AA,COLUMNS(Definitions!$Z:$AA),FALSE))</calculatedColumnFormula>
    </tableColumn>
    <tableColumn id="21" name="EQ" dataDxfId="520">
      <calculatedColumnFormula>IF(O4="",0,VLOOKUP(O4,Definitions!$Z:$AA,COLUMNS(Definitions!$Z:$AA),FALSE))</calculatedColumnFormula>
    </tableColumn>
    <tableColumn id="31" name="SUM" dataDxfId="519">
      <calculatedColumnFormula>SUM(OFFSET($Z4,0,0,1,COLUMNS($Z:$AD)))</calculatedColumnFormula>
    </tableColumn>
    <tableColumn id="24" name="Damage Transformation Search If Active" dataDxfId="518">
      <calculatedColumnFormula array="1">SUBSTITUTE(IF($V4,IF($I4="","",","&amp;SanitizeInput($I4)),""),"&gt;",",")</calculatedColumnFormula>
    </tableColumn>
    <tableColumn id="28" name="Active Assumption ID" dataDxfId="517">
      <calculatedColumnFormula array="1">IF(ROW()=ROW($AG$3)+1,0,INDEX($AG:$AG,ROW()-1))+IF(OR($U4,$V4),1,0)</calculatedColumnFormula>
    </tableColumn>
    <tableColumn id="30" name="Active Assumption Annex I Search" dataDxfId="516">
      <calculatedColumnFormula array="1">IF(OR($U4,$V4),IF($Q4="","",","&amp;SanitizeInput($Q4)),"")</calculatedColumnFormula>
    </tableColumn>
    <tableColumn id="32" name="Annex I Text" dataDxfId="515">
      <calculatedColumnFormula>$B4&amp;" ["&amp;$E4&amp;"]"</calculatedColumnFormula>
    </tableColumn>
    <tableColumn id="34" name="Triggering Answer IDs" dataDxfId="514">
      <calculatedColumnFormula array="1">IF($F4="*","",InverseLookupList(SanitizeInput($F4),Questionnaire!$AA$3,Questionnaire!$A$3,Helper!$B$12,","))</calculatedColumnFormula>
    </tableColumn>
    <tableColumn id="33" name="Triggering Answers and Their Comments" dataDxfId="513">
      <calculatedColumnFormula array="1">RemoveDelimiter(GetValues($AJ4,Questionnaire!$A:$G," ",CHAR(10)&amp;CHAR(10),TRUE),CHAR(10)&amp;CHAR(10))</calculatedColumnFormula>
    </tableColumn>
    <tableColumn id="35" name="Triggering Answer Search" dataDxfId="512">
      <calculatedColumnFormula array="1">CreateSearchString($AJ4)</calculatedColumnFormula>
    </tableColumn>
    <tableColumn id="36" name="Mitigated Attack Steps" dataDxfId="511">
      <calculatedColumnFormula array="1">InverseLookup($A4,Mitigation!$AD$2,Mitigation!$A$2,1,Helper!$B$5,",")</calculatedColumnFormula>
    </tableColumn>
    <tableColumn id="37" name="Mitigated Attack Steps Mapped to Annex Search" dataDxfId="510">
      <calculatedColumnFormula array="1">CreateSearchString(GetValues($AM4,'Attack Steps'!$A:$O,"",",",FALSE))</calculatedColumnFormula>
    </tableColumn>
    <tableColumn id="40" name="Own ID for Catalog Lookup" dataDxfId="509">
      <calculatedColumnFormula>IF($A4="","",$A4)</calculatedColumnFormula>
    </tableColumn>
  </tableColumns>
  <tableStyleInfo name="DarkCustom" showFirstColumn="0" showLastColumn="0" showRowStripes="1" showColumnStripes="0"/>
</table>
</file>

<file path=xl/tables/table13.xml><?xml version="1.0" encoding="utf-8"?>
<table xmlns="http://schemas.openxmlformats.org/spreadsheetml/2006/main" id="17" name="Table267818" displayName="Table267818" ref="A2:AR66" totalsRowShown="0" headerRowDxfId="508" dataDxfId="507">
  <autoFilter ref="A2:AR66"/>
  <tableColumns count="44">
    <tableColumn id="1" name="ID" dataDxfId="506"/>
    <tableColumn id="2" name="Countermeasure" dataDxfId="505"/>
    <tableColumn id="8" name="Description" dataDxfId="504"/>
    <tableColumn id="35" name="Answers" dataDxfId="503"/>
    <tableColumn id="4" name="Attack Step IDs" dataDxfId="502"/>
    <tableColumn id="20" name="Mitigated Attack Step Names" dataDxfId="501">
      <calculatedColumnFormula array="1">LookupNames(SanitizeInput($E3),'Attack Steps'!$A:$B)</calculatedColumnFormula>
    </tableColumn>
    <tableColumn id="23" name="PR IDs" dataDxfId="500"/>
    <tableColumn id="24" name="Prerequisites" dataDxfId="499">
      <calculatedColumnFormula array="1">RemoveDelimiter(GetValuesWithFallback(SanitizeInput($G3),$A:$B,Assumptions!$A:$B," ",","&amp;CHAR(10),TRUE),","&amp;CHAR(10))</calculatedColumnFormula>
    </tableColumn>
    <tableColumn id="25" name="DSTs" dataDxfId="498"/>
    <tableColumn id="26" name="Damage Scenario Transformation" dataDxfId="497">
      <calculatedColumnFormula array="1">IF($I3="","",SUBSTITUTE(SUBSTITUTE(SUBSTITUTE(SUBSTITUTE(SUBSTITUTE(SUBSTITUTE(SUBSTITUTE(SUBSTITUTE(SUBSTITUTE(GetTransformation(SanitizeInput($I3),'Damage Scenarios'!$A:$J,COLUMNS('Damage Scenarios'!$A:$J),CHAR(10),"[#0][#1][#2]")&amp;"§","[#1][#2]",""),"[#2]",""),"[#0][#1]","[#1]"),"[#0]","Removes:"&amp;CHAR(10)),"[#1]","Transforms:"&amp;CHAR(10)),CHAR(10)&amp;"§",""),"§",""),CHAR(10),CHAR(10)&amp;"   "),"   "&amp;"Transforms:","Transforms:"))</calculatedColumnFormula>
    </tableColumn>
    <tableColumn id="11" name="Elapsed Time" dataDxfId="496"/>
    <tableColumn id="12" name="Expertise" dataDxfId="495"/>
    <tableColumn id="13" name="Knowledge of TOE" dataDxfId="494"/>
    <tableColumn id="14" name="Window of Opportunity" dataDxfId="493"/>
    <tableColumn id="10" name="Equipment" dataDxfId="492"/>
    <tableColumn id="21" name="RAP" dataDxfId="491">
      <calculatedColumnFormula>IF($A3="","",IFERROR(VLOOKUP($AD3,Definitions!$V:$W,COLUMNS(Definitions!$V:$W),TRUE),""))</calculatedColumnFormula>
    </tableColumn>
    <tableColumn id="34" name="Mapping to CRA, Annex I (1.2)" dataDxfId="490"/>
    <tableColumn id="42" name="Reference" dataDxfId="489"/>
    <tableColumn id="5" name="Comment" dataDxfId="488"/>
    <tableColumn id="3" name="Shadow ID" dataDxfId="487">
      <calculatedColumnFormula array="1">IF(ROW()=ROW($T$2)+1,0,INDEX($T:$T,ROW()-1))+IF($A3="",0,1)</calculatedColumnFormula>
    </tableColumn>
    <tableColumn id="6" name="Active for Proposal?" dataDxfId="486">
      <calculatedColumnFormula array="1">CheckRelevance(SanitizeInput(E3),Questionnaire!$I:$I)</calculatedColumnFormula>
    </tableColumn>
    <tableColumn id="29" name="Active in Risk Treatment?" dataDxfId="485">
      <calculatedColumnFormula>IFERROR(_xlfn.XMATCH("*,"&amp;$A3&amp;",*",Mitigation!$X:$X,2)&gt;0,FALSE)</calculatedColumnFormula>
    </tableColumn>
    <tableColumn id="7" name="Task ID" dataDxfId="484">
      <calculatedColumnFormula array="1">CreateTaskID($W$2,$W:$W,Tasks!$B$17,$S3)</calculatedColumnFormula>
    </tableColumn>
    <tableColumn id="9" name="Attack Step Search" dataDxfId="483">
      <calculatedColumnFormula array="1">IF($E3="","",","&amp;SanitizeInput($E3))</calculatedColumnFormula>
    </tableColumn>
    <tableColumn id="15" name="ET" dataDxfId="482">
      <calculatedColumnFormula>IF(K3="",0,VLOOKUP(K3,Definitions!$Z:$AA,COLUMNS(Definitions!$Z:$AA),FALSE))</calculatedColumnFormula>
    </tableColumn>
    <tableColumn id="16" name="EX" dataDxfId="481">
      <calculatedColumnFormula>IF(L3="",0,VLOOKUP(L3,Definitions!$Z:$AA,COLUMNS(Definitions!$Z:$AA),FALSE))</calculatedColumnFormula>
    </tableColumn>
    <tableColumn id="17" name="KT" dataDxfId="480">
      <calculatedColumnFormula>IF(M3="",0,VLOOKUP(M3,Definitions!$Z:$AA,COLUMNS(Definitions!$Z:$AA),FALSE))</calculatedColumnFormula>
    </tableColumn>
    <tableColumn id="18" name="WO" dataDxfId="479">
      <calculatedColumnFormula>IF(N3="",0,VLOOKUP(N3,Definitions!$Z:$AA,COLUMNS(Definitions!$Z:$AA),FALSE))</calculatedColumnFormula>
    </tableColumn>
    <tableColumn id="19" name="EQ" dataDxfId="478">
      <calculatedColumnFormula>IF(O3="",0,VLOOKUP(O3,Definitions!$Z:$AA,COLUMNS(Definitions!$Z:$AA),FALSE))</calculatedColumnFormula>
    </tableColumn>
    <tableColumn id="22" name="SUM" dataDxfId="477">
      <calculatedColumnFormula>SUM(OFFSET($Y3,0,0,1,COLUMNS($Y:$AC)))</calculatedColumnFormula>
    </tableColumn>
    <tableColumn id="32" name="Dependency Search" dataDxfId="476">
      <calculatedColumnFormula array="1">IF($G3="","",","&amp;SanitizeInput($G3))</calculatedColumnFormula>
    </tableColumn>
    <tableColumn id="31" name="Active Or Transitively Active as Dependency" dataDxfId="475">
      <calculatedColumnFormula array="1">OR($AK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AE$2,$A$2,Helper!$B$4,",",$A:$V,$A:$AK,InverseLookup($A3,$AE$2,$A$2,1,Helper!$B$4,",")))</calculatedColumnFormula>
    </tableColumn>
    <tableColumn id="27" name="Dependency Search If Active" dataDxfId="474">
      <calculatedColumnFormula array="1">IF(OR($V3,$AF3,$AK3),IF($G3="","",","&amp;SanitizeInput($G3)),"")</calculatedColumnFormula>
    </tableColumn>
    <tableColumn id="28" name="Damage Scenario Search If Active" dataDxfId="473">
      <calculatedColumnFormula array="1">SUBSTITUTE(IF($V3,IF($I3="","",","&amp;SanitizeInput($I3)),""),"&gt;",",")</calculatedColumnFormula>
    </tableColumn>
    <tableColumn id="30" name="Active Countermeasure ID" dataDxfId="472">
      <calculatedColumnFormula array="1">IF(ROW()=ROW($AI$2)+1,0,INDEX($AI:$AI,ROW()-1))+IF($AF3,1,0)</calculatedColumnFormula>
    </tableColumn>
    <tableColumn id="33" name="Annex I Active Countermeasure Search" dataDxfId="471">
      <calculatedColumnFormula array="1">IF($AF3,IF($Q3="","",","&amp;SanitizeInput($Q3)),"")</calculatedColumnFormula>
    </tableColumn>
    <tableColumn id="36" name="Active Based on Answers" dataDxfId="470">
      <calculatedColumnFormula>OR(CheckRelevance(SanitizeInput($D3),Questionnaire!$I:$I),CheckRelevance(SanitizeInput($D3),Questionnaire!$J:$J))</calculatedColumnFormula>
    </tableColumn>
    <tableColumn id="44" name="Filtered Preconditions" dataDxfId="469">
      <calculatedColumnFormula array="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Questionnaire!$AA:$AA,",")</calculatedColumnFormula>
    </tableColumn>
    <tableColumn id="37" name="Triggering Answer IDs" dataDxfId="468">
      <calculatedColumnFormula array="1">IF($D3="*","",InverseLookupList($AL3,Questionnaire!$AA$3,Questionnaire!$A$3,Helper!$B$12,","))</calculatedColumnFormula>
    </tableColumn>
    <tableColumn id="38" name="Triggering Answers and Their Comments" dataDxfId="467">
      <calculatedColumnFormula array="1">RemoveDelimiter(GetValues($AM3,Questionnaire!$A:$G," ",CHAR(10)&amp;CHAR(10),TRUE),CHAR(10)&amp;CHAR(10))</calculatedColumnFormula>
    </tableColumn>
    <tableColumn id="39" name="Triggering Answer Search" dataDxfId="466">
      <calculatedColumnFormula array="1">CreateSearchString($AM3)</calculatedColumnFormula>
    </tableColumn>
    <tableColumn id="40" name="Mitigates Attack Steps" dataDxfId="465">
      <calculatedColumnFormula array="1">InverseLookup($A3,Mitigation!$AD$2,Mitigation!$A$2,1,Helper!$B$5,",")</calculatedColumnFormula>
    </tableColumn>
    <tableColumn id="41" name="Mitigated Attack Steps Mapped to Annex Search" dataDxfId="464">
      <calculatedColumnFormula array="1">CreateSearchString(GetValues($AP3,'Attack Steps'!$A:$O,"",",",FALSE))</calculatedColumnFormula>
    </tableColumn>
    <tableColumn id="43" name="Own ID for Catalog Lookup" dataDxfId="463">
      <calculatedColumnFormula>IF($A3="","",$A3)</calculatedColumnFormula>
    </tableColumn>
  </tableColumns>
  <tableStyleInfo name="DarkCustom" showFirstColumn="0" showLastColumn="0" showRowStripes="1" showColumnStripes="0"/>
</table>
</file>

<file path=xl/tables/table14.xml><?xml version="1.0" encoding="utf-8"?>
<table xmlns="http://schemas.openxmlformats.org/spreadsheetml/2006/main" id="13" name="Table13" displayName="Table13" ref="B17:E22" totalsRowShown="0" headerRowDxfId="462" dataDxfId="461">
  <autoFilter ref="B17:E22"/>
  <tableColumns count="4">
    <tableColumn id="1" name="Date" dataDxfId="460"/>
    <tableColumn id="2" name="Changes" dataDxfId="459"/>
    <tableColumn id="3" name="Author" dataDxfId="458"/>
    <tableColumn id="4" name="Release" dataDxfId="457"/>
  </tableColumns>
  <tableStyleInfo name="DarkCustom" showFirstColumn="0" showLastColumn="0" showRowStripes="1" showColumnStripes="0"/>
</table>
</file>

<file path=xl/tables/table15.xml><?xml version="1.0" encoding="utf-8"?>
<table xmlns="http://schemas.openxmlformats.org/spreadsheetml/2006/main" id="3" name="Table3" displayName="Table3" ref="I3:AO103" totalsRowShown="0" headerRowDxfId="456" dataDxfId="455">
  <autoFilter ref="I3:AO103"/>
  <tableColumns count="33">
    <tableColumn id="9" name="Answer Search" dataDxfId="454">
      <calculatedColumnFormula>IF($AC4,SUBSTITUTE(IF($A4="","",$A4&amp;"["&amp;$C4&amp;IF($E4="","","|"&amp;$E4)&amp;"]")," ",""),"")</calculatedColumnFormula>
    </tableColumn>
    <tableColumn id="11" name="Answer Search for First Answer Only" dataDxfId="453">
      <calculatedColumnFormula>IF($AC4,SUBSTITUTE(IF($A4="","",$A4&amp;"["&amp;$C4&amp;IF($E4="","]","|*]"))," ",""),"")</calculatedColumnFormula>
    </tableColumn>
    <tableColumn id="32" name="Question Text" dataDxfId="452">
      <calculatedColumnFormula array="1">SimpleLookup($A4,Questions!$A:$B)</calculatedColumnFormula>
    </tableColumn>
    <tableColumn id="20" name="Shadow ID" dataDxfId="451">
      <calculatedColumnFormula array="1">CreateID($L$3,$L:$L,AND($A4&lt;&gt;"",$AC4))</calculatedColumnFormula>
    </tableColumn>
    <tableColumn id="1" name="Task ID" dataDxfId="450">
      <calculatedColumnFormula array="1">CreateTaskID($M$3,$M:$M,Tasks!$B$17,$G4)</calculatedColumnFormula>
    </tableColumn>
    <tableColumn id="2" name="QI Text Question Not Answered" dataDxfId="449">
      <calculatedColumnFormula>IF($AC4,IF(AND($A4&lt;&gt;"",$C4="",$AK4=FALSE),$A4&amp;" "&amp;$K4,""),"")</calculatedColumnFormula>
    </tableColumn>
    <tableColumn id="3" name="QI ID Question Not Answered" dataDxfId="448">
      <calculatedColumnFormula array="1">CreateID($O$3,$O:$O,$N4&lt;&gt;"")</calculatedColumnFormula>
    </tableColumn>
    <tableColumn id="4" name="QI Text Missing Details" dataDxfId="447">
      <calculatedColumnFormula>IF(AND($D4&lt;&gt;"",$E4=""),$A4&amp;" "&amp;$K4,"")</calculatedColumnFormula>
    </tableColumn>
    <tableColumn id="5" name="QI ID Missing Details" dataDxfId="446">
      <calculatedColumnFormula array="1">CreateID($Q$3,$Q:$Q,$P4&lt;&gt;"")</calculatedColumnFormula>
    </tableColumn>
    <tableColumn id="6" name="QI Text Missing Rationale" dataDxfId="445">
      <calculatedColumnFormula>IF(AND($F4&lt;&gt;"",$G4=""),$A4&amp;" "&amp;$K4,"")</calculatedColumnFormula>
    </tableColumn>
    <tableColumn id="7" name="QI ID Missing Rationale" dataDxfId="444">
      <calculatedColumnFormula array="1">CreateID($S$3,$S:$S,$R4&lt;&gt;"")</calculatedColumnFormula>
    </tableColumn>
    <tableColumn id="8" name="QI Text Inconsistent Answers" dataDxfId="443">
      <calculatedColumnFormula>IF($A4="","",IF(AND(NOT($AG4),$E4&lt;&gt;""),$A4&amp;" "&amp;$K4,""))</calculatedColumnFormula>
    </tableColumn>
    <tableColumn id="10" name="QI ID Inconsistent Answers" dataDxfId="442">
      <calculatedColumnFormula array="1">CreateID($U$3,$U:$U,$T4&lt;&gt;"")</calculatedColumnFormula>
    </tableColumn>
    <tableColumn id="12" name="Additional Assumption ID" dataDxfId="441">
      <calculatedColumnFormula array="1">CreateID($V$3,$V:$V,IFERROR(FIND(Definitions!$AR$4,$G4)&gt;0,FALSE))</calculatedColumnFormula>
    </tableColumn>
    <tableColumn id="13" name="# Additional Assumptions" dataDxfId="440">
      <calculatedColumnFormula>_xlfn.LET(_xlpm._comment,$G4,_xlpm._keyWord,Definitions!$AR$4,_xlpm._diffLen,LEN(_xlpm._comment)-LEN(SUBSTITUTE(_xlpm._comment,_xlpm._keyWord,"")),_xlpm._diffLen/LEN(_xlpm._keyWord))</calculatedColumnFormula>
    </tableColumn>
    <tableColumn id="14" name="Additional Countermeasure ID" dataDxfId="439">
      <calculatedColumnFormula array="1">CreateID($X$3,$X:$X,IFERROR(FIND(Definitions!$AR$5,$G4)&gt;0,FALSE))</calculatedColumnFormula>
    </tableColumn>
    <tableColumn id="15" name="# Additional Countermeasures" dataDxfId="438">
      <calculatedColumnFormula>_xlfn.LET(_xlpm._comment,$G4,_xlpm._keyWord,Definitions!$AR$5,_xlpm._diffLen,LEN(_xlpm._comment)-LEN(SUBSTITUTE(_xlpm._comment,_xlpm._keyWord,"")),_xlpm._diffLen/LEN(_xlpm._keyWord))</calculatedColumnFormula>
    </tableColumn>
    <tableColumn id="16" name="Activates Assumption or Countermeasure" dataDxfId="437">
      <calculatedColumnFormula>OR(IFERROR(_xlfn.XMATCH("*,"&amp;$A4&amp;",*",Assumptions!$AL:$AL,2)&gt;0,FALSE),IFERROR(_xlfn.XMATCH("*,"&amp;$A4&amp;",*",Countermeasures!$AO:$AO,2)&gt;0,FALSE))</calculatedColumnFormula>
    </tableColumn>
    <tableColumn id="17" name="Answer Search Field" dataDxfId="436">
      <calculatedColumnFormula array="1">CreateSearchString($I4)</calculatedColumnFormula>
    </tableColumn>
    <tableColumn id="21" name="Damage Level" dataDxfId="435">
      <calculatedColumnFormula>IF($E4="","",IFERROR(VLOOKUP($E4,Definitions!$H:$J,COLUMNS(Definitions!$H:$J),FALSE),""))</calculatedColumnFormula>
    </tableColumn>
    <tableColumn id="22" name="Is a Question" dataDxfId="434">
      <calculatedColumnFormula array="1">IF($A4="",FALSE,SimpleLookup($A4,Questions!$A:$D)="x")</calculatedColumnFormula>
    </tableColumn>
    <tableColumn id="23" name="A1 Options Header" dataDxfId="433">
      <calculatedColumnFormula array="1">IF(OR($A4="",NOT($AC4)),"",SimpleLookup($A4,Questions!$A:$E))</calculatedColumnFormula>
    </tableColumn>
    <tableColumn id="24" name="A1 Height" dataDxfId="432">
      <calculatedColumnFormula array="1">IF(OR($A4="",NOT($AC4)),"",SimpleLookup($A4,Questions!$A:$F))</calculatedColumnFormula>
    </tableColumn>
    <tableColumn id="27" name="A1 Info Text" dataDxfId="431">
      <calculatedColumnFormula array="1">_xlfn.LET(_xlpm._answer,$C4,_xlpm._infoTextFull,IF($AC4,CHAR(10)&amp;SimpleLookup($A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calculatedColumnFormula>
    </tableColumn>
    <tableColumn id="30" name="Second Answer Required" dataDxfId="430">
      <calculatedColumnFormula array="1">IF(OR($A4="",NOT($AC4)),FALSE,_xlfn.LET(_xlpm._secondAnswerRequiredOn,SimpleLookup($A4,Questions!$A:$I),_xlpm._firstAnwer,$C4,IFERROR(FIND(CHAR(10)&amp;_xlpm._firstAnwer&amp;":",CHAR(10)&amp;_xlpm._secondAnswerRequiredOn)&gt;0,FALSE)))</calculatedColumnFormula>
    </tableColumn>
    <tableColumn id="25" name="A2 Options Header" dataDxfId="429">
      <calculatedColumnFormula array="1">IF(OR($A4="",NOT($AC4)),"",_xlfn.LET(_xlpm._id,$A4,_xlpm._firstAnswer,$C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calculatedColumnFormula>
    </tableColumn>
    <tableColumn id="26" name="A2 Height" dataDxfId="428">
      <calculatedColumnFormula array="1">IF(OR($A4="",NOT($AC4)),"",_xlfn.LET(_xlpm._id,$A4,_xlpm._firstAnswer,$C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calculatedColumnFormula>
    </tableColumn>
    <tableColumn id="28" name="A2 Info Text" dataDxfId="427">
      <calculatedColumnFormula array="1">IF($AG4,_xlfn.LET(_xlpm._answer,$E4,_xlpm._infoTextFull,IF($AC4,CHAR(10)&amp;SimpleLookup($A4,Questions!$A:$L)&amp;CHAR(10),""),_xlpm._startSelectedByAnswerOne,IF(_xlpm._infoTextFull="",0,FIND("___"&amp;$C4&amp;"___",_xlpm._infoTextFull)+LEN("___"&amp;$C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calculatedColumnFormula>
    </tableColumn>
    <tableColumn id="29" name="Inactive" dataDxfId="426">
      <calculatedColumnFormula array="1">IF(OR($A4="",NOT($AC4)),FALSE,SimpleLookup($A4,Questions!$A:$Q))</calculatedColumnFormula>
    </tableColumn>
    <tableColumn id="18" name="QI Text Mismatch QA2 and QA6" dataDxfId="425">
      <calculatedColumnFormula array="1">IF(AND($A4=Questions!$A$41,IFERROR(SimpleLookup(Questions!$A$36,$A:$E)=Definitions!$O$5,FALSE),$C4=Definitions!$A$5),Questions!$A$36&amp;" "&amp;Questions!$B$36&amp;CHAR(10)&amp;CHAR(187)&amp;" "&amp;SimpleLookup(Questions!$A$36,$A:$C)&amp;CHAR(10)&amp;SimpleLookup(Questions!$A$36,$A:$D)&amp;CHAR(10)&amp;CHAR(187)&amp;" "&amp;Definitions!$O$5&amp;CHAR(10)&amp;CHAR(10)&amp;"is incosistent with"&amp;CHAR(10)&amp;CHAR(10)&amp;$A4&amp;" "&amp;SimpleLookup($A4,Questions!$A:$B)&amp;CHAR(10)&amp;CHAR(187)&amp;" "&amp;$C4,"")</calculatedColumnFormula>
    </tableColumn>
    <tableColumn id="19" name="QI ID Mismatch QA2 and QA62" dataDxfId="424">
      <calculatedColumnFormula array="1">CreateID($AM$3,$AM:$AM,$AL4&lt;&gt;"")</calculatedColumnFormula>
    </tableColumn>
    <tableColumn id="31" name="QI Text Support Time Too Short" dataDxfId="423">
      <calculatedColumnFormula array="1">IF(OR($C4="",OFFSET($C4,1,0)=""),"",IF(AND($A4=Questions!$A$59,OFFSET($A4,1,0)=Questions!$A$60,SimpleLookup(Questions!$A$49,$A:$C)=Definitions!$A$4),IF(MATCH($C4,Definitions!$AW:$AW,0)&gt;MATCH(OFFSET($C4,1,0),Definitions!AW:AW,0),$A4&amp;" "&amp;$K4&amp;": "&amp;$C4&amp;CHAR(10)&amp;"&lt;---&gt;"&amp;CHAR(10)&amp;OFFSET($A4,1,0)&amp;" "&amp;OFFSET($K4,1,0)&amp;": "&amp;OFFSET($C4,1,0),""),""))</calculatedColumnFormula>
    </tableColumn>
    <tableColumn id="33" name="QI ID Support Time Too Short" dataDxfId="422">
      <calculatedColumnFormula array="1">CreateID($AO$3,$AO:$AO,$AN4&lt;&gt;"")</calculatedColumnFormula>
    </tableColumn>
  </tableColumns>
  <tableStyleInfo name="TableStyleDark1" showFirstColumn="0" showLastColumn="0" showRowStripes="1" showColumnStripes="0"/>
</table>
</file>

<file path=xl/tables/table16.xml><?xml version="1.0" encoding="utf-8"?>
<table xmlns="http://schemas.openxmlformats.org/spreadsheetml/2006/main" id="9" name="Table26710" displayName="Table26710" ref="A2:H20" totalsRowShown="0" headerRowDxfId="421" dataDxfId="420">
  <autoFilter ref="A2:H20"/>
  <tableColumns count="8">
    <tableColumn id="1" name="ID" dataDxfId="419">
      <calculatedColumnFormula array="1">IF($G3="","",INDEX('Damage Scenarios'!A:A,$G3))</calculatedColumnFormula>
    </tableColumn>
    <tableColumn id="2" name="Damage Scenario" dataDxfId="418">
      <calculatedColumnFormula array="1">IF($G3="","",INDEX('Damage Scenarios'!J:J,$G3))</calculatedColumnFormula>
    </tableColumn>
    <tableColumn id="8" name="Damage Level" dataDxfId="417">
      <calculatedColumnFormula array="1">IF($G3="","",INDEX('Damage Scenarios'!M:M,$G3))</calculatedColumnFormula>
    </tableColumn>
    <tableColumn id="5" name="Related Questions and Answers / Explanation" dataDxfId="416">
      <calculatedColumnFormula array="1">IF($G3="","",INDEX('Damage Scenarios'!$O:$O,$G3))</calculatedColumnFormula>
    </tableColumn>
    <tableColumn id="7" name="Comment" dataDxfId="415"/>
    <tableColumn id="3" name="Shadow ID" dataDxfId="414">
      <calculatedColumnFormula array="1">IF(ROW()=ROW($F$2)+1,0,INDEX($F:$F,ROW()-1))+IF($A3="",0,1)</calculatedColumnFormula>
    </tableColumn>
    <tableColumn id="4" name="Row" dataDxfId="413">
      <calculatedColumnFormula>IFERROR(MATCH(ROW()-ROW($G$2),'Damage Scenarios'!$S:$S,0),"")</calculatedColumnFormula>
    </tableColumn>
    <tableColumn id="6" name="Task ID" dataDxfId="412">
      <calculatedColumnFormula array="1">CreateTaskID($H$2,$H:$H,Tasks!$B$17,$E3)</calculatedColumnFormula>
    </tableColumn>
  </tableColumns>
  <tableStyleInfo name="DarkCustom" showFirstColumn="0" showLastColumn="0" showRowStripes="1" showColumnStripes="0"/>
</table>
</file>

<file path=xl/tables/table17.xml><?xml version="1.0" encoding="utf-8"?>
<table xmlns="http://schemas.openxmlformats.org/spreadsheetml/2006/main" id="8" name="Table8" displayName="Table8" ref="A2:CU77" totalsRowShown="0" headerRowDxfId="411" dataDxfId="410">
  <autoFilter ref="A2:CU77"/>
  <tableColumns count="99">
    <tableColumn id="1" name="R ID" dataDxfId="409">
      <calculatedColumnFormula array="1">IF($B3="","","R"&amp;RemoveDelimiter(SUBSTITUTE(SUBSTITUTE($K3,"AS",""),",","-"),"-"))</calculatedColumnFormula>
    </tableColumn>
    <tableColumn id="2" name="Attack Path" dataDxfId="408">
      <calculatedColumnFormula array="1">IF($L3="","",_xlfn.LET(_xlpm._finalAttackStep,$L3,_xlpm._prepAttacks,RemoveFirstElement(_xlpm._finalAttackStep&amp;","&amp;$K3),_xlpm._prepAttackNames,IFERROR(LookupNames(_xlpm._prepAttacks,'Attack Steps'!$A:$B),""),_xlpm._delimiter,REPT(CHAR(150),55),$L3&amp;" "&amp;SimpleLookup($L3,'Attack Steps'!$A:$B)&amp;IF(_xlpm._prepAttackNames="","",CHAR(10)&amp;_xlpm._delimiter&amp;CHAR(10)&amp;_xlpm._prepAttackNames)))</calculatedColumnFormula>
    </tableColumn>
    <tableColumn id="10" name="Damage Scenarios" dataDxfId="407">
      <calculatedColumnFormula array="1">IFERROR(LookupNames($M3,'Damage Scenarios'!$A:$V),"")</calculatedColumnFormula>
    </tableColumn>
    <tableColumn id="12" name="Damage Level" dataDxfId="406">
      <calculatedColumnFormula>IFERROR(IF($T3=0,"",INDEX(Definitions!$Q:$Q,MATCH($T3,Definitions!$R:$R,0))),"")</calculatedColumnFormula>
    </tableColumn>
    <tableColumn id="100" name="Factor Explanation " dataDxfId="405">
      <calculatedColumnFormula array="1">IF($A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A:W,Definitions!$Y:$Y,Definitions!$AB:$AB,1)&amp;CHAR(10)&amp;_xlpm._factorFunction($A3,$A:X,Definitions!$Y:$Y,Definitions!$AB:$AB,2)&amp;CHAR(10)&amp;_xlpm._factorFunction($A3,$A:Y,Definitions!$Y:$Y,Definitions!$AB:$AB,3)&amp;CHAR(10)&amp;_xlpm._factorFunction($A3,$A:Z,Definitions!$Y:$Y,Definitions!$AB:$AB,4)&amp;CHAR(10)&amp;_xlpm._factorFunction($A3,$A:AA,Definitions!$Y:$Y,Definitions!$AB:$AB,5)))</calculatedColumnFormula>
    </tableColumn>
    <tableColumn id="13" name="RAP" dataDxfId="404">
      <calculatedColumnFormula>IF($A3="","",IFERROR(VLOOKUP($AG3,Definitions!$V:$W,COLUMNS(Definitions!$V:$W),TRUE),""))</calculatedColumnFormula>
    </tableColumn>
    <tableColumn id="14" name="Risk Level" dataDxfId="403">
      <calculatedColumnFormula>IFERROR(IF(OR($D3="",$F3=""),"",VLOOKUP($D3,Definitions!$AH:$AM,MATCH($F3,Definitions!$AH$3:$AM$3,0),FALSE)),"")</calculatedColumnFormula>
    </tableColumn>
    <tableColumn id="22" name="Shadow ID" dataDxfId="402">
      <calculatedColumnFormula array="1">IF(ROW()=ROW($H$2)+1,0,INDEX($H:$H,ROW()-1))+IF($A3="",0,1)</calculatedColumnFormula>
    </tableColumn>
    <tableColumn id="3" name="AP Shadow ID" dataDxfId="401">
      <calculatedColumnFormula array="1">IF(ROW()=ROW($I$2)+1,1,INDEX($I:$I,ROW()-1)+IF(INDEX($S:$S,ROW()-1),1,0))</calculatedColumnFormula>
    </tableColumn>
    <tableColumn id="4" name="Active AP #" dataDxfId="400">
      <calculatedColumnFormula>COUNTIF(OFFSET($I$2,1,0,ROW()-ROW($I$2),1),$I3)</calculatedColumnFormula>
    </tableColumn>
    <tableColumn id="9" name="Active AP" dataDxfId="399">
      <calculatedColumnFormula>IF($Q3="","",_xlfn.LET(_xlpm._aps,$Q3,_xlpm._firstPos,FIND("$",SUBSTITUTE(_xlpm._aps,"§","$",$J3))+1,_xlpm._lastPos,FIND("$",SUBSTITUTE(_xlpm._aps,"§","$",$J3+1)),MID(_xlpm._aps,_xlpm._firstPos,_xlpm._lastPos-_xlpm._firstPos)))</calculatedColumnFormula>
    </tableColumn>
    <tableColumn id="23" name="Attack Step Causing Damages" dataDxfId="398">
      <calculatedColumnFormula array="1">IF($P3="","",INDEX('Attack Steps'!$A:$A,$P3))</calculatedColumnFormula>
    </tableColumn>
    <tableColumn id="11" name="DS IDs" dataDxfId="397">
      <calculatedColumnFormula array="1">IF($P3="","",INDEX('Attack Steps'!$T:$T,$P3))</calculatedColumnFormula>
    </tableColumn>
    <tableColumn id="58" name="Damage Transformation" dataDxfId="396">
      <calculatedColumnFormula array="1">_xlfn.LET(_xlpm._dm,SanitizeInput(GetValuesWithFallback(SanitizeInput($AK3),Assumptions!$A:$I,Countermeasures!$A:$I,"",",",FALSE)),IF(_xlpm._dm="","",","&amp;_xlpm._dm))</calculatedColumnFormula>
    </tableColumn>
    <tableColumn id="57" name="Transformed DS IDs" dataDxfId="395">
      <calculatedColumnFormula array="1">ApplyDamageMitigation($M3,$N3,"")</calculatedColumnFormula>
    </tableColumn>
    <tableColumn id="5" name="Attack Paths Row" dataDxfId="394">
      <calculatedColumnFormula>IFERROR(MATCH($I3,'Attack Steps'!$V:$V,0),"")</calculatedColumnFormula>
    </tableColumn>
    <tableColumn id="6" name="Attack Paths String" dataDxfId="393">
      <calculatedColumnFormula array="1">IF($P3="","","§"&amp;INDEX('Attack Steps'!$S:$S,$P3))</calculatedColumnFormula>
    </tableColumn>
    <tableColumn id="7" name="# APs" dataDxfId="392">
      <calculatedColumnFormula array="1">IF($P3="","",INDEX('Attack Steps'!$W:$W,$P3))</calculatedColumnFormula>
    </tableColumn>
    <tableColumn id="8" name="Last AP?" dataDxfId="391">
      <calculatedColumnFormula>$J3=$R3</calculatedColumnFormula>
    </tableColumn>
    <tableColumn id="15" name="DL" dataDxfId="390">
      <calculatedColumnFormula array="1">_xlfn.LAMBDA(_xlpm._in,_xlpm._val,_xlpm._range,IF(_xlpm._in="",_xlpm._val,_xlfn.LET(_xlpm._id,LEFT(_xlpm._in,FIND(",",_xlpm._in)-1),CalculateMaxFromList(RemoveFirstElement(_xlpm._in),MAX(_xlpm._val,VLOOKUP(_xlpm._id,_xlpm._range,COLUMNS(_xlpm._range),FALSE)),_xlpm._range))))($M3,0,'Damage Scenarios'!$A:$U)</calculatedColumnFormula>
    </tableColumn>
    <tableColumn id="59" name="DL after transformation" dataDxfId="389">
      <calculatedColumnFormula array="1">CalculateMaxFromList($O3,0,'Damage Scenarios'!$A:$U)</calculatedColumnFormula>
    </tableColumn>
    <tableColumn id="60" name="New Damage Level" dataDxfId="388">
      <calculatedColumnFormula>IF($U3=0,"",INDEX(Definitions!$Q:$Q,MATCH($U3,Definitions!$R:$R,0)))</calculatedColumnFormula>
    </tableColumn>
    <tableColumn id="30" name="ET" dataDxfId="387">
      <calculatedColumnFormula array="1">CalculateMaxAndElements($K3,0,"",'Attack Steps'!$A:X)</calculatedColumnFormula>
    </tableColumn>
    <tableColumn id="31" name="EX" dataDxfId="386">
      <calculatedColumnFormula array="1">CalculateMaxAndElements($K3,0,"",'Attack Steps'!$A:Y)</calculatedColumnFormula>
    </tableColumn>
    <tableColumn id="32" name="KT" dataDxfId="385">
      <calculatedColumnFormula array="1">CalculateMaxAndElements($K3,0,"",'Attack Steps'!$A:Z)</calculatedColumnFormula>
    </tableColumn>
    <tableColumn id="33" name="WO" dataDxfId="384">
      <calculatedColumnFormula array="1">CalculateMaxAndElements($K3,0,"",'Attack Steps'!$A:AA)</calculatedColumnFormula>
    </tableColumn>
    <tableColumn id="34" name="EQ" dataDxfId="383">
      <calculatedColumnFormula array="1">CalculateMaxAndElements($K3,0,"",'Attack Steps'!$A:AB)</calculatedColumnFormula>
    </tableColumn>
    <tableColumn id="16" name="ET-val" dataDxfId="382">
      <calculatedColumnFormula>IF(W3="","",VALUE(LEFT(W3,FIND(":",W3)-1)))</calculatedColumnFormula>
    </tableColumn>
    <tableColumn id="17" name="EX-val" dataDxfId="381">
      <calculatedColumnFormula>IF(X3="","",VALUE(LEFT(X3,FIND(":",X3)-1)))</calculatedColumnFormula>
    </tableColumn>
    <tableColumn id="18" name="KT-val" dataDxfId="380">
      <calculatedColumnFormula>IF(Y3="","",VALUE(LEFT(Y3,FIND(":",Y3)-1)))</calculatedColumnFormula>
    </tableColumn>
    <tableColumn id="19" name="WO-val" dataDxfId="379">
      <calculatedColumnFormula>IF(Z3="","",VALUE(LEFT(Z3,FIND(":",Z3)-1)))</calculatedColumnFormula>
    </tableColumn>
    <tableColumn id="20" name="EQ-val" dataDxfId="378">
      <calculatedColumnFormula>IF(AA3="","",VALUE(LEFT(AA3,FIND(":",AA3)-1)))</calculatedColumnFormula>
    </tableColumn>
    <tableColumn id="21" name="SUM" dataDxfId="377">
      <calculatedColumnFormula>SUM(OFFSET($AB3,0,0,1,COLUMNS($AB:$AF)))</calculatedColumnFormula>
    </tableColumn>
    <tableColumn id="24" name="All IDs" dataDxfId="376">
      <calculatedColumnFormula array="1">IF(ROW()=ROW($AH$2)+1,"",INDEX($AH:$AH,ROW()-1))&amp;IF($A3="","",$A3&amp;",")</calculatedColumnFormula>
    </tableColumn>
    <tableColumn id="25" name="AP Search" dataDxfId="375">
      <calculatedColumnFormula>IF($K3="","",","&amp;$K3)</calculatedColumnFormula>
    </tableColumn>
    <tableColumn id="26" name="Risk Level Value" dataDxfId="374">
      <calculatedColumnFormula array="1">IF($G3="",0,SimpleLookup($G3,Definitions!$AE:$AF))</calculatedColumnFormula>
    </tableColumn>
    <tableColumn id="27" name="Selected Countermeasures" dataDxfId="373">
      <calculatedColumnFormula array="1">InverseLookup($A3,Mitigation!$U$2,Mitigation!$J$2,1,Helper!$B$5,",")</calculatedColumnFormula>
    </tableColumn>
    <tableColumn id="28" name="C-ET" dataDxfId="372">
      <calculatedColumnFormula array="1">CalculateMaxAndElementsWithFallback(SanitizeInput($AK3),0,"",Countermeasures!$A:Y,Assumptions!$A:Z)</calculatedColumnFormula>
    </tableColumn>
    <tableColumn id="29" name="C-EX" dataDxfId="371">
      <calculatedColumnFormula array="1">CalculateMaxAndElementsWithFallback(SanitizeInput($AK3),0,"",Countermeasures!$A:Z,Assumptions!$A:AA)</calculatedColumnFormula>
    </tableColumn>
    <tableColumn id="35" name="C-KT" dataDxfId="370">
      <calculatedColumnFormula array="1">CalculateMaxAndElementsWithFallback(SanitizeInput($AK3),0,"",Countermeasures!$A:AA,Assumptions!$A:AB)</calculatedColumnFormula>
    </tableColumn>
    <tableColumn id="36" name="C-WO" dataDxfId="369">
      <calculatedColumnFormula array="1">CalculateMaxAndElementsWithFallback(SanitizeInput($AK3),0,"",Countermeasures!$A:AB,Assumptions!$A:AC)</calculatedColumnFormula>
    </tableColumn>
    <tableColumn id="37" name="C-EQ" dataDxfId="368">
      <calculatedColumnFormula array="1">CalculateMaxAndElementsWithFallback(SanitizeInput($AK3),0,"",Countermeasures!$A:AC,Assumptions!$A:AD)</calculatedColumnFormula>
    </tableColumn>
    <tableColumn id="38" name="C-ET-val" dataDxfId="367">
      <calculatedColumnFormula>IF(AL3="","",VALUE(LEFT(AL3,FIND(":",AL3)-1)))</calculatedColumnFormula>
    </tableColumn>
    <tableColumn id="39" name="C-EX-val" dataDxfId="366">
      <calculatedColumnFormula>IF(AM3="","",VALUE(LEFT(AM3,FIND(":",AM3)-1)))</calculatedColumnFormula>
    </tableColumn>
    <tableColumn id="40" name="C-KT-val" dataDxfId="365">
      <calculatedColumnFormula>IF(AN3="","",VALUE(LEFT(AN3,FIND(":",AN3)-1)))</calculatedColumnFormula>
    </tableColumn>
    <tableColumn id="41" name="C-WO-val" dataDxfId="364">
      <calculatedColumnFormula>IF(AO3="","",VALUE(LEFT(AO3,FIND(":",AO3)-1)))</calculatedColumnFormula>
    </tableColumn>
    <tableColumn id="42" name="C-EQ-val" dataDxfId="363">
      <calculatedColumnFormula>IF(AP3="","",VALUE(LEFT(AP3,FIND(":",AP3)-1)))</calculatedColumnFormula>
    </tableColumn>
    <tableColumn id="43" name="N-ET" dataDxfId="362">
      <calculatedColumnFormula>IF(AB3=AQ3,W3&amp;RIGHT(AL3,LEN(AL3)-FIND(":",AL3)),IF(AB3&gt;AQ3,W3,AL3))</calculatedColumnFormula>
    </tableColumn>
    <tableColumn id="44" name="N-EX" dataDxfId="361">
      <calculatedColumnFormula>IF(AC3=AR3,X3&amp;RIGHT(AM3,LEN(AM3)-FIND(":",AM3)),IF(AC3&gt;AR3,X3,AM3))</calculatedColumnFormula>
    </tableColumn>
    <tableColumn id="45" name="N-KT" dataDxfId="360">
      <calculatedColumnFormula>IF(AD3=AS3,Y3&amp;RIGHT(AN3,LEN(AN3)-FIND(":",AN3)),IF(AD3&gt;AS3,Y3,AN3))</calculatedColumnFormula>
    </tableColumn>
    <tableColumn id="46" name="N-WO" dataDxfId="359">
      <calculatedColumnFormula>IF(AE3=AT3,Z3&amp;RIGHT(AO3,LEN(AO3)-FIND(":",AO3)),IF(AE3&gt;AT3,Z3,AO3))</calculatedColumnFormula>
    </tableColumn>
    <tableColumn id="47" name="N-EQ" dataDxfId="358">
      <calculatedColumnFormula>IF(AF3=AU3,AA3&amp;RIGHT(AP3,LEN(AP3)-FIND(":",AP3)),IF(AF3&gt;AU3,AA3,AP3))</calculatedColumnFormula>
    </tableColumn>
    <tableColumn id="48" name="N-ET-val" dataDxfId="357">
      <calculatedColumnFormula>MAX(AB3,AQ3)</calculatedColumnFormula>
    </tableColumn>
    <tableColumn id="49" name="N-EX-val" dataDxfId="356">
      <calculatedColumnFormula>MAX(AC3,AR3)</calculatedColumnFormula>
    </tableColumn>
    <tableColumn id="50" name="N-KT-val" dataDxfId="355">
      <calculatedColumnFormula>MAX(AD3,AS3)</calculatedColumnFormula>
    </tableColumn>
    <tableColumn id="51" name="N-WO-val" dataDxfId="354">
      <calculatedColumnFormula>MAX(AE3,AT3)</calculatedColumnFormula>
    </tableColumn>
    <tableColumn id="52" name="N-EQ-val" dataDxfId="353">
      <calculatedColumnFormula>MAX(AF3,AU3)</calculatedColumnFormula>
    </tableColumn>
    <tableColumn id="53" name="N-SUM" dataDxfId="352">
      <calculatedColumnFormula>SUM(OFFSET($BA3,0,0,1,COLUMNS($BA:$BE)))</calculatedColumnFormula>
    </tableColumn>
    <tableColumn id="64" name="N-RAP-Calculated" dataDxfId="351">
      <calculatedColumnFormula>IFERROR(VLOOKUP($BF3,Definitions!$V:$W,COLUMNS(Definitions!$V:$W),TRUE),"")</calculatedColumnFormula>
    </tableColumn>
    <tableColumn id="65" name="N-RAP-Inline" dataDxfId="350">
      <calculatedColumnFormula>_xlfn.LET(_xlpm._comments,GetValues($K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calculatedColumnFormula>
    </tableColumn>
    <tableColumn id="54" name="N-RAP" dataDxfId="349">
      <calculatedColumnFormula array="1">_xlfn.LET(_xlpm._rapRange,Definitions!$W:$W,_xlpm._calculatedRAP,$BG3,_xlpm._inlineRAP,$BH3,_xlpm._calculatedRAPValue,IF(_xlpm._calculatedRAP="",0,MATCH(_xlpm._calculatedRAP,_xlpm._rapRange,0)),_xlpm._inlineRAPValue,IF(_xlpm._inlineRAP="",0,MATCH(_xlpm._inlineRAP,_xlpm._rapRange,0)),_xlpm._maxRAP,MAX(_xlpm._calculatedRAPValue,_xlpm._inlineRAPValue),IF(_xlpm._maxRAP=0,"",INDEX(_xlpm._rapRange,_xlpm._maxRAP)))</calculatedColumnFormula>
    </tableColumn>
    <tableColumn id="55" name="N-Risk Level" dataDxfId="348">
      <calculatedColumnFormula>IFERROR(IF(OR($V3="",$BI3=""),Definitions!$AE$4,VLOOKUP($V3,Definitions!$AH:$AM,MATCH($BI3,Definitions!$AH$3:$AM$3,0),FALSE)),"")</calculatedColumnFormula>
    </tableColumn>
    <tableColumn id="56" name="N-Risk Value" dataDxfId="347">
      <calculatedColumnFormula array="1">IF($BJ3="",0,SimpleLookup($BJ3,Definitions!$AE:$AF))</calculatedColumnFormula>
    </tableColumn>
    <tableColumn id="84" name="Confirmed Countermeasures in Tracing" dataDxfId="346">
      <calculatedColumnFormula array="1">IFERROR(SimpleLookup($A3,Tracing!$B:$Z),"")</calculatedColumnFormula>
    </tableColumn>
    <tableColumn id="97" name="CT-Damage Transformation" dataDxfId="345">
      <calculatedColumnFormula array="1">_xlfn.LET(_xlpm._dm,SanitizeInput(GetValuesWithFallback(SanitizeInput($BL3),Assumptions!$A:$I,Countermeasures!$A:$I,"",",",FALSE)),IF(_xlpm._dm="","",","&amp;_xlpm._dm))</calculatedColumnFormula>
    </tableColumn>
    <tableColumn id="98" name="CT-Transformed DS IDs" dataDxfId="344">
      <calculatedColumnFormula array="1">ApplyDamageMitigation($M3,$BM3,"")</calculatedColumnFormula>
    </tableColumn>
    <tableColumn id="95" name="CT-DL after transformation" dataDxfId="343">
      <calculatedColumnFormula array="1">CalculateMaxFromList($BN3,0,'Damage Scenarios'!$A:$U)</calculatedColumnFormula>
    </tableColumn>
    <tableColumn id="96" name="CT-New Damage Level" dataDxfId="342">
      <calculatedColumnFormula>IF($BO3=0,"",INDEX(Definitions!$Q:$Q,MATCH($BO3,Definitions!$R:$R,0)))</calculatedColumnFormula>
    </tableColumn>
    <tableColumn id="85" name="CT-ET" dataDxfId="341">
      <calculatedColumnFormula array="1">CalculateMaxAndElementsWithFallback(SanitizeInput($BL3),0,"",Countermeasures!$A:Y,Assumptions!$A:Z)</calculatedColumnFormula>
    </tableColumn>
    <tableColumn id="86" name="CT-EX" dataDxfId="340">
      <calculatedColumnFormula array="1">CalculateMaxAndElementsWithFallback(SanitizeInput($BL3),0,"",Countermeasures!$A:Z,Assumptions!$A:AA)</calculatedColumnFormula>
    </tableColumn>
    <tableColumn id="87" name="CT-KT" dataDxfId="339">
      <calculatedColumnFormula array="1">CalculateMaxAndElementsWithFallback(SanitizeInput($BL3),0,"",Countermeasures!$A:AA,Assumptions!$A:AB)</calculatedColumnFormula>
    </tableColumn>
    <tableColumn id="88" name="CT-WO" dataDxfId="338">
      <calculatedColumnFormula array="1">CalculateMaxAndElementsWithFallback(SanitizeInput($BL3),0,"",Countermeasures!$A:AB,Assumptions!$A:AC)</calculatedColumnFormula>
    </tableColumn>
    <tableColumn id="89" name="CT-EQ" dataDxfId="337">
      <calculatedColumnFormula array="1">CalculateMaxAndElementsWithFallback(SanitizeInput($BL3),0,"",Countermeasures!$A:AC,Assumptions!$A:AD)</calculatedColumnFormula>
    </tableColumn>
    <tableColumn id="90" name="CT-ET-val" dataDxfId="336">
      <calculatedColumnFormula>IF(BQ3="","",VALUE(LEFT(BQ3,FIND(":",BQ3)-1)))</calculatedColumnFormula>
    </tableColumn>
    <tableColumn id="91" name="CT-EX-val" dataDxfId="335">
      <calculatedColumnFormula>IF(BR3="","",VALUE(LEFT(BR3,FIND(":",BR3)-1)))</calculatedColumnFormula>
    </tableColumn>
    <tableColumn id="92" name="CT-KT-val" dataDxfId="334">
      <calculatedColumnFormula>IF(BS3="","",VALUE(LEFT(BS3,FIND(":",BS3)-1)))</calculatedColumnFormula>
    </tableColumn>
    <tableColumn id="93" name="CT-WO-val" dataDxfId="333">
      <calculatedColumnFormula>IF(BT3="","",VALUE(LEFT(BT3,FIND(":",BT3)-1)))</calculatedColumnFormula>
    </tableColumn>
    <tableColumn id="94" name="CT-EQ-val" dataDxfId="332">
      <calculatedColumnFormula>IF(BU3="","",VALUE(LEFT(BU3,FIND(":",BU3)-1)))</calculatedColumnFormula>
    </tableColumn>
    <tableColumn id="68" name="T-ET" dataDxfId="331">
      <calculatedColumnFormula>IF(AB3=BV3,W3&amp;RIGHT(BQ3,LEN(BQ3)-FIND(":",BQ3)),IF(AB3&gt;BV3,W3,BQ3))</calculatedColumnFormula>
    </tableColumn>
    <tableColumn id="69" name="T-EX" dataDxfId="330">
      <calculatedColumnFormula>IF(AC3=BW3,X3&amp;RIGHT(BR3,LEN(BR3)-FIND(":",BR3)),IF(AC3&gt;BW3,X3,BR3))</calculatedColumnFormula>
    </tableColumn>
    <tableColumn id="70" name="T-KT" dataDxfId="329">
      <calculatedColumnFormula>IF(AD3=BX3,Y3&amp;RIGHT(BS3,LEN(BS3)-FIND(":",BS3)),IF(AD3&gt;BX3,Y3,BS3))</calculatedColumnFormula>
    </tableColumn>
    <tableColumn id="71" name="T-WO" dataDxfId="328">
      <calculatedColumnFormula>IF(AE3=BY3,Z3&amp;RIGHT(BT3,LEN(BT3)-FIND(":",BT3)),IF(AE3&gt;BY3,Z3,BT3))</calculatedColumnFormula>
    </tableColumn>
    <tableColumn id="72" name="T-EQ" dataDxfId="327">
      <calculatedColumnFormula>IF(AF3=BZ3,AA3&amp;RIGHT(BU3,LEN(BU3)-FIND(":",BU3)),IF(AF3&gt;BZ3,AA3,BU3))</calculatedColumnFormula>
    </tableColumn>
    <tableColumn id="73" name="T-ET-val" dataDxfId="326">
      <calculatedColumnFormula>MAX(AB3,BV3)</calculatedColumnFormula>
    </tableColumn>
    <tableColumn id="74" name="T-EX-val" dataDxfId="325">
      <calculatedColumnFormula>MAX(AC3,BW3)</calculatedColumnFormula>
    </tableColumn>
    <tableColumn id="75" name="T-KT-val" dataDxfId="324">
      <calculatedColumnFormula>MAX(AD3,BX3)</calculatedColumnFormula>
    </tableColumn>
    <tableColumn id="76" name="T-WO-val" dataDxfId="323">
      <calculatedColumnFormula>MAX(AE3,BY3)</calculatedColumnFormula>
    </tableColumn>
    <tableColumn id="77" name="T-EQ-val" dataDxfId="322">
      <calculatedColumnFormula>MAX(AF3,BZ3)</calculatedColumnFormula>
    </tableColumn>
    <tableColumn id="78" name="T-SUM" dataDxfId="321">
      <calculatedColumnFormula>SUM(OFFSET($CF3,0,0,1,COLUMNS($CF:$CJ)))</calculatedColumnFormula>
    </tableColumn>
    <tableColumn id="79" name="T-RAP-Calculated" dataDxfId="320">
      <calculatedColumnFormula>IFERROR(VLOOKUP($CK3,Definitions!$V:$W,COLUMNS(Definitions!$V:$W),TRUE),"")</calculatedColumnFormula>
    </tableColumn>
    <tableColumn id="80" name="T-RAP-Inline" dataDxfId="319">
      <calculatedColumnFormula>_xlfn.LET(_xlpm._comments,SimpleLookup($A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calculatedColumnFormula>
    </tableColumn>
    <tableColumn id="81" name="T-RAP" dataDxfId="318">
      <calculatedColumnFormula array="1">_xlfn.LET(_xlpm._rapRange,Definitions!$W:$W,_xlpm._calculatedRAP,$CL3,_xlpm._inlineRAP,$CM3,_xlpm._calculatedRAPValue,IF(_xlpm._calculatedRAP="",0,MATCH(_xlpm._calculatedRAP,_xlpm._rapRange,0)),_xlpm._inlineRAPValue,IF(_xlpm._inlineRAP="",0,MATCH(_xlpm._inlineRAP,_xlpm._rapRange,0)),_xlpm._maxRAP,MAX(_xlpm._calculatedRAPValue,_xlpm._inlineRAPValue),IF(_xlpm._maxRAP=0,"",INDEX(_xlpm._rapRange,_xlpm._maxRAP)))</calculatedColumnFormula>
    </tableColumn>
    <tableColumn id="82" name="T-Risk Level" dataDxfId="317">
      <calculatedColumnFormula>IFERROR(IF(OR($BP3="",$CN3=""),Definitions!$AE$4,VLOOKUP($BP3,Definitions!$AH:$AM,MATCH($CN3,Definitions!$AH$3:$AM$3,0),FALSE)),"")</calculatedColumnFormula>
    </tableColumn>
    <tableColumn id="83" name="T-Risk Value" dataDxfId="316">
      <calculatedColumnFormula array="1">IF($CO3="",0,SimpleLookup($CO3,Definitions!$AE:$AF))</calculatedColumnFormula>
    </tableColumn>
    <tableColumn id="61" name="Is last risk?" dataDxfId="315">
      <calculatedColumnFormula>OR(AND($S3,$I3=Helper!$B$7),$I3&gt;Helper!$B$7)</calculatedColumnFormula>
    </tableColumn>
    <tableColumn id="62" name="QI Text Table Too Small" dataDxfId="314">
      <calculatedColumnFormula>IF(NOT(OR($CQ3,AND(NOT($CQ3),OFFSET($CQ3,1,0)&lt;&gt;""))),"Please enlarge the table!","")</calculatedColumnFormula>
    </tableColumn>
    <tableColumn id="63" name="QI ID Table Too Small" dataDxfId="313">
      <calculatedColumnFormula array="1">CreateID($CS$2,$CV:$CV,$CR3&lt;&gt;"")</calculatedColumnFormula>
    </tableColumn>
    <tableColumn id="66" name="QI Missing Risk Text" dataDxfId="312">
      <calculatedColumnFormula>IF(IFERROR(MATCH(","&amp;A3&amp;",",'Risk Treatment'!$AT:$AT,0)&gt;0,FALSE),"",$A3)</calculatedColumnFormula>
    </tableColumn>
    <tableColumn id="67" name="QI Missing Risk ID" dataDxfId="311">
      <calculatedColumnFormula array="1">CreateID($CU$2,$CU:$CU,$CT3&lt;&gt;"")</calculatedColumnFormula>
    </tableColumn>
  </tableColumns>
  <tableStyleInfo name="DarkCustom" showFirstColumn="0" showLastColumn="0" showRowStripes="1" showColumnStripes="0"/>
</table>
</file>

<file path=xl/tables/table18.xml><?xml version="1.0" encoding="utf-8"?>
<table xmlns="http://schemas.openxmlformats.org/spreadsheetml/2006/main" id="18" name="Table18" displayName="Table18" ref="A2:AN43" totalsRowShown="0" headerRowDxfId="310" dataDxfId="309">
  <autoFilter ref="A2:AN43"/>
  <tableColumns count="40">
    <tableColumn id="1" name="AS ID" dataDxfId="308">
      <calculatedColumnFormula array="1">IF($R3=0,"",INDEX('Attack Steps'!A:A,$R3))</calculatedColumnFormula>
    </tableColumn>
    <tableColumn id="4" name="Attack Step" dataDxfId="307">
      <calculatedColumnFormula array="1">IF($R3=0,"",INDEX('Attack Steps'!B:B,$R3))</calculatedColumnFormula>
    </tableColumn>
    <tableColumn id="21" name="Diplay at most # APs (empty = all)" dataDxfId="306">
      <calculatedColumnFormula>3</calculatedColumnFormula>
    </tableColumn>
    <tableColumn id="38" name="Dominating Attack Paths " dataDxfId="305">
      <calculatedColumnFormula array="1">_xlfn.LET(_xlpm._displayLimit,$C3,_xlpm._risks,$S3,_xlpm._delimiter,CHAR(10)&amp;REPT(_xlfn.UNICHAR(9552),50)&amp;CHAR(10),_xlpm._attackPaths,RemoveDelimiter(GetValues(RIGHT(_xlpm._risks,LEN(_xlpm._risks)-FIND(":",_xlpm._risks)),Risks!$A:$B,"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calculatedColumnFormula>
    </tableColumn>
    <tableColumn id="6" name="Highest Risk with this_x000a_Attack Step" dataDxfId="304">
      <calculatedColumnFormula array="1">_xlfn.LET(_xlpm._riskValue,CalculateMaxFromList($T3,0,Risks!$A:$AJ),INDEX(Definitions!$AE:$AE,MATCH(_xlpm._riskValue,Definitions!$AF:$AF,0)))</calculatedColumnFormula>
    </tableColumn>
    <tableColumn id="7" name="Proposed Counter-measures" dataDxfId="303">
      <calculatedColumnFormula array="1">IF($A3="","",SUBSTITUTE(RemoveDelimiter(SanitizeInput(SimpleLookup($A3,'Attack Steps'!$A:$AE)),","),",",", "))</calculatedColumnFormula>
    </tableColumn>
    <tableColumn id="19" name="Proposed Active Assumptions" dataDxfId="302">
      <calculatedColumnFormula array="1">IF($A3="","",SUBSTITUTE(RemoveDelimiter(SanitizeInput(SimpleLookup($A3,'Attack Steps'!$A:$AF)),","),",",", "))</calculatedColumnFormula>
    </tableColumn>
    <tableColumn id="20" name="Potential Additional Assumptions" dataDxfId="301">
      <calculatedColumnFormula array="1">IF($A3="","",_xlfn.LET(_xlpm._proposedActive,SanitizeInput($G3),_xlpm._proposedAll,SimpleLookup($A3,'Attack Steps'!$A:$AG),_xlpm._proposedDiff,FilterElementsFromList(_xlpm._proposedAll,_xlpm._proposedActive,FALSE,","),SUBSTITUTE(RemoveDelimiter(SanitizeInput(_xlpm._proposedDiff),","),",",", ")))</calculatedColumnFormula>
    </tableColumn>
    <tableColumn id="11" name="Proposed Countermeasures and Assumptions" dataDxfId="300">
      <calculatedColumnFormula array="1">RemoveDelimiter(GetValuesWithFallback(SanitizeInput($F3)&amp;SanitizeInput($G3)&amp;SanitizeInput($H3),Countermeasures!$A:$B,Assumptions!$A:$B," ",","&amp;CHAR(10),TRUE),","&amp;CHAR(10))</calculatedColumnFormula>
    </tableColumn>
    <tableColumn id="9" name="C and A IDs" dataDxfId="299"/>
    <tableColumn id="10" name="Countermeasures and Assumptions" dataDxfId="298">
      <calculatedColumnFormula array="1">RemoveDelimiter(GetValuesWithFallback(SanitizeInput($J3),Countermeasures!$A:$B,Assumptions!$A:$B," ",","&amp;CHAR(10),TRUE),","&amp;CHAR(10))</calculatedColumnFormula>
    </tableColumn>
    <tableColumn id="22" name="Diplay at most # APs_x000a_(empty = all) " dataDxfId="297">
      <calculatedColumnFormula>3</calculatedColumnFormula>
    </tableColumn>
    <tableColumn id="37" name="Dominating Attack Paths" dataDxfId="296">
      <calculatedColumnFormula array="1">_xlfn.LET(_xlpm._displayLimit,$L3,_xlpm._risks,$V3,_xlpm._delimiter,CHAR(10)&amp;REPT(_xlfn.UNICHAR(9552),50)&amp;CHAR(10),_xlpm._attackPaths,RemoveDelimiter(GetValues(RIGHT(_xlpm._risks,LEN(_xlpm._risks)-FIND(":",_xlpm._risks)),Risks!$A:$B,"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calculatedColumnFormula>
    </tableColumn>
    <tableColumn id="12" name="Highest Remaining Risk with this_x000a_Attack Step" dataDxfId="295">
      <calculatedColumnFormula>INDEX(Definitions!$AE:$AE,MATCH($W3,Definitions!$AF:$AF,0))</calculatedColumnFormula>
    </tableColumn>
    <tableColumn id="5" name="Comment_x000a_To add a control or assumption:_x000a_{&lt;C or A&gt; &lt;Name&gt;[: &lt;RAP&gt;]}_x000a_RAP Options: Basic, Enhanced-Basic, Moderate, High, Beyond High" dataDxfId="294"/>
    <tableColumn id="2" name="Shadow ID" dataDxfId="293">
      <calculatedColumnFormula array="1">GenerateShadowID(ROW(),$P$2,$P:$P,0,$A3&lt;&gt;"")</calculatedColumnFormula>
    </tableColumn>
    <tableColumn id="40" name="Task ID" dataDxfId="292">
      <calculatedColumnFormula array="1">CreateTaskID($Q$2,$Q:$Q,Tasks!$B$17,$O3)</calculatedColumnFormula>
    </tableColumn>
    <tableColumn id="3" name="Row" dataDxfId="291">
      <calculatedColumnFormula>IFERROR(MATCH(ROW()-ROW($R$2),'Attack Steps'!$Q:$Q,0),0)</calculatedColumnFormula>
    </tableColumn>
    <tableColumn id="39" name="Dominating Risks Initial" dataDxfId="290">
      <calculatedColumnFormula array="1">CalculateMaxAndElements($T3,0,"",Risks!$A:$AJ)</calculatedColumnFormula>
    </tableColumn>
    <tableColumn id="23" name="Risks" dataDxfId="289">
      <calculatedColumnFormula array="1">InverseLookup($A3,Risks!$AI$2,Risks!$A$2,1,Helper!$B$1,",")</calculatedColumnFormula>
    </tableColumn>
    <tableColumn id="34" name="C&amp;A Search" dataDxfId="288">
      <calculatedColumnFormula>IF($T3="","",","&amp;$T3)</calculatedColumnFormula>
    </tableColumn>
    <tableColumn id="35" name="N-Risk" dataDxfId="287">
      <calculatedColumnFormula array="1">CalculateMaxAndElements($T3,0,"",Risks!$A:$BK)</calculatedColumnFormula>
    </tableColumn>
    <tableColumn id="36" name="N-Risk Value" dataDxfId="286">
      <calculatedColumnFormula>IF($V3="","",VALUE(LEFT($V3,FIND(":",$V3)-1)))</calculatedColumnFormula>
    </tableColumn>
    <tableColumn id="8" name="Mitigation Search" dataDxfId="285">
      <calculatedColumnFormula array="1">IF($J3="","",","&amp;SanitizeInput($J3))</calculatedColumnFormula>
    </tableColumn>
    <tableColumn id="13" name="Active Attack Step" dataDxfId="284">
      <calculatedColumnFormula array="1">INDEX('Attack Steps'!$AI:$AI,$R3)</calculatedColumnFormula>
    </tableColumn>
    <tableColumn id="14" name="Additional Assumption ID" dataDxfId="283">
      <calculatedColumnFormula array="1">CreateID($Z$2,$Z:$Z,IFERROR(FIND(Definitions!$AR$4,$O3)&gt;0,FALSE))</calculatedColumnFormula>
    </tableColumn>
    <tableColumn id="15" name="# Additional Assumptions" dataDxfId="282">
      <calculatedColumnFormula>_xlfn.LET(_xlpm._comment,$O3,_xlpm._keyWord,Definitions!$AR$4,_xlpm._diffLen,LEN(_xlpm._comment)-LEN(SUBSTITUTE(_xlpm._comment,_xlpm._keyWord,"")),_xlpm._diffLen/LEN(_xlpm._keyWord))</calculatedColumnFormula>
    </tableColumn>
    <tableColumn id="16" name="Additional Countermeasure ID" dataDxfId="281">
      <calculatedColumnFormula array="1">CreateID($AB$2,$AB:$AB,IFERROR(FIND(Definitions!$AR$5,$O3)&gt;0,FALSE))</calculatedColumnFormula>
    </tableColumn>
    <tableColumn id="17" name="# Additional Countermeasures" dataDxfId="280">
      <calculatedColumnFormula>_xlfn.LET(_xlpm._comment,$O3,_xlpm._keyWord,Definitions!$AR$5,_xlpm._diffLen,LEN(_xlpm._comment)-LEN(SUBSTITUTE(_xlpm._comment,_xlpm._keyWord,"")),_xlpm._diffLen/LEN(_xlpm._keyWord))</calculatedColumnFormula>
    </tableColumn>
    <tableColumn id="18" name="Assigned C&amp;A Search" dataDxfId="279">
      <calculatedColumnFormula array="1">CreateSearchString($J3)</calculatedColumnFormula>
    </tableColumn>
    <tableColumn id="24" name="QI Mitigation and Proposal Do Not Match Text" dataDxfId="278">
      <calculatedColumnFormula array="1">_xlfn.LET(_xlpm._selected,SanitizeInput($J3),_xlpm._catalogOptions,SanitizeInput($F3)&amp;SanitizeInput($G3)&amp;SanitizeInput($H3),_xlpm._selectedNotInOptions,FilterElementsFromList(_xlpm._selected,_xlpm._catalogOptions,FALSE,","),IF(_xlpm._selectedNotInOptions="","",$A3&amp;" "&amp;$B3&amp;": "&amp;SUBSTITUTE(RemoveDelimiter(_xlpm._selectedNotInOptions,","),",",", ")))</calculatedColumnFormula>
    </tableColumn>
    <tableColumn id="25" name="QI Mitigation ID" dataDxfId="277">
      <calculatedColumnFormula array="1">CreateID($AF$2,$AF:$AF,$AE3&lt;&gt;"")</calculatedColumnFormula>
    </tableColumn>
    <tableColumn id="26" name="Additional Mitigations" dataDxfId="276">
      <calculatedColumnFormula array="1">_xlfn.LET(_xlpm._delimiter,","&amp;CHAR(10),_xlpm._assumptions,ParseAllMitigationsFromComment($A3,"-","A",$O3,Definitions!$AR$4,Definitions!$AS$4,Definitions!$AR$6,_xlpm._delimiter,1),_xlpm._countermeasures,ParseAllMitigationsFromComment($A3,"-","C",$O3,Definitions!$AR$5,Definitions!$AS$5,Definitions!$AR$6,_xlpm._delimiter,1),IF(_xlpm._countermeasures="",RemoveDelimiter(_xlpm._assumptions,_xlpm._delimiter),_xlpm._assumptions&amp;RemoveDelimiter(_xlpm._countermeasures,_xlpm._delimiter)))</calculatedColumnFormula>
    </tableColumn>
    <tableColumn id="29" name="C27 Search" dataDxfId="275">
      <calculatedColumnFormula array="1">CreateSearchString(SanitizeInput($J3)&amp;GetValuesIgnoreErrors(SanitizeInput($J3),Countermeasures!$A:$G,"",",",FALSE))</calculatedColumnFormula>
    </tableColumn>
    <tableColumn id="27" name="QI QA11 and C27 inconsistent Text" dataDxfId="274">
      <calculatedColumnFormula array="1">IF(AND(IFERROR(FIND(","&amp;Countermeasures!$A$30&amp;",",$AH3)&gt;0,FALSE),Countermeasures!$AF$30=TRUE,SimpleLookup(Questions!$A$48,Questionnaire!$A:$C)=Definitions!$A$5),$A3&amp;" "&amp;$B3,"")</calculatedColumnFormula>
    </tableColumn>
    <tableColumn id="28" name="QI QA11 and C27 inconsistent ID" dataDxfId="273">
      <calculatedColumnFormula array="1">CreateID($AJ$2,$AJ:$AJ,$AI3&lt;&gt;"")</calculatedColumnFormula>
    </tableColumn>
    <tableColumn id="30" name="QI Mitigation Assigned to Inactive AS Text" dataDxfId="272">
      <calculatedColumnFormula>IF(AND($Y3=FALSE,$J3&lt;&gt;""),$A3&amp;" "&amp;$B3,"")</calculatedColumnFormula>
    </tableColumn>
    <tableColumn id="31" name="QI Mitigation Assigned to Inactive AS ID" dataDxfId="271">
      <calculatedColumnFormula array="1">CreateID($AL$2,$AL:$AL,$AK3&lt;&gt;"")</calculatedColumnFormula>
    </tableColumn>
    <tableColumn id="32" name="QI ID Error Text" dataDxfId="270">
      <calculatedColumnFormula>IF(IFERROR(FIND("ERROR:",$K3)&gt;0,FALSE),$A3&amp;" "&amp;$B3,"")</calculatedColumnFormula>
    </tableColumn>
    <tableColumn id="33" name="QI ID Error ID" dataDxfId="269">
      <calculatedColumnFormula array="1">CreateID($AN$2,$AN:$AN,$AM3&lt;&gt;"")</calculatedColumnFormula>
    </tableColumn>
  </tableColumns>
  <tableStyleInfo name="DarkCustom" showFirstColumn="0" showLastColumn="0" showRowStripes="1" showColumnStripes="0"/>
</table>
</file>

<file path=xl/tables/table19.xml><?xml version="1.0" encoding="utf-8"?>
<table xmlns="http://schemas.openxmlformats.org/spreadsheetml/2006/main" id="14" name="Table14" displayName="Table14" ref="C4:AW5" totalsRowShown="0" headerRowDxfId="268" dataDxfId="267">
  <autoFilter ref="C4:AW5"/>
  <tableColumns count="47">
    <tableColumn id="1" name="R ID" dataDxfId="266"/>
    <tableColumn id="2" name="Attack Path" dataDxfId="265">
      <calculatedColumnFormula array="1">IF($C5="","",IF($W5=-1,"ERROR: Unknown ID: "&amp;$C5,INDEX(Risks!B:B,$W5)))</calculatedColumnFormula>
    </tableColumn>
    <tableColumn id="3" name="Damage Scenarios" dataDxfId="264">
      <calculatedColumnFormula array="1">IF($W5=-1,"",INDEX(Risks!C:C,$W5))</calculatedColumnFormula>
    </tableColumn>
    <tableColumn id="4" name="Damage Level" dataDxfId="263">
      <calculatedColumnFormula array="1">IF($W5=-1,"",INDEX(Risks!D:D,$W5))</calculatedColumnFormula>
    </tableColumn>
    <tableColumn id="29" name="Factor Explanation " dataDxfId="262">
      <calculatedColumnFormula array="1">IF($C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C5,Risks!$A:W,Definitions!$Y:$Y,Definitions!$AB:$AB,1)&amp;CHAR(10)&amp;_xlpm._factorFunction($C5,Risks!$A:X,Definitions!$Y:$Y,Definitions!$AB:$AB,2)&amp;CHAR(10)&amp;_xlpm._factorFunction($C5,Risks!$A:Y,Definitions!$Y:$Y,Definitions!$AB:$AB,3)&amp;CHAR(10)&amp;_xlpm._factorFunction($C5,Risks!$A:Z,Definitions!$Y:$Y,Definitions!$AB:$AB,4)&amp;CHAR(10)&amp;_xlpm._factorFunction($C5,Risks!$A:AA,Definitions!$Y:$Y,Definitions!$AB:$AB,5)))</calculatedColumnFormula>
    </tableColumn>
    <tableColumn id="5" name="RAP" dataDxfId="261">
      <calculatedColumnFormula array="1">IF($W5=-1,"",INDEX(Risks!F:F,$W5))</calculatedColumnFormula>
    </tableColumn>
    <tableColumn id="6" name="Risk Level" dataDxfId="260">
      <calculatedColumnFormula array="1">IF($W5=-1,"",INDEX(Risks!G:G,$W5))</calculatedColumnFormula>
    </tableColumn>
    <tableColumn id="15" name="Countermeasures and Assumptions" dataDxfId="259">
      <calculatedColumnFormula array="1">_xlfn.LET(_xlpm._assignedMitigations,IF($C5="","",IFERROR(RemoveDelimiter(GetValuesWithFallback($AW5,Countermeasures!$A:$B,Assumptions!$A:$B," ",","&amp;CHAR(10),TRUE),","&amp;CHAR(10)),"Error: Unknown risk ID "&amp;$C5)),_xlpm._inlineMitigations,$AQ5,_xlpm._assignedMitigations&amp;IF(OR(_xlpm._assignedMitigations="",_xlpm._inlineMitigations=""),"",","&amp;CHAR(10))&amp;_xlpm._inlineMitigations)</calculatedColumnFormula>
    </tableColumn>
    <tableColumn id="18" name="Damage Scenarios " dataDxfId="258">
      <calculatedColumnFormula array="1">IF($W5=-1,"",RemoveDelimiter(GetValues(INDEX(Risks!O:O,$W5),'DS Overview'!$A:$B," ",","&amp;CHAR(10),TRUE),","&amp;CHAR(10)))</calculatedColumnFormula>
    </tableColumn>
    <tableColumn id="12" name="Damage Level " dataDxfId="257">
      <calculatedColumnFormula array="1">IF($C5="","",SimpleLookup($C5,Risks!$A:$V))</calculatedColumnFormula>
    </tableColumn>
    <tableColumn id="28" name="Factor Explanation" dataDxfId="256">
      <calculatedColumnFormula array="1">_xlfn.LET(_xlpm._calculatedRAP,IFERROR(SimpleLookup($C5,Risks!$A:$BG),""),_xlpm._inlineRAP,IFERROR(SimpleLookup($C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P5,_xlpm._mitigationSheetName&amp;" sheet "&amp;_xlfn.UNICHAR(8702)&amp;" Comment column:"&amp;CHAR(10)&amp;$AQ5)))</calculatedColumnFormula>
    </tableColumn>
    <tableColumn id="13" name="RAP " dataDxfId="255">
      <calculatedColumnFormula array="1">IF($C5="","",SimpleLookup($C5,Risks!$A:$BI))</calculatedColumnFormula>
    </tableColumn>
    <tableColumn id="14" name="Remaining Risk Level " dataDxfId="254">
      <calculatedColumnFormula array="1">IF($C5="","",SimpleLookup($C5,Risks!$A:$BJ))</calculatedColumnFormula>
    </tableColumn>
    <tableColumn id="21" name="Risk Treatment Proposal" dataDxfId="253">
      <calculatedColumnFormula>IF($C5="","",IF($AA5&lt;=Definitions!$AF$6,Definitions!$M$4,""))</calculatedColumnFormula>
    </tableColumn>
    <tableColumn id="20" name="Manual Risk Treatment" dataDxfId="252"/>
    <tableColumn id="19" name="Risk Treatment Decision" dataDxfId="251">
      <calculatedColumnFormula>IF($Q5="",$P5,$Q5)</calculatedColumnFormula>
    </tableColumn>
    <tableColumn id="22" name="Risk Treatment Rationale / Explanation" dataDxfId="250"/>
    <tableColumn id="7" name="Comment" dataDxfId="249"/>
    <tableColumn id="8" name="Shadow ID" dataDxfId="248">
      <calculatedColumnFormula array="1">GenerateShadowID(ROW(),$U$4,$U:$U,0,C5&lt;&gt;"")</calculatedColumnFormula>
    </tableColumn>
    <tableColumn id="9" name="Task ID" dataDxfId="247">
      <calculatedColumnFormula array="1">CreateTaskID($V$4,$V:$V,Tasks!$B$17,$T5)</calculatedColumnFormula>
    </tableColumn>
    <tableColumn id="10" name="Row" dataDxfId="246">
      <calculatedColumnFormula>IFERROR(MATCH($C5,Risks!$A:$A,0),-1)</calculatedColumnFormula>
    </tableColumn>
    <tableColumn id="11" name="All IDs" dataDxfId="245">
      <calculatedColumnFormula array="1">IF(ROW()=ROW($X$4)+1,"",INDEX($X:$X,ROW()-1))&amp;IF($C5="","",$C5&amp;",")</calculatedColumnFormula>
    </tableColumn>
    <tableColumn id="16" name="AS IDs" dataDxfId="244">
      <calculatedColumnFormula array="1">IF($W5=-1,"",INDEX(Risks!K:K,$W5))</calculatedColumnFormula>
    </tableColumn>
    <tableColumn id="17" name="Countermeasure IDs" dataDxfId="243">
      <calculatedColumnFormula array="1">GetValues($Y5,'Attack Steps'!$A:$AE,"","",FALSE)</calculatedColumnFormula>
    </tableColumn>
    <tableColumn id="23" name="RL Value" dataDxfId="242">
      <calculatedColumnFormula array="1">IF($O5="",0,SimpleLookup($O5,Definitions!$AE:$AF))</calculatedColumnFormula>
    </tableColumn>
    <tableColumn id="26" name="[QI Text] Missing Rationale" dataDxfId="241">
      <calculatedColumnFormula>IF(AND($Q5&lt;&gt;"",$S5=""),$C5&amp;" "&amp;$D5,"")</calculatedColumnFormula>
    </tableColumn>
    <tableColumn id="24" name="[QI ID] Missing Rationale" dataDxfId="240">
      <calculatedColumnFormula array="1">CreateID($AC$4,$AC:$AC,AND($C5&lt;&gt;"",$AB5&lt;&gt;""))</calculatedColumnFormula>
    </tableColumn>
    <tableColumn id="25" name="QI Text No Risk Treatment" dataDxfId="239">
      <calculatedColumnFormula>IF(AND($P5="",$Q5=""),$C5&amp;" "&amp;$D5,"")</calculatedColumnFormula>
    </tableColumn>
    <tableColumn id="27" name="QI ID No Risk Treatment" dataDxfId="238">
      <calculatedColumnFormula array="1">CreateID($AE$4,$AE:$AE,AND($C5&lt;&gt;"",$AD5&lt;&gt;""))</calculatedColumnFormula>
    </tableColumn>
    <tableColumn id="30" name="Annex I 1.3 Search (Treatment not Accept)" dataDxfId="237">
      <calculatedColumnFormula array="1">_xlfn.LET(_xlpm._letters,IF(AND($R5&lt;&gt;"",$R5&lt;&gt;Definitions!$M$4),SimpleLookup(SimpleLookup($C5,Risks!$A:$L),'Attack Steps'!$A:$O),""),IF(_xlpm._letters="","",","&amp;SanitizeInput(_xlpm._letters)))</calculatedColumnFormula>
    </tableColumn>
    <tableColumn id="31" name="Annex I 1.3 Text" dataDxfId="236">
      <calculatedColumnFormula>IF($AF5="","",$C5&amp;" ["&amp;$R5&amp;"]: "&amp;$S5)</calculatedColumnFormula>
    </tableColumn>
    <tableColumn id="32" name="Additional Assumption ID (Rationale)" dataDxfId="235">
      <calculatedColumnFormula array="1">CreateID($AH$4,$AH:$AH,IFERROR(FIND(Definitions!$AR$4,$S5)&gt;0,FALSE))</calculatedColumnFormula>
    </tableColumn>
    <tableColumn id="33" name="# Additional Assumptions (Rationale)" dataDxfId="234">
      <calculatedColumnFormula>_xlfn.LET(_xlpm._comment,$S5,_xlpm._keyWord,Definitions!$AR$4,_xlpm._diffLen,LEN(_xlpm._comment)-LEN(SUBSTITUTE(_xlpm._comment,_xlpm._keyWord,"")),_xlpm._diffLen/LEN(_xlpm._keyWord))</calculatedColumnFormula>
    </tableColumn>
    <tableColumn id="34" name="Additional Assumption ID (Comment)" dataDxfId="233">
      <calculatedColumnFormula array="1">CreateID($AJ$4,$AJ:$AJ,IFERROR(FIND(Definitions!$AR$4,$T5)&gt;0,FALSE))</calculatedColumnFormula>
    </tableColumn>
    <tableColumn id="35" name="# Additional Assumptions (Comment)" dataDxfId="232">
      <calculatedColumnFormula>_xlfn.LET(_xlpm._comment,$T5,_xlpm._keyWord,Definitions!$AR$4,_xlpm._diffLen,LEN(_xlpm._comment)-LEN(SUBSTITUTE(_xlpm._comment,_xlpm._keyWord,"")),_xlpm._diffLen/LEN(_xlpm._keyWord))</calculatedColumnFormula>
    </tableColumn>
    <tableColumn id="36" name="Additional Countermeasure ID (Rationale)" dataDxfId="231">
      <calculatedColumnFormula array="1">CreateID($AL$4,$AL:$AL,IFERROR(FIND(Definitions!$AR$5,$S5)&gt;0,FALSE))</calculatedColumnFormula>
    </tableColumn>
    <tableColumn id="37" name="# Additional Countermeasure (Rationale)" dataDxfId="230">
      <calculatedColumnFormula>_xlfn.LET(_xlpm._comment,$S5,_xlpm._keyWord,Definitions!$AR$5,_xlpm._diffLen,LEN(_xlpm._comment)-LEN(SUBSTITUTE(_xlpm._comment,_xlpm._keyWord,"")),_xlpm._diffLen/LEN(_xlpm._keyWord))</calculatedColumnFormula>
    </tableColumn>
    <tableColumn id="38" name="Additional Countermeasure ID (Comment)" dataDxfId="229">
      <calculatedColumnFormula array="1">CreateID($AN$4,$AN:$AN,IFERROR(FIND(Definitions!$AR$5,$T5)&gt;0,FALSE))</calculatedColumnFormula>
    </tableColumn>
    <tableColumn id="39" name="# Additional Countermeasure (Comment)" dataDxfId="228">
      <calculatedColumnFormula>_xlfn.LET(_xlpm._comment,$T5,_xlpm._keyWord,Definitions!$AR$5,_xlpm._diffLen,LEN(_xlpm._comment)-LEN(SUBSTITUTE(_xlpm._comment,_xlpm._keyWord,"")),_xlpm._diffLen/LEN(_xlpm._keyWord))</calculatedColumnFormula>
    </tableColumn>
    <tableColumn id="40" name="Remaining Risk Factor Explanation" dataDxfId="227">
      <calculatedColumnFormula array="1">IF($C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C5,Risks!$A:AV,Definitions!$Y:$Y,Definitions!$AB:$AB,1)&amp;CHAR(10)&amp;_xlpm._factorFunction($C5,Risks!$A:AW,Definitions!$Y:$Y,Definitions!$AB:$AB,2)&amp;CHAR(10)&amp;_xlpm._factorFunction($C5,Risks!$A:AX,Definitions!$Y:$Y,Definitions!$AB:$AB,3)&amp;CHAR(10)&amp;_xlpm._factorFunction($C5,Risks!$A:AY,Definitions!$Y:$Y,Definitions!$AB:$AB,4)&amp;CHAR(10)&amp;_xlpm._factorFunction($C5,Risks!$A:AZ,Definitions!$Y:$Y,Definitions!$AB:$AB,5)))</calculatedColumnFormula>
    </tableColumn>
    <tableColumn id="41" name="Inline Mitigations" dataDxfId="226">
      <calculatedColumnFormula array="1">RemoveDelimiter(GetValues($Y5,Mitigation!$A:$AG,"",","&amp;CHAR(10),FALSE),","&amp;CHAR(10))</calculatedColumnFormula>
    </tableColumn>
    <tableColumn id="42" name="QI Incorrect Risk ID Text" dataDxfId="225">
      <calculatedColumnFormula array="1">IF($C5="","",IF(ISERROR(SimpleLookup($C5,Risks!$A:$A)),$C5,""))</calculatedColumnFormula>
    </tableColumn>
    <tableColumn id="43" name="QI Incorrect Risk ID ID" dataDxfId="224">
      <calculatedColumnFormula array="1">CreateID($AS$4,$AS:$AS,$AR5&lt;&gt;"")</calculatedColumnFormula>
    </tableColumn>
    <tableColumn id="47" name="Risk ID Search" dataDxfId="223">
      <calculatedColumnFormula array="1">CreateSearchString($C5)</calculatedColumnFormula>
    </tableColumn>
    <tableColumn id="44" name="QI Duplicate Risk ID Text" dataDxfId="222">
      <calculatedColumnFormula>IF($C5="","",IF(MATCH($C5,$C:$C,0)=ROW($C5),"",$C5))</calculatedColumnFormula>
    </tableColumn>
    <tableColumn id="45" name="QI Duplicate Risk ID" dataDxfId="221">
      <calculatedColumnFormula array="1">CreateID($AV$4,$AV:$AV,$AU5&lt;&gt;"")</calculatedColumnFormula>
    </tableColumn>
    <tableColumn id="46" name="Assigned Mitigations" dataDxfId="220">
      <calculatedColumnFormula array="1">IF($C5="","",_xlfn.LET(_xlpm._ids,SanitizeInput(SimpleLookup($C5,Risks!$A:$AK)),_xlpm._assumptionIDs,SortList(_xlpm._ids,Assumptions!$A:$T,Helper!$B$6,"",",",TRUE),_xlpm._countermeasureIDs,SortList(_xlpm._ids,Countermeasures!$A:$T,Helper!$B$4,"",",",TRUE),_xlpm._sortedIDs,_xlpm._assumptionIDs&amp;_xlpm._countermeasureIDs,_xlpm._sortedIDs))</calculatedColumnFormula>
    </tableColumn>
  </tableColumns>
  <tableStyleInfo name="DarkCustom" showFirstColumn="0" showLastColumn="0" showRowStripes="1" showColumnStripes="0"/>
</table>
</file>

<file path=xl/tables/table20.xml><?xml version="1.0" encoding="utf-8"?>
<table xmlns="http://schemas.openxmlformats.org/spreadsheetml/2006/main" id="2" name="Table267103" displayName="Table267103" ref="A17:AJ101" totalsRowShown="0" headerRowDxfId="219" dataDxfId="218">
  <autoFilter ref="A17:AJ101"/>
  <tableColumns count="36">
    <tableColumn id="1" name="ID" dataDxfId="217">
      <calculatedColumnFormula>_xlfn.LET(_xlpm._isAssumption,$J18,_xlpm._row,$K18,_xlpm._numActiveAssumptions,Helper!$B$8,_xlpm._numActiveCountermeasures,Helper!$B$9,_xlpm._numAdditionalAssumptions,Helper!$B$10,_xlpm._numAdditionalCountermeasures,Helper!$B$11,IF(_xlpm._isAssumption,IF(_xlpm._row&gt;_xlpm._numActiveAssumptions,$V18&amp;"-A"&amp;$Q18,INDEX(Assumptions!A:A,MATCH(_xlpm._row,Assumptions!$AG:$AG,0))),IF(_xlpm._row&gt;_xlpm._numActiveCountermeasures+_xlpm._numAdditionalCountermeasures,"",IF(_xlpm._row&gt;_xlpm._numActiveCountermeasures,$V18&amp;"-C"&amp;$Q18,INDEX(Countermeasures!$A:$A,MATCH(_xlpm._row,Countermeasures!$AI:$AI,0))))))</calculatedColumnFormula>
    </tableColumn>
    <tableColumn id="2" name="Name" dataDxfId="216">
      <calculatedColumnFormula array="1">IF($A18="","",_xlfn.LET(_xlpm._isAssumption,$J18,_xlpm._isAdditionalElement,$L18,IF(_xlpm._isAdditionalElement,IF(_xlpm._isAssumption,ParseElementsFromComment($U18,Definitions!$AR$4,Definitions!$AS$4,Definitions!$AR$6,$Q18),ParseElementsFromComment($U18,Definitions!$AR$5,Definitions!$AS$5,Definitions!$AR$6,$Q18)),_xlfn.LET(_xlpm._value,IF($A18="","",IF($J18,SimpleLookup($A18,Assumptions!$A:$B),SimpleLookup($A18,Countermeasures!$A:$B))),IF(_xlpm._value="","",_xlpm._value)))))</calculatedColumnFormula>
    </tableColumn>
    <tableColumn id="4" name="Stakeholder" dataDxfId="215">
      <calculatedColumnFormula array="1">IF($A18="","",IF($J18,IFERROR(SimpleLookup($A18,Assumptions!$A:$E),""),Definitions!$AO$4))</calculatedColumnFormula>
    </tableColumn>
    <tableColumn id="18" name="Additional Information" dataDxfId="214">
      <calculatedColumnFormula>_xlfn.LET(_xlpm._dividerTop,REPT(_xlfn.UNICHAR(9552),63)&amp;CHAR(10),_xlpm._dividerHeader,CHAR(10)&amp;REPT(CHAR(150),84)&amp;CHAR(10),_xlpm._relatedQuestions,IF($AA18="","",_xlpm._dividerTop&amp;"Comments of related questions / answers:"&amp;_xlpm._dividerHeader&amp;$AA18),_xlpm._assignedToAttackSteps,IF($AB18="","",_xlpm._dividerTop&amp;"Assigned to attack steps:"&amp;_xlpm._dividerHeader&amp;$AB18),_xlpm._definedInContextOfElement,IF($AC18="","",_xlpm._dividerTop&amp;"Defined in the context of:"&amp;_xlpm._dividerHeader&amp;$AC18),_xlpm._dependantCountermeasures,IF($AD18="","",_xlpm._dividerTop&amp;"Dependency of countermeasures:"&amp;_xlpm._dividerHeader&amp;$AD18),_xlpm._defaultElementText,IF($AF18="","",_xlpm._dividerTop&amp;"Default "&amp;IF($J18,"assumption","countermeasure")&amp;":"&amp;_xlpm._dividerHeader&amp;$AF18),_xlpm._relatedQuestions&amp;IF(AND(_xlpm._relatedQuestions&lt;&gt;"",_xlpm._assignedToAttackSteps&lt;&gt;""),CHAR(10),"")&amp;_xlpm._assignedToAttackSteps&amp;IF(AND(OR(_xlpm._relatedQuestions&lt;&gt;"",_xlpm._assignedToAttackSteps&lt;&gt;""),_xlpm._definedInContextOfElement&lt;&gt;""),CHAR(10),"")&amp;_xlpm._definedInContextOfElement&amp;IF(AND(OR(_xlpm._relatedQuestions&lt;&gt;"",_xlpm._assignedToAttackSteps&lt;&gt;"",_xlpm._definedInContextOfElement&lt;&gt;""),_xlpm._dependantCountermeasures&lt;&gt;""),CHAR(10),"")&amp;_xlpm._dependantCountermeasures&amp;IF(AND(OR(_xlpm._relatedQuestions&lt;&gt;"",_xlpm._assignedToAttackSteps&lt;&gt;"",_xlpm._definedInContextOfElement&lt;&gt;"",_xlpm._dependantCountermeasures&lt;&gt;""),_xlpm._defaultElementText&lt;&gt;""),CHAR(10),"")&amp;_xlpm._defaultElementText)</calculatedColumnFormula>
    </tableColumn>
    <tableColumn id="24" name="Go to ID" dataDxfId="213"/>
    <tableColumn id="29" name="Link" dataDxfId="212">
      <calculatedColumnFormula>IF(AND($E18&lt;&gt;"",$AE18=""),"Error: Unknown ID: "&amp;$E18,IF($A18="","",HYPERLINK("#"&amp;IF($AE18="",$Z18,$AE18),"click me")))</calculatedColumnFormula>
    </tableColumn>
    <tableColumn id="32" name="Reference" dataDxfId="211">
      <calculatedColumnFormula array="1">_xlfn.LET(_xlpm._val,IFERROR(SimpleLookup($A18,Countermeasures!$A:$R),IFERROR(SimpleLookup($A18,Assumptions!$A:$R),"")),IF(_xlpm._val="","",_xlpm._val))</calculatedColumnFormula>
    </tableColumn>
    <tableColumn id="7" name="Comment" dataDxfId="210">
      <calculatedColumnFormula array="1">_xlfn.LET(_xlpm._value,IF($A18="","",IFERROR(IF($J18,SimpleLookup($A18,Assumptions!$A:$S),SimpleLookup($A18,Countermeasures!$A:$S)),"")),IF(_xlpm._value="","",_xlpm._value))</calculatedColumnFormula>
    </tableColumn>
    <tableColumn id="3" name="Shadow ID" dataDxfId="209">
      <calculatedColumnFormula array="1">IF(ROW()=ROW($I$17)+1,0,INDEX($I:$I,ROW()-1))+IF($A18="",0,1)</calculatedColumnFormula>
    </tableColumn>
    <tableColumn id="10" name="Is Assumption" dataDxfId="208">
      <calculatedColumnFormula>_xlfn.LET(_xlpm._row,ROW()-ROW($K$17),_xlpm._numActiveAssumptions,Helper!$B$8,_xlpm._numAdditionalAssumptions,SUM(Table24['# Elements]),_xlpm._row&lt;=_xlpm._numActiveAssumptions+_xlpm._numAdditionalAssumptions)</calculatedColumnFormula>
    </tableColumn>
    <tableColumn id="9" name="Row" dataDxfId="207">
      <calculatedColumnFormula>_xlfn.LET(_xlpm._row,ROW()-ROW($K$17),_xlpm._numActiveAssumptions,Helper!$B$8,_xlpm._numAdditionalAssumptions,Helper!$B$10,_xlpm._isAssumption,$J18,_xlpm._elementID,IF(_xlpm._isAssumption,_xlpm._row,_xlpm._row-_xlpm._numActiveAssumptions-_xlpm._numAdditionalAssumptions),_xlpm._elementID)</calculatedColumnFormula>
    </tableColumn>
    <tableColumn id="5" name="Is Additional Element" dataDxfId="206">
      <calculatedColumnFormula>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calculatedColumnFormula>
    </tableColumn>
    <tableColumn id="6" name="Additional Sheet ID" dataDxfId="205">
      <calculatedColumnFormula array="1">IF($L18,IF(ROW()=ROW($M$17)+1,1,INDEX($M:$M,ROW()-1)+IF(INDEX($T:$T,ROW()-1),1,0)),1)</calculatedColumnFormula>
    </tableColumn>
    <tableColumn id="8" name="Number of Elements For This Sheet" dataDxfId="204">
      <calculatedColumnFormula array="1">IF($L18=TRUE,_xlfn.LET(_xlpm._isAssumption,$J18,_xlpm._indexRange,IF(_xlpm._isAssumption,Table24['# Elements],Table25['# Elements]),_xlpm._lookupRow,$W18,INDEX(_xlpm._indexRange,_xlpm._lookupRow)),"")</calculatedColumnFormula>
    </tableColumn>
    <tableColumn id="11" name="Comment ID" dataDxfId="203">
      <calculatedColumnFormula array="1">IF($N18="","",_xlfn.LET(_xlpm._prevRow,ROW()-1,IF(OR(INDEX($N:$N,_xlpm._prevRow)&lt;&gt;$N18,INDEX($M:$M,_xlpm._prevRow)&lt;&gt;$M18),1,INDEX($O:$O,_xlpm._prevRow)+IF(INDEX($S:$S,_xlpm._prevRow),1,0))))</calculatedColumnFormula>
    </tableColumn>
    <tableColumn id="12" name="Number of Elements for this ID" dataDxfId="202">
      <calculatedColumnFormula array="1">IF($O18="","",_xlfn.LET(_xlpm._isAssumption,$J18,_xlpm._sheetRow,$W18,_xlpm._sheetName,$X18,_xlpm._elementIDRange,IF(_xlpm._isAssumption,Table24[Element ID Column],Table25[Element ID Column]),_xlpm._numberOfElementsRange,IF(_xlpm._isAssumption,Table24[Number of Elements Column],Table25[Number of Elements Column]),SimpleLookup($O18,INDIRECT("'"&amp;_xlpm._sheetName&amp;"'!"&amp;INDEX(_xlpm._elementIDRange,_xlpm._sheetRow)&amp;":"&amp;INDEX(_xlpm._numberOfElementsRange,_xlpm._sheetRow)))))</calculatedColumnFormula>
    </tableColumn>
    <tableColumn id="13" name="Element Within Comment ID" dataDxfId="201">
      <calculatedColumnFormula array="1">IF($O18="","",IF(OR(INDEX($O:$O,ROW()-1)&lt;&gt;$O18,INDEX($M:$M,ROW()-1)&lt;&gt;$M18),1,INDEX($Q:$Q,ROW()-1)+1))</calculatedColumnFormula>
    </tableColumn>
    <tableColumn id="33" name="Accumulated Elements for This Sheet" dataDxfId="200">
      <calculatedColumnFormula>COUNTIFS(OFFSET($L$17,1,0,ROW()-ROW($L$17),1),TRUE,OFFSET($M$17,1,0,ROW()-ROW($M$17),1),$M18,OFFSET($J$17,1,0,ROW()-ROW($J$17),1),$J18)</calculatedColumnFormula>
    </tableColumn>
    <tableColumn id="14" name="Is Last Element for the Comment" dataDxfId="199">
      <calculatedColumnFormula>IF($L18,$P18=$Q18,"")</calculatedColumnFormula>
    </tableColumn>
    <tableColumn id="17" name="Last Element for the Sheet" dataDxfId="198">
      <calculatedColumnFormula>_xlfn.LET(_xlpm._isAssumption,$J18,_xlpm._numberOfElementsRange,IF(_xlpm._isAssumption,Table24['# Elements],Table25['# Elements]),_xlpm._sheetRow,$W18,IF($L18,AND($S18,$R18=$N18),FALSE))</calculatedColumnFormula>
    </tableColumn>
    <tableColumn id="15" name="Comment Content" dataDxfId="197">
      <calculatedColumnFormula array="1">IF($L18,_xlfn.LET(_xlpm._elementID,$O18,_xlpm._isAssumption,$J18,_xlpm._sheetRow,$W18,_xlpm._sheetName,$X18,_xlpm._elementRow,$Y18,_xlpm._resultColumnLetter,IF(_xlpm._isAssumption,INDEX(Table24[Comment Column],_xlpm._sheetRow),INDEX(Table25[Comment Column],_xlpm._sheetRow)),INDEX(INDIRECT("'"&amp;_xlpm._sheetName&amp;"'!"&amp;_xlpm._resultColumnLetter&amp;":"&amp;_xlpm._resultColumnLetter),_xlpm._elementRow)),"")</calculatedColumnFormula>
    </tableColumn>
    <tableColumn id="16" name="ID for Additional Element" dataDxfId="196">
      <calculatedColumnFormula array="1">IF($L18,_xlfn.LET(_xlpm._elementID,$O18,_xlpm._isAssumption,$J18,_xlpm._sheetRow,$W18,_xlpm._sheetName,$X18,_xlpm._resultColumnLetter,IF(_xlpm._isAssumption,INDEX(Table24[Sheet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calculatedColumnFormula>
    </tableColumn>
    <tableColumn id="21" name="Row in Lookup Tables" dataDxfId="195">
      <calculatedColumnFormula>IF($L18=TRUE,_xlfn.LET(_xlpm._isAssumption,$J18,_xlpm._searchRange,IF(_xlpm._isAssumption,Table24[Task Sheet Shadow ID],Table25[Task Sheet Shadow ID]),MATCH($M18,_xlpm._searchRange,0)),"")</calculatedColumnFormula>
    </tableColumn>
    <tableColumn id="22" name="Sheet Name" dataDxfId="194">
      <calculatedColumnFormula array="1">IF($L18,_xlfn.LET(_xlpm._isAssumption,$J18,_xlpm._sheetRow,$W18,IF(_xlpm._isAssumption,INDEX(Table24[Sheet Name],_xlpm._sheetRow),INDEX(Table25[Sheet Name],_xlpm._sheetRow))),"")</calculatedColumnFormula>
    </tableColumn>
    <tableColumn id="20" name="Row Within Sheet" dataDxfId="193">
      <calculatedColumnFormula array="1">IF($L18,_xlfn.LET(_xlpm._elementID,$O18,_xlpm._isAssumption,$J18,_xlpm._sheetRow,$W18,_xlpm._sheetName,$X18,_xlpm._elementIDColumnLetter,IF(_xlpm._isAssumption,INDEX(Table24[Element ID Column],_xlpm._sheetRow),INDEX(Table25[Element ID Column],_xlpm._sheetRow)),MATCH(_xlpm._elementID,INDIRECT("'"&amp;_xlpm._sheetName&amp;"'!"&amp;_xlpm._elementIDColumnLetter&amp;":"&amp;_xlpm._elementIDColumnLetter),0)),"")</calculatedColumnFormula>
    </tableColumn>
    <tableColumn id="19" name="Link Text Implicit" dataDxfId="192">
      <calculatedColumnFormula array="1">IF($A18="","",_xlfn.LET(_xlpm._isAssumption,$J18,_xlpm._isAdditionalElement,$L18,_xlpm._sheetRow,$W18,_xlpm._sheetName,$X18,_xlpm._columnLetter,INDEX(IF(_xlpm._isAdditionalElement,Table24[Comment Column],Table25[Comment Column]),_xlpm._sheetRow),_xlpm._sheetReference,IF(_xlpm._isAssumption,IF(_xlpm._isAdditionalElement,CELL("address",INDEX(INDIRECT("'"&amp;_xlpm._sheetName&amp;"'!"&amp;_xlpm._columnLetter&amp;":"&amp;_xlpm._columnLetter),$Y18)),CELL("address",INDEX(Assumptions!$A:$A,MATCH($A18,Assumptions!$A:$A,0),1))),IF(_xlpm._isAdditionalElement,CELL("address",INDEX(INDIRECT("'"&amp;_xlpm._sheetName&amp;"'!"&amp;_xlpm._columnLetter&amp;":"&amp;_xlpm._columnLetter),$Y18)),CELL("address",INDEX(Countermeasures!$A:$A,MATCH($A18,Countermeasures!$A:$A,0),1)))),_xlpm._start,FIND("]",_xlpm._sheetReference),"'"&amp;SUBSTITUTE(SUBSTITUTE(RIGHT(_xlpm._sheetReference,LEN(_xlpm._sheetReference)-_xlpm._start),"'",""),"!","'!")))</calculatedColumnFormula>
    </tableColumn>
    <tableColumn id="23" name="Comments of Related Elements" dataDxfId="191">
      <calculatedColumnFormula array="1">IF(NOT($L18),_xlfn.LET(_xlpm._value,IF($A18="","",IF($J18,SimpleLookup($A18,Assumptions!$A:$AK),SimpleLookup($A18,Countermeasures!$A:$AN))),IF(_xlpm._value="","",_xlpm._value)),"")</calculatedColumnFormula>
    </tableColumn>
    <tableColumn id="26" name="Assigned to Attack Steps" dataDxfId="190">
      <calculatedColumnFormula array="1">LookupNames(InverseLookup($A18,Mitigation!$AD$2,Mitigation!$A$2,1,Helper!$B$5,","),'Attack Steps'!$A:$B)</calculatedColumnFormula>
    </tableColumn>
    <tableColumn id="27" name="Defined in the Context of Element" dataDxfId="189">
      <calculatedColumnFormula array="1">IF($L18,_xlfn.LET(_xlpm._in,$A18,_xlpm._lastDashNum,LEN(_xlpm._in)-LEN(SUBSTITUTE(_xlpm._in,"-","")),_xlpm._lastDashPos,FIND(CHAR(1),SUBSTITUTE(_xlpm._in,"-",CHAR(1),_xlpm._lastDashNum)),_xlpm._id,LEFT(_xlpm._in,_xlpm._lastDashPos-1),_xlpm._id&amp;"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calculatedColumnFormula>
    </tableColumn>
    <tableColumn id="28" name="Dependant Elements" dataDxfId="188">
      <calculatedColumnFormula array="1">_xlfn.LET(_xlpm._countermeasures,InverseLookup($A18,Countermeasures!$AG$2,Countermeasures!$A$2,1,Helper!$B$4,","),LookupNames(_xlpm._countermeasures,Countermeasures!$A:$B))</calculatedColumnFormula>
    </tableColumn>
    <tableColumn id="25" name="Link Text Explicit" dataDxfId="187">
      <calculatedColumnFormula array="1">IF($E18="","",_xlfn.LET(_xlpm._id,$E18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calculatedColumnFormula>
    </tableColumn>
    <tableColumn id="30" name="Text for Default Elements" dataDxfId="186">
      <calculatedColumnFormula array="1">IF(OR($A18="",$L18),"",_xlfn.LET(_xlpm._answers,IF($J18,SimpleLookup($A18,Assumptions!$A:$F),SimpleLookup($A18,Countermeasures!$A:$D)),IF(_xlpm._answers="*",IF($J18,SimpleLookup($A18,Assumptions!$A:$C),SimpleLookup($A18,Countermeasures!$A:$C)),"")))</calculatedColumnFormula>
    </tableColumn>
    <tableColumn id="31" name="Additional Element - Mapping to Annex I 1.3 Search (currently not used)" dataDxfId="185">
      <calculatedColumnFormula array="1">IF(NOT($L18),"",_xlfn.LET(_xlpm._mappedInMitigation,IFERROR(VLOOKUP($V18,'Attack Steps'!$A:$O,COLUMNS('Attack Steps'!$A:$O),FALSE),""),CreateSearchString(_xlpm._mappedInMitigation)))</calculatedColumnFormula>
    </tableColumn>
    <tableColumn id="34" name="Is Last?" dataDxfId="184">
      <calculatedColumnFormula>ROW()-ROW($AH$17)=Helper!$B$15</calculatedColumnFormula>
    </tableColumn>
    <tableColumn id="35" name="QI Text Table Too Small" dataDxfId="183">
      <calculatedColumnFormula>IF(IFERROR(MATCH(TRUE,$AH:$AH,0)&gt;0,FALSE),"",IF(OFFSET($AH18,1,0)="","Please enlarge the table!",""))</calculatedColumnFormula>
    </tableColumn>
    <tableColumn id="36" name="QI ID Table Too Small" dataDxfId="182">
      <calculatedColumnFormula array="1">CreateID($AJ$17,$AJ:$AJ,$AI18&lt;&gt;"")</calculatedColumnFormula>
    </tableColumn>
  </tableColumns>
  <tableStyleInfo name="DarkCustom" showFirstColumn="0" showLastColumn="0" showRowStripes="1" showColumnStripes="0"/>
</table>
</file>

<file path=xl/tables/table21.xml><?xml version="1.0" encoding="utf-8"?>
<table xmlns="http://schemas.openxmlformats.org/spreadsheetml/2006/main" id="24" name="Table24" displayName="Table24" ref="I2:Q7" totalsRowShown="0" headerRowDxfId="181" dataDxfId="180">
  <autoFilter ref="I2:Q7"/>
  <tableColumns count="9">
    <tableColumn id="1" name="Sheet Name" dataDxfId="179">
      <calculatedColumnFormula>IF(B3="","",_xlfn.LET(_xlpm._in,B3,_xlpm._start,FIND("]",_xlpm._in)+1,SUBSTITUTE(MID(_xlpm._in,_xlpm._start,FIND("!",_xlpm._in)-_xlpm._start),"'","")))</calculatedColumnFormula>
    </tableColumn>
    <tableColumn id="2" name="Comment Column" dataDxfId="178">
      <calculatedColumnFormula>IF($I3="","",_xlfn.LET(_xlpm._in,B3,_xlpm._start,FIND("$",_xlpm._in)+1,MID(_xlpm._in,_xlpm._start,FIND("$",SUBSTITUTE(_xlpm._in,"$","§",1))-_xlpm._start)))</calculatedColumnFormula>
    </tableColumn>
    <tableColumn id="3" name="Element ID Column" dataDxfId="177">
      <calculatedColumnFormula>IF($I3="","",_xlfn.LET(_xlpm._in,C3,_xlpm._start,FIND("$",_xlpm._in)+1,MID(_xlpm._in,_xlpm._start,FIND("$",SUBSTITUTE(_xlpm._in,"$","§",1))-_xlpm._start)))</calculatedColumnFormula>
    </tableColumn>
    <tableColumn id="4" name="Number of Comments with Elements" dataDxfId="176">
      <calculatedColumnFormula>IF($I3="","",MAX(INDIRECT("'"&amp;$I3&amp;"'!"&amp;$K3&amp;":"&amp;$K3)))</calculatedColumnFormula>
    </tableColumn>
    <tableColumn id="7" name="Number of Elements Column" dataDxfId="175">
      <calculatedColumnFormula>IF($I3="","",_xlfn.LET(_xlpm._in,D3,_xlpm._start,FIND("$",_xlpm._in)+1,MID(_xlpm._in,_xlpm._start,FIND("$",SUBSTITUTE(_xlpm._in,"$","§",1))-_xlpm._start)))</calculatedColumnFormula>
    </tableColumn>
    <tableColumn id="8" name="# Elements" dataDxfId="174">
      <calculatedColumnFormula>IF($I3="","",SUM(INDIRECT("'"&amp;$I3&amp;"'!"&amp;$M3&amp;":"&amp;$M3)))</calculatedColumnFormula>
    </tableColumn>
    <tableColumn id="5" name="Task Sheet Shadow ID" dataDxfId="173">
      <calculatedColumnFormula array="1">CreateID($O$2,$O:$O,AND($N3&lt;&gt;0,$N3&lt;&gt;""))</calculatedColumnFormula>
    </tableColumn>
    <tableColumn id="6" name="Header Row" dataDxfId="172">
      <calculatedColumnFormula>IF($B3="","",RIGHT($B3,LEN($B3)-FIND("$",SUBSTITUTE($B3,"$","§",1))))</calculatedColumnFormula>
    </tableColumn>
    <tableColumn id="9" name="Sheet ID Column" dataDxfId="171">
      <calculatedColumnFormula>IF($I3="","",_xlfn.LET(_xlpm._in,F3,_xlpm._start,FIND("$",_xlpm._in)+1,MID(_xlpm._in,_xlpm._start,FIND("$",SUBSTITUTE(_xlpm._in,"$","§",1))-_xlpm._start)))</calculatedColumnFormula>
    </tableColumn>
  </tableColumns>
  <tableStyleInfo name="DarkCustom" showFirstColumn="0" showLastColumn="0" showRowStripes="1" showColumnStripes="0"/>
</table>
</file>

<file path=xl/tables/table22.xml><?xml version="1.0" encoding="utf-8"?>
<table xmlns="http://schemas.openxmlformats.org/spreadsheetml/2006/main" id="25" name="Table25" displayName="Table25" ref="I9:Q14" totalsRowShown="0" headerRowDxfId="170" dataDxfId="169">
  <autoFilter ref="I9:Q14"/>
  <tableColumns count="9">
    <tableColumn id="1" name="Sheet Name" dataDxfId="168">
      <calculatedColumnFormula>IF(B10="","",_xlfn.LET(_xlpm._in,B10,_xlpm._start,FIND("]",_xlpm._in)+1,SUBSTITUTE(MID(_xlpm._in,_xlpm._start,FIND("!",_xlpm._in)-_xlpm._start),"'","")))</calculatedColumnFormula>
    </tableColumn>
    <tableColumn id="2" name="Comment Column" dataDxfId="167">
      <calculatedColumnFormula>IF($I10="","",_xlfn.LET(_xlpm._in,B10,_xlpm._start,FIND("$",_xlpm._in)+1,MID(_xlpm._in,_xlpm._start,FIND("$",SUBSTITUTE(_xlpm._in,"$","§",1))-_xlpm._start)))</calculatedColumnFormula>
    </tableColumn>
    <tableColumn id="3" name="Element ID Column" dataDxfId="166">
      <calculatedColumnFormula>IF($I10="","",_xlfn.LET(_xlpm._in,C10,_xlpm._start,FIND("$",_xlpm._in)+1,MID(_xlpm._in,_xlpm._start,FIND("$",SUBSTITUTE(_xlpm._in,"$","§",1))-_xlpm._start)))</calculatedColumnFormula>
    </tableColumn>
    <tableColumn id="4" name="Number of Comments with Elements" dataDxfId="165">
      <calculatedColumnFormula>IF($I10="","",MAX(INDIRECT("'"&amp;$I10&amp;"'!"&amp;$K10&amp;":"&amp;$K10)))</calculatedColumnFormula>
    </tableColumn>
    <tableColumn id="5" name="Number of Elements Column" dataDxfId="164">
      <calculatedColumnFormula>IF($I10="","",_xlfn.LET(_xlpm._in,D10,_xlpm._start,FIND("$",_xlpm._in)+1,MID(_xlpm._in,_xlpm._start,FIND("$",SUBSTITUTE(_xlpm._in,"$","§",1))-_xlpm._start)))</calculatedColumnFormula>
    </tableColumn>
    <tableColumn id="6" name="# Elements" dataDxfId="163">
      <calculatedColumnFormula>IF($I10="","",SUM(INDIRECT("'"&amp;$I10&amp;"'!"&amp;$M10&amp;":"&amp;$M10)))</calculatedColumnFormula>
    </tableColumn>
    <tableColumn id="7" name="Task Sheet Shadow ID" dataDxfId="162">
      <calculatedColumnFormula array="1">CreateID($O$9,$O:$O,AND($N10&lt;&gt;0,$N10&lt;&gt;""))</calculatedColumnFormula>
    </tableColumn>
    <tableColumn id="8" name="Header Row" dataDxfId="161">
      <calculatedColumnFormula>IF($B10="","",RIGHT($B10,LEN($B10)-FIND("$",SUBSTITUTE($B10,"$","§",1))))</calculatedColumnFormula>
    </tableColumn>
    <tableColumn id="9" name="Sheet ID Column" dataDxfId="160">
      <calculatedColumnFormula>IF($I10="","",_xlfn.LET(_xlpm._in,F10,_xlpm._start,FIND("$",_xlpm._in)+1,MID(_xlpm._in,_xlpm._start,FIND("$",SUBSTITUTE(_xlpm._in,"$","§",1))-_xlpm._start)))</calculatedColumnFormula>
    </tableColumn>
  </tableColumns>
  <tableStyleInfo name="DarkCustom" showFirstColumn="0" showLastColumn="0" showRowStripes="1" showColumnStripes="0"/>
</table>
</file>

<file path=xl/tables/table23.xml><?xml version="1.0" encoding="utf-8"?>
<table xmlns="http://schemas.openxmlformats.org/spreadsheetml/2006/main" id="16" name="Table16" displayName="Table16" ref="A2:H15" totalsRowShown="0" headerRowDxfId="159" dataDxfId="158">
  <autoFilter ref="A2:H15"/>
  <tableColumns count="8">
    <tableColumn id="1" name="Letter" dataDxfId="157"/>
    <tableColumn id="3" name="Products with digital elements shall…" dataDxfId="156"/>
    <tableColumn id="2" name="Implemented by" dataDxfId="155">
      <calculatedColumnFormula array="1">_xlfn.LET(_xlpm._countermeasures,InverseLookup($A3,Countermeasures!$AJ$2,Countermeasures!$A$2,1,Helper!$B$4,","),_xlpm._assumptions,InverseLookup($A3,Assumptions!$AH$3,Assumptions!$A$3,1,Helper!$B$6,","),_xlpm._indirectCountermeasures,InverseLookup($A3,Countermeasures!$AQ$2,Countermeasures!$A$2,1,Helper!$B$4,","),_xlpm._indirectAssumptions,InverseLookup($A3,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calculatedColumnFormula>
    </tableColumn>
    <tableColumn id="4" name="Countermeasure / Assumption Names" dataDxfId="154">
      <calculatedColumnFormula array="1">_xlfn.LET(_xlpm._countermeasures,RemoveDelimiter(GetValuesIgnoreErrors(SanitizeInput($C3),Countermeasures!$A:$B," ",","&amp;CHAR(10),TRUE),","&amp;CHAR(10)),_xlpm._assumptions,RemoveDelimiter(GetValuesIgnoreErrors(SanitizeInput($C3),Assumptions!$A:$AI," ",","&amp;CHAR(10),TRUE),","&amp;CHAR(10)),_xlpm._delimiter,CHAR(10)&amp;REPT(CHAR(150),65)&amp;CHAR(10),_xlpm._countermeasures&amp;IF(OR(_xlpm._countermeasures="",_xlpm._assumptions=""),"",_xlpm._delimiter)&amp;_xlpm._assumptions)</calculatedColumnFormula>
    </tableColumn>
    <tableColumn id="5" name="Explicit Risk Treatment" dataDxfId="153">
      <calculatedColumnFormula array="1">RemoveDelimiter(InverseLookup($A3,'Risk Treatment'!$AF$4,'Risk Treatment'!$AG$4,1,10000,","&amp;CHAR(10)),","&amp;CHAR(10))</calculatedColumnFormula>
    </tableColumn>
    <tableColumn id="6" name="Comment" dataDxfId="152"/>
    <tableColumn id="7" name="Shadow ID" dataDxfId="151">
      <calculatedColumnFormula array="1">CreateID($G$2,$G:$G,$A3&lt;&gt;"")</calculatedColumnFormula>
    </tableColumn>
    <tableColumn id="8" name="Task ID" dataDxfId="150">
      <calculatedColumnFormula array="1">CreateTaskID($H$2,$H:$H,Tasks!$B$17,$F3)</calculatedColumnFormula>
    </tableColumn>
  </tableColumns>
  <tableStyleInfo name="DarkCustom" showFirstColumn="0" showLastColumn="0" showRowStripes="1" showColumnStripes="0"/>
</table>
</file>

<file path=xl/tables/table24.xml><?xml version="1.0" encoding="utf-8"?>
<table xmlns="http://schemas.openxmlformats.org/spreadsheetml/2006/main" id="12" name="Table1413" displayName="Table1413" ref="B5:AF72" totalsRowShown="0" headerRowDxfId="149" dataDxfId="148">
  <autoFilter ref="B5:AF72"/>
  <tableColumns count="31">
    <tableColumn id="1" name="R ID" dataDxfId="147">
      <calculatedColumnFormula>OFFSET(Risks!$A$2,ROW()-ROW($B$5),0)</calculatedColumnFormula>
    </tableColumn>
    <tableColumn id="2" name="Attack Path" dataDxfId="146">
      <calculatedColumnFormula array="1">IF($B6="","",IFERROR(SimpleLookup($B6,'Risk Treatment'!$C:D),"Please ensure that all risks are covered in the "&amp;Helper!$G$14&amp;" sheet. Currently, these risks are not covered: "&amp;'Risk Treatment'!$D$2&amp;"."))</calculatedColumnFormula>
    </tableColumn>
    <tableColumn id="3" name="Damage Scenarios" dataDxfId="145">
      <calculatedColumnFormula array="1">IF($B6="","",IFERROR(SimpleLookup($B6,'Risk Treatment'!$C:K),"Please ensure that all risks are covered in the "&amp;Helper!$G$14&amp;" sheet. Currently, these risks are not covered: "&amp;'Risk Treatment'!$D$2&amp;"."))</calculatedColumnFormula>
    </tableColumn>
    <tableColumn id="4" name="Damage Level" dataDxfId="144">
      <calculatedColumnFormula array="1">IF($B6="","",IFERROR(SimpleLookup($B6,'Risk Treatment'!$C:L),"Please ensure that all risks are covered in the "&amp;Helper!$G$14&amp;" sheet. Currently, these risks are not covered: "&amp;'Risk Treatment'!$D$2&amp;"."))</calculatedColumnFormula>
    </tableColumn>
    <tableColumn id="29" name="Factor Explanation " dataDxfId="143">
      <calculatedColumnFormula array="1">IF($B6="","",IFERROR(SimpleLookup($B6,'Risk Treatment'!$C:M),"Please ensure that all risks are covered in the "&amp;Helper!$G$14&amp;" sheet. Currently, these risks are not covered: "&amp;'Risk Treatment'!$D$2&amp;"."))</calculatedColumnFormula>
    </tableColumn>
    <tableColumn id="5" name="RAP" dataDxfId="142">
      <calculatedColumnFormula array="1">IF($B6="","",IFERROR(SimpleLookup($B6,'Risk Treatment'!$C:N),"Please ensure that all risks are covered in the "&amp;Helper!$G$14&amp;" sheet. Currently, these risks are not covered: "&amp;'Risk Treatment'!$D$2&amp;"."))</calculatedColumnFormula>
    </tableColumn>
    <tableColumn id="46" name="Planned Countermeasures and Assumptions" dataDxfId="141">
      <calculatedColumnFormula array="1">IF($B6="","",IFERROR(SimpleLookup($B6,'Risk Treatment'!$C:J),"Please ensure that all risks are covered in the "&amp;Helper!$G$14&amp;" sheet. Currently, these risks are not covered: "&amp;'Risk Treatment'!$D$2&amp;"."))</calculatedColumnFormula>
    </tableColumn>
    <tableColumn id="6" name="Risk Level_x000a_(Planned)" dataDxfId="140">
      <calculatedColumnFormula array="1">IF($B6="","",IFERROR(SimpleLookup($B6,'Risk Treatment'!$C:O),"Please ensure that all risks are covered in the "&amp;Helper!$G$14&amp;" sheet. Currently, these risks are not covered: "&amp;'Risk Treatment'!$D$2&amp;"."))</calculatedColumnFormula>
    </tableColumn>
    <tableColumn id="15" name="Confirmed Countermeasures and Assumptions" dataDxfId="139">
      <calculatedColumnFormula array="1">_xlfn.LET(_xlpm._assignedMitigations,IF($B6="","",IFERROR(RemoveDelimiter(GetValuesWithFallback($Z6,Countermeasures!$A:$B,Assumptions!$A:$B," ",","&amp;CHAR(10),TRUE),","&amp;CHAR(10)),"Error: Unknown risk ID "&amp;$B6)),_xlpm._inlineMitigations,$AE6,_xlpm._assignedMitigations&amp;IF(OR(_xlpm._assignedMitigations="",_xlpm._inlineMitigations=""),"",","&amp;CHAR(10))&amp;_xlpm._inlineMitigations)</calculatedColumnFormula>
    </tableColumn>
    <tableColumn id="18" name="Damage Scenarios " dataDxfId="138">
      <calculatedColumnFormula array="1">IF($AC6=-1,"",RemoveDelimiter(GetValues(INDEX(Risks!BN:BN,$AC6),'DS Overview'!$A:$B," ",","&amp;CHAR(10),TRUE),","&amp;CHAR(10)))</calculatedColumnFormula>
    </tableColumn>
    <tableColumn id="12" name="Damage Level " dataDxfId="137">
      <calculatedColumnFormula array="1">IF($AC6=-1,"",INDEX(Risks!BP:BP,$AC6))</calculatedColumnFormula>
    </tableColumn>
    <tableColumn id="28" name="Factor Explanation" dataDxfId="136">
      <calculatedColumnFormula array="1">_xlfn.LET(_xlpm._calculatedRAP,IFERROR(SimpleLookup($B6,Risks!$A:$BG),""),_xlpm._inlineRAP,IFERROR(SimpleLookup($B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_xlpm._mitigationSheetName&amp;" sheet "&amp;_xlfn.UNICHAR(8702)&amp;" Comment column:"&amp;CHAR(10)&amp;$AE6)))</calculatedColumnFormula>
    </tableColumn>
    <tableColumn id="13" name="RAP " dataDxfId="135">
      <calculatedColumnFormula array="1">IF($AC6=-1,"",INDEX(Risks!CN:CN,$AC6))</calculatedColumnFormula>
    </tableColumn>
    <tableColumn id="14" name="Remaining Risk Level " dataDxfId="134">
      <calculatedColumnFormula array="1">IF($AC6=-1,"",INDEX(Risks!CO:CO,$AC6))</calculatedColumnFormula>
    </tableColumn>
    <tableColumn id="21" name="Risk Treatment Proposal" dataDxfId="133">
      <calculatedColumnFormula>IF($C6="","",IF($AF6&lt;=Definitions!$AF$6,Definitions!$M$4,""))</calculatedColumnFormula>
    </tableColumn>
    <tableColumn id="20" name="Manual Risk Treatment" dataDxfId="132"/>
    <tableColumn id="19" name="Risk Treatment Decision" dataDxfId="131">
      <calculatedColumnFormula>IF($Q6="",$P6,$Q6)</calculatedColumnFormula>
    </tableColumn>
    <tableColumn id="22" name="Risk Treatment Rationale / Explanation" dataDxfId="130"/>
    <tableColumn id="7" name="Comment" dataDxfId="129"/>
    <tableColumn id="8" name="Shadow ID" dataDxfId="128">
      <calculatedColumnFormula array="1">GenerateShadowID(ROW(),$U$5,$U:$U,0,B6&lt;&gt;"")</calculatedColumnFormula>
    </tableColumn>
    <tableColumn id="9" name="Task ID" dataDxfId="127">
      <calculatedColumnFormula array="1">CreateTaskID($V$5,$V:$V,Tasks!$B$17,$T6)</calculatedColumnFormula>
    </tableColumn>
    <tableColumn id="47" name="Planned C&amp;A" dataDxfId="126">
      <calculatedColumnFormula array="1">IF($B6="","",SimpleLookup($B6,'Risk Treatment'!$C:$AW))</calculatedColumnFormula>
    </tableColumn>
    <tableColumn id="51" name="Planned Inline C&amp;A Full" dataDxfId="125">
      <calculatedColumnFormula array="1">IF($B6="","",_xlfn.LET(_xlpm._attackSteps,SimpleLookup($B6,'Risk Treatment'!$C:$Y),GetValues(_xlpm._attackSteps,Mitigation!$A:$AG,"",CHAR(1),FALSE)))</calculatedColumnFormula>
    </tableColumn>
    <tableColumn id="48" name="Planned Inline C&amp;A" dataDxfId="124">
      <calculatedColumnFormula array="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CHAR(1))</calculatedColumnFormula>
    </tableColumn>
    <tableColumn id="49" name="Confirmed C&amp;A" dataDxfId="123">
      <calculatedColumnFormula array="1">FilterElementsFromList($W6,Helper!$J$4,TRUE,",")</calculatedColumnFormula>
    </tableColumn>
    <tableColumn id="50" name="Confirmed Inline C&amp;A" dataDxfId="122">
      <calculatedColumnFormula array="1">FilterElementsFromList($Y6,Helper!$J$4,TRUE,",")</calculatedColumnFormula>
    </tableColumn>
    <tableColumn id="52" name="Confirmed Inline C&amp;A Full" dataDxfId="121">
      <calculatedColumnFormula array="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CreateSearchString($AA6),CHAR(1),","&amp;CHAR(10))</calculatedColumnFormula>
    </tableColumn>
    <tableColumn id="54" name="Row" dataDxfId="120">
      <calculatedColumnFormula>IFERROR(MATCH($B6,Risks!$A:$A,0),-1)</calculatedColumnFormula>
    </tableColumn>
    <tableColumn id="55" name="Remaining Risk Factor Explanation" dataDxfId="119">
      <calculatedColumnFormula array="1">IF($B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Risks!$A:CA,Definitions!$Y:$Y,Definitions!$AB:$AB,1)&amp;CHAR(10)&amp;_xlpm._factorFunction($B6,Risks!$A:CB,Definitions!$Y:$Y,Definitions!$AB:$AB,2)&amp;CHAR(10)&amp;_xlpm._factorFunction($B6,Risks!$A:CC,Definitions!$Y:$Y,Definitions!$AB:$AB,3)&amp;CHAR(10)&amp;_xlpm._factorFunction($B6,Risks!$A:CD,Definitions!$Y:$Y,Definitions!$AB:$AB,4)&amp;CHAR(10)&amp;_xlpm._factorFunction($B6,Risks!$A:CE,Definitions!$Y:$Y,Definitions!$AB:$AB,5)))</calculatedColumnFormula>
    </tableColumn>
    <tableColumn id="56" name="Inline Mitigations" dataDxfId="118">
      <calculatedColumnFormula array="1">RemoveDelimiter(SUBSTITUTE(SUBSTITUTE($AB6,"{",""),"}",""),","&amp;CHAR(10))</calculatedColumnFormula>
    </tableColumn>
    <tableColumn id="10" name="RL Value" dataDxfId="117">
      <calculatedColumnFormula array="1">IF($O6="",0,SimpleLookup($O6,Definitions!$AE:$AF))</calculatedColumnFormula>
    </tableColumn>
  </tableColumns>
  <tableStyleInfo name="DarkCustom" showFirstColumn="0" showLastColumn="0" showRowStripes="1" showColumnStripes="0"/>
</table>
</file>

<file path=xl/tables/table25.xml><?xml version="1.0" encoding="utf-8"?>
<table xmlns="http://schemas.openxmlformats.org/spreadsheetml/2006/main" id="10" name="Table10" displayName="Table10" ref="A19:I68" totalsRowShown="0" headerRowDxfId="116" dataDxfId="115">
  <autoFilter ref="A19:I68"/>
  <tableColumns count="9">
    <tableColumn id="1" name="Element" dataDxfId="114">
      <calculatedColumnFormula array="1">IF($E20="","",HYPERLINK("#'"&amp;INDEX(Table11[Sheet Name],$F20)&amp;"'!"&amp;INDEX(Table11[ID Column],$F20)&amp;$G20,IF(LEN(H20)&gt;255,LEFT(H20,250)&amp;" …",H20)))</calculatedColumnFormula>
    </tableColumn>
    <tableColumn id="2" name="Comment (click to follow the link)" dataDxfId="113">
      <calculatedColumnFormula array="1">IF($E20="","",HYPERLINK("#'"&amp;INDEX(Table11[Sheet Name],$F20)&amp;"'!"&amp;INDEX(Table11[Comment Column],$F20)&amp;$G20,IF(LEN(I20)&gt;255,LEFT(I20,250)&amp;" …",I20)))</calculatedColumnFormula>
    </tableColumn>
    <tableColumn id="3" name="Task Sheet ID" dataDxfId="112">
      <calculatedColumnFormula array="1">IFERROR(IF(ROW()=ROW($C$19)+1,1,INDEX($C:$C,ROW()-1))+IF(INDEX($E:$E,ROW()-1)=TRUE,1,0),"")</calculatedColumnFormula>
    </tableColumn>
    <tableColumn id="4" name="Task #" dataDxfId="111">
      <calculatedColumnFormula>COUNTIF(OFFSET($C$19,1,0,ROW()-ROW($D$19),1),$C20)</calculatedColumnFormula>
    </tableColumn>
    <tableColumn id="5" name="Final Entry?" dataDxfId="110">
      <calculatedColumnFormula array="1">IFERROR(INDEX(Table11[Number of Tasks],$F20)=$D20,"")</calculatedColumnFormula>
    </tableColumn>
    <tableColumn id="6" name="Row" dataDxfId="109">
      <calculatedColumnFormula>IFERROR(MATCH($C20,Table11[Task Sheet Shadow ID],0),"")</calculatedColumnFormula>
    </tableColumn>
    <tableColumn id="7" name="Element Row" dataDxfId="108">
      <calculatedColumnFormula array="1">IFERROR(_xlfn.LET(_xlpm._column,INDEX(Table11[Task ID Column],$F20),MATCH($D20,INDIRECT("'"&amp;INDEX(Table11[Sheet Name],$F20)&amp;"'!"&amp;_xlpm._column&amp;":"&amp;_xlpm._column),0)),"")</calculatedColumnFormula>
    </tableColumn>
    <tableColumn id="8" name="Element Text" dataDxfId="107">
      <calculatedColumnFormula array="1">IF($G20="","",(_xlfn.LET(_xlpm._columnID,INDEX(Table11[ID Column],$F20),_xlpm._columnName,INDEX(Table11[Name Column],$F20),INDEX(INDIRECT("'"&amp;INDEX(Table11[Sheet Name],$F20)&amp;"'!"&amp;_xlpm._columnID&amp;":"&amp;_xlpm._columnID),$G20)&amp;" "&amp;INDEX(INDIRECT("'"&amp;INDEX(Table11[Sheet Name],$F20)&amp;"'!"&amp;_xlpm._columnName&amp;":"&amp;_xlpm._columnName),$G20))))</calculatedColumnFormula>
    </tableColumn>
    <tableColumn id="9" name="Comment Text" dataDxfId="106">
      <calculatedColumnFormula array="1">IF($G20="","",(_xlfn.LET(_xlpm._columnID,INDEX(Table11[Comment Column],$F20),INDEX(INDIRECT("'"&amp;INDEX(Table11[Sheet Name],$F20)&amp;"'!"&amp;_xlpm._columnID&amp;":"&amp;_xlpm._columnID),$G20))))</calculatedColumnFormula>
    </tableColumn>
  </tableColumns>
  <tableStyleInfo name="DarkCustom" showFirstColumn="0" showLastColumn="0" showRowStripes="1" showColumnStripes="0"/>
</table>
</file>

<file path=xl/tables/table26.xml><?xml version="1.0" encoding="utf-8"?>
<table xmlns="http://schemas.openxmlformats.org/spreadsheetml/2006/main" id="11" name="Table11" displayName="Table11" ref="E1:L15" totalsRowShown="0" headerRowDxfId="105" dataDxfId="104">
  <autoFilter ref="E1:L15"/>
  <tableColumns count="8">
    <tableColumn id="1" name="Sheet Name" dataDxfId="103">
      <calculatedColumnFormula>IF(A2="","",_xlfn.LET(_xlpm._in,A2,_xlpm._start,FIND("]",_xlpm._in)+1,SUBSTITUTE(MID(_xlpm._in,_xlpm._start,FIND("!",_xlpm._in)-_xlpm._start),"'","")))</calculatedColumnFormula>
    </tableColumn>
    <tableColumn id="2" name="ID Column" dataDxfId="102">
      <calculatedColumnFormula>IF($E2="","",_xlfn.LET(_xlpm._in,A2,_xlpm._start,FIND("$",_xlpm._in)+1,MID(_xlpm._in,_xlpm._start,FIND("$",SUBSTITUTE(_xlpm._in,"$","§",1))-_xlpm._start)))</calculatedColumnFormula>
    </tableColumn>
    <tableColumn id="3" name="Name Column" dataDxfId="101">
      <calculatedColumnFormula>IF($E2="","",_xlfn.LET(_xlpm._in,B2,_xlpm._start,FIND("$",_xlpm._in)+1,MID(_xlpm._in,_xlpm._start,FIND("$",SUBSTITUTE(_xlpm._in,"$","§",1))-_xlpm._start)))</calculatedColumnFormula>
    </tableColumn>
    <tableColumn id="4" name="Comment Column" dataDxfId="100">
      <calculatedColumnFormula>IF($E2="","",_xlfn.LET(_xlpm._in,C2,_xlpm._start,FIND("$",_xlpm._in)+1,MID(_xlpm._in,_xlpm._start,FIND("$",SUBSTITUTE(_xlpm._in,"$","§",1))-_xlpm._start)))</calculatedColumnFormula>
    </tableColumn>
    <tableColumn id="5" name="Task ID Column" dataDxfId="99">
      <calculatedColumnFormula>IF($E2="","",_xlfn.LET(_xlpm._in,D2,_xlpm._start,FIND("$",_xlpm._in)+1,MID(_xlpm._in,_xlpm._start,FIND("$",SUBSTITUTE(_xlpm._in,"$","§",1))-_xlpm._start)))</calculatedColumnFormula>
    </tableColumn>
    <tableColumn id="6" name="Number of Tasks" dataDxfId="98">
      <calculatedColumnFormula>IF($E2="","",MAX(INDIRECT("'"&amp;$E2&amp;"'!"&amp;$I2&amp;":"&amp;$I2)))</calculatedColumnFormula>
    </tableColumn>
    <tableColumn id="7" name="Task Sheet Shadow ID" dataDxfId="97">
      <calculatedColumnFormula array="1">IF(ROW()=ROW($K$1)+1,0,INDEX($K:$K,ROW()-1))+IF($J2="",0,IF($J2&gt;0,1,0))</calculatedColumnFormula>
    </tableColumn>
    <tableColumn id="8" name="Header Row" dataDxfId="96">
      <calculatedColumnFormula>IF($A2="","",RIGHT($A2,LEN($A2)-FIND("$",SUBSTITUTE($A2,"$","§",1))))</calculatedColumnFormula>
    </tableColumn>
  </tableColumns>
  <tableStyleInfo name="DarkCustom" showFirstColumn="0" showLastColumn="0" showRowStripes="1" showColumnStripes="0"/>
</table>
</file>

<file path=xl/tables/table27.xml><?xml version="1.0" encoding="utf-8"?>
<table xmlns="http://schemas.openxmlformats.org/spreadsheetml/2006/main" id="5" name="Table5" displayName="Table5" ref="L2:Q22" totalsRowShown="0" headerRowDxfId="95" dataDxfId="94">
  <autoFilter ref="L2:Q22"/>
  <tableColumns count="6">
    <tableColumn id="1" name="Sheet" dataDxfId="93">
      <calculatedColumnFormula>IF($I3="","",_xlfn.LET(_xlpm._in,$I3,_xlpm._start,FIND("]",_xlpm._in)+1,"'"&amp;SUBSTITUTE(MID(_xlpm._in,_xlpm._start,FIND("!",_xlpm._in)-_xlpm._start),"'","")&amp;"'!"))</calculatedColumnFormula>
    </tableColumn>
    <tableColumn id="7" name="Element ID Letter" dataDxfId="92">
      <calculatedColumnFormula>IF(K3="","",_xlfn.LET(_xlpm._in,K3,_xlpm._start,FIND("$",_xlpm._in)+1,_xlpm._column,SUBSTITUTE(MID(_xlpm._in,_xlpm._start,FIND("$",SUBSTITUTE(_xlpm._in,"$","§",1))-_xlpm._start),"'",""),_xlpm._column))</calculatedColumnFormula>
    </tableColumn>
    <tableColumn id="2" name="Text Range" dataDxfId="91">
      <calculatedColumnFormula>IF(I3="","",_xlfn.LET(_xlpm._in,I3,_xlpm._start,FIND("$",_xlpm._in)+1,_xlpm._column,SUBSTITUTE(MID(_xlpm._in,_xlpm._start,FIND("$",SUBSTITUTE(_xlpm._in,"$","§",1))-_xlpm._start),"'",""),$M3&amp;":"&amp;_xlpm._column))</calculatedColumnFormula>
    </tableColumn>
    <tableColumn id="3" name="ID Column" dataDxfId="90">
      <calculatedColumnFormula>IF(J3="","",_xlfn.LET(_xlpm._in,J3,_xlpm._start,FIND("$",_xlpm._in)+1,_xlpm._column,SUBSTITUTE(MID(_xlpm._in,_xlpm._start,FIND("$",SUBSTITUTE(_xlpm._in,"$","§",1))-_xlpm._start),"'",""),_xlpm._column&amp;":"&amp;_xlpm._column))</calculatedColumnFormula>
    </tableColumn>
    <tableColumn id="4" name="Element ID Column" dataDxfId="89">
      <calculatedColumnFormula>IF($L3="","",$M3&amp;":"&amp;$M3)</calculatedColumnFormula>
    </tableColumn>
    <tableColumn id="5" name="Triggering IDs" dataDxfId="88">
      <calculatedColumnFormula array="1">GetQualityIssues($L3,$P3,$O3,1,",")</calculatedColumnFormula>
    </tableColumn>
  </tableColumns>
  <tableStyleInfo name="DarkCustom" showFirstColumn="0" showLastColumn="0" showRowStripes="1" showColumnStripes="0"/>
</table>
</file>

<file path=xl/tables/table28.xml><?xml version="1.0" encoding="utf-8"?>
<table xmlns="http://schemas.openxmlformats.org/spreadsheetml/2006/main" id="27" name="Table27" displayName="Table27" ref="B6:C30" totalsRowShown="0" headerRowDxfId="87" dataDxfId="86">
  <autoFilter ref="B6:C30"/>
  <tableColumns count="2">
    <tableColumn id="1" name="Sheet" dataDxfId="85">
      <calculatedColumnFormula>_xlfn.LET(_xlpm._sheetName,OFFSET(Definitions!$BA$3,ROW()-ROW($B$6),0),IF(_xlpm._sheetName="","",_xlpm._sheetName))</calculatedColumnFormula>
    </tableColumn>
    <tableColumn id="2" name="Export String (copy to MS Word)" dataDxfId="84">
      <calculatedColumnFormula array="1">_xlfn.LET(_xlpm._delimiter,","&amp;CHAR(10),_xlpm._isLast,AND($B7&lt;&gt;"",OFFSET($B7,1,0)=""),_xlpm._result,JSONParseSheets(ROW()-ROW($C$6),Definitions!$BA$3,Definitions!$BB$3,Definitions!$BC$3,Definitions!$BD$3,$B$1,$B$2,$B$3,_xlpm._delimiter),SUBSTITUTE(IF(_xlpm._isLast,RemoveDelimiter(_xlpm._result,_xlpm._delimiter),_xlpm._result),","&amp;CHAR(10)&amp;CHAR(10)&amp;"]",CHAR(10)&amp;"]"))</calculatedColumnFormula>
    </tableColumn>
  </tableColumns>
  <tableStyleInfo name="DarkCustom"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drawing" Target="../drawings/drawing1.xml" /><Relationship Id="rId3" Type="http://schemas.openxmlformats.org/officeDocument/2006/relationships/printerSettings" Target="../printerSettings/printerSettings1.bin" /></Relationships>
</file>

<file path=xl/worksheets/_rels/sheet3.xml.rels><?xml version="1.0" encoding="UTF-8" standalone="yes"?><Relationships xmlns="http://schemas.openxmlformats.org/package/2006/relationships"><Relationship Id="rId5" Type="http://schemas.openxmlformats.org/officeDocument/2006/relationships/table" Target="../tables/table6.xml" /><Relationship Id="rId1" Type="http://schemas.openxmlformats.org/officeDocument/2006/relationships/table" Target="../tables/table2.xml" /><Relationship Id="rId2" Type="http://schemas.openxmlformats.org/officeDocument/2006/relationships/table" Target="../tables/table3.xml" /><Relationship Id="rId4" Type="http://schemas.openxmlformats.org/officeDocument/2006/relationships/table" Target="../tables/table5.xml" /><Relationship Id="rId6" Type="http://schemas.openxmlformats.org/officeDocument/2006/relationships/printerSettings" Target="../printerSettings/printerSettings2.bin" /><Relationship Id="rId3" Type="http://schemas.openxmlformats.org/officeDocument/2006/relationships/table" Target="../tables/table4.xml" /></Relationships>
</file>

<file path=xl/worksheets/_rels/sheet4.xml.rels><?xml version="1.0" encoding="UTF-8" standalone="yes"?><Relationships xmlns="http://schemas.openxmlformats.org/package/2006/relationships"><Relationship Id="rId1" Type="http://schemas.openxmlformats.org/officeDocument/2006/relationships/table" Target="../tables/table7.xml" /><Relationship Id="rId2" Type="http://schemas.openxmlformats.org/officeDocument/2006/relationships/table" Target="../tables/table8.xml" /><Relationship Id="rId3" Type="http://schemas.openxmlformats.org/officeDocument/2006/relationships/printerSettings" Target="../printerSettings/printerSettings3.bin" /></Relationships>
</file>

<file path=xl/worksheets/_rels/sheet5.xml.rels><?xml version="1.0" encoding="UTF-8" standalone="yes"?><Relationships xmlns="http://schemas.openxmlformats.org/package/2006/relationships"><Relationship Id="rId1" Type="http://schemas.openxmlformats.org/officeDocument/2006/relationships/table" Target="../tables/table9.xml" /><Relationship Id="rId2" Type="http://schemas.openxmlformats.org/officeDocument/2006/relationships/printerSettings" Target="../printerSettings/printerSettings4.bin" /></Relationships>
</file>

<file path=xl/worksheets/_rels/sheet6.xml.rels><?xml version="1.0" encoding="UTF-8" standalone="yes"?><Relationships xmlns="http://schemas.openxmlformats.org/package/2006/relationships"><Relationship Id="rId1" Type="http://schemas.openxmlformats.org/officeDocument/2006/relationships/table" Target="../tables/table10.xml" /><Relationship Id="rId2" Type="http://schemas.openxmlformats.org/officeDocument/2006/relationships/printerSettings" Target="../printerSettings/printerSettings5.bin" /></Relationships>
</file>

<file path=xl/worksheets/_rels/sheet7.xml.rels><?xml version="1.0" encoding="UTF-8" standalone="yes"?><Relationships xmlns="http://schemas.openxmlformats.org/package/2006/relationships"><Relationship Id="rId1" Type="http://schemas.openxmlformats.org/officeDocument/2006/relationships/table" Target="../tables/table11.xml" /><Relationship Id="rId2" Type="http://schemas.openxmlformats.org/officeDocument/2006/relationships/printerSettings" Target="../printerSettings/printerSettings6.bin" /></Relationships>
</file>

<file path=xl/worksheets/_rels/sheet8.xml.rels><?xml version="1.0" encoding="UTF-8" standalone="yes"?><Relationships xmlns="http://schemas.openxmlformats.org/package/2006/relationships"><Relationship Id="rId1" Type="http://schemas.openxmlformats.org/officeDocument/2006/relationships/table" Target="../tables/table12.xml" /><Relationship Id="rId2" Type="http://schemas.openxmlformats.org/officeDocument/2006/relationships/printerSettings" Target="../printerSettings/printerSettings7.bin" /></Relationships>
</file>

<file path=xl/worksheets/_rels/sheet9.xml.rels><?xml version="1.0" encoding="UTF-8" standalone="yes"?><Relationships xmlns="http://schemas.openxmlformats.org/package/2006/relationships"><Relationship Id="rId1" Type="http://schemas.openxmlformats.org/officeDocument/2006/relationships/table" Target="../tables/table13.xml" /><Relationship Id="rId2" Type="http://schemas.openxmlformats.org/officeDocument/2006/relationships/printerSettings" Target="../printerSettings/printerSettings8.bin" /></Relationships>
</file>

<file path=xl/worksheets/_rels/sheet10.xml.rels><?xml version="1.0" encoding="UTF-8" standalone="yes"?><Relationships xmlns="http://schemas.openxmlformats.org/package/2006/relationships"><Relationship Id="rId1" Type="http://schemas.openxmlformats.org/officeDocument/2006/relationships/table" Target="../tables/table14.xml" /><Relationship Id="rId2" Type="http://schemas.openxmlformats.org/officeDocument/2006/relationships/printerSettings" Target="../printerSettings/printerSettings9.bin" /></Relationships>
</file>

<file path=xl/worksheets/_rels/sheet11.xml.rels><?xml version="1.0" encoding="UTF-8" standalone="yes"?><Relationships xmlns="http://schemas.openxmlformats.org/package/2006/relationships"><Relationship Id="rId1" Type="http://schemas.openxmlformats.org/officeDocument/2006/relationships/table" Target="../tables/table15.xml" /><Relationship Id="rId2" Type="http://schemas.openxmlformats.org/officeDocument/2006/relationships/printerSettings" Target="../printerSettings/printerSettings10.bin" /></Relationships>
</file>

<file path=xl/worksheets/_rels/sheet12.xml.rels><?xml version="1.0" encoding="UTF-8" standalone="yes"?><Relationships xmlns="http://schemas.openxmlformats.org/package/2006/relationships"><Relationship Id="rId1" Type="http://schemas.openxmlformats.org/officeDocument/2006/relationships/table" Target="../tables/table16.xml" /><Relationship Id="rId2" Type="http://schemas.openxmlformats.org/officeDocument/2006/relationships/printerSettings" Target="../printerSettings/printerSettings11.bin" /></Relationships>
</file>

<file path=xl/worksheets/_rels/sheet13.xml.rels><?xml version="1.0" encoding="UTF-8" standalone="yes"?><Relationships xmlns="http://schemas.openxmlformats.org/package/2006/relationships"><Relationship Id="rId1" Type="http://schemas.openxmlformats.org/officeDocument/2006/relationships/table" Target="../tables/table17.xml" /><Relationship Id="rId2" Type="http://schemas.openxmlformats.org/officeDocument/2006/relationships/printerSettings" Target="../printerSettings/printerSettings12.bin" /></Relationships>
</file>

<file path=xl/worksheets/_rels/sheet14.xml.rels><?xml version="1.0" encoding="UTF-8" standalone="yes"?><Relationships xmlns="http://schemas.openxmlformats.org/package/2006/relationships"><Relationship Id="rId1" Type="http://schemas.openxmlformats.org/officeDocument/2006/relationships/table" Target="../tables/table18.xml" /><Relationship Id="rId2" Type="http://schemas.openxmlformats.org/officeDocument/2006/relationships/printerSettings" Target="../printerSettings/printerSettings13.bin" /></Relationships>
</file>

<file path=xl/worksheets/_rels/sheet15.xml.rels><?xml version="1.0" encoding="UTF-8" standalone="yes"?><Relationships xmlns="http://schemas.openxmlformats.org/package/2006/relationships"><Relationship Id="rId1" Type="http://schemas.openxmlformats.org/officeDocument/2006/relationships/table" Target="../tables/table19.xml" /><Relationship Id="rId2" Type="http://schemas.openxmlformats.org/officeDocument/2006/relationships/printerSettings" Target="../printerSettings/printerSettings14.bin" /></Relationships>
</file>

<file path=xl/worksheets/_rels/sheet16.xml.rels><?xml version="1.0" encoding="UTF-8" standalone="yes"?><Relationships xmlns="http://schemas.openxmlformats.org/package/2006/relationships"><Relationship Id="rId1" Type="http://schemas.openxmlformats.org/officeDocument/2006/relationships/table" Target="../tables/table20.xml" /><Relationship Id="rId2" Type="http://schemas.openxmlformats.org/officeDocument/2006/relationships/table" Target="../tables/table21.xml" /><Relationship Id="rId4" Type="http://schemas.openxmlformats.org/officeDocument/2006/relationships/printerSettings" Target="../printerSettings/printerSettings15.bin" /><Relationship Id="rId3" Type="http://schemas.openxmlformats.org/officeDocument/2006/relationships/table" Target="../tables/table22.xml" /></Relationships>
</file>

<file path=xl/worksheets/_rels/sheet17.xml.rels><?xml version="1.0" encoding="UTF-8" standalone="yes"?><Relationships xmlns="http://schemas.openxmlformats.org/package/2006/relationships"><Relationship Id="rId1" Type="http://schemas.openxmlformats.org/officeDocument/2006/relationships/table" Target="../tables/table23.xml" /><Relationship Id="rId2" Type="http://schemas.openxmlformats.org/officeDocument/2006/relationships/printerSettings" Target="../printerSettings/printerSettings16.bin" /></Relationships>
</file>

<file path=xl/worksheets/_rels/sheet18.xml.rels><?xml version="1.0" encoding="UTF-8" standalone="yes"?><Relationships xmlns="http://schemas.openxmlformats.org/package/2006/relationships"><Relationship Id="rId1" Type="http://schemas.openxmlformats.org/officeDocument/2006/relationships/table" Target="../tables/table24.xml" /><Relationship Id="rId2" Type="http://schemas.openxmlformats.org/officeDocument/2006/relationships/printerSettings" Target="../printerSettings/printerSettings17.bin" /></Relationships>
</file>

<file path=xl/worksheets/_rels/sheet19.xml.rels><?xml version="1.0" encoding="UTF-8" standalone="yes"?><Relationships xmlns="http://schemas.openxmlformats.org/package/2006/relationships"><Relationship Id="rId1" Type="http://schemas.openxmlformats.org/officeDocument/2006/relationships/table" Target="../tables/table25.xml" /><Relationship Id="rId2" Type="http://schemas.openxmlformats.org/officeDocument/2006/relationships/table" Target="../tables/table26.xml" /><Relationship Id="rId3" Type="http://schemas.openxmlformats.org/officeDocument/2006/relationships/printerSettings" Target="../printerSettings/printerSettings18.bin" /></Relationships>
</file>

<file path=xl/worksheets/_rels/sheet20.xml.rels><?xml version="1.0" encoding="UTF-8" standalone="yes"?><Relationships xmlns="http://schemas.openxmlformats.org/package/2006/relationships"><Relationship Id="rId1" Type="http://schemas.openxmlformats.org/officeDocument/2006/relationships/table" Target="../tables/table27.xml" /><Relationship Id="rId2" Type="http://schemas.openxmlformats.org/officeDocument/2006/relationships/printerSettings" Target="../printerSettings/printerSettings19.bin" /></Relationships>
</file>

<file path=xl/worksheets/_rels/sheet21.xml.rels><?xml version="1.0" encoding="UTF-8" standalone="yes"?><Relationships xmlns="http://schemas.openxmlformats.org/package/2006/relationships"><Relationship Id="rId1" Type="http://schemas.openxmlformats.org/officeDocument/2006/relationships/table" Target="../tables/table28.xml" /><Relationship Id="rId2" Type="http://schemas.openxmlformats.org/officeDocument/2006/relationships/printerSettings" Target="../printerSettings/printerSettings20.bin" /></Relationships>
</file>

<file path=xl/worksheets/_rels/sheet23.xml.rels><?xml version="1.0" encoding="UTF-8" standalone="yes"?><Relationships xmlns="http://schemas.openxmlformats.org/package/2006/relationships"><Relationship Id="rId1" Type="http://schemas.openxmlformats.org/officeDocument/2006/relationships/printerSettings" Target="../printerSettings/printerSettings2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605E5D-8FB6-475C-974E-43E3F0F58F03}">
  <sheetPr>
    <tabColor theme="1"/>
  </sheetPr>
  <dimension ref="A2"/>
  <sheetViews>
    <sheetView windowProtection="1" workbookViewId="0" topLeftCell="A1">
      <selection pane="topLeft" activeCell="A2" sqref="A2"/>
    </sheetView>
  </sheetViews>
  <sheetFormatPr defaultColWidth="9.14428571428571" defaultRowHeight="15"/>
  <cols>
    <col min="1" max="16384" width="9.14285714285714" style="2"/>
  </cols>
  <sheetData>
    <row r="2" spans="1:1" ht="15">
      <c r="A2" s="12" t="s">
        <v>1782</v>
      </c>
    </row>
  </sheetData>
  <sheetProtection password="EB33"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2AB078-A124-42A9-882E-4001CB207088}">
  <sheetPr>
    <tabColor theme="1"/>
    <outlinePr summaryBelow="0"/>
  </sheetPr>
  <dimension ref="A1:M258"/>
  <sheetViews>
    <sheetView windowProtection="1" workbookViewId="0" topLeftCell="A1">
      <selection pane="topLeft" activeCell="B5" sqref="B5"/>
    </sheetView>
  </sheetViews>
  <sheetFormatPr defaultColWidth="9.14428571428571" defaultRowHeight="15" outlineLevelRow="1"/>
  <cols>
    <col min="1" max="1" width="20.7142857142857" style="4" customWidth="1"/>
    <col min="2" max="2" width="60.7142857142857" style="4" customWidth="1"/>
    <col min="3" max="4" width="60.7142857142857" style="2" customWidth="1"/>
    <col min="5" max="5" width="14.5714285714286" style="12" hidden="1" customWidth="1"/>
    <col min="6" max="6" width="16" style="12" hidden="1" customWidth="1"/>
    <col min="7" max="7" width="14.5714285714286" style="12" hidden="1" customWidth="1"/>
    <col min="8" max="8" width="9.85714285714286" style="12" hidden="1" customWidth="1"/>
    <col min="9" max="9" width="23.7142857142857" style="12" hidden="1" customWidth="1"/>
    <col min="10" max="10" width="9.14285714285714" style="2"/>
    <col min="11" max="11" width="34.5714285714286" style="2" hidden="1" customWidth="1"/>
    <col min="12" max="12" width="36.7142857142857" style="2" hidden="1" customWidth="1"/>
    <col min="13" max="13" width="21.7142857142857" style="2" hidden="1" customWidth="1"/>
    <col min="14" max="16384" width="9.14285714285714" style="2"/>
  </cols>
  <sheetData>
    <row r="1" spans="1:9" s="108" customFormat="1" ht="18.75">
      <c r="A1" s="104" t="s">
        <v>1263</v>
      </c>
      <c r="B1" s="105"/>
      <c r="C1" s="106"/>
      <c r="D1" s="106"/>
      <c r="E1" s="107"/>
      <c r="F1" s="107"/>
      <c r="G1" s="107"/>
      <c r="H1" s="107"/>
      <c r="I1" s="107"/>
    </row>
    <row r="2" spans="1:9" s="108" customFormat="1" ht="15" customHeight="1">
      <c r="A2" s="138"/>
      <c r="B2" s="101" t="str" cm="1">
        <f t="array" ca="1" aca="1" ref="B2">HYPERLINK("#"&amp;GetReferenceText(Definitions!$C$4),"(0) Tailor the assessment model and the catalogs.")</f>
        <v>(0) Tailor the assessment model and the catalogs.</v>
      </c>
      <c r="C2" s="139"/>
      <c r="D2" s="139"/>
      <c r="E2" s="107"/>
      <c r="F2" s="107"/>
      <c r="G2" s="107"/>
      <c r="H2" s="107"/>
      <c r="I2" s="107"/>
    </row>
    <row r="3" spans="1:9" s="108" customFormat="1" ht="30" customHeight="1">
      <c r="A3" s="138"/>
      <c r="B3" s="140" t="s">
        <v>1778</v>
      </c>
      <c r="C3" s="140"/>
      <c r="D3" s="140"/>
      <c r="E3" s="107"/>
      <c r="F3" s="107"/>
      <c r="G3" s="107"/>
      <c r="H3" s="107"/>
      <c r="I3" s="107"/>
    </row>
    <row r="4" spans="1:2" ht="15">
      <c r="A4" s="63"/>
      <c r="B4" s="101" t="str" cm="1">
        <f t="array" ca="1" aca="1" ref="B4">HYPERLINK("#"&amp;GetReferenceText(Documentation!$C$2),"(1) Provide basic information in the Documentation sheet.")</f>
        <v>(1) Provide basic information in the Documentation sheet.</v>
      </c>
    </row>
    <row r="5" spans="1:2" ht="15">
      <c r="A5" s="63"/>
      <c r="B5" s="101" t="str" cm="1">
        <f t="array" ca="1" aca="1" ref="B5">HYPERLINK("#"&amp;GetReferenceText(Questionnaire!$C$6),"(2) Answer the questions in the Questionnaire sheet. Fill all marked boxes.")</f>
        <v>(2) Answer the questions in the Questionnaire sheet. Fill all marked boxes.</v>
      </c>
    </row>
    <row r="6" spans="1:2" ht="14.45" customHeight="1">
      <c r="A6" s="63"/>
      <c r="B6" s="101" t="str" cm="1">
        <f t="array" ca="1" aca="1" ref="B6">HYPERLINK("#"&amp;GetReferenceText(Risks!$A$2),"(3) Ensure that the table in the Risks sheet is large enough to calculate all attack paths.")</f>
        <v>(3) Ensure that the table in the Risks sheet is large enough to calculate all attack paths.</v>
      </c>
    </row>
    <row r="7" spans="1:4" ht="45" customHeight="1">
      <c r="A7" s="63"/>
      <c r="B7" s="140" t="s">
        <v>1262</v>
      </c>
      <c r="C7" s="140"/>
      <c r="D7" s="140"/>
    </row>
    <row r="8" spans="1:2" ht="15">
      <c r="A8" s="63"/>
      <c r="B8" s="101" t="str" cm="1">
        <f t="array" ca="1" aca="1" ref="B8">HYPERLINK("#"&amp;GetReferenceText(Mitigation!$J$3),"(4) Assign assumptions and countermeasures mitigating specific attack steps in the Mitigation sheet.")</f>
        <v>(4) Assign assumptions and countermeasures mitigating specific attack steps in the Mitigation sheet.</v>
      </c>
    </row>
    <row r="9" spans="1:4" ht="30" customHeight="1">
      <c r="A9" s="63"/>
      <c r="B9" s="140" t="s">
        <v>1260</v>
      </c>
      <c r="C9" s="140"/>
      <c r="D9" s="140"/>
    </row>
    <row r="10" spans="1:2" ht="15">
      <c r="A10" s="63"/>
      <c r="B10" s="101" t="str" cm="1">
        <f t="array" ca="1" aca="1" ref="B10">HYPERLINK("#"&amp;GetReferenceText('Risk Treatment'!$A$5),"(5) Make risk treatment decisions in the Risk Treatment sheet.")</f>
        <v>(5) Make risk treatment decisions in the Risk Treatment sheet.</v>
      </c>
    </row>
    <row r="11" spans="1:2" ht="15">
      <c r="A11" s="63"/>
      <c r="B11" s="12"/>
    </row>
    <row r="12" spans="1:9" s="108" customFormat="1" ht="37.5">
      <c r="A12" s="109" t="s">
        <v>842</v>
      </c>
      <c r="B12" s="105"/>
      <c r="C12" s="106"/>
      <c r="D12" s="106"/>
      <c r="E12" s="107"/>
      <c r="F12" s="107"/>
      <c r="G12" s="107"/>
      <c r="H12" s="107"/>
      <c r="I12" s="107"/>
    </row>
    <row r="13" spans="1:2" ht="15">
      <c r="A13" s="63"/>
      <c r="B13" s="12" t="s">
        <v>952</v>
      </c>
    </row>
    <row r="14" spans="1:2" ht="15">
      <c r="A14" s="63"/>
      <c r="B14" s="12" t="s">
        <v>845</v>
      </c>
    </row>
    <row r="15" spans="1:2" ht="15">
      <c r="A15" s="63"/>
      <c r="B15" s="12" t="s">
        <v>896</v>
      </c>
    </row>
    <row r="16" spans="1:2" ht="15">
      <c r="A16" s="63"/>
      <c r="B16" s="60" t="s">
        <v>843</v>
      </c>
    </row>
    <row r="17" spans="1:2" ht="15">
      <c r="A17" s="63"/>
      <c r="B17" s="12" t="s">
        <v>1270</v>
      </c>
    </row>
    <row r="18" spans="1:2" ht="15">
      <c r="A18" s="63"/>
      <c r="B18" s="12" t="s">
        <v>1271</v>
      </c>
    </row>
    <row r="19" spans="1:2" ht="15">
      <c r="A19" s="63"/>
      <c r="B19" s="12" t="s">
        <v>1759</v>
      </c>
    </row>
    <row r="20" spans="1:1" ht="15">
      <c r="A20" s="18"/>
    </row>
    <row r="21" spans="1:4" ht="15">
      <c r="A21" s="67" t="s">
        <v>786</v>
      </c>
      <c r="B21" s="68" t="s">
        <v>779</v>
      </c>
      <c r="C21" s="74"/>
      <c r="D21" s="74"/>
    </row>
    <row r="22" spans="1:2" ht="15">
      <c r="A22" s="64" t="s">
        <v>787</v>
      </c>
      <c r="B22" s="4" t="s">
        <v>789</v>
      </c>
    </row>
    <row r="23" spans="1:2" ht="15">
      <c r="A23" s="65" t="s">
        <v>911</v>
      </c>
      <c r="B23" s="12" t="s">
        <v>927</v>
      </c>
    </row>
    <row r="24" spans="1:2" ht="15">
      <c r="A24" s="62" t="s">
        <v>910</v>
      </c>
      <c r="B24" s="12" t="s">
        <v>909</v>
      </c>
    </row>
    <row r="25" spans="1:2" ht="15">
      <c r="A25" s="66" t="s">
        <v>788</v>
      </c>
      <c r="B25" s="4" t="s">
        <v>790</v>
      </c>
    </row>
    <row r="26" spans="1:2" ht="15">
      <c r="A26" s="131" t="s">
        <v>793</v>
      </c>
      <c r="B26" s="12" t="s">
        <v>1701</v>
      </c>
    </row>
    <row r="27" spans="1:1" ht="15">
      <c r="A27" s="62"/>
    </row>
    <row r="28" spans="1:4" ht="15">
      <c r="A28" s="67" t="s">
        <v>907</v>
      </c>
      <c r="B28" s="68" t="s">
        <v>779</v>
      </c>
      <c r="C28" s="74"/>
      <c r="D28" s="74"/>
    </row>
    <row r="29" spans="1:2" ht="15">
      <c r="A29" s="62" t="s">
        <v>792</v>
      </c>
      <c r="B29" s="12" t="s">
        <v>945</v>
      </c>
    </row>
    <row r="30" spans="1:2" ht="15">
      <c r="A30" s="69" t="s">
        <v>793</v>
      </c>
      <c r="B30" s="12" t="s">
        <v>926</v>
      </c>
    </row>
    <row r="31" spans="1:2" ht="15">
      <c r="A31" s="75" t="s">
        <v>906</v>
      </c>
      <c r="B31" s="4" t="s">
        <v>908</v>
      </c>
    </row>
    <row r="32" spans="1:2" ht="15">
      <c r="A32" s="70" t="s">
        <v>906</v>
      </c>
      <c r="B32" s="4" t="s">
        <v>794</v>
      </c>
    </row>
    <row r="33" spans="1:2" ht="15">
      <c r="A33" s="103" t="s">
        <v>1264</v>
      </c>
      <c r="B33" s="4" t="s">
        <v>1265</v>
      </c>
    </row>
    <row r="35" spans="1:9" s="108" customFormat="1" ht="18.75">
      <c r="A35" s="104" t="s">
        <v>1266</v>
      </c>
      <c r="B35" s="104"/>
      <c r="C35" s="104"/>
      <c r="D35" s="104"/>
      <c r="E35" s="107"/>
      <c r="F35" s="107"/>
      <c r="G35" s="107"/>
      <c r="H35" s="107"/>
      <c r="I35" s="107"/>
    </row>
    <row r="36" spans="1:13" ht="15">
      <c r="A36" s="13" t="s">
        <v>540</v>
      </c>
      <c r="B36" s="13" t="s">
        <v>784</v>
      </c>
      <c r="C36" s="10" t="s">
        <v>779</v>
      </c>
      <c r="D36" s="2" t="s">
        <v>3</v>
      </c>
      <c r="E36" s="12" t="s">
        <v>783</v>
      </c>
      <c r="F36" s="12" t="s">
        <v>785</v>
      </c>
      <c r="G36" s="12" t="s">
        <v>248</v>
      </c>
      <c r="H36" s="12" t="s">
        <v>781</v>
      </c>
      <c r="I36" s="12" t="s">
        <v>1331</v>
      </c>
      <c r="K36" s="1" t="s">
        <v>782</v>
      </c>
      <c r="L36" s="2" t="s">
        <v>841</v>
      </c>
      <c r="M36" s="2" t="s">
        <v>1208</v>
      </c>
    </row>
    <row r="37" spans="1:11" ht="30" outlineLevel="1">
      <c r="A37" s="23" t="str" cm="1">
        <f t="array" ca="1" aca="1" ref="A37">IF(INDEX($H:$H,ROW()-1)&lt;&gt;$H37,$E37,"")</f>
        <v>Version History</v>
      </c>
      <c r="B37" s="71" t="str" cm="1">
        <f t="array" ca="1" aca="1" ref="B37">IF($K37="","",_xlfn.LET(_xlpm._fullName,IF($L37="",SUBSTITUTE(SUBSTITUTE(INDIRECT($K37),CHAR(10)," "),"  "," "),$L37),_xlpm._truncatedName,IF(LEN(_xlpm._fullName)&gt;250,LEFT(_xlpm._fullName,250)&amp;"[…]",_xlpm._fullName),HYPERLINK("#'"&amp;$E37&amp;"'!"&amp;$F37&amp;$G37,_xlpm._truncatedName)))</f>
        <v>Template Version History</v>
      </c>
      <c r="C37" s="13" t="s">
        <v>833</v>
      </c>
      <c r="D37" s="13"/>
      <c r="E37" s="61" t="str">
        <f ca="1" t="shared" si="0" ref="E37:E41">IF($K37="","",_xlfn.LET(_xlpm._in,$K37,_xlpm._start,FIND("]",_xlpm._in)+1,SUBSTITUTE(MID(_xlpm._in,_xlpm._start,FIND("!",_xlpm._in)-_xlpm._start),"'","")))</f>
        <v>Version History</v>
      </c>
      <c r="F37" s="61" t="str">
        <f ca="1" t="shared" si="1" ref="F37:F41">IF($K37="","",_xlfn.LET(_xlpm._in,SUBSTITUTE($K37,"$","§",1),_xlpm._start,FIND("§",_xlpm._in)+1,SUBSTITUTE(MID(_xlpm._in,_xlpm._start,FIND("$",_xlpm._in)-_xlpm._start),"'","")))</f>
        <v>B</v>
      </c>
      <c r="G37" s="61" t="str">
        <f ca="1" t="shared" si="2" ref="G37:G41">IF($K37="","",RIGHT($K37,LEN($K37)-FIND("$",SUBSTITUTE($K37,"$","§",1))))</f>
        <v>1</v>
      </c>
      <c r="H37" s="61" cm="1">
        <f t="array" ca="1" aca="1" ref="H37">CreateID($H$36,$H:$H,$E37&lt;&gt;INDEX($E:$E,ROW()-1))</f>
        <v>1</v>
      </c>
      <c r="I37" s="61" t="str" cm="1">
        <f t="array" ca="1" aca="1" ref="I37">INDIRECT($K37)</f>
        <v>Template Version History</v>
      </c>
      <c r="K37" s="1" t="str" cm="1">
        <f t="array" ca="1" aca="1" ref="K37">CELL("address",'Version History'!$B$1)</f>
        <v>'[QuBA-libre.xlsx]Version History'!$B$1</v>
      </c>
    </row>
    <row r="38" spans="1:11" ht="30" outlineLevel="1">
      <c r="A38" s="23" t="str" cm="1">
        <f t="array" ca="1" aca="1" ref="A38">IF(INDEX($H:$H,ROW()-1)&lt;&gt;$H38,$E38,"")</f>
        <v/>
      </c>
      <c r="B38" s="71" t="str" cm="1">
        <f t="array" ca="1" aca="1" ref="B38">IF($K38="","",_xlfn.LET(_xlpm._fullName,IF($L38="",SUBSTITUTE(SUBSTITUTE(INDIRECT($K38),CHAR(10)," "),"  "," "),$L38),_xlpm._truncatedName,IF(LEN(_xlpm._fullName)&gt;250,LEFT(_xlpm._fullName,250)&amp;"[…]",_xlpm._fullName),HYPERLINK("#'"&amp;$E38&amp;"'!"&amp;$F38&amp;$G38,_xlpm._truncatedName)))</f>
        <v>Definitions and Damage Scenarios Version History</v>
      </c>
      <c r="C38" s="13" t="s">
        <v>1368</v>
      </c>
      <c r="D38" s="13"/>
      <c r="E38" s="61" t="str">
        <f t="shared" ca="1" si="0"/>
        <v>Version History</v>
      </c>
      <c r="F38" s="61" t="str">
        <f t="shared" ca="1" si="1"/>
        <v>B</v>
      </c>
      <c r="G38" s="61" t="str">
        <f t="shared" ca="1" si="2"/>
        <v>5</v>
      </c>
      <c r="H38" s="61" cm="1">
        <f t="array" ca="1" aca="1" ref="H38">CreateID($H$36,$H:$H,$E38&lt;&gt;INDEX($E:$E,ROW()-1))</f>
        <v>1</v>
      </c>
      <c r="I38" s="61" t="str" cm="1">
        <f t="array" ca="1" aca="1" ref="I38">INDIRECT($K38)</f>
        <v>Definitions and Damage Scenarios Version History</v>
      </c>
      <c r="K38" s="1" t="str" cm="1">
        <f t="array" ca="1" aca="1" ref="K38">CELL("address",'Version History'!$B$5)</f>
        <v>'[QuBA-libre.xlsx]Version History'!$B$5</v>
      </c>
    </row>
    <row r="39" spans="1:11" ht="15" outlineLevel="1">
      <c r="A39" s="23" t="str" cm="1">
        <f t="array" ca="1" aca="1" ref="A39">IF(INDEX($H:$H,ROW()-1)&lt;&gt;$H39,$E39,"")</f>
        <v/>
      </c>
      <c r="B39" s="71" t="str" cm="1">
        <f t="array" ca="1" aca="1" ref="B39">IF($K39="","",_xlfn.LET(_xlpm._fullName,IF($L39="",SUBSTITUTE(SUBSTITUTE(INDIRECT($K39),CHAR(10)," "),"  "," "),$L39),_xlpm._truncatedName,IF(LEN(_xlpm._fullName)&gt;250,LEFT(_xlpm._fullName,250)&amp;"[…]",_xlpm._fullName),HYPERLINK("#'"&amp;$E39&amp;"'!"&amp;$F39&amp;$G39,_xlpm._truncatedName)))</f>
        <v>Attack Steps Version History</v>
      </c>
      <c r="C39" s="13" t="s">
        <v>834</v>
      </c>
      <c r="D39" s="13"/>
      <c r="E39" s="61" t="str">
        <f t="shared" ca="1" si="0"/>
        <v>Version History</v>
      </c>
      <c r="F39" s="61" t="str">
        <f t="shared" ca="1" si="1"/>
        <v>B</v>
      </c>
      <c r="G39" s="61" t="str">
        <f t="shared" ca="1" si="2"/>
        <v>9</v>
      </c>
      <c r="H39" s="61" cm="1">
        <f t="array" ca="1" aca="1" ref="H39">CreateID($H$36,$H:$H,$E39&lt;&gt;INDEX($E:$E,ROW()-1))</f>
        <v>1</v>
      </c>
      <c r="I39" s="61" t="str" cm="1">
        <f t="array" ca="1" aca="1" ref="I39">INDIRECT($K39)</f>
        <v>Attack Steps Version History</v>
      </c>
      <c r="K39" s="1" t="str" cm="1">
        <f t="array" ca="1" aca="1" ref="K39">CELL("address",'Version History'!$B$9)</f>
        <v>'[QuBA-libre.xlsx]Version History'!$B$9</v>
      </c>
    </row>
    <row r="40" spans="1:11" ht="15" outlineLevel="1">
      <c r="A40" s="23" t="str" cm="1">
        <f t="array" ca="1" aca="1" ref="A40">IF(INDEX($H:$H,ROW()-1)&lt;&gt;$H40,$E40,"")</f>
        <v/>
      </c>
      <c r="B40" s="71" t="str" cm="1">
        <f t="array" ca="1" aca="1" ref="B40">IF($K40="","",_xlfn.LET(_xlpm._fullName,IF($L40="",SUBSTITUTE(SUBSTITUTE(INDIRECT($K40),CHAR(10)," "),"  "," "),$L40),_xlpm._truncatedName,IF(LEN(_xlpm._fullName)&gt;250,LEFT(_xlpm._fullName,250)&amp;"[…]",_xlpm._fullName),HYPERLINK("#'"&amp;$E40&amp;"'!"&amp;$F40&amp;$G40,_xlpm._truncatedName)))</f>
        <v>Assumptions Version History</v>
      </c>
      <c r="C40" s="13" t="s">
        <v>835</v>
      </c>
      <c r="D40" s="13"/>
      <c r="E40" s="61" t="str">
        <f t="shared" ca="1" si="0"/>
        <v>Version History</v>
      </c>
      <c r="F40" s="61" t="str">
        <f t="shared" ca="1" si="1"/>
        <v>B</v>
      </c>
      <c r="G40" s="61" t="str">
        <f t="shared" ca="1" si="2"/>
        <v>13</v>
      </c>
      <c r="H40" s="61" cm="1">
        <f t="array" ca="1" aca="1" ref="H40">CreateID($H$36,$H:$H,$E40&lt;&gt;INDEX($E:$E,ROW()-1))</f>
        <v>1</v>
      </c>
      <c r="I40" s="61" t="str" cm="1">
        <f t="array" ca="1" aca="1" ref="I40">INDIRECT($K40)</f>
        <v>Assumptions Version History</v>
      </c>
      <c r="K40" s="1" t="str" cm="1">
        <f t="array" ca="1" aca="1" ref="K40">CELL("address",'Version History'!$B$13)</f>
        <v>'[QuBA-libre.xlsx]Version History'!$B$13</v>
      </c>
    </row>
    <row r="41" spans="1:11" ht="15" outlineLevel="1">
      <c r="A41" s="23" t="str" cm="1">
        <f t="array" ca="1" aca="1" ref="A41">IF(INDEX($H:$H,ROW()-1)&lt;&gt;$H41,$E41,"")</f>
        <v/>
      </c>
      <c r="B41" s="71" t="str" cm="1">
        <f t="array" ca="1" aca="1" ref="B41">IF($K41="","",_xlfn.LET(_xlpm._fullName,IF($L41="",SUBSTITUTE(SUBSTITUTE(INDIRECT($K41),CHAR(10)," "),"  "," "),$L41),_xlpm._truncatedName,IF(LEN(_xlpm._fullName)&gt;250,LEFT(_xlpm._fullName,250)&amp;"[…]",_xlpm._fullName),HYPERLINK("#'"&amp;$E41&amp;"'!"&amp;$F41&amp;$G41,_xlpm._truncatedName)))</f>
        <v>Countermeasures Version History</v>
      </c>
      <c r="C41" s="13" t="s">
        <v>836</v>
      </c>
      <c r="D41" s="13"/>
      <c r="E41" s="61" t="str">
        <f t="shared" ca="1" si="0"/>
        <v>Version History</v>
      </c>
      <c r="F41" s="61" t="str">
        <f t="shared" ca="1" si="1"/>
        <v>B</v>
      </c>
      <c r="G41" s="61" t="str">
        <f t="shared" ca="1" si="2"/>
        <v>17</v>
      </c>
      <c r="H41" s="61" cm="1">
        <f t="array" ca="1" aca="1" ref="H41">CreateID($H$36,$H:$H,$E41&lt;&gt;INDEX($E:$E,ROW()-1))</f>
        <v>1</v>
      </c>
      <c r="I41" s="61" t="str" cm="1">
        <f t="array" ca="1" aca="1" ref="I41">INDIRECT($K41)</f>
        <v>Countermeasures Version History</v>
      </c>
      <c r="K41" s="1" t="str" cm="1">
        <f t="array" ca="1" aca="1" ref="K41">CELL("address",'Version History'!$B$17)</f>
        <v>'[QuBA-libre.xlsx]Version History'!$B$17</v>
      </c>
    </row>
    <row r="42" spans="1:11" ht="15">
      <c r="A42" s="13" t="str" cm="1">
        <f t="array" ca="1" aca="1" ref="A42">IF(INDEX($H:$H,ROW()-1)&lt;&gt;$H42,$E42,"")</f>
        <v>Definitions</v>
      </c>
      <c r="B42" s="71" t="str" cm="1">
        <f t="array" ca="1" aca="1" ref="B42">IF($K42="","",_xlfn.LET(_xlpm._fullName,IF($L42="",SUBSTITUTE(SUBSTITUTE(INDIRECT($K42),CHAR(10)," "),"  "," "),$L42),_xlpm._truncatedName,IF(LEN(_xlpm._fullName)&gt;250,LEFT(_xlpm._fullName,250)&amp;"[…]",_xlpm._fullName),HYPERLINK("#'"&amp;$E42&amp;"'!"&amp;$F42&amp;$G42,_xlpm._truncatedName)))</f>
        <v>Yes / No</v>
      </c>
      <c r="C42" s="13" t="s">
        <v>780</v>
      </c>
      <c r="D42" s="13"/>
      <c r="E42" s="22" t="str">
        <f ca="1" t="shared" si="3" ref="E42:E50">IF($K42="","",_xlfn.LET(_xlpm._in,$K42,_xlpm._start,FIND("]",_xlpm._in)+1,SUBSTITUTE(MID(_xlpm._in,_xlpm._start,FIND("!",_xlpm._in)-_xlpm._start),"'","")))</f>
        <v>Definitions</v>
      </c>
      <c r="F42" s="22" t="str">
        <f ca="1" t="shared" si="4" ref="F42:F56">IF($K42="","",_xlfn.LET(_xlpm._in,SUBSTITUTE($K42,"$","§",1),_xlpm._start,FIND("§",_xlpm._in)+1,SUBSTITUTE(MID(_xlpm._in,_xlpm._start,FIND("$",_xlpm._in)-_xlpm._start),"'","")))</f>
        <v>A</v>
      </c>
      <c r="G42" s="22" t="str">
        <f ca="1" t="shared" si="5" ref="G42:G56">IF($K42="","",RIGHT($K42,LEN($K42)-FIND("$",SUBSTITUTE($K42,"$","§",1))))</f>
        <v>2</v>
      </c>
      <c r="H42" s="22" cm="1">
        <f t="array" ca="1" aca="1" ref="H42">CreateID($H$36,$H:$H,$E42&lt;&gt;INDEX($E:$E,ROW()-1))</f>
        <v>2</v>
      </c>
      <c r="I42" s="61" t="str" cm="1">
        <f t="array" ca="1" aca="1" ref="I42">INDIRECT($K42)</f>
        <v>Yes / No</v>
      </c>
      <c r="K42" s="2" t="str" cm="1">
        <f t="array" ca="1" aca="1" ref="K42">CELL("address",Definitions!$A$2)</f>
        <v>'[QuBA-libre.xlsx]Definitions'!$A$2</v>
      </c>
    </row>
    <row r="43" spans="1:11" ht="15">
      <c r="A43" s="23" t="str" cm="1">
        <f t="array" ca="1" aca="1" ref="A43">IF(INDEX($H:$H,ROW()-1)&lt;&gt;$H43,$E43,"")</f>
        <v/>
      </c>
      <c r="B43" s="71" t="str" cm="1">
        <f t="array" ca="1" aca="1" ref="B43">IF($K43="","",_xlfn.LET(_xlpm._fullName,IF($L43="",SUBSTITUTE(SUBSTITUTE(INDIRECT($K43),CHAR(10)," "),"  "," "),$L43),_xlpm._truncatedName,IF(LEN(_xlpm._fullName)&gt;250,LEFT(_xlpm._fullName,250)&amp;"[…]",_xlpm._fullName),HYPERLINK("#'"&amp;$E43&amp;"'!"&amp;$F43&amp;$G43,_xlpm._truncatedName)))</f>
        <v>Company Name</v>
      </c>
      <c r="C43" s="13" t="s">
        <v>1326</v>
      </c>
      <c r="D43" s="13"/>
      <c r="E43" s="61" t="str">
        <f ca="1">IF($K43="","",_xlfn.LET(_xlpm._in,$K43,_xlpm._start,FIND("]",_xlpm._in)+1,SUBSTITUTE(MID(_xlpm._in,_xlpm._start,FIND("!",_xlpm._in)-_xlpm._start),"'","")))</f>
        <v>Definitions</v>
      </c>
      <c r="F43" s="61" t="str">
        <f ca="1">IF($K43="","",_xlfn.LET(_xlpm._in,SUBSTITUTE($K43,"$","§",1),_xlpm._start,FIND("§",_xlpm._in)+1,SUBSTITUTE(MID(_xlpm._in,_xlpm._start,FIND("$",_xlpm._in)-_xlpm._start),"'","")))</f>
        <v>C</v>
      </c>
      <c r="G43" s="61" t="str">
        <f ca="1">IF($K43="","",RIGHT($K43,LEN($K43)-FIND("$",SUBSTITUTE($K43,"$","§",1))))</f>
        <v>2</v>
      </c>
      <c r="H43" s="61" cm="1">
        <f t="array" ca="1" aca="1" ref="H43">CreateID($H$36,$H:$H,$E43&lt;&gt;INDEX($E:$E,ROW()-1))</f>
        <v>2</v>
      </c>
      <c r="I43" s="61" t="str" cm="1">
        <f t="array" ca="1" aca="1" ref="I43">INDIRECT($K43)</f>
        <v>Company Name</v>
      </c>
      <c r="K43" s="2" t="str" cm="1">
        <f t="array" ca="1" aca="1" ref="K43">CELL("address",Definitions!$C$2)</f>
        <v>'[QuBA-libre.xlsx]Definitions'!$C$2</v>
      </c>
    </row>
    <row r="44" spans="1:11" ht="30" outlineLevel="1">
      <c r="A44" s="13" t="str" cm="1">
        <f t="array" ca="1" aca="1" ref="A44">IF(INDEX($H:$H,ROW()-1)&lt;&gt;$H44,$E44,"")</f>
        <v/>
      </c>
      <c r="B44" s="71" t="str" cm="1">
        <f t="array" ca="1" aca="1" ref="B44">IF($K44="","",_xlfn.LET(_xlpm._fullName,IF($L44="",SUBSTITUTE(SUBSTITUTE(INDIRECT($K44),CHAR(10)," "),"  "," "),$L44),_xlpm._truncatedName,IF(LEN(_xlpm._fullName)&gt;250,LEFT(_xlpm._fullName,250)&amp;"[…]",_xlpm._fullName),HYPERLINK("#'"&amp;$E44&amp;"'!"&amp;$F44&amp;$G44,_xlpm._truncatedName)))</f>
        <v>Damage Categories</v>
      </c>
      <c r="C44" s="13" t="s">
        <v>1724</v>
      </c>
      <c r="D44" s="13"/>
      <c r="E44" s="22" t="str">
        <f t="shared" ca="1" si="3"/>
        <v>Definitions</v>
      </c>
      <c r="F44" s="22" t="str">
        <f t="shared" ca="1" si="4"/>
        <v>E</v>
      </c>
      <c r="G44" s="22" t="str">
        <f t="shared" ca="1" si="5"/>
        <v>2</v>
      </c>
      <c r="H44" s="22" cm="1">
        <f t="array" ca="1" aca="1" ref="H44">CreateID($H$36,$H:$H,$E44&lt;&gt;INDEX($E:$E,ROW()-1))</f>
        <v>2</v>
      </c>
      <c r="I44" s="61" t="str" cm="1">
        <f t="array" ca="1" aca="1" ref="I44">INDIRECT($K44)</f>
        <v>Damage Categories</v>
      </c>
      <c r="K44" s="2" t="str" cm="1">
        <f t="array" ca="1" aca="1" ref="K44">CELL("address",Definitions!$E$2)</f>
        <v>'[QuBA-libre.xlsx]Definitions'!$E$2</v>
      </c>
    </row>
    <row r="45" spans="1:11" ht="30" outlineLevel="1">
      <c r="A45" s="13" t="str" cm="1">
        <f t="array" ca="1" aca="1" ref="A45">IF(INDEX($H:$H,ROW()-1)&lt;&gt;$H45,$E45,"")</f>
        <v/>
      </c>
      <c r="B45" s="71" t="str" cm="1">
        <f t="array" ca="1" aca="1" ref="B45">IF($K45="","",_xlfn.LET(_xlpm._fullName,IF($L45="",SUBSTITUTE(SUBSTITUTE(INDIRECT($K45),CHAR(10)," "),"  "," "),$L45),_xlpm._truncatedName,IF(LEN(_xlpm._fullName)&gt;250,LEFT(_xlpm._fullName,250)&amp;"[…]",_xlpm._fullName),HYPERLINK("#'"&amp;$E45&amp;"'!"&amp;$F45&amp;$G45,_xlpm._truncatedName)))</f>
        <v>Damage Criteria</v>
      </c>
      <c r="C45" s="13" t="s">
        <v>1725</v>
      </c>
      <c r="D45" s="13"/>
      <c r="E45" s="22" t="str">
        <f t="shared" ca="1" si="3"/>
        <v>Definitions</v>
      </c>
      <c r="F45" s="22" t="str">
        <f t="shared" ca="1" si="4"/>
        <v>G</v>
      </c>
      <c r="G45" s="22" t="str">
        <f t="shared" ca="1" si="5"/>
        <v>2</v>
      </c>
      <c r="H45" s="22" cm="1">
        <f t="array" ca="1" aca="1" ref="H45">CreateID($H$36,$H:$H,$E45&lt;&gt;INDEX($E:$E,ROW()-1))</f>
        <v>2</v>
      </c>
      <c r="I45" s="61" t="str" cm="1">
        <f t="array" ca="1" aca="1" ref="I45">INDIRECT($K45)</f>
        <v>Damage Criteria</v>
      </c>
      <c r="K45" s="2" t="str" cm="1">
        <f t="array" ca="1" aca="1" ref="K45">CELL("address",Definitions!$G$2)</f>
        <v>'[QuBA-libre.xlsx]Definitions'!$G$2</v>
      </c>
    </row>
    <row r="46" spans="1:11" ht="15" outlineLevel="1">
      <c r="A46" s="13" t="str" cm="1">
        <f t="array" ca="1" aca="1" ref="A46">IF(INDEX($H:$H,ROW()-1)&lt;&gt;$H46,$E46,"")</f>
        <v/>
      </c>
      <c r="B46" s="71" t="str" cm="1">
        <f t="array" ca="1" aca="1" ref="B46">IF($K46="","",_xlfn.LET(_xlpm._fullName,IF($L46="",SUBSTITUTE(SUBSTITUTE(INDIRECT($K46),CHAR(10)," "),"  "," "),$L46),_xlpm._truncatedName,IF(LEN(_xlpm._fullName)&gt;250,LEFT(_xlpm._fullName,250)&amp;"[…]",_xlpm._fullName),HYPERLINK("#'"&amp;$E46&amp;"'!"&amp;$F46&amp;$G46,_xlpm._truncatedName)))</f>
        <v>Risk Treatment</v>
      </c>
      <c r="C46" s="13" t="s">
        <v>1299</v>
      </c>
      <c r="D46" s="13"/>
      <c r="E46" s="22" t="str">
        <f t="shared" ca="1" si="3"/>
        <v>Definitions</v>
      </c>
      <c r="F46" s="22" t="str">
        <f t="shared" ca="1" si="4"/>
        <v>M</v>
      </c>
      <c r="G46" s="22" t="str">
        <f t="shared" ca="1" si="5"/>
        <v>2</v>
      </c>
      <c r="H46" s="22" cm="1">
        <f t="array" ca="1" aca="1" ref="H46">CreateID($H$36,$H:$H,$E46&lt;&gt;INDEX($E:$E,ROW()-1))</f>
        <v>2</v>
      </c>
      <c r="I46" s="61" t="str" cm="1">
        <f t="array" ca="1" aca="1" ref="I46">INDIRECT($K46)</f>
        <v>Risk Treatment</v>
      </c>
      <c r="K46" s="2" t="str" cm="1">
        <f t="array" ca="1" aca="1" ref="K46">CELL("address",Definitions!$M$2)</f>
        <v>'[QuBA-libre.xlsx]Definitions'!$M$2</v>
      </c>
    </row>
    <row r="47" spans="1:11" ht="30" outlineLevel="1">
      <c r="A47" s="13" t="str" cm="1">
        <f t="array" ca="1" aca="1" ref="A47">IF(INDEX($H:$H,ROW()-1)&lt;&gt;$H47,$E47,"")</f>
        <v/>
      </c>
      <c r="B47" s="71" t="str" cm="1">
        <f t="array" ca="1" aca="1" ref="B47">IF($K47="","",_xlfn.LET(_xlpm._fullName,IF($L47="",SUBSTITUTE(SUBSTITUTE(INDIRECT($K47),CHAR(10)," "),"  "," "),$L47),_xlpm._truncatedName,IF(LEN(_xlpm._fullName)&gt;250,LEFT(_xlpm._fullName,250)&amp;"[…]",_xlpm._fullName),HYPERLINK("#'"&amp;$E47&amp;"'!"&amp;$F47&amp;$G47,_xlpm._truncatedName)))</f>
        <v>Type of gateway</v>
      </c>
      <c r="C47" s="13" t="s">
        <v>1300</v>
      </c>
      <c r="D47" s="13"/>
      <c r="E47" s="22" t="str">
        <f t="shared" ca="1" si="3"/>
        <v>Definitions</v>
      </c>
      <c r="F47" s="22" t="str">
        <f t="shared" ca="1" si="4"/>
        <v>O</v>
      </c>
      <c r="G47" s="22" t="str">
        <f t="shared" ca="1" si="5"/>
        <v>2</v>
      </c>
      <c r="H47" s="22" cm="1">
        <f t="array" ca="1" aca="1" ref="H47">CreateID($H$36,$H:$H,$E47&lt;&gt;INDEX($E:$E,ROW()-1))</f>
        <v>2</v>
      </c>
      <c r="I47" s="61" t="str" cm="1">
        <f t="array" ca="1" aca="1" ref="I47">INDIRECT($K47)</f>
        <v>Type of gateway</v>
      </c>
      <c r="K47" s="2" t="str" cm="1">
        <f t="array" ca="1" aca="1" ref="K47">CELL("address",Definitions!$O$2)</f>
        <v>'[QuBA-libre.xlsx]Definitions'!$O$2</v>
      </c>
    </row>
    <row r="48" spans="1:11" ht="45" outlineLevel="1">
      <c r="A48" s="13" t="str" cm="1">
        <f t="array" ca="1" aca="1" ref="A48">IF(INDEX($H:$H,ROW()-1)&lt;&gt;$H48,$E48,"")</f>
        <v/>
      </c>
      <c r="B48" s="71" t="str" cm="1">
        <f t="array" ca="1" aca="1" ref="B48">IF($K48="","",_xlfn.LET(_xlpm._fullName,IF($L48="",SUBSTITUTE(SUBSTITUTE(INDIRECT($K48),CHAR(10)," "),"  "," "),$L48),_xlpm._truncatedName,IF(LEN(_xlpm._fullName)&gt;250,LEFT(_xlpm._fullName,250)&amp;"[…]",_xlpm._fullName),HYPERLINK("#'"&amp;$E48&amp;"'!"&amp;$F48&amp;$G48,_xlpm._truncatedName)))</f>
        <v>Damage Levels</v>
      </c>
      <c r="C48" s="13" t="s">
        <v>1726</v>
      </c>
      <c r="D48" s="13"/>
      <c r="E48" s="22" t="str">
        <f t="shared" ca="1" si="3"/>
        <v>Definitions</v>
      </c>
      <c r="F48" s="22" t="str">
        <f t="shared" ca="1" si="4"/>
        <v>Q</v>
      </c>
      <c r="G48" s="22" t="str">
        <f t="shared" ca="1" si="5"/>
        <v>2</v>
      </c>
      <c r="H48" s="22" cm="1">
        <f t="array" ca="1" aca="1" ref="H48">CreateID($H$36,$H:$H,$E48&lt;&gt;INDEX($E:$E,ROW()-1))</f>
        <v>2</v>
      </c>
      <c r="I48" s="61" t="str" cm="1">
        <f t="array" ca="1" aca="1" ref="I48">INDIRECT($K48)</f>
        <v>Damage Levels</v>
      </c>
      <c r="K48" s="2" t="str" cm="1">
        <f t="array" ca="1" aca="1" ref="K48">CELL("address",Definitions!$Q$2)</f>
        <v>'[QuBA-libre.xlsx]Definitions'!$Q$2</v>
      </c>
    </row>
    <row r="49" spans="1:11" ht="30" outlineLevel="1">
      <c r="A49" s="13" t="str" cm="1">
        <f t="array" ca="1" aca="1" ref="A49">IF(INDEX($H:$H,ROW()-1)&lt;&gt;$H49,$E49,"")</f>
        <v/>
      </c>
      <c r="B49" s="71" t="str" cm="1">
        <f t="array" ca="1" aca="1" ref="B49">IF($K49="","",_xlfn.LET(_xlpm._fullName,IF($L49="",SUBSTITUTE(SUBSTITUTE(INDIRECT($K49),CHAR(10)," "),"  "," "),$L49),_xlpm._truncatedName,IF(LEN(_xlpm._fullName)&gt;250,LEFT(_xlpm._fullName,250)&amp;"[…]",_xlpm._fullName),HYPERLINK("#'"&amp;$E49&amp;"'!"&amp;$F49&amp;$G49,_xlpm._truncatedName)))</f>
        <v>Line Width</v>
      </c>
      <c r="C49" s="13" t="s">
        <v>1301</v>
      </c>
      <c r="D49" s="13"/>
      <c r="E49" s="22" t="str">
        <f t="shared" ca="1" si="3"/>
        <v>Definitions</v>
      </c>
      <c r="F49" s="22" t="str">
        <f t="shared" ca="1" si="4"/>
        <v>T</v>
      </c>
      <c r="G49" s="22" t="str">
        <f t="shared" ca="1" si="5"/>
        <v>2</v>
      </c>
      <c r="H49" s="22" cm="1">
        <f t="array" ca="1" aca="1" ref="H49">CreateID($H$36,$H:$H,$E49&lt;&gt;INDEX($E:$E,ROW()-1))</f>
        <v>2</v>
      </c>
      <c r="I49" s="61" t="str" cm="1">
        <f t="array" ca="1" aca="1" ref="I49">INDIRECT($K49)</f>
        <v>Line Width</v>
      </c>
      <c r="K49" s="2" t="str" cm="1">
        <f t="array" ca="1" aca="1" ref="K49">CELL("address",Definitions!$T$2)</f>
        <v>'[QuBA-libre.xlsx]Definitions'!$T$2</v>
      </c>
    </row>
    <row r="50" spans="1:11" ht="45" outlineLevel="1">
      <c r="A50" s="13" t="str" cm="1">
        <f t="array" ca="1" aca="1" ref="A50">IF(INDEX($H:$H,ROW()-1)&lt;&gt;$H50,$E50,"")</f>
        <v/>
      </c>
      <c r="B50" s="71" t="str" cm="1">
        <f t="array" ca="1" aca="1" ref="B50">IF($K50="","",_xlfn.LET(_xlpm._fullName,IF($L50="",SUBSTITUTE(SUBSTITUTE(INDIRECT($K50),CHAR(10)," "),"  "," "),$L50),_xlpm._truncatedName,IF(LEN(_xlpm._fullName)&gt;250,LEFT(_xlpm._fullName,250)&amp;"[…]",_xlpm._fullName),HYPERLINK("#'"&amp;$E50&amp;"'!"&amp;$F50&amp;$G50,_xlpm._truncatedName)))</f>
        <v>Required Attack Potential</v>
      </c>
      <c r="C50" s="13" t="s">
        <v>1727</v>
      </c>
      <c r="D50" s="13"/>
      <c r="E50" s="22" t="str">
        <f t="shared" ca="1" si="3"/>
        <v>Definitions</v>
      </c>
      <c r="F50" s="22" t="str">
        <f t="shared" ca="1" si="4"/>
        <v>V</v>
      </c>
      <c r="G50" s="22" t="str">
        <f t="shared" ca="1" si="5"/>
        <v>2</v>
      </c>
      <c r="H50" s="22" cm="1">
        <f t="array" ca="1" aca="1" ref="H50">CreateID($H$36,$H:$H,$E50&lt;&gt;INDEX($E:$E,ROW()-1))</f>
        <v>2</v>
      </c>
      <c r="I50" s="61" t="str" cm="1">
        <f t="array" ca="1" aca="1" ref="I50">INDIRECT($K50)</f>
        <v>Required Attack Potential</v>
      </c>
      <c r="K50" s="2" t="str" cm="1">
        <f t="array" ca="1" aca="1" ref="K50">CELL("address",Definitions!$V$2)</f>
        <v>'[QuBA-libre.xlsx]Definitions'!$V$2</v>
      </c>
    </row>
    <row r="51" spans="1:11" ht="45" outlineLevel="1">
      <c r="A51" s="23" t="str" cm="1">
        <f t="array" ca="1" aca="1" ref="A51">IF(INDEX($H:$H,ROW()-1)&lt;&gt;$H51,$E51,"")</f>
        <v/>
      </c>
      <c r="B51" s="71" t="str" cm="1">
        <f t="array" ca="1" aca="1" ref="B51">IF($K51="","",_xlfn.LET(_xlpm._fullName,IF($L51="",SUBSTITUTE(SUBSTITUTE(INDIRECT($K51),CHAR(10)," "),"  "," "),$L51),_xlpm._truncatedName,IF(LEN(_xlpm._fullName)&gt;250,LEFT(_xlpm._fullName,250)&amp;"[…]",_xlpm._fullName),HYPERLINK("#'"&amp;$E51&amp;"'!"&amp;$F51&amp;$G51,_xlpm._truncatedName)))</f>
        <v>Required Attack Potential - Factors</v>
      </c>
      <c r="C51" s="13" t="s">
        <v>1728</v>
      </c>
      <c r="D51" s="13"/>
      <c r="E51" s="61" t="str">
        <f ca="1" t="shared" si="6" ref="E51:E56">IF($K51="","",_xlfn.LET(_xlpm._in,$K51,_xlpm._start,FIND("]",_xlpm._in)+1,SUBSTITUTE(MID(_xlpm._in,_xlpm._start,FIND("!",_xlpm._in)-_xlpm._start),"'","")))</f>
        <v>Definitions</v>
      </c>
      <c r="F51" s="61" t="str">
        <f t="shared" ca="1" si="4"/>
        <v>Y</v>
      </c>
      <c r="G51" s="61" t="str">
        <f t="shared" ca="1" si="5"/>
        <v>2</v>
      </c>
      <c r="H51" s="61" cm="1">
        <f t="array" ca="1" aca="1" ref="H51">CreateID($H$36,$H:$H,$E51&lt;&gt;INDEX($E:$E,ROW()-1))</f>
        <v>2</v>
      </c>
      <c r="I51" s="61" t="str" cm="1">
        <f t="array" ca="1" aca="1" ref="I51">INDIRECT($K51)</f>
        <v>Required Attack Potential - Factors</v>
      </c>
      <c r="K51" s="2" t="str" cm="1">
        <f t="array" ca="1" aca="1" ref="K51">CELL("address",Definitions!$Y$2)</f>
        <v>'[QuBA-libre.xlsx]Definitions'!$Y$2</v>
      </c>
    </row>
    <row r="52" spans="1:11" ht="45" outlineLevel="1">
      <c r="A52" s="23" t="str" cm="1">
        <f t="array" ca="1" aca="1" ref="A52">IF(INDEX($H:$H,ROW()-1)&lt;&gt;$H52,$E52,"")</f>
        <v/>
      </c>
      <c r="B52" s="71" t="str" cm="1">
        <f t="array" ca="1" aca="1" ref="B52">IF($K52="","",_xlfn.LET(_xlpm._fullName,IF($L52="",SUBSTITUTE(SUBSTITUTE(INDIRECT($K52),CHAR(10)," "),"  "," "),$L52),_xlpm._truncatedName,IF(LEN(_xlpm._fullName)&gt;250,LEFT(_xlpm._fullName,250)&amp;"[…]",_xlpm._fullName),HYPERLINK("#'"&amp;$E52&amp;"'!"&amp;$F52&amp;$G52,_xlpm._truncatedName)))</f>
        <v>Risk Values</v>
      </c>
      <c r="C52" s="13" t="s">
        <v>1729</v>
      </c>
      <c r="D52" s="13"/>
      <c r="E52" s="61" t="str">
        <f t="shared" ca="1" si="6"/>
        <v>Definitions</v>
      </c>
      <c r="F52" s="61" t="str">
        <f t="shared" ca="1" si="4"/>
        <v>AE</v>
      </c>
      <c r="G52" s="61" t="str">
        <f t="shared" ca="1" si="5"/>
        <v>2</v>
      </c>
      <c r="H52" s="61" cm="1">
        <f t="array" ca="1" aca="1" ref="H52">CreateID($H$36,$H:$H,$E52&lt;&gt;INDEX($E:$E,ROW()-1))</f>
        <v>2</v>
      </c>
      <c r="I52" s="61" t="str" cm="1">
        <f t="array" ca="1" aca="1" ref="I52">INDIRECT($K52)</f>
        <v>Risk Values</v>
      </c>
      <c r="K52" s="2" t="str" cm="1">
        <f t="array" ca="1" aca="1" ref="K52">CELL("address",Definitions!$AE$2)</f>
        <v>'[QuBA-libre.xlsx]Definitions'!$AE$2</v>
      </c>
    </row>
    <row r="53" spans="1:11" ht="45" outlineLevel="1">
      <c r="A53" s="23" t="str" cm="1">
        <f t="array" ca="1" aca="1" ref="A53">IF(INDEX($H:$H,ROW()-1)&lt;&gt;$H53,$E53,"")</f>
        <v/>
      </c>
      <c r="B53" s="71" t="str" cm="1">
        <f t="array" ca="1" aca="1" ref="B53">IF($K53="","",_xlfn.LET(_xlpm._fullName,IF($L53="",SUBSTITUTE(SUBSTITUTE(INDIRECT($K53),CHAR(10)," "),"  "," "),$L53),_xlpm._truncatedName,IF(LEN(_xlpm._fullName)&gt;250,LEFT(_xlpm._fullName,250)&amp;"[…]",_xlpm._fullName),HYPERLINK("#'"&amp;$E53&amp;"'!"&amp;$F53&amp;$G53,_xlpm._truncatedName)))</f>
        <v>Risk Matrix</v>
      </c>
      <c r="C53" s="13" t="s">
        <v>1730</v>
      </c>
      <c r="D53" s="13"/>
      <c r="E53" s="61" t="str">
        <f t="shared" ca="1" si="6"/>
        <v>Definitions</v>
      </c>
      <c r="F53" s="61" t="str">
        <f t="shared" ca="1" si="4"/>
        <v>AH</v>
      </c>
      <c r="G53" s="61" t="str">
        <f t="shared" ca="1" si="5"/>
        <v>2</v>
      </c>
      <c r="H53" s="61" cm="1">
        <f t="array" ca="1" aca="1" ref="H53">CreateID($H$36,$H:$H,$E53&lt;&gt;INDEX($E:$E,ROW()-1))</f>
        <v>2</v>
      </c>
      <c r="I53" s="61" t="str" cm="1">
        <f t="array" ca="1" aca="1" ref="I53">INDIRECT($K53)</f>
        <v>Risk Matrix</v>
      </c>
      <c r="K53" s="2" t="str" cm="1">
        <f t="array" ca="1" aca="1" ref="K53">CELL("address",Definitions!$AH$2)</f>
        <v>'[QuBA-libre.xlsx]Definitions'!$AH$2</v>
      </c>
    </row>
    <row r="54" spans="1:11" ht="75" outlineLevel="1">
      <c r="A54" s="23" t="str" cm="1">
        <f t="array" ca="1" aca="1" ref="A54">IF(INDEX($H:$H,ROW()-1)&lt;&gt;$H54,$E54,"")</f>
        <v/>
      </c>
      <c r="B54" s="71" t="str" cm="1">
        <f t="array" ca="1" aca="1" ref="B54">IF($K54="","",_xlfn.LET(_xlpm._fullName,IF($L54="",SUBSTITUTE(SUBSTITUTE(INDIRECT($K54),CHAR(10)," "),"  "," "),$L54),_xlpm._truncatedName,IF(LEN(_xlpm._fullName)&gt;250,LEFT(_xlpm._fullName,250)&amp;"[…]",_xlpm._fullName),HYPERLINK("#'"&amp;$E54&amp;"'!"&amp;$F54&amp;$G54,_xlpm._truncatedName)))</f>
        <v>Stakeholders</v>
      </c>
      <c r="C54" s="13" t="s">
        <v>1302</v>
      </c>
      <c r="D54" s="13"/>
      <c r="E54" s="61" t="str">
        <f t="shared" ca="1" si="6"/>
        <v>Definitions</v>
      </c>
      <c r="F54" s="61" t="str">
        <f t="shared" ca="1" si="4"/>
        <v>AO</v>
      </c>
      <c r="G54" s="61" t="str">
        <f t="shared" ca="1" si="5"/>
        <v>2</v>
      </c>
      <c r="H54" s="61" cm="1">
        <f t="array" ca="1" aca="1" ref="H54">CreateID($H$36,$H:$H,$E54&lt;&gt;INDEX($E:$E,ROW()-1))</f>
        <v>2</v>
      </c>
      <c r="I54" s="61" t="str" cm="1">
        <f t="array" ca="1" aca="1" ref="I54">INDIRECT($K54)</f>
        <v>Stakeholders</v>
      </c>
      <c r="K54" s="2" t="str" cm="1">
        <f t="array" ca="1" aca="1" ref="K54">CELL("address",Definitions!$AO$2)</f>
        <v>'[QuBA-libre.xlsx]Definitions'!$AO$2</v>
      </c>
    </row>
    <row r="55" spans="1:11" ht="60" outlineLevel="1">
      <c r="A55" s="23" t="str" cm="1">
        <f t="array" ca="1" aca="1" ref="A55">IF(INDEX($H:$H,ROW()-1)&lt;&gt;$H55,$E55,"")</f>
        <v/>
      </c>
      <c r="B55" s="71" t="str" cm="1">
        <f t="array" ca="1" aca="1" ref="B55">IF($K55="","",_xlfn.LET(_xlpm._fullName,IF($L55="",SUBSTITUTE(SUBSTITUTE(INDIRECT($K55),CHAR(10)," "),"  "," "),$L55),_xlpm._truncatedName,IF(LEN(_xlpm._fullName)&gt;250,LEFT(_xlpm._fullName,250)&amp;"[…]",_xlpm._fullName),HYPERLINK("#'"&amp;$E55&amp;"'!"&amp;$F55&amp;$G55,_xlpm._truncatedName)))</f>
        <v>Additional assumptions / countermeasures</v>
      </c>
      <c r="C55" s="13" t="s">
        <v>1303</v>
      </c>
      <c r="D55" s="13"/>
      <c r="E55" s="61" t="str">
        <f t="shared" ca="1" si="6"/>
        <v>Definitions</v>
      </c>
      <c r="F55" s="61" t="str">
        <f t="shared" ca="1" si="4"/>
        <v>AQ</v>
      </c>
      <c r="G55" s="61" t="str">
        <f t="shared" ca="1" si="5"/>
        <v>2</v>
      </c>
      <c r="H55" s="61" cm="1">
        <f t="array" ca="1" aca="1" ref="H55">CreateID($H$36,$H:$H,$E55&lt;&gt;INDEX($E:$E,ROW()-1))</f>
        <v>2</v>
      </c>
      <c r="I55" s="61" t="str" cm="1">
        <f t="array" ca="1" aca="1" ref="I55">INDIRECT($K55)</f>
        <v>Additional assumptions / countermeasures</v>
      </c>
      <c r="K55" s="2" t="str" cm="1">
        <f t="array" ca="1" aca="1" ref="K55">CELL("address",Definitions!$AQ$2)</f>
        <v>'[QuBA-libre.xlsx]Definitions'!$AQ$2</v>
      </c>
    </row>
    <row r="56" spans="1:11" ht="120" outlineLevel="1">
      <c r="A56" s="23" t="str" cm="1">
        <f t="array" ca="1" aca="1" ref="A56">IF(INDEX($H:$H,ROW()-1)&lt;&gt;$H56,$E56,"")</f>
        <v/>
      </c>
      <c r="B56" s="71" t="str" cm="1">
        <f t="array" ca="1" aca="1" ref="B56">IF($K56="","",_xlfn.LET(_xlpm._fullName,IF($L56="",SUBSTITUTE(SUBSTITUTE(INDIRECT($K56),CHAR(10)," "),"  "," "),$L56),_xlpm._truncatedName,IF(LEN(_xlpm._fullName)&gt;250,LEFT(_xlpm._fullName,250)&amp;"[…]",_xlpm._fullName),HYPERLINK("#'"&amp;$E56&amp;"'!"&amp;$F56&amp;$G56,_xlpm._truncatedName)))</f>
        <v>Display Blue Box</v>
      </c>
      <c r="C56" s="13" t="s">
        <v>1304</v>
      </c>
      <c r="D56" s="13"/>
      <c r="E56" s="61" t="str">
        <f t="shared" ca="1" si="6"/>
        <v>Definitions</v>
      </c>
      <c r="F56" s="61" t="str">
        <f t="shared" ca="1" si="4"/>
        <v>AU</v>
      </c>
      <c r="G56" s="61" t="str">
        <f t="shared" ca="1" si="5"/>
        <v>2</v>
      </c>
      <c r="H56" s="61" cm="1">
        <f t="array" ca="1" aca="1" ref="H56">CreateID($H$36,$H:$H,$E56&lt;&gt;INDEX($E:$E,ROW()-1))</f>
        <v>2</v>
      </c>
      <c r="I56" s="61" t="str" cm="1">
        <f t="array" ca="1" aca="1" ref="I56">INDIRECT($K56)</f>
        <v>Display Blue Box</v>
      </c>
      <c r="K56" s="2" t="str" cm="1">
        <f t="array" ca="1" aca="1" ref="K56">CELL("address",Definitions!$AU$2)</f>
        <v>'[QuBA-libre.xlsx]Definitions'!$AU$2</v>
      </c>
    </row>
    <row r="57" spans="1:11" ht="30" outlineLevel="1">
      <c r="A57" s="23" t="str" cm="1">
        <f t="array" ca="1" aca="1" ref="A57">IF(INDEX($H:$H,ROW()-1)&lt;&gt;$H57,$E57,"")</f>
        <v/>
      </c>
      <c r="B57" s="71" t="str" cm="1">
        <f t="array" ca="1" aca="1" ref="B57">IF($K57="","",_xlfn.LET(_xlpm._fullName,IF($L57="",SUBSTITUTE(SUBSTITUTE(INDIRECT($K57),CHAR(10)," "),"  "," "),$L57),_xlpm._truncatedName,IF(LEN(_xlpm._fullName)&gt;250,LEFT(_xlpm._fullName,250)&amp;"[…]",_xlpm._fullName),HYPERLINK("#'"&amp;$E57&amp;"'!"&amp;$F57&amp;$G57,_xlpm._truncatedName)))</f>
        <v>Product Life Time / Support Duration</v>
      </c>
      <c r="C57" s="13" t="s">
        <v>1485</v>
      </c>
      <c r="D57" s="13"/>
      <c r="E57" s="61" t="str">
        <f ca="1" t="shared" si="7" ref="E57:E58">IF($K57="","",_xlfn.LET(_xlpm._in,$K57,_xlpm._start,FIND("]",_xlpm._in)+1,SUBSTITUTE(MID(_xlpm._in,_xlpm._start,FIND("!",_xlpm._in)-_xlpm._start),"'","")))</f>
        <v>Definitions</v>
      </c>
      <c r="F57" s="61" t="str">
        <f ca="1" t="shared" si="8" ref="F57:F58">IF($K57="","",_xlfn.LET(_xlpm._in,SUBSTITUTE($K57,"$","§",1),_xlpm._start,FIND("§",_xlpm._in)+1,SUBSTITUTE(MID(_xlpm._in,_xlpm._start,FIND("$",_xlpm._in)-_xlpm._start),"'","")))</f>
        <v>AW</v>
      </c>
      <c r="G57" s="61" t="str">
        <f ca="1" t="shared" si="9" ref="G57:G58">IF($K57="","",RIGHT($K57,LEN($K57)-FIND("$",SUBSTITUTE($K57,"$","§",1))))</f>
        <v>2</v>
      </c>
      <c r="H57" s="61" cm="1">
        <f t="array" ca="1" aca="1" ref="H57">CreateID($H$36,$H:$H,$E57&lt;&gt;INDEX($E:$E,ROW()-1))</f>
        <v>2</v>
      </c>
      <c r="I57" s="61" t="str" cm="1">
        <f t="array" ca="1" aca="1" ref="I57">INDIRECT($K57)</f>
        <v>Product Life Time / Support Duration</v>
      </c>
      <c r="K57" s="2" t="str" cm="1">
        <f t="array" ca="1" aca="1" ref="K57">CELL("address",Definitions!$AW$2)</f>
        <v>'[QuBA-libre.xlsx]Definitions'!$AW$2</v>
      </c>
    </row>
    <row r="58" spans="1:11" ht="15" outlineLevel="1">
      <c r="A58" s="23" t="str" cm="1">
        <f t="array" ca="1" aca="1" ref="A58">IF(INDEX($H:$H,ROW()-1)&lt;&gt;$H58,$E58,"")</f>
        <v/>
      </c>
      <c r="B58" s="71" t="str" cm="1">
        <f t="array" ca="1" aca="1" ref="B58">IF($K58="","",_xlfn.LET(_xlpm._fullName,IF($L58="",SUBSTITUTE(SUBSTITUTE(INDIRECT($K58),CHAR(10)," "),"  "," "),$L58),_xlpm._truncatedName,IF(LEN(_xlpm._fullName)&gt;250,LEFT(_xlpm._fullName,250)&amp;"[…]",_xlpm._fullName),HYPERLINK("#'"&amp;$E58&amp;"'!"&amp;$F58&amp;$G58,_xlpm._truncatedName)))</f>
        <v>Helper Link</v>
      </c>
      <c r="C58" s="13" t="s">
        <v>1325</v>
      </c>
      <c r="D58" s="13"/>
      <c r="E58" s="61" t="str">
        <f t="shared" ca="1" si="7"/>
        <v>Definitions</v>
      </c>
      <c r="F58" s="61" t="str">
        <f t="shared" ca="1" si="8"/>
        <v>AY</v>
      </c>
      <c r="G58" s="61" t="str">
        <f t="shared" ca="1" si="9"/>
        <v>2</v>
      </c>
      <c r="H58" s="61" cm="1">
        <f t="array" ca="1" aca="1" ref="H58">CreateID($H$36,$H:$H,$E58&lt;&gt;INDEX($E:$E,ROW()-1))</f>
        <v>2</v>
      </c>
      <c r="I58" s="61" t="str" cm="1">
        <f t="array" ca="1" aca="1" ref="I58">INDIRECT($K58)</f>
        <v>Helper Link</v>
      </c>
      <c r="K58" s="2" t="str" cm="1">
        <f t="array" ca="1" aca="1" ref="K58">CELL("address",Definitions!$AY$2)</f>
        <v>'[QuBA-libre.xlsx]Definitions'!$AY$2</v>
      </c>
    </row>
    <row r="59" spans="1:11" ht="165" outlineLevel="1">
      <c r="A59" s="23" t="str" cm="1">
        <f t="array" ca="1" aca="1" ref="A59">IF(INDEX($H:$H,ROW()-1)&lt;&gt;$H59,$E59,"")</f>
        <v/>
      </c>
      <c r="B59" s="71" t="str" cm="1">
        <f t="array" ca="1" aca="1" ref="B59">IF($K59="","",_xlfn.LET(_xlpm._fullName,IF($L59="",SUBSTITUTE(SUBSTITUTE(INDIRECT($K59),CHAR(10)," "),"  "," "),$L59),_xlpm._truncatedName,IF(LEN(_xlpm._fullName)&gt;250,LEFT(_xlpm._fullName,250)&amp;"[…]",_xlpm._fullName),HYPERLINK("#'"&amp;$E59&amp;"'!"&amp;$F59&amp;$G59,_xlpm._truncatedName)))</f>
        <v>JSON Export</v>
      </c>
      <c r="C59" s="13" t="s">
        <v>1350</v>
      </c>
      <c r="D59" s="13" t="s">
        <v>1351</v>
      </c>
      <c r="E59" s="61" t="str">
        <f ca="1">IF($K59="","",_xlfn.LET(_xlpm._in,$K59,_xlpm._start,FIND("]",_xlpm._in)+1,SUBSTITUTE(MID(_xlpm._in,_xlpm._start,FIND("!",_xlpm._in)-_xlpm._start),"'","")))</f>
        <v>Definitions</v>
      </c>
      <c r="F59" s="61" t="str">
        <f ca="1">IF($K59="","",_xlfn.LET(_xlpm._in,SUBSTITUTE($K59,"$","§",1),_xlpm._start,FIND("§",_xlpm._in)+1,SUBSTITUTE(MID(_xlpm._in,_xlpm._start,FIND("$",_xlpm._in)-_xlpm._start),"'","")))</f>
        <v>BA</v>
      </c>
      <c r="G59" s="61" t="str">
        <f ca="1">IF($K59="","",RIGHT($K59,LEN($K59)-FIND("$",SUBSTITUTE($K59,"$","§",1))))</f>
        <v>2</v>
      </c>
      <c r="H59" s="61" cm="1">
        <f t="array" ca="1" aca="1" ref="H59">CreateID($H$36,$H:$H,$E59&lt;&gt;INDEX($E:$E,ROW()-1))</f>
        <v>2</v>
      </c>
      <c r="I59" s="61" t="str" cm="1">
        <f t="array" ca="1" aca="1" ref="I59">INDIRECT($K59)</f>
        <v>JSON Export</v>
      </c>
      <c r="K59" s="2" t="str" cm="1">
        <f t="array" ca="1" aca="1" ref="K59">CELL("address",Definitions!$BA$2)</f>
        <v>'[QuBA-libre.xlsx]Definitions'!$BA$2</v>
      </c>
    </row>
    <row r="60" spans="1:11" ht="30" outlineLevel="1">
      <c r="A60" s="23" t="str" cm="1">
        <f t="array" ca="1" aca="1" ref="A60">IF(INDEX($H:$H,ROW()-1)&lt;&gt;$H60,$E60,"")</f>
        <v/>
      </c>
      <c r="B60" s="71" t="str" cm="1">
        <f t="array" ca="1" aca="1" ref="B60">IF($K60="","",_xlfn.LET(_xlpm._fullName,IF($L60="",SUBSTITUTE(SUBSTITUTE(INDIRECT($K60),CHAR(10)," "),"  "," "),$L60),_xlpm._truncatedName,IF(LEN(_xlpm._fullName)&gt;250,LEFT(_xlpm._fullName,250)&amp;"[…]",_xlpm._fullName),HYPERLINK("#'"&amp;$E60&amp;"'!"&amp;$F60&amp;$G60,_xlpm._truncatedName)))</f>
        <v>Supply Chain Answers</v>
      </c>
      <c r="C60" s="13" t="s">
        <v>1681</v>
      </c>
      <c r="D60" s="13"/>
      <c r="E60" s="61" t="str">
        <f ca="1">IF($K60="","",_xlfn.LET(_xlpm._in,$K60,_xlpm._start,FIND("]",_xlpm._in)+1,SUBSTITUTE(MID(_xlpm._in,_xlpm._start,FIND("!",_xlpm._in)-_xlpm._start),"'","")))</f>
        <v>Definitions</v>
      </c>
      <c r="F60" s="61" t="str">
        <f ca="1">IF($K60="","",_xlfn.LET(_xlpm._in,SUBSTITUTE($K60,"$","§",1),_xlpm._start,FIND("§",_xlpm._in)+1,SUBSTITUTE(MID(_xlpm._in,_xlpm._start,FIND("$",_xlpm._in)-_xlpm._start),"'","")))</f>
        <v>BF</v>
      </c>
      <c r="G60" s="61" t="str">
        <f ca="1">IF($K60="","",RIGHT($K60,LEN($K60)-FIND("$",SUBSTITUTE($K60,"$","§",1))))</f>
        <v>2</v>
      </c>
      <c r="H60" s="61" cm="1">
        <f t="array" ca="1" aca="1" ref="H60">CreateID($H$36,$H:$H,$E60&lt;&gt;INDEX($E:$E,ROW()-1))</f>
        <v>2</v>
      </c>
      <c r="I60" s="61" t="str" cm="1">
        <f t="array" ca="1" aca="1" ref="I60">INDIRECT($K60)</f>
        <v>Supply Chain Answers</v>
      </c>
      <c r="K60" s="2" t="str" cm="1">
        <f t="array" ca="1" aca="1" ref="K60">CELL("address",Definitions!$BF$2)</f>
        <v>'[QuBA-libre.xlsx]Definitions'!$BF$2</v>
      </c>
    </row>
    <row r="61" spans="1:11" ht="30" outlineLevel="1">
      <c r="A61" s="23" t="str" cm="1">
        <f t="array" ca="1" aca="1" ref="A61">IF(INDEX($H:$H,ROW()-1)&lt;&gt;$H61,$E61,"")</f>
        <v/>
      </c>
      <c r="B61" s="71" t="str" cm="1">
        <f t="array" ca="1" aca="1" ref="B61">IF($K61="","",_xlfn.LET(_xlpm._fullName,IF($L61="",SUBSTITUTE(SUBSTITUTE(INDIRECT($K61),CHAR(10)," "),"  "," "),$L61),_xlpm._truncatedName,IF(LEN(_xlpm._fullName)&gt;250,LEFT(_xlpm._fullName,250)&amp;"[…]",_xlpm._fullName),HYPERLINK("#'"&amp;$E61&amp;"'!"&amp;$F61&amp;$G61,_xlpm._truncatedName)))</f>
        <v>Secure Production</v>
      </c>
      <c r="C61" s="13" t="s">
        <v>1678</v>
      </c>
      <c r="D61" s="13" t="s">
        <v>1374</v>
      </c>
      <c r="E61" s="61" t="str">
        <f ca="1" t="shared" si="10" ref="E61:E62">IF($K61="","",_xlfn.LET(_xlpm._in,$K61,_xlpm._start,FIND("]",_xlpm._in)+1,SUBSTITUTE(MID(_xlpm._in,_xlpm._start,FIND("!",_xlpm._in)-_xlpm._start),"'","")))</f>
        <v>Definitions</v>
      </c>
      <c r="F61" s="61" t="str">
        <f ca="1" t="shared" si="11" ref="F61:F62">IF($K61="","",_xlfn.LET(_xlpm._in,SUBSTITUTE($K61,"$","§",1),_xlpm._start,FIND("§",_xlpm._in)+1,SUBSTITUTE(MID(_xlpm._in,_xlpm._start,FIND("$",_xlpm._in)-_xlpm._start),"'","")))</f>
        <v>BI</v>
      </c>
      <c r="G61" s="61" t="str">
        <f ca="1" t="shared" si="12" ref="G61:G62">IF($K61="","",RIGHT($K61,LEN($K61)-FIND("$",SUBSTITUTE($K61,"$","§",1))))</f>
        <v>2</v>
      </c>
      <c r="H61" s="61" cm="1">
        <f t="array" ca="1" aca="1" ref="H61">CreateID($H$36,$H:$H,$E61&lt;&gt;INDEX($E:$E,ROW()-1))</f>
        <v>2</v>
      </c>
      <c r="I61" s="61" t="str" cm="1">
        <f t="array" ca="1" aca="1" ref="I61">INDIRECT($K61)</f>
        <v>Secure Production</v>
      </c>
      <c r="K61" s="2" t="str" cm="1">
        <f t="array" ca="1" aca="1" ref="K61">CELL("address",Definitions!$BI$2)</f>
        <v>'[QuBA-libre.xlsx]Definitions'!$BI$2</v>
      </c>
    </row>
    <row r="62" spans="1:11" ht="30" outlineLevel="1">
      <c r="A62" s="23" t="str" cm="1">
        <f t="array" ca="1" aca="1" ref="A62">IF(INDEX($H:$H,ROW()-1)&lt;&gt;$H62,$E62,"")</f>
        <v/>
      </c>
      <c r="B62" s="71" t="str" cm="1">
        <f t="array" ca="1" aca="1" ref="B62">IF($K62="","",_xlfn.LET(_xlpm._fullName,IF($L62="",SUBSTITUTE(SUBSTITUTE(INDIRECT($K62),CHAR(10)," "),"  "," "),$L62),_xlpm._truncatedName,IF(LEN(_xlpm._fullName)&gt;250,LEFT(_xlpm._fullName,250)&amp;"[…]",_xlpm._fullName),HYPERLINK("#'"&amp;$E62&amp;"'!"&amp;$F62&amp;$G62,_xlpm._truncatedName)))</f>
        <v>Supply Chain Security</v>
      </c>
      <c r="C62" s="13" t="s">
        <v>1678</v>
      </c>
      <c r="D62" s="13" t="s">
        <v>1375</v>
      </c>
      <c r="E62" s="61" t="str">
        <f t="shared" ca="1" si="10"/>
        <v>Definitions</v>
      </c>
      <c r="F62" s="61" t="str">
        <f t="shared" ca="1" si="11"/>
        <v>BK</v>
      </c>
      <c r="G62" s="61" t="str">
        <f t="shared" ca="1" si="12"/>
        <v>2</v>
      </c>
      <c r="H62" s="61" cm="1">
        <f t="array" ca="1" aca="1" ref="H62">CreateID($H$36,$H:$H,$E62&lt;&gt;INDEX($E:$E,ROW()-1))</f>
        <v>2</v>
      </c>
      <c r="I62" s="61" t="str" cm="1">
        <f t="array" ca="1" aca="1" ref="I62">INDIRECT($K62)</f>
        <v>Supply Chain Security</v>
      </c>
      <c r="K62" s="2" t="str" cm="1">
        <f t="array" ca="1" aca="1" ref="K62">CELL("address",Definitions!$BK$2)</f>
        <v>'[QuBA-libre.xlsx]Definitions'!$BK$2</v>
      </c>
    </row>
    <row r="63" spans="1:11" ht="30">
      <c r="A63" s="23" t="str" cm="1">
        <f t="array" ca="1" aca="1" ref="A63">IF(INDEX($H:$H,ROW()-1)&lt;&gt;$H63,$E63,"")</f>
        <v>Questions</v>
      </c>
      <c r="B63" s="71" t="str" cm="1">
        <f t="array" ca="1" aca="1" ref="B63">IF($K63="","",_xlfn.LET(_xlpm._fullName,IF($L63="",SUBSTITUTE(SUBSTITUTE(INDIRECT($K63),CHAR(10)," "),"  "," "),$L63),_xlpm._truncatedName,IF(LEN(_xlpm._fullName)&gt;250,LEFT(_xlpm._fullName,250)&amp;"[…]",_xlpm._fullName),HYPERLINK("#'"&amp;$E63&amp;"'!"&amp;$F63&amp;$G63,_xlpm._truncatedName)))</f>
        <v>ID</v>
      </c>
      <c r="C63" s="13" t="s">
        <v>1201</v>
      </c>
      <c r="D63" s="13" t="s">
        <v>1202</v>
      </c>
      <c r="E63" s="61" t="str">
        <f ca="1" t="shared" si="13" ref="E63:E75">IF($K63="","",_xlfn.LET(_xlpm._in,$K63,_xlpm._start,FIND("]",_xlpm._in)+1,SUBSTITUTE(MID(_xlpm._in,_xlpm._start,FIND("!",_xlpm._in)-_xlpm._start),"'","")))</f>
        <v>Questions</v>
      </c>
      <c r="F63" s="61" t="str">
        <f ca="1" t="shared" si="14" ref="F63:F75">IF($K63="","",_xlfn.LET(_xlpm._in,SUBSTITUTE($K63,"$","§",1),_xlpm._start,FIND("§",_xlpm._in)+1,SUBSTITUTE(MID(_xlpm._in,_xlpm._start,FIND("$",_xlpm._in)-_xlpm._start),"'","")))</f>
        <v>A</v>
      </c>
      <c r="G63" s="61" t="str">
        <f ca="1" t="shared" si="15" ref="G63:G75">IF($K63="","",RIGHT($K63,LEN($K63)-FIND("$",SUBSTITUTE($K63,"$","§",1))))</f>
        <v>3</v>
      </c>
      <c r="H63" s="61" cm="1">
        <f t="array" ca="1" aca="1" ref="H63">CreateID($H$36,$H:$H,$E63&lt;&gt;INDEX($E:$E,ROW()-1))</f>
        <v>3</v>
      </c>
      <c r="I63" s="61" t="str" cm="1">
        <f t="array" ca="1" aca="1" ref="I63">INDIRECT($K63)</f>
        <v>ID</v>
      </c>
      <c r="K63" s="2" t="str" cm="1">
        <f t="array" ca="1" aca="1" ref="K63">CELL("address",Questions!$A$3)</f>
        <v>'[QuBA-libre.xlsx]Questions'!$A$3</v>
      </c>
    </row>
    <row r="64" spans="1:11" ht="15" outlineLevel="1">
      <c r="A64" s="23" t="str" cm="1">
        <f t="array" ca="1" aca="1" ref="A64">IF(INDEX($H:$H,ROW()-1)&lt;&gt;$H64,$E64,"")</f>
        <v/>
      </c>
      <c r="B64" s="71" t="str" cm="1">
        <f t="array" ca="1" aca="1" ref="B64">IF($K64="","",_xlfn.LET(_xlpm._fullName,IF($L64="",SUBSTITUTE(SUBSTITUTE(INDIRECT($K64),CHAR(10)," "),"  "," "),$L64),_xlpm._truncatedName,IF(LEN(_xlpm._fullName)&gt;250,LEFT(_xlpm._fullName,250)&amp;"[…]",_xlpm._fullName),HYPERLINK("#'"&amp;$E64&amp;"'!"&amp;$F64&amp;$G64,_xlpm._truncatedName)))</f>
        <v>Text</v>
      </c>
      <c r="C64" s="13" t="s">
        <v>1305</v>
      </c>
      <c r="D64" s="13"/>
      <c r="E64" s="61" t="str">
        <f t="shared" ca="1" si="13"/>
        <v>Questions</v>
      </c>
      <c r="F64" s="61" t="str">
        <f t="shared" ca="1" si="14"/>
        <v>B</v>
      </c>
      <c r="G64" s="61" t="str">
        <f t="shared" ca="1" si="15"/>
        <v>3</v>
      </c>
      <c r="H64" s="61" cm="1">
        <f t="array" ca="1" aca="1" ref="H64">CreateID($H$36,$H:$H,$E64&lt;&gt;INDEX($E:$E,ROW()-1))</f>
        <v>3</v>
      </c>
      <c r="I64" s="61" t="str" cm="1">
        <f t="array" ca="1" aca="1" ref="I64">INDIRECT($K64)</f>
        <v>Text</v>
      </c>
      <c r="K64" s="2" t="str" cm="1">
        <f t="array" ca="1" aca="1" ref="K64">CELL("address",Questions!$B$3)</f>
        <v>'[QuBA-libre.xlsx]Questions'!$B$3</v>
      </c>
    </row>
    <row r="65" spans="1:11" ht="30" outlineLevel="1">
      <c r="A65" s="23" t="str" cm="1">
        <f t="array" ca="1" aca="1" ref="A65">IF(INDEX($H:$H,ROW()-1)&lt;&gt;$H65,$E65,"")</f>
        <v/>
      </c>
      <c r="B65" s="71" t="str" cm="1">
        <f t="array" ca="1" aca="1" ref="B65">IF($K65="","",_xlfn.LET(_xlpm._fullName,IF($L65="",SUBSTITUTE(SUBSTITUTE(INDIRECT($K65),CHAR(10)," "),"  "," "),$L65),_xlpm._truncatedName,IF(LEN(_xlpm._fullName)&gt;250,LEFT(_xlpm._fullName,250)&amp;"[…]",_xlpm._fullName),HYPERLINK("#'"&amp;$E65&amp;"'!"&amp;$F65&amp;$G65,_xlpm._truncatedName)))</f>
        <v>Indentation</v>
      </c>
      <c r="C65" s="13" t="s">
        <v>1204</v>
      </c>
      <c r="D65" s="13" t="s">
        <v>1205</v>
      </c>
      <c r="E65" s="61" t="str">
        <f t="shared" ca="1" si="13"/>
        <v>Questions</v>
      </c>
      <c r="F65" s="61" t="str">
        <f t="shared" ca="1" si="14"/>
        <v>C</v>
      </c>
      <c r="G65" s="61" t="str">
        <f t="shared" ca="1" si="15"/>
        <v>3</v>
      </c>
      <c r="H65" s="61" cm="1">
        <f t="array" ca="1" aca="1" ref="H65">CreateID($H$36,$H:$H,$E65&lt;&gt;INDEX($E:$E,ROW()-1))</f>
        <v>3</v>
      </c>
      <c r="I65" s="61" t="str" cm="1">
        <f t="array" ca="1" aca="1" ref="I65">INDIRECT($K65)</f>
        <v>Indentation</v>
      </c>
      <c r="K65" s="2" t="str" cm="1">
        <f t="array" ca="1" aca="1" ref="K65">CELL("address",Questions!$C$3)</f>
        <v>'[QuBA-libre.xlsx]Questions'!$C$3</v>
      </c>
    </row>
    <row r="66" spans="1:11" ht="30" outlineLevel="1">
      <c r="A66" s="23" t="str" cm="1">
        <f t="array" ca="1" aca="1" ref="A66">IF(INDEX($H:$H,ROW()-1)&lt;&gt;$H66,$E66,"")</f>
        <v/>
      </c>
      <c r="B66" s="71" t="str" cm="1">
        <f t="array" ca="1" aca="1" ref="B66">IF($K66="","",_xlfn.LET(_xlpm._fullName,IF($L66="",SUBSTITUTE(SUBSTITUTE(INDIRECT($K66),CHAR(10)," "),"  "," "),$L66),_xlpm._truncatedName,IF(LEN(_xlpm._fullName)&gt;250,LEFT(_xlpm._fullName,250)&amp;"[…]",_xlpm._fullName),HYPERLINK("#'"&amp;$E66&amp;"'!"&amp;$F66&amp;$G66,_xlpm._truncatedName)))</f>
        <v>Is a Question</v>
      </c>
      <c r="C66" s="13" t="s">
        <v>1207</v>
      </c>
      <c r="D66" s="13" t="s">
        <v>1206</v>
      </c>
      <c r="E66" s="61" t="str">
        <f t="shared" ca="1" si="13"/>
        <v>Questions</v>
      </c>
      <c r="F66" s="61" t="str">
        <f t="shared" ca="1" si="14"/>
        <v>D</v>
      </c>
      <c r="G66" s="61" t="str">
        <f t="shared" ca="1" si="15"/>
        <v>3</v>
      </c>
      <c r="H66" s="61" cm="1">
        <f t="array" ca="1" aca="1" ref="H66">CreateID($H$36,$H:$H,$E66&lt;&gt;INDEX($E:$E,ROW()-1))</f>
        <v>3</v>
      </c>
      <c r="I66" s="61" t="str" cm="1">
        <f t="array" ca="1" aca="1" ref="I66">INDIRECT($K66)</f>
        <v>Is a Question</v>
      </c>
      <c r="K66" s="2" t="str" cm="1">
        <f t="array" ca="1" aca="1" ref="K66">CELL("address",Questions!$D$3)</f>
        <v>'[QuBA-libre.xlsx]Questions'!$D$3</v>
      </c>
    </row>
    <row r="67" spans="1:13" ht="45" outlineLevel="1">
      <c r="A67" s="23" t="str" cm="1">
        <f t="array" ca="1" aca="1" ref="A67">IF(INDEX($H:$H,ROW()-1)&lt;&gt;$H67,$E67,"")</f>
        <v/>
      </c>
      <c r="B67" s="71" t="str" cm="1">
        <f t="array" ca="1" aca="1" ref="B67">IF($K67="","",_xlfn.LET(_xlpm._fullName,IF($L67="",SUBSTITUTE(SUBSTITUTE(INDIRECT($K67),CHAR(10)," "),"  "," "),$L67),_xlpm._truncatedName,IF(LEN(_xlpm._fullName)&gt;250,LEFT(_xlpm._fullName,250)&amp;"[…]",_xlpm._fullName),HYPERLINK("#'"&amp;$E67&amp;"'!"&amp;$F67&amp;$G67,_xlpm._truncatedName)))</f>
        <v>Options Range Header</v>
      </c>
      <c r="C67" s="13" t="s">
        <v>1210</v>
      </c>
      <c r="D67" s="13" t="str">
        <f ca="1">"Use this formula (replace A1 with the correct value): "&amp;_xlfn.FORMULATEXT(M67)</f>
        <v>Use this formula (replace A1 with the correct value): =ZELLE("address";A1)</v>
      </c>
      <c r="E67" s="61" t="str">
        <f t="shared" ca="1" si="13"/>
        <v>Questions</v>
      </c>
      <c r="F67" s="61" t="str">
        <f t="shared" ca="1" si="14"/>
        <v>E</v>
      </c>
      <c r="G67" s="61" t="str">
        <f t="shared" ca="1" si="15"/>
        <v>3</v>
      </c>
      <c r="H67" s="61" cm="1">
        <f t="array" ca="1" aca="1" ref="H67">CreateID($H$36,$H:$H,$E67&lt;&gt;INDEX($E:$E,ROW()-1))</f>
        <v>3</v>
      </c>
      <c r="I67" s="61" t="str" cm="1">
        <f t="array" ca="1" aca="1" ref="I67">INDIRECT($K67)</f>
        <v>Options Range Header</v>
      </c>
      <c r="K67" s="2" t="str" cm="1">
        <f t="array" ca="1" aca="1" ref="K67">CELL("address",Questions!$E$3)</f>
        <v>'[QuBA-libre.xlsx]Questions'!$E$3</v>
      </c>
      <c r="M67" s="2" t="str" cm="1">
        <f t="array" ca="1" aca="1" ref="M67">CELL("address",A1)</f>
        <v>$A$1</v>
      </c>
    </row>
    <row r="68" spans="1:13" ht="30" outlineLevel="1">
      <c r="A68" s="23" t="str" cm="1">
        <f t="array" ca="1" aca="1" ref="A68">IF(INDEX($H:$H,ROW()-1)&lt;&gt;$H68,$E68,"")</f>
        <v/>
      </c>
      <c r="B68" s="71" t="str" cm="1">
        <f t="array" ca="1" aca="1" ref="B68">IF($K68="","",_xlfn.LET(_xlpm._fullName,IF($L68="",SUBSTITUTE(SUBSTITUTE(INDIRECT($K68),CHAR(10)," "),"  "," "),$L68),_xlpm._truncatedName,IF(LEN(_xlpm._fullName)&gt;250,LEFT(_xlpm._fullName,250)&amp;"[…]",_xlpm._fullName),HYPERLINK("#'"&amp;$E68&amp;"'!"&amp;$F68&amp;$G68,_xlpm._truncatedName)))</f>
        <v>Height</v>
      </c>
      <c r="C68" s="13" t="s">
        <v>1209</v>
      </c>
      <c r="D68" s="13" t="str">
        <f ca="1">"Use this formula (replace A1 with the correct values): "&amp;_xlfn.FORMULATEXT(M68)</f>
        <v>Use this formula (replace A1 with the correct values): =ZEILEN(A1:A1)</v>
      </c>
      <c r="E68" s="61" t="str">
        <f t="shared" ca="1" si="13"/>
        <v>Questions</v>
      </c>
      <c r="F68" s="61" t="str">
        <f t="shared" ca="1" si="14"/>
        <v>F</v>
      </c>
      <c r="G68" s="61" t="str">
        <f t="shared" ca="1" si="15"/>
        <v>3</v>
      </c>
      <c r="H68" s="61" cm="1">
        <f t="array" ca="1" aca="1" ref="H68">CreateID($H$36,$H:$H,$E68&lt;&gt;INDEX($E:$E,ROW()-1))</f>
        <v>3</v>
      </c>
      <c r="I68" s="61" t="str" cm="1">
        <f t="array" ca="1" aca="1" ref="I68">INDIRECT($K68)</f>
        <v>Height</v>
      </c>
      <c r="K68" s="2" t="str" cm="1">
        <f t="array" ca="1" aca="1" ref="K68">CELL("address",Questions!$F$3)</f>
        <v>'[QuBA-libre.xlsx]Questions'!$F$3</v>
      </c>
      <c r="M68" s="2">
        <f>ROWS(A1:A1)</f>
        <v>1</v>
      </c>
    </row>
    <row r="69" spans="1:11" ht="30" outlineLevel="1">
      <c r="A69" s="23" t="str" cm="1">
        <f t="array" ca="1" aca="1" ref="A69">IF(INDEX($H:$H,ROW()-1)&lt;&gt;$H69,$E69,"")</f>
        <v/>
      </c>
      <c r="B69" s="71" t="str" cm="1">
        <f t="array" ca="1" aca="1" ref="B69">IF($K69="","",_xlfn.LET(_xlpm._fullName,IF($L69="",SUBSTITUTE(SUBSTITUTE(INDIRECT($K69),CHAR(10)," "),"  "," "),$L69),_xlpm._truncatedName,IF(LEN(_xlpm._fullName)&gt;250,LEFT(_xlpm._fullName,250)&amp;"[…]",_xlpm._fullName),HYPERLINK("#'"&amp;$E69&amp;"'!"&amp;$F69&amp;$G69,_xlpm._truncatedName)))</f>
        <v>Resulting Options</v>
      </c>
      <c r="C69" s="13" t="s">
        <v>1211</v>
      </c>
      <c r="D69" s="13"/>
      <c r="E69" s="61" t="str">
        <f t="shared" ca="1" si="13"/>
        <v>Questions</v>
      </c>
      <c r="F69" s="61" t="str">
        <f t="shared" ca="1" si="14"/>
        <v>G</v>
      </c>
      <c r="G69" s="61" t="str">
        <f t="shared" ca="1" si="15"/>
        <v>3</v>
      </c>
      <c r="H69" s="61" cm="1">
        <f t="array" ca="1" aca="1" ref="H69">CreateID($H$36,$H:$H,$E69&lt;&gt;INDEX($E:$E,ROW()-1))</f>
        <v>3</v>
      </c>
      <c r="I69" s="61" t="str" cm="1">
        <f t="array" ca="1" aca="1" ref="I69">INDIRECT($K69)</f>
        <v>Resulting Options</v>
      </c>
      <c r="K69" s="2" t="str" cm="1">
        <f t="array" ca="1" aca="1" ref="K69">CELL("address",Questions!$G$3)</f>
        <v>'[QuBA-libre.xlsx]Questions'!$G$3</v>
      </c>
    </row>
    <row r="70" spans="1:11" ht="60" outlineLevel="1">
      <c r="A70" s="23" t="str" cm="1">
        <f t="array" ca="1" aca="1" ref="A70">IF(INDEX($H:$H,ROW()-1)&lt;&gt;$H70,$E70,"")</f>
        <v/>
      </c>
      <c r="B70" s="71" t="str" cm="1">
        <f t="array" ca="1" aca="1" ref="B70">IF($K70="","",_xlfn.LET(_xlpm._fullName,IF($L70="",SUBSTITUTE(SUBSTITUTE(INDIRECT($K70),CHAR(10)," "),"  "," "),$L70),_xlpm._truncatedName,IF(LEN(_xlpm._fullName)&gt;250,LEFT(_xlpm._fullName,250)&amp;"[…]",_xlpm._fullName),HYPERLINK("#'"&amp;$E70&amp;"'!"&amp;$F70&amp;$G70,_xlpm._truncatedName)))</f>
        <v>Info Text</v>
      </c>
      <c r="C70" s="13" t="s">
        <v>1212</v>
      </c>
      <c r="D70" s="13" t="s">
        <v>1214</v>
      </c>
      <c r="E70" s="61" t="str">
        <f t="shared" ca="1" si="13"/>
        <v>Questions</v>
      </c>
      <c r="F70" s="61" t="str">
        <f t="shared" ca="1" si="14"/>
        <v>H</v>
      </c>
      <c r="G70" s="61" t="str">
        <f t="shared" ca="1" si="15"/>
        <v>3</v>
      </c>
      <c r="H70" s="61" cm="1">
        <f t="array" ca="1" aca="1" ref="H70">CreateID($H$36,$H:$H,$E70&lt;&gt;INDEX($E:$E,ROW()-1))</f>
        <v>3</v>
      </c>
      <c r="I70" s="61" t="str" cm="1">
        <f t="array" ca="1" aca="1" ref="I70">INDIRECT($K70)</f>
        <v>Info Text</v>
      </c>
      <c r="K70" s="2" t="str" cm="1">
        <f t="array" ca="1" aca="1" ref="K70">CELL("address",Questions!$H$3)</f>
        <v>'[QuBA-libre.xlsx]Questions'!$H$3</v>
      </c>
    </row>
    <row r="71" spans="1:13" ht="150" outlineLevel="1">
      <c r="A71" s="23" t="str" cm="1">
        <f t="array" ca="1" aca="1" ref="A71">IF(INDEX($H:$H,ROW()-1)&lt;&gt;$H71,$E71,"")</f>
        <v/>
      </c>
      <c r="B71" s="71" t="str" cm="1">
        <f t="array" ca="1" aca="1" ref="B71">IF($K71="","",_xlfn.LET(_xlpm._fullName,IF($L71="",SUBSTITUTE(SUBSTITUTE(INDIRECT($K71),CHAR(10)," "),"  "," "),$L71),_xlpm._truncatedName,IF(LEN(_xlpm._fullName)&gt;250,LEFT(_xlpm._fullName,250)&amp;"[…]",_xlpm._fullName),HYPERLINK("#'"&amp;$E71&amp;"'!"&amp;$F71&amp;$G71,_xlpm._truncatedName)))</f>
        <v xml:space="preserve">Options Range Header </v>
      </c>
      <c r="C71" s="13" t="s">
        <v>1711</v>
      </c>
      <c r="D71" s="13" t="str">
        <f ca="1">"Use this formula (replace A1 with the correct value) to reference the topmost cell: "&amp;_xlfn.FORMULATEXT(M71)&amp;"
Example:
Yes:
&lt;Reference&gt;
No:"</f>
        <v>Use this formula (replace A1 with the correct value) to reference the topmost cell: =ZELLE("address";A1)
Example:
Yes:
&lt;Reference&gt;
No:</v>
      </c>
      <c r="E71" s="61" t="str">
        <f t="shared" ca="1" si="13"/>
        <v>Questions</v>
      </c>
      <c r="F71" s="61" t="str">
        <f t="shared" ca="1" si="14"/>
        <v>I</v>
      </c>
      <c r="G71" s="61" t="str">
        <f t="shared" ca="1" si="15"/>
        <v>3</v>
      </c>
      <c r="H71" s="61" cm="1">
        <f t="array" ca="1" aca="1" ref="H71">CreateID($H$36,$H:$H,$E71&lt;&gt;INDEX($E:$E,ROW()-1))</f>
        <v>3</v>
      </c>
      <c r="I71" s="61" t="str" cm="1">
        <f t="array" ca="1" aca="1" ref="I71">INDIRECT($K71)</f>
        <v xml:space="preserve">Options Range Header </v>
      </c>
      <c r="K71" s="2" t="str" cm="1">
        <f t="array" ca="1" aca="1" ref="K71">CELL("address",Questions!$I$3)</f>
        <v>'[QuBA-libre.xlsx]Questions'!$I$3</v>
      </c>
      <c r="M71" s="2" t="str" cm="1">
        <f t="array" ca="1" aca="1" ref="M71">CELL("address",A1)</f>
        <v>$A$1</v>
      </c>
    </row>
    <row r="72" spans="1:13" ht="90" outlineLevel="1">
      <c r="A72" s="23" t="str" cm="1">
        <f t="array" ca="1" aca="1" ref="A72">IF(INDEX($H:$H,ROW()-1)&lt;&gt;$H72,$E72,"")</f>
        <v/>
      </c>
      <c r="B72" s="71" t="str" cm="1">
        <f t="array" ca="1" aca="1" ref="B72">IF($K72="","",_xlfn.LET(_xlpm._fullName,IF($L72="",SUBSTITUTE(SUBSTITUTE(INDIRECT($K72),CHAR(10)," "),"  "," "),$L72),_xlpm._truncatedName,IF(LEN(_xlpm._fullName)&gt;250,LEFT(_xlpm._fullName,250)&amp;"[…]",_xlpm._fullName),HYPERLINK("#'"&amp;$E72&amp;"'!"&amp;$F72&amp;$G72,_xlpm._truncatedName)))</f>
        <v xml:space="preserve">Height </v>
      </c>
      <c r="C72" s="13" t="s">
        <v>1712</v>
      </c>
      <c r="D72" s="13" t="str">
        <f ca="1">"Use this formula (replace A1 with the correct values) to calculate the height: "&amp;_xlfn.FORMULATEXT(M72)&amp;"
Example:
Yes: 2
No: 0"</f>
        <v>Use this formula (replace A1 with the correct values) to calculate the height: =ZEILEN(A1:A1)
Example:
Yes: 2
No: 0</v>
      </c>
      <c r="E72" s="61" t="str">
        <f t="shared" ca="1" si="13"/>
        <v>Questions</v>
      </c>
      <c r="F72" s="61" t="str">
        <f t="shared" ca="1" si="14"/>
        <v>J</v>
      </c>
      <c r="G72" s="61" t="str">
        <f t="shared" ca="1" si="15"/>
        <v>3</v>
      </c>
      <c r="H72" s="61" cm="1">
        <f t="array" ca="1" aca="1" ref="H72">CreateID($H$36,$H:$H,$E72&lt;&gt;INDEX($E:$E,ROW()-1))</f>
        <v>3</v>
      </c>
      <c r="I72" s="61" t="str" cm="1">
        <f t="array" ca="1" aca="1" ref="I72">INDIRECT($K72)</f>
        <v xml:space="preserve">Height </v>
      </c>
      <c r="K72" s="2" t="str" cm="1">
        <f t="array" ca="1" aca="1" ref="K72">CELL("address",Questions!$J$3)</f>
        <v>'[QuBA-libre.xlsx]Questions'!$J$3</v>
      </c>
      <c r="M72" s="2">
        <f>ROWS(A1:A1)</f>
        <v>1</v>
      </c>
    </row>
    <row r="73" spans="1:11" ht="30" outlineLevel="1">
      <c r="A73" s="23" t="str" cm="1">
        <f t="array" ca="1" aca="1" ref="A73">IF(INDEX($H:$H,ROW()-1)&lt;&gt;$H73,$E73,"")</f>
        <v/>
      </c>
      <c r="B73" s="71" t="str" cm="1">
        <f t="array" ca="1" aca="1" ref="B73">IF($K73="","",_xlfn.LET(_xlpm._fullName,IF($L73="",SUBSTITUTE(SUBSTITUTE(INDIRECT($K73),CHAR(10)," "),"  "," "),$L73),_xlpm._truncatedName,IF(LEN(_xlpm._fullName)&gt;250,LEFT(_xlpm._fullName,250)&amp;"[…]",_xlpm._fullName),HYPERLINK("#'"&amp;$E73&amp;"'!"&amp;$F73&amp;$G73,_xlpm._truncatedName)))</f>
        <v xml:space="preserve">Resulting Options </v>
      </c>
      <c r="C73" s="13" t="s">
        <v>1211</v>
      </c>
      <c r="D73" s="13"/>
      <c r="E73" s="61" t="str">
        <f t="shared" ca="1" si="13"/>
        <v>Questions</v>
      </c>
      <c r="F73" s="61" t="str">
        <f t="shared" ca="1" si="14"/>
        <v>K</v>
      </c>
      <c r="G73" s="61" t="str">
        <f t="shared" ca="1" si="15"/>
        <v>3</v>
      </c>
      <c r="H73" s="61" cm="1">
        <f t="array" ca="1" aca="1" ref="H73">CreateID($H$36,$H:$H,$E73&lt;&gt;INDEX($E:$E,ROW()-1))</f>
        <v>3</v>
      </c>
      <c r="I73" s="61" t="str" cm="1">
        <f t="array" ca="1" aca="1" ref="I73">INDIRECT($K73)</f>
        <v xml:space="preserve">Resulting Options </v>
      </c>
      <c r="K73" s="2" t="str" cm="1">
        <f t="array" ca="1" aca="1" ref="K73">CELL("address",Questions!$K$3)</f>
        <v>'[QuBA-libre.xlsx]Questions'!$K$3</v>
      </c>
    </row>
    <row r="74" spans="1:11" ht="210" outlineLevel="1">
      <c r="A74" s="23" t="str" cm="1">
        <f t="array" ca="1" aca="1" ref="A74">IF(INDEX($H:$H,ROW()-1)&lt;&gt;$H74,$E74,"")</f>
        <v/>
      </c>
      <c r="B74" s="71" t="str" cm="1">
        <f t="array" ca="1" aca="1" ref="B74">IF($K74="","",_xlfn.LET(_xlpm._fullName,IF($L74="",SUBSTITUTE(SUBSTITUTE(INDIRECT($K74),CHAR(10)," "),"  "," "),$L74),_xlpm._truncatedName,IF(LEN(_xlpm._fullName)&gt;250,LEFT(_xlpm._fullName,250)&amp;"[…]",_xlpm._fullName),HYPERLINK("#'"&amp;$E74&amp;"'!"&amp;$F74&amp;$G74,_xlpm._truncatedName)))</f>
        <v xml:space="preserve">Info Text </v>
      </c>
      <c r="C74" s="13" t="s">
        <v>1713</v>
      </c>
      <c r="D74" s="13" t="s">
        <v>1714</v>
      </c>
      <c r="E74" s="61" t="str">
        <f t="shared" ca="1" si="13"/>
        <v>Questions</v>
      </c>
      <c r="F74" s="61" t="str">
        <f t="shared" ca="1" si="14"/>
        <v>L</v>
      </c>
      <c r="G74" s="61" t="str">
        <f t="shared" ca="1" si="15"/>
        <v>3</v>
      </c>
      <c r="H74" s="61" cm="1">
        <f t="array" ca="1" aca="1" ref="H74">CreateID($H$36,$H:$H,$E74&lt;&gt;INDEX($E:$E,ROW()-1))</f>
        <v>3</v>
      </c>
      <c r="I74" s="61" t="str" cm="1">
        <f t="array" ca="1" aca="1" ref="I74">INDIRECT($K74)</f>
        <v xml:space="preserve">Info Text </v>
      </c>
      <c r="K74" s="2" t="str" cm="1">
        <f t="array" ca="1" aca="1" ref="K74">CELL("address",Questions!$L$3)</f>
        <v>'[QuBA-libre.xlsx]Questions'!$L$3</v>
      </c>
    </row>
    <row r="75" spans="1:11" ht="75" outlineLevel="1">
      <c r="A75" s="23" t="str" cm="1">
        <f t="array" ca="1" aca="1" ref="A75">IF(INDEX($H:$H,ROW()-1)&lt;&gt;$H75,$E75,"")</f>
        <v/>
      </c>
      <c r="B75" s="71" t="str" cm="1">
        <f t="array" ca="1" aca="1" ref="B75">IF($K75="","",_xlfn.LET(_xlpm._fullName,IF($L75="",SUBSTITUTE(SUBSTITUTE(INDIRECT($K75),CHAR(10)," "),"  "," "),$L75),_xlpm._truncatedName,IF(LEN(_xlpm._fullName)&gt;250,LEFT(_xlpm._fullName,250)&amp;"[…]",_xlpm._fullName),HYPERLINK("#'"&amp;$E75&amp;"'!"&amp;$F75&amp;$G75,_xlpm._truncatedName)))</f>
        <v>Inactive On</v>
      </c>
      <c r="C75" s="13" t="s">
        <v>1213</v>
      </c>
      <c r="D75" s="13" t="s">
        <v>1215</v>
      </c>
      <c r="E75" s="61" t="str">
        <f t="shared" ca="1" si="13"/>
        <v>Questions</v>
      </c>
      <c r="F75" s="61" t="str">
        <f t="shared" ca="1" si="14"/>
        <v>M</v>
      </c>
      <c r="G75" s="61" t="str">
        <f t="shared" ca="1" si="15"/>
        <v>3</v>
      </c>
      <c r="H75" s="61" cm="1">
        <f t="array" ca="1" aca="1" ref="H75">CreateID($H$36,$H:$H,$E75&lt;&gt;INDEX($E:$E,ROW()-1))</f>
        <v>3</v>
      </c>
      <c r="I75" s="61" t="str" cm="1">
        <f t="array" ca="1" aca="1" ref="I75">INDIRECT($K75)</f>
        <v>Inactive On</v>
      </c>
      <c r="K75" s="2" t="str" cm="1">
        <f t="array" ca="1" aca="1" ref="K75">CELL("address",Questions!$M$3)</f>
        <v>'[QuBA-libre.xlsx]Questions'!$M$3</v>
      </c>
    </row>
    <row r="76" spans="1:11" ht="15" outlineLevel="1">
      <c r="A76" s="23" t="str" cm="1">
        <f t="array" ca="1" aca="1" ref="A76">IF(INDEX($H:$H,ROW()-1)&lt;&gt;$H76,$E76,"")</f>
        <v/>
      </c>
      <c r="B76" s="71" t="str" cm="1">
        <f t="array" ca="1" aca="1" ref="B76">IF($K76="","",_xlfn.LET(_xlpm._fullName,IF($L76="",SUBSTITUTE(SUBSTITUTE(INDIRECT($K76),CHAR(10)," "),"  "," "),$L76),_xlpm._truncatedName,IF(LEN(_xlpm._fullName)&gt;250,LEFT(_xlpm._fullName,250)&amp;"[…]",_xlpm._fullName),HYPERLINK("#'"&amp;$E76&amp;"'!"&amp;$F76&amp;$G76,_xlpm._truncatedName)))</f>
        <v>Comment</v>
      </c>
      <c r="C76" s="13" t="s">
        <v>809</v>
      </c>
      <c r="D76" s="13"/>
      <c r="E76" s="61" t="str">
        <f ca="1">IF($K76="","",_xlfn.LET(_xlpm._in,$K76,_xlpm._start,FIND("]",_xlpm._in)+1,SUBSTITUTE(MID(_xlpm._in,_xlpm._start,FIND("!",_xlpm._in)-_xlpm._start),"'","")))</f>
        <v>Questions</v>
      </c>
      <c r="F76" s="61" t="str">
        <f ca="1">IF($K76="","",_xlfn.LET(_xlpm._in,SUBSTITUTE($K76,"$","§",1),_xlpm._start,FIND("§",_xlpm._in)+1,SUBSTITUTE(MID(_xlpm._in,_xlpm._start,FIND("$",_xlpm._in)-_xlpm._start),"'","")))</f>
        <v>N</v>
      </c>
      <c r="G76" s="61" t="str">
        <f ca="1">IF($K76="","",RIGHT($K76,LEN($K76)-FIND("$",SUBSTITUTE($K76,"$","§",1))))</f>
        <v>3</v>
      </c>
      <c r="H76" s="61" cm="1">
        <f t="array" ca="1" aca="1" ref="H76">CreateID($H$36,$H:$H,$E76&lt;&gt;INDEX($E:$E,ROW()-1))</f>
        <v>3</v>
      </c>
      <c r="I76" s="61" t="str" cm="1">
        <f t="array" ca="1" aca="1" ref="I76">INDIRECT($K76)</f>
        <v>Comment</v>
      </c>
      <c r="K76" s="2" t="str" cm="1">
        <f t="array" ca="1" aca="1" ref="K76">CELL("address",Questions!$N$3)</f>
        <v>'[QuBA-libre.xlsx]Questions'!$N$3</v>
      </c>
    </row>
    <row r="77" spans="1:11" ht="15">
      <c r="A77" s="23" t="str" cm="1">
        <f t="array" ca="1" aca="1" ref="A77">IF(INDEX($H:$H,ROW()-1)&lt;&gt;$H77,$E77,"")</f>
        <v>Damage Scenarios</v>
      </c>
      <c r="B77" s="71" t="str" cm="1">
        <f t="array" ca="1" aca="1" ref="B77">IF($K77="","",_xlfn.LET(_xlpm._fullName,IF($L77="",SUBSTITUTE(SUBSTITUTE(INDIRECT($K77),CHAR(10)," "),"  "," "),$L77),_xlpm._truncatedName,IF(LEN(_xlpm._fullName)&gt;250,LEFT(_xlpm._fullName,250)&amp;"[…]",_xlpm._fullName),HYPERLINK("#'"&amp;$E77&amp;"'!"&amp;$F77&amp;$G77,_xlpm._truncatedName)))</f>
        <v>ID</v>
      </c>
      <c r="C77" s="13" t="s">
        <v>846</v>
      </c>
      <c r="D77" s="13"/>
      <c r="E77" s="61" t="str">
        <f ca="1" t="shared" si="16" ref="E77:E92">IF($K77="","",_xlfn.LET(_xlpm._in,$K77,_xlpm._start,FIND("]",_xlpm._in)+1,SUBSTITUTE(MID(_xlpm._in,_xlpm._start,FIND("!",_xlpm._in)-_xlpm._start),"'","")))</f>
        <v>Damage Scenarios</v>
      </c>
      <c r="F77" s="61" t="str">
        <f ca="1" t="shared" si="17" ref="F77:F92">IF($K77="","",_xlfn.LET(_xlpm._in,SUBSTITUTE($K77,"$","§",1),_xlpm._start,FIND("§",_xlpm._in)+1,SUBSTITUTE(MID(_xlpm._in,_xlpm._start,FIND("$",_xlpm._in)-_xlpm._start),"'","")))</f>
        <v>A</v>
      </c>
      <c r="G77" s="61" t="str">
        <f ca="1" t="shared" si="18" ref="G77:G92">IF($K77="","",RIGHT($K77,LEN($K77)-FIND("$",SUBSTITUTE($K77,"$","§",1))))</f>
        <v>2</v>
      </c>
      <c r="H77" s="61" cm="1">
        <f t="array" ca="1" aca="1" ref="H77">CreateID($H$36,$H:$H,$E77&lt;&gt;INDEX($E:$E,ROW()-1))</f>
        <v>4</v>
      </c>
      <c r="I77" s="61" t="str" cm="1">
        <f t="array" ca="1" aca="1" ref="I77">INDIRECT($K77)</f>
        <v>ID</v>
      </c>
      <c r="K77" s="2" t="str" cm="1">
        <f t="array" ca="1" aca="1" ref="K77">CELL("address",OFFSET('Damage Scenarios'!$A$2,0,ROW()-ROW($K$77)))</f>
        <v>'[QuBA-libre.xlsx]Damage Scenarios'!$A$2</v>
      </c>
    </row>
    <row r="78" spans="1:11" ht="30" outlineLevel="1">
      <c r="A78" s="23" t="str" cm="1">
        <f t="array" ca="1" aca="1" ref="A78">IF(INDEX($H:$H,ROW()-1)&lt;&gt;$H78,$E78,"")</f>
        <v/>
      </c>
      <c r="B78" s="71" t="str" cm="1">
        <f t="array" ca="1" aca="1" ref="B78">IF($K78="","",_xlfn.LET(_xlpm._fullName,IF($L78="",SUBSTITUTE(SUBSTITUTE(INDIRECT($K78),CHAR(10)," "),"  "," "),$L78),_xlpm._truncatedName,IF(LEN(_xlpm._fullName)&gt;250,LEFT(_xlpm._fullName,250)&amp;"[…]",_xlpm._fullName),HYPERLINK("#'"&amp;$E78&amp;"'!"&amp;$F78&amp;$G78,_xlpm._truncatedName)))</f>
        <v>Q ID</v>
      </c>
      <c r="C78" s="13" t="s">
        <v>791</v>
      </c>
      <c r="D78" s="13"/>
      <c r="E78" s="61" t="str">
        <f t="shared" ca="1" si="16"/>
        <v>Damage Scenarios</v>
      </c>
      <c r="F78" s="61" t="str">
        <f t="shared" ca="1" si="17"/>
        <v>B</v>
      </c>
      <c r="G78" s="61" t="str">
        <f t="shared" ca="1" si="18"/>
        <v>2</v>
      </c>
      <c r="H78" s="61" cm="1">
        <f t="array" ca="1" aca="1" ref="H78">CreateID($H$36,$H:$H,$E78&lt;&gt;INDEX($E:$E,ROW()-1))</f>
        <v>4</v>
      </c>
      <c r="I78" s="61" t="str" cm="1">
        <f t="array" ca="1" aca="1" ref="I78">INDIRECT($K78)</f>
        <v>Q ID</v>
      </c>
      <c r="K78" s="2" t="str" cm="1">
        <f t="array" ca="1" aca="1" ref="K78">CELL("address",OFFSET('Damage Scenarios'!$A$2,0,ROW()-ROW($K$77)))</f>
        <v>'[QuBA-libre.xlsx]Damage Scenarios'!$B$2</v>
      </c>
    </row>
    <row r="79" spans="1:11" ht="30" outlineLevel="1">
      <c r="A79" s="23" t="str" cm="1">
        <f t="array" ca="1" aca="1" ref="A79">IF(INDEX($H:$H,ROW()-1)&lt;&gt;$H79,$E79,"")</f>
        <v/>
      </c>
      <c r="B79" s="71" t="str" cm="1">
        <f t="array" ca="1" aca="1" ref="B79">IF($K79="","",_xlfn.LET(_xlpm._fullName,IF($L79="",SUBSTITUTE(SUBSTITUTE(INDIRECT($K79),CHAR(10)," "),"  "," "),$L79),_xlpm._truncatedName,IF(LEN(_xlpm._fullName)&gt;250,LEFT(_xlpm._fullName,250)&amp;"[…]",_xlpm._fullName),HYPERLINK("#'"&amp;$E79&amp;"'!"&amp;$F79&amp;$G79,_xlpm._truncatedName)))</f>
        <v>Question</v>
      </c>
      <c r="C79" s="13" t="s">
        <v>795</v>
      </c>
      <c r="D79" s="13"/>
      <c r="E79" s="61" t="str">
        <f t="shared" ca="1" si="16"/>
        <v>Damage Scenarios</v>
      </c>
      <c r="F79" s="61" t="str">
        <f t="shared" ca="1" si="17"/>
        <v>C</v>
      </c>
      <c r="G79" s="61" t="str">
        <f t="shared" ca="1" si="18"/>
        <v>2</v>
      </c>
      <c r="H79" s="61" cm="1">
        <f t="array" ca="1" aca="1" ref="H79">CreateID($H$36,$H:$H,$E79&lt;&gt;INDEX($E:$E,ROW()-1))</f>
        <v>4</v>
      </c>
      <c r="I79" s="61" t="str" cm="1">
        <f t="array" ca="1" aca="1" ref="I79">INDIRECT($K79)</f>
        <v>Question</v>
      </c>
      <c r="K79" s="2" t="str" cm="1">
        <f t="array" ca="1" aca="1" ref="K79">CELL("address",OFFSET('Damage Scenarios'!$A$2,0,ROW()-ROW($K$77)))</f>
        <v>'[QuBA-libre.xlsx]Damage Scenarios'!$C$2</v>
      </c>
    </row>
    <row r="80" spans="1:11" ht="30" outlineLevel="1">
      <c r="A80" s="23" t="str" cm="1">
        <f t="array" ca="1" aca="1" ref="A80">IF(INDEX($H:$H,ROW()-1)&lt;&gt;$H80,$E80,"")</f>
        <v/>
      </c>
      <c r="B80" s="71" t="str" cm="1">
        <f t="array" ca="1" aca="1" ref="B80">IF($K80="","",_xlfn.LET(_xlpm._fullName,IF($L80="",SUBSTITUTE(SUBSTITUTE(INDIRECT($K80),CHAR(10)," "),"  "," "),$L80),_xlpm._truncatedName,IF(LEN(_xlpm._fullName)&gt;250,LEFT(_xlpm._fullName,250)&amp;"[…]",_xlpm._fullName),HYPERLINK("#'"&amp;$E80&amp;"'!"&amp;$F80&amp;$G80,_xlpm._truncatedName)))</f>
        <v>Is Active?</v>
      </c>
      <c r="C80" s="13" t="s">
        <v>925</v>
      </c>
      <c r="D80" s="13"/>
      <c r="E80" s="61" t="str">
        <f t="shared" ca="1" si="16"/>
        <v>Damage Scenarios</v>
      </c>
      <c r="F80" s="61" t="str">
        <f t="shared" ca="1" si="17"/>
        <v>D</v>
      </c>
      <c r="G80" s="61" t="str">
        <f t="shared" ca="1" si="18"/>
        <v>2</v>
      </c>
      <c r="H80" s="61" cm="1">
        <f t="array" ca="1" aca="1" ref="H80">CreateID($H$36,$H:$H,$E80&lt;&gt;INDEX($E:$E,ROW()-1))</f>
        <v>4</v>
      </c>
      <c r="I80" s="61" t="str" cm="1">
        <f t="array" ca="1" aca="1" ref="I80">INDIRECT($K80)</f>
        <v>Is Active?</v>
      </c>
      <c r="K80" s="2" t="str" cm="1">
        <f t="array" ca="1" aca="1" ref="K80">CELL("address",OFFSET('Damage Scenarios'!$A$2,0,ROW()-ROW($K$77)))</f>
        <v>'[QuBA-libre.xlsx]Damage Scenarios'!$D$2</v>
      </c>
    </row>
    <row r="81" spans="1:11" ht="45" outlineLevel="1">
      <c r="A81" s="23" t="str" cm="1">
        <f t="array" ca="1" aca="1" ref="A81">IF(INDEX($H:$H,ROW()-1)&lt;&gt;$H81,$E81,"")</f>
        <v/>
      </c>
      <c r="B81" s="71" t="str" cm="1">
        <f t="array" ca="1" aca="1" ref="B81">IF($K81="","",_xlfn.LET(_xlpm._fullName,IF($L81="",SUBSTITUTE(SUBSTITUTE(INDIRECT($K81),CHAR(10)," "),"  "," "),$L81),_xlpm._truncatedName,IF(LEN(_xlpm._fullName)&gt;250,LEFT(_xlpm._fullName,250)&amp;"[…]",_xlpm._fullName),HYPERLINK("#'"&amp;$E81&amp;"'!"&amp;$F81&amp;$G81,_xlpm._truncatedName)))</f>
        <v>Damage Scenario Static Text Prefix</v>
      </c>
      <c r="C81" s="13" t="s">
        <v>797</v>
      </c>
      <c r="D81" s="13"/>
      <c r="E81" s="61" t="str">
        <f t="shared" ca="1" si="16"/>
        <v>Damage Scenarios</v>
      </c>
      <c r="F81" s="61" t="str">
        <f t="shared" ca="1" si="17"/>
        <v>E</v>
      </c>
      <c r="G81" s="61" t="str">
        <f t="shared" ca="1" si="18"/>
        <v>2</v>
      </c>
      <c r="H81" s="61" cm="1">
        <f t="array" ca="1" aca="1" ref="H81">CreateID($H$36,$H:$H,$E81&lt;&gt;INDEX($E:$E,ROW()-1))</f>
        <v>4</v>
      </c>
      <c r="I81" s="61" t="str" cm="1">
        <f t="array" ca="1" aca="1" ref="I81">INDIRECT($K81)</f>
        <v>Damage Scenario Static Text Prefix</v>
      </c>
      <c r="K81" s="2" t="str" cm="1">
        <f t="array" ca="1" aca="1" ref="K81">CELL("address",OFFSET('Damage Scenarios'!$A$2,0,ROW()-ROW($K$77)))</f>
        <v>'[QuBA-libre.xlsx]Damage Scenarios'!$E$2</v>
      </c>
    </row>
    <row r="82" spans="1:11" ht="30" outlineLevel="1">
      <c r="A82" s="23" t="str" cm="1">
        <f t="array" ca="1" aca="1" ref="A82">IF(INDEX($H:$H,ROW()-1)&lt;&gt;$H82,$E82,"")</f>
        <v/>
      </c>
      <c r="B82" s="71" t="str" cm="1">
        <f t="array" ca="1" aca="1" ref="B82">IF($K82="","",_xlfn.LET(_xlpm._fullName,IF($L82="",SUBSTITUTE(SUBSTITUTE(INDIRECT($K82),CHAR(10)," "),"  "," "),$L82),_xlpm._truncatedName,IF(LEN(_xlpm._fullName)&gt;250,LEFT(_xlpm._fullName,250)&amp;"[…]",_xlpm._fullName),HYPERLINK("#'"&amp;$E82&amp;"'!"&amp;$F82&amp;$G82,_xlpm._truncatedName)))</f>
        <v>Questionnaire Provides Damage Criterion?</v>
      </c>
      <c r="C82" s="13" t="s">
        <v>958</v>
      </c>
      <c r="D82" s="13"/>
      <c r="E82" s="61" t="str">
        <f t="shared" ca="1" si="16"/>
        <v>Damage Scenarios</v>
      </c>
      <c r="F82" s="61" t="str">
        <f t="shared" ca="1" si="17"/>
        <v>F</v>
      </c>
      <c r="G82" s="61" t="str">
        <f t="shared" ca="1" si="18"/>
        <v>2</v>
      </c>
      <c r="H82" s="61" cm="1">
        <f t="array" ca="1" aca="1" ref="H82">CreateID($H$36,$H:$H,$E82&lt;&gt;INDEX($E:$E,ROW()-1))</f>
        <v>4</v>
      </c>
      <c r="I82" s="61" t="str" cm="1">
        <f t="array" ca="1" aca="1" ref="I82">INDIRECT($K82)</f>
        <v>Questionnaire Provides Damage Criterion?</v>
      </c>
      <c r="K82" s="2" t="str" cm="1">
        <f t="array" ca="1" aca="1" ref="K82">CELL("address",OFFSET('Damage Scenarios'!$A$2,0,ROW()-ROW($K$77)))</f>
        <v>'[QuBA-libre.xlsx]Damage Scenarios'!$F$2</v>
      </c>
    </row>
    <row r="83" spans="1:11" ht="15" outlineLevel="1">
      <c r="A83" s="23" t="str" cm="1">
        <f t="array" ca="1" aca="1" ref="A83">IF(INDEX($H:$H,ROW()-1)&lt;&gt;$H83,$E83,"")</f>
        <v/>
      </c>
      <c r="B83" s="71" t="str" cm="1">
        <f t="array" ca="1" aca="1" ref="B83">IF($K83="","",_xlfn.LET(_xlpm._fullName,IF($L83="",SUBSTITUTE(SUBSTITUTE(INDIRECT($K83),CHAR(10)," "),"  "," "),$L83),_xlpm._truncatedName,IF(LEN(_xlpm._fullName)&gt;250,LEFT(_xlpm._fullName,250)&amp;"[…]",_xlpm._fullName),HYPERLINK("#'"&amp;$E83&amp;"'!"&amp;$F83&amp;$G83,_xlpm._truncatedName)))</f>
        <v>Damage Scenario Static Text Suffix</v>
      </c>
      <c r="C83" s="13" t="s">
        <v>798</v>
      </c>
      <c r="D83" s="13"/>
      <c r="E83" s="61" t="str">
        <f t="shared" ca="1" si="16"/>
        <v>Damage Scenarios</v>
      </c>
      <c r="F83" s="61" t="str">
        <f t="shared" ca="1" si="17"/>
        <v>G</v>
      </c>
      <c r="G83" s="61" t="str">
        <f t="shared" ca="1" si="18"/>
        <v>2</v>
      </c>
      <c r="H83" s="61" cm="1">
        <f t="array" ca="1" aca="1" ref="H83">CreateID($H$36,$H:$H,$E83&lt;&gt;INDEX($E:$E,ROW()-1))</f>
        <v>4</v>
      </c>
      <c r="I83" s="61" t="str" cm="1">
        <f t="array" ca="1" aca="1" ref="I83">INDIRECT($K83)</f>
        <v>Damage Scenario Static Text Suffix</v>
      </c>
      <c r="K83" s="2" t="str" cm="1">
        <f t="array" ca="1" aca="1" ref="K83">CELL("address",OFFSET('Damage Scenarios'!$A$2,0,ROW()-ROW($K$77)))</f>
        <v>'[QuBA-libre.xlsx]Damage Scenarios'!$G$2</v>
      </c>
    </row>
    <row r="84" spans="1:11" ht="30" outlineLevel="1">
      <c r="A84" s="23" t="str" cm="1">
        <f t="array" ca="1" aca="1" ref="A84">IF(INDEX($H:$H,ROW()-1)&lt;&gt;$H84,$E84,"")</f>
        <v/>
      </c>
      <c r="B84" s="71" t="str" cm="1">
        <f t="array" ca="1" aca="1" ref="B84">IF($K84="","",_xlfn.LET(_xlpm._fullName,IF($L84="",SUBSTITUTE(SUBSTITUTE(INDIRECT($K84),CHAR(10)," "),"  "," "),$L84),_xlpm._truncatedName,IF(LEN(_xlpm._fullName)&gt;250,LEFT(_xlpm._fullName,250)&amp;"[…]",_xlpm._fullName),HYPERLINK("#'"&amp;$E84&amp;"'!"&amp;$F84&amp;$G84,_xlpm._truncatedName)))</f>
        <v>Answer 1</v>
      </c>
      <c r="C84" s="13" t="s">
        <v>1306</v>
      </c>
      <c r="D84" s="13"/>
      <c r="E84" s="61" t="str">
        <f t="shared" ca="1" si="16"/>
        <v>Damage Scenarios</v>
      </c>
      <c r="F84" s="61" t="str">
        <f t="shared" ca="1" si="17"/>
        <v>H</v>
      </c>
      <c r="G84" s="61" t="str">
        <f t="shared" ca="1" si="18"/>
        <v>2</v>
      </c>
      <c r="H84" s="61" cm="1">
        <f t="array" ca="1" aca="1" ref="H84">CreateID($H$36,$H:$H,$E84&lt;&gt;INDEX($E:$E,ROW()-1))</f>
        <v>4</v>
      </c>
      <c r="I84" s="61" t="str" cm="1">
        <f t="array" ca="1" aca="1" ref="I84">INDIRECT($K84)</f>
        <v>Answer 1</v>
      </c>
      <c r="K84" s="2" t="str" cm="1">
        <f t="array" ca="1" aca="1" ref="K84">CELL("address",OFFSET('Damage Scenarios'!$A$2,0,ROW()-ROW($K$77)))</f>
        <v>'[QuBA-libre.xlsx]Damage Scenarios'!$H$2</v>
      </c>
    </row>
    <row r="85" spans="1:11" ht="30" outlineLevel="1">
      <c r="A85" s="23" t="str" cm="1">
        <f t="array" ca="1" aca="1" ref="A85">IF(INDEX($H:$H,ROW()-1)&lt;&gt;$H85,$E85,"")</f>
        <v/>
      </c>
      <c r="B85" s="71" t="str" cm="1">
        <f t="array" ca="1" aca="1" ref="B85">IF($K85="","",_xlfn.LET(_xlpm._fullName,IF($L85="",SUBSTITUTE(SUBSTITUTE(INDIRECT($K85),CHAR(10)," "),"  "," "),$L85),_xlpm._truncatedName,IF(LEN(_xlpm._fullName)&gt;250,LEFT(_xlpm._fullName,250)&amp;"[…]",_xlpm._fullName),HYPERLINK("#'"&amp;$E85&amp;"'!"&amp;$F85&amp;$G85,_xlpm._truncatedName)))</f>
        <v>Answer 2</v>
      </c>
      <c r="C85" s="13" t="s">
        <v>1307</v>
      </c>
      <c r="D85" s="13"/>
      <c r="E85" s="61" t="str">
        <f t="shared" ca="1" si="16"/>
        <v>Damage Scenarios</v>
      </c>
      <c r="F85" s="61" t="str">
        <f t="shared" ca="1" si="17"/>
        <v>I</v>
      </c>
      <c r="G85" s="61" t="str">
        <f t="shared" ca="1" si="18"/>
        <v>2</v>
      </c>
      <c r="H85" s="61" cm="1">
        <f t="array" ca="1" aca="1" ref="H85">CreateID($H$36,$H:$H,$E85&lt;&gt;INDEX($E:$E,ROW()-1))</f>
        <v>4</v>
      </c>
      <c r="I85" s="61" t="str" cm="1">
        <f t="array" ca="1" aca="1" ref="I85">INDIRECT($K85)</f>
        <v>Answer 2</v>
      </c>
      <c r="K85" s="2" t="str" cm="1">
        <f t="array" ca="1" aca="1" ref="K85">CELL("address",OFFSET('Damage Scenarios'!$A$2,0,ROW()-ROW($K$77)))</f>
        <v>'[QuBA-libre.xlsx]Damage Scenarios'!$I$2</v>
      </c>
    </row>
    <row r="86" spans="1:11" ht="15" outlineLevel="1">
      <c r="A86" s="23" t="str" cm="1">
        <f t="array" ca="1" aca="1" ref="A86">IF(INDEX($H:$H,ROW()-1)&lt;&gt;$H86,$E86,"")</f>
        <v/>
      </c>
      <c r="B86" s="71" t="str" cm="1">
        <f t="array" ca="1" aca="1" ref="B86">IF($K86="","",_xlfn.LET(_xlpm._fullName,IF($L86="",SUBSTITUTE(SUBSTITUTE(INDIRECT($K86),CHAR(10)," "),"  "," "),$L86),_xlpm._truncatedName,IF(LEN(_xlpm._fullName)&gt;250,LEFT(_xlpm._fullName,250)&amp;"[…]",_xlpm._fullName),HYPERLINK("#'"&amp;$E86&amp;"'!"&amp;$F86&amp;$G86,_xlpm._truncatedName)))</f>
        <v>Damage Scenario Text (depends on answers to questionnaire)</v>
      </c>
      <c r="C86" s="13" t="s">
        <v>796</v>
      </c>
      <c r="D86" s="13"/>
      <c r="E86" s="61" t="str">
        <f t="shared" ca="1" si="16"/>
        <v>Damage Scenarios</v>
      </c>
      <c r="F86" s="61" t="str">
        <f t="shared" ca="1" si="17"/>
        <v>J</v>
      </c>
      <c r="G86" s="61" t="str">
        <f t="shared" ca="1" si="18"/>
        <v>2</v>
      </c>
      <c r="H86" s="61" cm="1">
        <f t="array" ca="1" aca="1" ref="H86">CreateID($H$36,$H:$H,$E86&lt;&gt;INDEX($E:$E,ROW()-1))</f>
        <v>4</v>
      </c>
      <c r="I86" s="61" t="str" cm="1">
        <f t="array" ca="1" aca="1" ref="I86">INDIRECT($K86)</f>
        <v>Damage Scenario Text (depends on answers to questionnaire)</v>
      </c>
      <c r="K86" s="2" t="str" cm="1">
        <f t="array" ca="1" aca="1" ref="K86">CELL("address",OFFSET('Damage Scenarios'!$A$2,0,ROW()-ROW($K$77)))</f>
        <v>'[QuBA-libre.xlsx]Damage Scenarios'!$J$2</v>
      </c>
    </row>
    <row r="87" spans="1:11" ht="30" outlineLevel="1">
      <c r="A87" s="23" t="str" cm="1">
        <f t="array" ca="1" aca="1" ref="A87">IF(INDEX($H:$H,ROW()-1)&lt;&gt;$H87,$E87,"")</f>
        <v/>
      </c>
      <c r="B87" s="71" t="str" cm="1">
        <f t="array" ca="1" aca="1" ref="B87">IF($K87="","",_xlfn.LET(_xlpm._fullName,IF($L87="",SUBSTITUTE(SUBSTITUTE(INDIRECT($K87),CHAR(10)," "),"  "," "),$L87),_xlpm._truncatedName,IF(LEN(_xlpm._fullName)&gt;250,LEFT(_xlpm._fullName,250)&amp;"[…]",_xlpm._fullName),HYPERLINK("#'"&amp;$E87&amp;"'!"&amp;$F87&amp;$G87,_xlpm._truncatedName)))</f>
        <v>Explicit Damage Criterion</v>
      </c>
      <c r="C87" s="13" t="s">
        <v>969</v>
      </c>
      <c r="D87" s="13"/>
      <c r="E87" s="61" t="str">
        <f ca="1">IF($K87="","",_xlfn.LET(_xlpm._in,$K87,_xlpm._start,FIND("]",_xlpm._in)+1,SUBSTITUTE(MID(_xlpm._in,_xlpm._start,FIND("!",_xlpm._in)-_xlpm._start),"'","")))</f>
        <v>Damage Scenarios</v>
      </c>
      <c r="F87" s="61" t="str">
        <f ca="1">IF($K87="","",_xlfn.LET(_xlpm._in,SUBSTITUTE($K87,"$","§",1),_xlpm._start,FIND("§",_xlpm._in)+1,SUBSTITUTE(MID(_xlpm._in,_xlpm._start,FIND("$",_xlpm._in)-_xlpm._start),"'","")))</f>
        <v>K</v>
      </c>
      <c r="G87" s="61" t="str">
        <f ca="1">IF($K87="","",RIGHT($K87,LEN($K87)-FIND("$",SUBSTITUTE($K87,"$","§",1))))</f>
        <v>2</v>
      </c>
      <c r="H87" s="61" cm="1">
        <f t="array" ca="1" aca="1" ref="H87">CreateID($H$36,$H:$H,$E87&lt;&gt;INDEX($E:$E,ROW()-1))</f>
        <v>4</v>
      </c>
      <c r="I87" s="61" t="str" cm="1">
        <f t="array" ca="1" aca="1" ref="I87">INDIRECT($K87)</f>
        <v>Explicit Damage Criterion</v>
      </c>
      <c r="K87" s="2" t="str" cm="1">
        <f t="array" ca="1" aca="1" ref="K87">CELL("address",OFFSET('Damage Scenarios'!$A$2,0,ROW()-ROW($K$77)))</f>
        <v>'[QuBA-libre.xlsx]Damage Scenarios'!$K$2</v>
      </c>
    </row>
    <row r="88" spans="1:11" ht="60" outlineLevel="1">
      <c r="A88" s="23" t="str" cm="1">
        <f t="array" ca="1" aca="1" ref="A88">IF(INDEX($H:$H,ROW()-1)&lt;&gt;$H88,$E88,"")</f>
        <v/>
      </c>
      <c r="B88" s="71" t="str" cm="1">
        <f t="array" ca="1" aca="1" ref="B88">IF($K88="","",_xlfn.LET(_xlpm._fullName,IF($L88="",SUBSTITUTE(SUBSTITUTE(INDIRECT($K88),CHAR(10)," "),"  "," "),$L88),_xlpm._truncatedName,IF(LEN(_xlpm._fullName)&gt;250,LEFT(_xlpm._fullName,250)&amp;"[…]",_xlpm._fullName),HYPERLINK("#'"&amp;$E88&amp;"'!"&amp;$F88&amp;$G88,_xlpm._truncatedName)))</f>
        <v>Active Damage Criterion</v>
      </c>
      <c r="C88" s="13" t="s">
        <v>960</v>
      </c>
      <c r="D88" s="13"/>
      <c r="E88" s="61" t="str">
        <f ca="1">IF($K88="","",_xlfn.LET(_xlpm._in,$K88,_xlpm._start,FIND("]",_xlpm._in)+1,SUBSTITUTE(MID(_xlpm._in,_xlpm._start,FIND("!",_xlpm._in)-_xlpm._start),"'","")))</f>
        <v>Damage Scenarios</v>
      </c>
      <c r="F88" s="61" t="str">
        <f ca="1">IF($K88="","",_xlfn.LET(_xlpm._in,SUBSTITUTE($K88,"$","§",1),_xlpm._start,FIND("§",_xlpm._in)+1,SUBSTITUTE(MID(_xlpm._in,_xlpm._start,FIND("$",_xlpm._in)-_xlpm._start),"'","")))</f>
        <v>L</v>
      </c>
      <c r="G88" s="61" t="str">
        <f ca="1">IF($K88="","",RIGHT($K88,LEN($K88)-FIND("$",SUBSTITUTE($K88,"$","§",1))))</f>
        <v>2</v>
      </c>
      <c r="H88" s="61" cm="1">
        <f t="array" ca="1" aca="1" ref="H88">CreateID($H$36,$H:$H,$E88&lt;&gt;INDEX($E:$E,ROW()-1))</f>
        <v>4</v>
      </c>
      <c r="I88" s="61" t="str" cm="1">
        <f t="array" ca="1" aca="1" ref="I88">INDIRECT($K88)</f>
        <v>Active Damage Criterion</v>
      </c>
      <c r="K88" s="2" t="str" cm="1">
        <f t="array" ca="1" aca="1" ref="K88">CELL("address",OFFSET('Damage Scenarios'!$A$2,0,ROW()-ROW($K$77)))</f>
        <v>'[QuBA-libre.xlsx]Damage Scenarios'!$L$2</v>
      </c>
    </row>
    <row r="89" spans="1:11" ht="30" outlineLevel="1">
      <c r="A89" s="23" t="str" cm="1">
        <f t="array" ca="1" aca="1" ref="A89">IF(INDEX($H:$H,ROW()-1)&lt;&gt;$H89,$E89,"")</f>
        <v/>
      </c>
      <c r="B89" s="71" t="str" cm="1">
        <f t="array" ca="1" aca="1" ref="B89">IF($K89="","",_xlfn.LET(_xlpm._fullName,IF($L89="",SUBSTITUTE(SUBSTITUTE(INDIRECT($K89),CHAR(10)," "),"  "," "),$L89),_xlpm._truncatedName,IF(LEN(_xlpm._fullName)&gt;250,LEFT(_xlpm._fullName,250)&amp;"[…]",_xlpm._fullName),HYPERLINK("#'"&amp;$E89&amp;"'!"&amp;$F89&amp;$G89,_xlpm._truncatedName)))</f>
        <v>Damage Level</v>
      </c>
      <c r="C89" s="13" t="s">
        <v>932</v>
      </c>
      <c r="D89" s="13"/>
      <c r="E89" s="61" t="str">
        <f ca="1">IF($K89="","",_xlfn.LET(_xlpm._in,$K89,_xlpm._start,FIND("]",_xlpm._in)+1,SUBSTITUTE(MID(_xlpm._in,_xlpm._start,FIND("!",_xlpm._in)-_xlpm._start),"'","")))</f>
        <v>Damage Scenarios</v>
      </c>
      <c r="F89" s="61" t="str">
        <f ca="1">IF($K89="","",_xlfn.LET(_xlpm._in,SUBSTITUTE($K89,"$","§",1),_xlpm._start,FIND("§",_xlpm._in)+1,SUBSTITUTE(MID(_xlpm._in,_xlpm._start,FIND("$",_xlpm._in)-_xlpm._start),"'","")))</f>
        <v>M</v>
      </c>
      <c r="G89" s="61" t="str">
        <f ca="1">IF($K89="","",RIGHT($K89,LEN($K89)-FIND("$",SUBSTITUTE($K89,"$","§",1))))</f>
        <v>2</v>
      </c>
      <c r="H89" s="61" cm="1">
        <f t="array" ca="1" aca="1" ref="H89">CreateID($H$36,$H:$H,$E89&lt;&gt;INDEX($E:$E,ROW()-1))</f>
        <v>4</v>
      </c>
      <c r="I89" s="61" t="str" cm="1">
        <f t="array" ca="1" aca="1" ref="I89">INDIRECT($K89)</f>
        <v>Damage Level</v>
      </c>
      <c r="K89" s="2" t="str" cm="1">
        <f t="array" ca="1" aca="1" ref="K89">CELL("address",OFFSET('Damage Scenarios'!$A$2,0,ROW()-ROW($K$77)))</f>
        <v>'[QuBA-libre.xlsx]Damage Scenarios'!$M$2</v>
      </c>
    </row>
    <row r="90" spans="1:11" ht="30" outlineLevel="1">
      <c r="A90" s="23" t="str" cm="1">
        <f t="array" ca="1" aca="1" ref="A90">IF(INDEX($H:$H,ROW()-1)&lt;&gt;$H90,$E90,"")</f>
        <v/>
      </c>
      <c r="B90" s="71" t="str" cm="1">
        <f t="array" ca="1" aca="1" ref="B90">IF($K90="","",_xlfn.LET(_xlpm._fullName,IF($L90="",SUBSTITUTE(SUBSTITUTE(INDIRECT($K90),CHAR(10)," "),"  "," "),$L90),_xlpm._truncatedName,IF(LEN(_xlpm._fullName)&gt;250,LEFT(_xlpm._fullName,250)&amp;"[…]",_xlpm._fullName),HYPERLINK("#'"&amp;$E90&amp;"'!"&amp;$F90&amp;$G90,_xlpm._truncatedName)))</f>
        <v>Explicit Explanation Text</v>
      </c>
      <c r="C90" s="13" t="s">
        <v>962</v>
      </c>
      <c r="D90" s="13"/>
      <c r="E90" s="61" t="str">
        <f ca="1">IF($K90="","",_xlfn.LET(_xlpm._in,$K90,_xlpm._start,FIND("]",_xlpm._in)+1,SUBSTITUTE(MID(_xlpm._in,_xlpm._start,FIND("!",_xlpm._in)-_xlpm._start),"'","")))</f>
        <v>Damage Scenarios</v>
      </c>
      <c r="F90" s="61" t="str">
        <f ca="1">IF($K90="","",_xlfn.LET(_xlpm._in,SUBSTITUTE($K90,"$","§",1),_xlpm._start,FIND("§",_xlpm._in)+1,SUBSTITUTE(MID(_xlpm._in,_xlpm._start,FIND("$",_xlpm._in)-_xlpm._start),"'","")))</f>
        <v>N</v>
      </c>
      <c r="G90" s="61" t="str">
        <f ca="1">IF($K90="","",RIGHT($K90,LEN($K90)-FIND("$",SUBSTITUTE($K90,"$","§",1))))</f>
        <v>2</v>
      </c>
      <c r="H90" s="61" cm="1">
        <f t="array" ca="1" aca="1" ref="H90">CreateID($H$36,$H:$H,$E90&lt;&gt;INDEX($E:$E,ROW()-1))</f>
        <v>4</v>
      </c>
      <c r="I90" s="61" t="str" cm="1">
        <f t="array" ca="1" aca="1" ref="I90">INDIRECT($K90)</f>
        <v>Explicit Explanation Text</v>
      </c>
      <c r="K90" s="2" t="str" cm="1">
        <f t="array" ca="1" aca="1" ref="K90">CELL("address",OFFSET('Damage Scenarios'!$A$2,0,ROW()-ROW($K$77)))</f>
        <v>'[QuBA-libre.xlsx]Damage Scenarios'!$N$2</v>
      </c>
    </row>
    <row r="91" spans="1:11" ht="45" outlineLevel="1">
      <c r="A91" s="23" t="str" cm="1">
        <f t="array" ca="1" aca="1" ref="A91">IF(INDEX($H:$H,ROW()-1)&lt;&gt;$H91,$E91,"")</f>
        <v/>
      </c>
      <c r="B91" s="71" t="str" cm="1">
        <f t="array" ca="1" aca="1" ref="B91">IF($K91="","",_xlfn.LET(_xlpm._fullName,IF($L91="",SUBSTITUTE(SUBSTITUTE(INDIRECT($K91),CHAR(10)," "),"  "," "),$L91),_xlpm._truncatedName,IF(LEN(_xlpm._fullName)&gt;250,LEFT(_xlpm._fullName,250)&amp;"[…]",_xlpm._fullName),HYPERLINK("#'"&amp;$E91&amp;"'!"&amp;$F91&amp;$G91,_xlpm._truncatedName)))</f>
        <v>Explanation Text</v>
      </c>
      <c r="C91" s="13" t="s">
        <v>963</v>
      </c>
      <c r="D91" s="13"/>
      <c r="E91" s="61" t="str">
        <f ca="1">IF($K91="","",_xlfn.LET(_xlpm._in,$K91,_xlpm._start,FIND("]",_xlpm._in)+1,SUBSTITUTE(MID(_xlpm._in,_xlpm._start,FIND("!",_xlpm._in)-_xlpm._start),"'","")))</f>
        <v>Damage Scenarios</v>
      </c>
      <c r="F91" s="61" t="str">
        <f ca="1">IF($K91="","",_xlfn.LET(_xlpm._in,SUBSTITUTE($K91,"$","§",1),_xlpm._start,FIND("§",_xlpm._in)+1,SUBSTITUTE(MID(_xlpm._in,_xlpm._start,FIND("$",_xlpm._in)-_xlpm._start),"'","")))</f>
        <v>O</v>
      </c>
      <c r="G91" s="61" t="str">
        <f ca="1">IF($K91="","",RIGHT($K91,LEN($K91)-FIND("$",SUBSTITUTE($K91,"$","§",1))))</f>
        <v>2</v>
      </c>
      <c r="H91" s="61" cm="1">
        <f t="array" ca="1" aca="1" ref="H91">CreateID($H$36,$H:$H,$E91&lt;&gt;INDEX($E:$E,ROW()-1))</f>
        <v>4</v>
      </c>
      <c r="I91" s="61" t="str" cm="1">
        <f t="array" ca="1" aca="1" ref="I91">INDIRECT($K91)</f>
        <v>Explanation Text</v>
      </c>
      <c r="K91" s="2" t="str" cm="1">
        <f t="array" ca="1" aca="1" ref="K91">CELL("address",OFFSET('Damage Scenarios'!$A$2,0,ROW()-ROW($K$77)))</f>
        <v>'[QuBA-libre.xlsx]Damage Scenarios'!$O$2</v>
      </c>
    </row>
    <row r="92" spans="1:11" ht="15" outlineLevel="1">
      <c r="A92" s="23" t="str" cm="1">
        <f t="array" ca="1" aca="1" ref="A92">IF(INDEX($H:$H,ROW()-1)&lt;&gt;$H92,$E92,"")</f>
        <v/>
      </c>
      <c r="B92" s="71" t="str" cm="1">
        <f t="array" ca="1" aca="1" ref="B92">IF($K92="","",_xlfn.LET(_xlpm._fullName,IF($L92="",SUBSTITUTE(SUBSTITUTE(INDIRECT($K92),CHAR(10)," "),"  "," "),$L92),_xlpm._truncatedName,IF(LEN(_xlpm._fullName)&gt;250,LEFT(_xlpm._fullName,250)&amp;"[…]",_xlpm._fullName),HYPERLINK("#'"&amp;$E92&amp;"'!"&amp;$F92&amp;$G92,_xlpm._truncatedName)))</f>
        <v>Comment</v>
      </c>
      <c r="C92" s="13" t="s">
        <v>809</v>
      </c>
      <c r="D92" s="13"/>
      <c r="E92" s="61" t="str">
        <f t="shared" ca="1" si="16"/>
        <v>Damage Scenarios</v>
      </c>
      <c r="F92" s="61" t="str">
        <f t="shared" ca="1" si="17"/>
        <v>P</v>
      </c>
      <c r="G92" s="61" t="str">
        <f t="shared" ca="1" si="18"/>
        <v>2</v>
      </c>
      <c r="H92" s="61" cm="1">
        <f t="array" ca="1" aca="1" ref="H92">CreateID($H$36,$H:$H,$E92&lt;&gt;INDEX($E:$E,ROW()-1))</f>
        <v>4</v>
      </c>
      <c r="I92" s="61" t="str" cm="1">
        <f t="array" ca="1" aca="1" ref="I92">INDIRECT($K92)</f>
        <v>Comment</v>
      </c>
      <c r="K92" s="2" t="str" cm="1">
        <f t="array" ca="1" aca="1" ref="K92">CELL("address",OFFSET('Damage Scenarios'!$A$2,0,ROW()-ROW($K$77)))</f>
        <v>'[QuBA-libre.xlsx]Damage Scenarios'!$P$2</v>
      </c>
    </row>
    <row r="93" spans="1:11" ht="15">
      <c r="A93" s="23" t="str" cm="1">
        <f t="array" ca="1" aca="1" ref="A93">IF(INDEX($H:$H,ROW()-1)&lt;&gt;$H93,$E93,"")</f>
        <v>Attack Steps</v>
      </c>
      <c r="B93" s="71" t="str" cm="1">
        <f t="array" ca="1" aca="1" ref="B93">IF($K93="","",_xlfn.LET(_xlpm._fullName,IF($L93="",SUBSTITUTE(SUBSTITUTE(INDIRECT($K93),CHAR(10)," "),"  "," "),$L93),_xlpm._truncatedName,IF(LEN(_xlpm._fullName)&gt;250,LEFT(_xlpm._fullName,250)&amp;"[…]",_xlpm._fullName),HYPERLINK("#'"&amp;$E93&amp;"'!"&amp;$F93&amp;$G93,_xlpm._truncatedName)))</f>
        <v>ID</v>
      </c>
      <c r="C93" s="13" t="s">
        <v>847</v>
      </c>
      <c r="D93" s="13"/>
      <c r="E93" s="61" t="str">
        <f ca="1" t="shared" si="19" ref="E93:E107">IF($K93="","",_xlfn.LET(_xlpm._in,$K93,_xlpm._start,FIND("]",_xlpm._in)+1,SUBSTITUTE(MID(_xlpm._in,_xlpm._start,FIND("!",_xlpm._in)-_xlpm._start),"'","")))</f>
        <v>Attack Steps</v>
      </c>
      <c r="F93" s="61" t="str">
        <f ca="1" t="shared" si="20" ref="F93:F107">IF($K93="","",_xlfn.LET(_xlpm._in,SUBSTITUTE($K93,"$","§",1),_xlpm._start,FIND("§",_xlpm._in)+1,SUBSTITUTE(MID(_xlpm._in,_xlpm._start,FIND("$",_xlpm._in)-_xlpm._start),"'","")))</f>
        <v>A</v>
      </c>
      <c r="G93" s="61" t="str">
        <f ca="1" t="shared" si="21" ref="G93:G107">IF($K93="","",RIGHT($K93,LEN($K93)-FIND("$",SUBSTITUTE($K93,"$","§",1))))</f>
        <v>2</v>
      </c>
      <c r="H93" s="61" cm="1">
        <f t="array" ca="1" aca="1" ref="H93">CreateID($H$36,$H:$H,$E93&lt;&gt;INDEX($E:$E,ROW()-1))</f>
        <v>5</v>
      </c>
      <c r="I93" s="61" t="str" cm="1">
        <f t="array" ca="1" aca="1" ref="I93">INDIRECT($K93)</f>
        <v>ID</v>
      </c>
      <c r="K93" s="2" t="str" cm="1">
        <f t="array" ca="1" aca="1" ref="K93">CELL("address",OFFSET('Attack Steps'!$A$2,0,ROW()-ROW($K$93)))</f>
        <v>'[QuBA-libre.xlsx]Attack Steps'!$A$2</v>
      </c>
    </row>
    <row r="94" spans="1:11" ht="15" outlineLevel="1">
      <c r="A94" s="23" t="str" cm="1">
        <f t="array" ca="1" aca="1" ref="A94">IF(INDEX($H:$H,ROW()-1)&lt;&gt;$H94,$E94,"")</f>
        <v/>
      </c>
      <c r="B94" s="71" t="str" cm="1">
        <f t="array" ca="1" aca="1" ref="B94">IF($K94="","",_xlfn.LET(_xlpm._fullName,IF($L94="",SUBSTITUTE(SUBSTITUTE(INDIRECT($K94),CHAR(10)," "),"  "," "),$L94),_xlpm._truncatedName,IF(LEN(_xlpm._fullName)&gt;250,LEFT(_xlpm._fullName,250)&amp;"[…]",_xlpm._fullName),HYPERLINK("#'"&amp;$E94&amp;"'!"&amp;$F94&amp;$G94,_xlpm._truncatedName)))</f>
        <v>Attack Step</v>
      </c>
      <c r="C94" s="13" t="s">
        <v>799</v>
      </c>
      <c r="D94" s="13"/>
      <c r="E94" s="61" t="str">
        <f t="shared" ca="1" si="19"/>
        <v>Attack Steps</v>
      </c>
      <c r="F94" s="61" t="str">
        <f t="shared" ca="1" si="20"/>
        <v>B</v>
      </c>
      <c r="G94" s="61" t="str">
        <f t="shared" ca="1" si="21"/>
        <v>2</v>
      </c>
      <c r="H94" s="61" cm="1">
        <f t="array" ca="1" aca="1" ref="H94">CreateID($H$36,$H:$H,$E94&lt;&gt;INDEX($E:$E,ROW()-1))</f>
        <v>5</v>
      </c>
      <c r="I94" s="61" t="str" cm="1">
        <f t="array" ca="1" aca="1" ref="I94">INDIRECT($K94)</f>
        <v>Attack Step</v>
      </c>
      <c r="K94" s="2" t="str" cm="1">
        <f t="array" ca="1" aca="1" ref="K94">CELL("address",OFFSET('Attack Steps'!$A$2,0,ROW()-ROW($K$93)))</f>
        <v>'[QuBA-libre.xlsx]Attack Steps'!$B$2</v>
      </c>
    </row>
    <row r="95" spans="1:11" ht="75" outlineLevel="1">
      <c r="A95" s="23" t="str" cm="1">
        <f t="array" ca="1" aca="1" ref="A95">IF(INDEX($H:$H,ROW()-1)&lt;&gt;$H95,$E95,"")</f>
        <v/>
      </c>
      <c r="B95" s="71" t="str" cm="1">
        <f t="array" ca="1" aca="1" ref="B95">IF($K95="","",_xlfn.LET(_xlpm._fullName,IF($L95="",SUBSTITUTE(SUBSTITUTE(INDIRECT($K95),CHAR(10)," "),"  "," "),$L95),_xlpm._truncatedName,IF(LEN(_xlpm._fullName)&gt;250,LEFT(_xlpm._fullName,250)&amp;"[…]",_xlpm._fullName),HYPERLINK("#'"&amp;$E95&amp;"'!"&amp;$F95&amp;$G95,_xlpm._truncatedName)))</f>
        <v>Prep IDs</v>
      </c>
      <c r="C95" s="13" t="s">
        <v>808</v>
      </c>
      <c r="D95" s="13"/>
      <c r="E95" s="61" t="str">
        <f t="shared" ca="1" si="19"/>
        <v>Attack Steps</v>
      </c>
      <c r="F95" s="61" t="str">
        <f t="shared" ca="1" si="20"/>
        <v>C</v>
      </c>
      <c r="G95" s="61" t="str">
        <f t="shared" ca="1" si="21"/>
        <v>2</v>
      </c>
      <c r="H95" s="61" cm="1">
        <f t="array" ca="1" aca="1" ref="H95">CreateID($H$36,$H:$H,$E95&lt;&gt;INDEX($E:$E,ROW()-1))</f>
        <v>5</v>
      </c>
      <c r="I95" s="61" t="str" cm="1">
        <f t="array" ca="1" aca="1" ref="I95">INDIRECT($K95)</f>
        <v>Prep IDs</v>
      </c>
      <c r="K95" s="2" t="str" cm="1">
        <f t="array" ca="1" aca="1" ref="K95">CELL("address",OFFSET('Attack Steps'!$A$2,0,ROW()-ROW($K$93)))</f>
        <v>'[QuBA-libre.xlsx]Attack Steps'!$C$2</v>
      </c>
    </row>
    <row r="96" spans="1:11" ht="30" outlineLevel="1">
      <c r="A96" s="23" t="str" cm="1">
        <f t="array" ca="1" aca="1" ref="A96">IF(INDEX($H:$H,ROW()-1)&lt;&gt;$H96,$E96,"")</f>
        <v/>
      </c>
      <c r="B96" s="71" t="str" cm="1">
        <f t="array" ca="1" aca="1" ref="B96">IF($K96="","",_xlfn.LET(_xlpm._fullName,IF($L96="",SUBSTITUTE(SUBSTITUTE(INDIRECT($K96),CHAR(10)," "),"  "," "),$L96),_xlpm._truncatedName,IF(LEN(_xlpm._fullName)&gt;250,LEFT(_xlpm._fullName,250)&amp;"[…]",_xlpm._fullName),HYPERLINK("#'"&amp;$E96&amp;"'!"&amp;$F96&amp;$G96,_xlpm._truncatedName)))</f>
        <v>Prerequisite Attack Steps</v>
      </c>
      <c r="C96" s="13" t="s">
        <v>802</v>
      </c>
      <c r="D96" s="13"/>
      <c r="E96" s="61" t="str">
        <f t="shared" ca="1" si="19"/>
        <v>Attack Steps</v>
      </c>
      <c r="F96" s="61" t="str">
        <f t="shared" ca="1" si="20"/>
        <v>D</v>
      </c>
      <c r="G96" s="61" t="str">
        <f t="shared" ca="1" si="21"/>
        <v>2</v>
      </c>
      <c r="H96" s="61" cm="1">
        <f t="array" ca="1" aca="1" ref="H96">CreateID($H$36,$H:$H,$E96&lt;&gt;INDEX($E:$E,ROW()-1))</f>
        <v>5</v>
      </c>
      <c r="I96" s="61" t="str" cm="1">
        <f t="array" ca="1" aca="1" ref="I96">INDIRECT($K96)</f>
        <v>Prerequisite Attack Steps</v>
      </c>
      <c r="K96" s="2" t="str" cm="1">
        <f t="array" ca="1" aca="1" ref="K96">CELL("address",OFFSET('Attack Steps'!$A$2,0,ROW()-ROW($K$93)))</f>
        <v>'[QuBA-libre.xlsx]Attack Steps'!$D$2</v>
      </c>
    </row>
    <row r="97" spans="1:11" ht="45" outlineLevel="1">
      <c r="A97" s="23" t="str" cm="1">
        <f t="array" ca="1" aca="1" ref="A97">IF(INDEX($H:$H,ROW()-1)&lt;&gt;$H97,$E97,"")</f>
        <v/>
      </c>
      <c r="B97" s="71" t="str" cm="1">
        <f t="array" ca="1" aca="1" ref="B97">IF($K97="","",_xlfn.LET(_xlpm._fullName,IF($L97="",SUBSTITUTE(SUBSTITUTE(INDIRECT($K97),CHAR(10)," "),"  "," "),$L97),_xlpm._truncatedName,IF(LEN(_xlpm._fullName)&gt;250,LEFT(_xlpm._fullName,250)&amp;"[…]",_xlpm._fullName),HYPERLINK("#'"&amp;$E97&amp;"'!"&amp;$F97&amp;$G97,_xlpm._truncatedName)))</f>
        <v>Q IDs</v>
      </c>
      <c r="C97" s="13" t="s">
        <v>1309</v>
      </c>
      <c r="D97" s="13" t="s">
        <v>1310</v>
      </c>
      <c r="E97" s="61" t="str">
        <f t="shared" ca="1" si="19"/>
        <v>Attack Steps</v>
      </c>
      <c r="F97" s="61" t="str">
        <f t="shared" ca="1" si="20"/>
        <v>E</v>
      </c>
      <c r="G97" s="61" t="str">
        <f t="shared" ca="1" si="21"/>
        <v>2</v>
      </c>
      <c r="H97" s="61" cm="1">
        <f t="array" ca="1" aca="1" ref="H97">CreateID($H$36,$H:$H,$E97&lt;&gt;INDEX($E:$E,ROW()-1))</f>
        <v>5</v>
      </c>
      <c r="I97" s="61" t="str" cm="1">
        <f t="array" ca="1" aca="1" ref="I97">INDIRECT($K97)</f>
        <v>Q IDs</v>
      </c>
      <c r="K97" s="2" t="str" cm="1">
        <f t="array" ca="1" aca="1" ref="K97">CELL("address",OFFSET('Attack Steps'!$A$2,0,ROW()-ROW($K$93)))</f>
        <v>'[QuBA-libre.xlsx]Attack Steps'!$E$2</v>
      </c>
    </row>
    <row r="98" spans="1:11" ht="15" outlineLevel="1">
      <c r="A98" s="23" t="str" cm="1">
        <f t="array" ca="1" aca="1" ref="A98">IF(INDEX($H:$H,ROW()-1)&lt;&gt;$H98,$E98,"")</f>
        <v/>
      </c>
      <c r="B98" s="71" t="str" cm="1">
        <f t="array" ca="1" aca="1" ref="B98">IF($K98="","",_xlfn.LET(_xlpm._fullName,IF($L98="",SUBSTITUTE(SUBSTITUTE(INDIRECT($K98),CHAR(10)," "),"  "," "),$L98),_xlpm._truncatedName,IF(LEN(_xlpm._fullName)&gt;250,LEFT(_xlpm._fullName,250)&amp;"[…]",_xlpm._fullName),HYPERLINK("#'"&amp;$E98&amp;"'!"&amp;$F98&amp;$G98,_xlpm._truncatedName)))</f>
        <v>Related Question (for damage scenarios)</v>
      </c>
      <c r="C98" s="13" t="s">
        <v>801</v>
      </c>
      <c r="D98" s="13"/>
      <c r="E98" s="61" t="str">
        <f t="shared" ca="1" si="19"/>
        <v>Attack Steps</v>
      </c>
      <c r="F98" s="61" t="str">
        <f t="shared" ca="1" si="20"/>
        <v>F</v>
      </c>
      <c r="G98" s="61" t="str">
        <f t="shared" ca="1" si="21"/>
        <v>2</v>
      </c>
      <c r="H98" s="61" cm="1">
        <f t="array" ca="1" aca="1" ref="H98">CreateID($H$36,$H:$H,$E98&lt;&gt;INDEX($E:$E,ROW()-1))</f>
        <v>5</v>
      </c>
      <c r="I98" s="61" t="str" cm="1">
        <f t="array" ca="1" aca="1" ref="I98">INDIRECT($K98)</f>
        <v>Related Question (for damage scenarios)</v>
      </c>
      <c r="K98" s="2" t="str" cm="1">
        <f t="array" ca="1" aca="1" ref="K98">CELL("address",OFFSET('Attack Steps'!$A$2,0,ROW()-ROW($K$93)))</f>
        <v>'[QuBA-libre.xlsx]Attack Steps'!$F$2</v>
      </c>
    </row>
    <row r="99" spans="1:11" ht="30" outlineLevel="1">
      <c r="A99" s="23" t="str" cm="1">
        <f t="array" ca="1" aca="1" ref="A99">IF(INDEX($H:$H,ROW()-1)&lt;&gt;$H99,$E99,"")</f>
        <v/>
      </c>
      <c r="B99" s="71" t="str" cm="1">
        <f t="array" ca="1" aca="1" ref="B99">IF($K99="","",_xlfn.LET(_xlpm._fullName,IF($L99="",SUBSTITUTE(SUBSTITUTE(INDIRECT($K99),CHAR(10)," "),"  "," "),$L99),_xlpm._truncatedName,IF(LEN(_xlpm._fullName)&gt;250,LEFT(_xlpm._fullName,250)&amp;"[…]",_xlpm._fullName),HYPERLINK("#'"&amp;$E99&amp;"'!"&amp;$F99&amp;$G99,_xlpm._truncatedName)))</f>
        <v>Active Damage Scenarios</v>
      </c>
      <c r="C99" s="13" t="s">
        <v>800</v>
      </c>
      <c r="D99" s="13"/>
      <c r="E99" s="61" t="str">
        <f t="shared" ca="1" si="19"/>
        <v>Attack Steps</v>
      </c>
      <c r="F99" s="61" t="str">
        <f t="shared" ca="1" si="20"/>
        <v>G</v>
      </c>
      <c r="G99" s="61" t="str">
        <f t="shared" ca="1" si="21"/>
        <v>2</v>
      </c>
      <c r="H99" s="61" cm="1">
        <f t="array" ca="1" aca="1" ref="H99">CreateID($H$36,$H:$H,$E99&lt;&gt;INDEX($E:$E,ROW()-1))</f>
        <v>5</v>
      </c>
      <c r="I99" s="61" t="str" cm="1">
        <f t="array" ca="1" aca="1" ref="I99">INDIRECT($K99)</f>
        <v>Active Damage Scenarios</v>
      </c>
      <c r="K99" s="2" t="str" cm="1">
        <f t="array" ca="1" aca="1" ref="K99">CELL("address",OFFSET('Attack Steps'!$A$2,0,ROW()-ROW($K$93)))</f>
        <v>'[QuBA-libre.xlsx]Attack Steps'!$G$2</v>
      </c>
    </row>
    <row r="100" spans="1:11" ht="15" outlineLevel="1">
      <c r="A100" s="23" t="str" cm="1">
        <f t="array" ca="1" aca="1" ref="A100">IF(INDEX($H:$H,ROW()-1)&lt;&gt;$H100,$E100,"")</f>
        <v/>
      </c>
      <c r="B100" s="71" t="str" cm="1">
        <f t="array" ca="1" aca="1" ref="B100">IF($K100="","",_xlfn.LET(_xlpm._fullName,IF($L100="",SUBSTITUTE(SUBSTITUTE(INDIRECT($K100),CHAR(10)," "),"  "," "),$L100),_xlpm._truncatedName,IF(LEN(_xlpm._fullName)&gt;250,LEFT(_xlpm._fullName,250)&amp;"[…]",_xlpm._fullName),HYPERLINK("#'"&amp;$E100&amp;"'!"&amp;$F100&amp;$G100,_xlpm._truncatedName)))</f>
        <v>Elapsed Time</v>
      </c>
      <c r="C100" s="13" t="s">
        <v>803</v>
      </c>
      <c r="D100" s="13"/>
      <c r="E100" s="61" t="str">
        <f t="shared" ca="1" si="19"/>
        <v>Attack Steps</v>
      </c>
      <c r="F100" s="61" t="str">
        <f t="shared" ca="1" si="20"/>
        <v>H</v>
      </c>
      <c r="G100" s="61" t="str">
        <f t="shared" ca="1" si="21"/>
        <v>2</v>
      </c>
      <c r="H100" s="61" cm="1">
        <f t="array" ca="1" aca="1" ref="H100">CreateID($H$36,$H:$H,$E100&lt;&gt;INDEX($E:$E,ROW()-1))</f>
        <v>5</v>
      </c>
      <c r="I100" s="61" t="str" cm="1">
        <f t="array" ca="1" aca="1" ref="I100">INDIRECT($K100)</f>
        <v>Elapsed Time</v>
      </c>
      <c r="K100" s="2" t="str" cm="1">
        <f t="array" ca="1" aca="1" ref="K100">CELL("address",OFFSET('Attack Steps'!$A$2,0,ROW()-ROW($K$93)))</f>
        <v>'[QuBA-libre.xlsx]Attack Steps'!$H$2</v>
      </c>
    </row>
    <row r="101" spans="1:11" ht="15" outlineLevel="1">
      <c r="A101" s="23" t="str" cm="1">
        <f t="array" ca="1" aca="1" ref="A101">IF(INDEX($H:$H,ROW()-1)&lt;&gt;$H101,$E101,"")</f>
        <v/>
      </c>
      <c r="B101" s="71" t="str" cm="1">
        <f t="array" ca="1" aca="1" ref="B101">IF($K101="","",_xlfn.LET(_xlpm._fullName,IF($L101="",SUBSTITUTE(SUBSTITUTE(INDIRECT($K101),CHAR(10)," "),"  "," "),$L101),_xlpm._truncatedName,IF(LEN(_xlpm._fullName)&gt;250,LEFT(_xlpm._fullName,250)&amp;"[…]",_xlpm._fullName),HYPERLINK("#'"&amp;$E101&amp;"'!"&amp;$F101&amp;$G101,_xlpm._truncatedName)))</f>
        <v>Expertise</v>
      </c>
      <c r="C101" s="13" t="s">
        <v>804</v>
      </c>
      <c r="D101" s="13"/>
      <c r="E101" s="61" t="str">
        <f t="shared" ca="1" si="19"/>
        <v>Attack Steps</v>
      </c>
      <c r="F101" s="61" t="str">
        <f t="shared" ca="1" si="20"/>
        <v>I</v>
      </c>
      <c r="G101" s="61" t="str">
        <f t="shared" ca="1" si="21"/>
        <v>2</v>
      </c>
      <c r="H101" s="61" cm="1">
        <f t="array" ca="1" aca="1" ref="H101">CreateID($H$36,$H:$H,$E101&lt;&gt;INDEX($E:$E,ROW()-1))</f>
        <v>5</v>
      </c>
      <c r="I101" s="61" t="str" cm="1">
        <f t="array" ca="1" aca="1" ref="I101">INDIRECT($K101)</f>
        <v>Expertise</v>
      </c>
      <c r="K101" s="2" t="str" cm="1">
        <f t="array" ca="1" aca="1" ref="K101">CELL("address",OFFSET('Attack Steps'!$A$2,0,ROW()-ROW($K$93)))</f>
        <v>'[QuBA-libre.xlsx]Attack Steps'!$I$2</v>
      </c>
    </row>
    <row r="102" spans="1:11" ht="15" outlineLevel="1">
      <c r="A102" s="23" t="str" cm="1">
        <f t="array" ca="1" aca="1" ref="A102">IF(INDEX($H:$H,ROW()-1)&lt;&gt;$H102,$E102,"")</f>
        <v/>
      </c>
      <c r="B102" s="71" t="str" cm="1">
        <f t="array" ca="1" aca="1" ref="B102">IF($K102="","",_xlfn.LET(_xlpm._fullName,IF($L102="",SUBSTITUTE(SUBSTITUTE(INDIRECT($K102),CHAR(10)," "),"  "," "),$L102),_xlpm._truncatedName,IF(LEN(_xlpm._fullName)&gt;250,LEFT(_xlpm._fullName,250)&amp;"[…]",_xlpm._fullName),HYPERLINK("#'"&amp;$E102&amp;"'!"&amp;$F102&amp;$G102,_xlpm._truncatedName)))</f>
        <v>Knowledge of TOE</v>
      </c>
      <c r="C102" s="13" t="s">
        <v>805</v>
      </c>
      <c r="D102" s="13"/>
      <c r="E102" s="61" t="str">
        <f t="shared" ca="1" si="19"/>
        <v>Attack Steps</v>
      </c>
      <c r="F102" s="61" t="str">
        <f t="shared" ca="1" si="20"/>
        <v>J</v>
      </c>
      <c r="G102" s="61" t="str">
        <f t="shared" ca="1" si="21"/>
        <v>2</v>
      </c>
      <c r="H102" s="61" cm="1">
        <f t="array" ca="1" aca="1" ref="H102">CreateID($H$36,$H:$H,$E102&lt;&gt;INDEX($E:$E,ROW()-1))</f>
        <v>5</v>
      </c>
      <c r="I102" s="61" t="str" cm="1">
        <f t="array" ca="1" aca="1" ref="I102">INDIRECT($K102)</f>
        <v>Knowledge of TOE</v>
      </c>
      <c r="K102" s="2" t="str" cm="1">
        <f t="array" ca="1" aca="1" ref="K102">CELL("address",OFFSET('Attack Steps'!$A$2,0,ROW()-ROW($K$93)))</f>
        <v>'[QuBA-libre.xlsx]Attack Steps'!$J$2</v>
      </c>
    </row>
    <row r="103" spans="1:11" ht="15" outlineLevel="1">
      <c r="A103" s="23" t="str" cm="1">
        <f t="array" ca="1" aca="1" ref="A103">IF(INDEX($H:$H,ROW()-1)&lt;&gt;$H103,$E103,"")</f>
        <v/>
      </c>
      <c r="B103" s="71" t="str" cm="1">
        <f t="array" ca="1" aca="1" ref="B103">IF($K103="","",_xlfn.LET(_xlpm._fullName,IF($L103="",SUBSTITUTE(SUBSTITUTE(INDIRECT($K103),CHAR(10)," "),"  "," "),$L103),_xlpm._truncatedName,IF(LEN(_xlpm._fullName)&gt;250,LEFT(_xlpm._fullName,250)&amp;"[…]",_xlpm._fullName),HYPERLINK("#'"&amp;$E103&amp;"'!"&amp;$F103&amp;$G103,_xlpm._truncatedName)))</f>
        <v>Window of Opportunity</v>
      </c>
      <c r="C103" s="13" t="s">
        <v>806</v>
      </c>
      <c r="D103" s="13"/>
      <c r="E103" s="61" t="str">
        <f t="shared" ca="1" si="19"/>
        <v>Attack Steps</v>
      </c>
      <c r="F103" s="61" t="str">
        <f t="shared" ca="1" si="20"/>
        <v>K</v>
      </c>
      <c r="G103" s="61" t="str">
        <f t="shared" ca="1" si="21"/>
        <v>2</v>
      </c>
      <c r="H103" s="61" cm="1">
        <f t="array" ca="1" aca="1" ref="H103">CreateID($H$36,$H:$H,$E103&lt;&gt;INDEX($E:$E,ROW()-1))</f>
        <v>5</v>
      </c>
      <c r="I103" s="61" t="str" cm="1">
        <f t="array" ca="1" aca="1" ref="I103">INDIRECT($K103)</f>
        <v>Window of Opportunity</v>
      </c>
      <c r="K103" s="2" t="str" cm="1">
        <f t="array" ca="1" aca="1" ref="K103">CELL("address",OFFSET('Attack Steps'!$A$2,0,ROW()-ROW($K$93)))</f>
        <v>'[QuBA-libre.xlsx]Attack Steps'!$K$2</v>
      </c>
    </row>
    <row r="104" spans="1:11" ht="15" outlineLevel="1">
      <c r="A104" s="23" t="str" cm="1">
        <f t="array" ca="1" aca="1" ref="A104">IF(INDEX($H:$H,ROW()-1)&lt;&gt;$H104,$E104,"")</f>
        <v/>
      </c>
      <c r="B104" s="71" t="str" cm="1">
        <f t="array" ca="1" aca="1" ref="B104">IF($K104="","",_xlfn.LET(_xlpm._fullName,IF($L104="",SUBSTITUTE(SUBSTITUTE(INDIRECT($K104),CHAR(10)," "),"  "," "),$L104),_xlpm._truncatedName,IF(LEN(_xlpm._fullName)&gt;250,LEFT(_xlpm._fullName,250)&amp;"[…]",_xlpm._fullName),HYPERLINK("#'"&amp;$E104&amp;"'!"&amp;$F104&amp;$G104,_xlpm._truncatedName)))</f>
        <v>Equipment</v>
      </c>
      <c r="C104" s="13" t="s">
        <v>807</v>
      </c>
      <c r="D104" s="13"/>
      <c r="E104" s="61" t="str">
        <f t="shared" ca="1" si="19"/>
        <v>Attack Steps</v>
      </c>
      <c r="F104" s="61" t="str">
        <f t="shared" ca="1" si="20"/>
        <v>L</v>
      </c>
      <c r="G104" s="61" t="str">
        <f t="shared" ca="1" si="21"/>
        <v>2</v>
      </c>
      <c r="H104" s="61" cm="1">
        <f t="array" ca="1" aca="1" ref="H104">CreateID($H$36,$H:$H,$E104&lt;&gt;INDEX($E:$E,ROW()-1))</f>
        <v>5</v>
      </c>
      <c r="I104" s="61" t="str" cm="1">
        <f t="array" ca="1" aca="1" ref="I104">INDIRECT($K104)</f>
        <v>Equipment</v>
      </c>
      <c r="K104" s="2" t="str" cm="1">
        <f t="array" ca="1" aca="1" ref="K104">CELL("address",OFFSET('Attack Steps'!$A$2,0,ROW()-ROW($K$93)))</f>
        <v>'[QuBA-libre.xlsx]Attack Steps'!$L$2</v>
      </c>
    </row>
    <row r="105" spans="1:11" ht="15" outlineLevel="1">
      <c r="A105" s="23" t="str" cm="1">
        <f t="array" ca="1" aca="1" ref="A105">IF(INDEX($H:$H,ROW()-1)&lt;&gt;$H105,$E105,"")</f>
        <v/>
      </c>
      <c r="B105" s="71" t="str" cm="1">
        <f t="array" ca="1" aca="1" ref="B105">IF($K105="","",_xlfn.LET(_xlpm._fullName,IF($L105="",SUBSTITUTE(SUBSTITUTE(INDIRECT($K105),CHAR(10)," "),"  "," "),$L105),_xlpm._truncatedName,IF(LEN(_xlpm._fullName)&gt;250,LEFT(_xlpm._fullName,250)&amp;"[…]",_xlpm._fullName),HYPERLINK("#'"&amp;$E105&amp;"'!"&amp;$F105&amp;$G105,_xlpm._truncatedName)))</f>
        <v>RAP</v>
      </c>
      <c r="C105" s="13" t="s">
        <v>819</v>
      </c>
      <c r="D105" s="13"/>
      <c r="E105" s="61" t="str">
        <f t="shared" ca="1" si="19"/>
        <v>Attack Steps</v>
      </c>
      <c r="F105" s="61" t="str">
        <f t="shared" ca="1" si="20"/>
        <v>M</v>
      </c>
      <c r="G105" s="61" t="str">
        <f t="shared" ca="1" si="21"/>
        <v>2</v>
      </c>
      <c r="H105" s="61" cm="1">
        <f t="array" ca="1" aca="1" ref="H105">CreateID($H$36,$H:$H,$E105&lt;&gt;INDEX($E:$E,ROW()-1))</f>
        <v>5</v>
      </c>
      <c r="I105" s="61" t="str" cm="1">
        <f t="array" ca="1" aca="1" ref="I105">INDIRECT($K105)</f>
        <v>RAP</v>
      </c>
      <c r="K105" s="2" t="str" cm="1">
        <f t="array" ca="1" aca="1" ref="K105">CELL("address",OFFSET('Attack Steps'!$A$2,0,ROW()-ROW($K$93)))</f>
        <v>'[QuBA-libre.xlsx]Attack Steps'!$M$2</v>
      </c>
    </row>
    <row r="106" spans="1:11" ht="45" outlineLevel="1">
      <c r="A106" s="23" t="str" cm="1">
        <f t="array" ca="1" aca="1" ref="A106">IF(INDEX($H:$H,ROW()-1)&lt;&gt;$H106,$E106,"")</f>
        <v/>
      </c>
      <c r="B106" s="71" t="str" cm="1">
        <f t="array" ca="1" aca="1" ref="B106">IF($K106="","",_xlfn.LET(_xlpm._fullName,IF($L106="",SUBSTITUTE(SUBSTITUTE(INDIRECT($K106),CHAR(10)," "),"  "," "),$L106),_xlpm._truncatedName,IF(LEN(_xlpm._fullName)&gt;250,LEFT(_xlpm._fullName,250)&amp;"[…]",_xlpm._fullName),HYPERLINK("#'"&amp;$E106&amp;"'!"&amp;$F106&amp;$G106,_xlpm._truncatedName)))</f>
        <v>Required answers for this attack step</v>
      </c>
      <c r="C106" s="13" t="s">
        <v>1670</v>
      </c>
      <c r="D106" s="13" t="s">
        <v>1308</v>
      </c>
      <c r="E106" s="61" t="str">
        <f t="shared" ca="1" si="19"/>
        <v>Attack Steps</v>
      </c>
      <c r="F106" s="61" t="str">
        <f t="shared" ca="1" si="20"/>
        <v>N</v>
      </c>
      <c r="G106" s="61" t="str">
        <f t="shared" ca="1" si="21"/>
        <v>2</v>
      </c>
      <c r="H106" s="61" cm="1">
        <f t="array" ca="1" aca="1" ref="H106">CreateID($H$36,$H:$H,$E106&lt;&gt;INDEX($E:$E,ROW()-1))</f>
        <v>5</v>
      </c>
      <c r="I106" s="61" t="str" cm="1">
        <f t="array" ca="1" aca="1" ref="I106">INDIRECT($K106)</f>
        <v>Required answers for this attack step</v>
      </c>
      <c r="K106" s="2" t="str" cm="1">
        <f t="array" ca="1" aca="1" ref="K106">CELL("address",OFFSET('Attack Steps'!$A$2,0,ROW()-ROW($K$93)))</f>
        <v>'[QuBA-libre.xlsx]Attack Steps'!$N$2</v>
      </c>
    </row>
    <row r="107" spans="1:11" ht="30" outlineLevel="1">
      <c r="A107" s="23" t="str" cm="1">
        <f t="array" ca="1" aca="1" ref="A107">IF(INDEX($H:$H,ROW()-1)&lt;&gt;$H107,$E107,"")</f>
        <v/>
      </c>
      <c r="B107" s="71" t="str" cm="1">
        <f t="array" ca="1" aca="1" ref="B107">IF($K107="","",_xlfn.LET(_xlpm._fullName,IF($L107="",SUBSTITUTE(SUBSTITUTE(INDIRECT($K107),CHAR(10)," "),"  "," "),$L107),_xlpm._truncatedName,IF(LEN(_xlpm._fullName)&gt;250,LEFT(_xlpm._fullName,250)&amp;"[…]",_xlpm._fullName),HYPERLINK("#'"&amp;$E107&amp;"'!"&amp;$F107&amp;$G107,_xlpm._truncatedName)))</f>
        <v>Mapping to CRA, Annex I (1.2)</v>
      </c>
      <c r="C107" s="13" t="s">
        <v>1686</v>
      </c>
      <c r="D107" s="13"/>
      <c r="E107" s="61" t="str">
        <f t="shared" ca="1" si="19"/>
        <v>Attack Steps</v>
      </c>
      <c r="F107" s="61" t="str">
        <f t="shared" ca="1" si="20"/>
        <v>O</v>
      </c>
      <c r="G107" s="61" t="str">
        <f t="shared" ca="1" si="21"/>
        <v>2</v>
      </c>
      <c r="H107" s="61" cm="1">
        <f t="array" ca="1" aca="1" ref="H107">CreateID($H$36,$H:$H,$E107&lt;&gt;INDEX($E:$E,ROW()-1))</f>
        <v>5</v>
      </c>
      <c r="I107" s="61" t="str" cm="1">
        <f t="array" ca="1" aca="1" ref="I107">INDIRECT($K107)</f>
        <v>Mapping to CRA, Annex I (1.2)</v>
      </c>
      <c r="K107" s="2" t="str" cm="1">
        <f t="array" ca="1" aca="1" ref="K107">CELL("address",OFFSET('Attack Steps'!$A$2,0,ROW()-ROW($K$93)))</f>
        <v>'[QuBA-libre.xlsx]Attack Steps'!$O$2</v>
      </c>
    </row>
    <row r="108" spans="1:11" ht="15" outlineLevel="1">
      <c r="A108" s="23" t="str" cm="1">
        <f t="array" ca="1" aca="1" ref="A108">IF(INDEX($H:$H,ROW()-1)&lt;&gt;$H108,$E108,"")</f>
        <v/>
      </c>
      <c r="B108" s="71" t="str" cm="1">
        <f t="array" ca="1" aca="1" ref="B108">IF($K108="","",_xlfn.LET(_xlpm._fullName,IF($L108="",SUBSTITUTE(SUBSTITUTE(INDIRECT($K108),CHAR(10)," "),"  "," "),$L108),_xlpm._truncatedName,IF(LEN(_xlpm._fullName)&gt;250,LEFT(_xlpm._fullName,250)&amp;"[…]",_xlpm._fullName),HYPERLINK("#'"&amp;$E108&amp;"'!"&amp;$F108&amp;$G108,_xlpm._truncatedName)))</f>
        <v>Comment</v>
      </c>
      <c r="C108" s="13" t="s">
        <v>809</v>
      </c>
      <c r="D108" s="13"/>
      <c r="E108" s="61" t="str">
        <f ca="1">IF($K108="","",_xlfn.LET(_xlpm._in,$K108,_xlpm._start,FIND("]",_xlpm._in)+1,SUBSTITUTE(MID(_xlpm._in,_xlpm._start,FIND("!",_xlpm._in)-_xlpm._start),"'","")))</f>
        <v>Attack Steps</v>
      </c>
      <c r="F108" s="61" t="str">
        <f ca="1">IF($K108="","",_xlfn.LET(_xlpm._in,SUBSTITUTE($K108,"$","§",1),_xlpm._start,FIND("§",_xlpm._in)+1,SUBSTITUTE(MID(_xlpm._in,_xlpm._start,FIND("$",_xlpm._in)-_xlpm._start),"'","")))</f>
        <v>P</v>
      </c>
      <c r="G108" s="61" t="str">
        <f ca="1">IF($K108="","",RIGHT($K108,LEN($K108)-FIND("$",SUBSTITUTE($K108,"$","§",1))))</f>
        <v>2</v>
      </c>
      <c r="H108" s="61" cm="1">
        <f t="array" ca="1" aca="1" ref="H108">CreateID($H$36,$H:$H,$E108&lt;&gt;INDEX($E:$E,ROW()-1))</f>
        <v>5</v>
      </c>
      <c r="I108" s="61" t="str" cm="1">
        <f t="array" ca="1" aca="1" ref="I108">INDIRECT($K108)</f>
        <v>Comment</v>
      </c>
      <c r="K108" s="2" t="str" cm="1">
        <f t="array" ca="1" aca="1" ref="K108">CELL("address",OFFSET('Attack Steps'!$A$2,0,ROW()-ROW($K$93)))</f>
        <v>'[QuBA-libre.xlsx]Attack Steps'!$P$2</v>
      </c>
    </row>
    <row r="109" spans="1:11" ht="15">
      <c r="A109" s="23" t="str" cm="1">
        <f t="array" ca="1" aca="1" ref="A109">IF(INDEX($H:$H,ROW()-1)&lt;&gt;$H109,$E109,"")</f>
        <v>Assumptions</v>
      </c>
      <c r="B109" s="71" t="str" cm="1">
        <f t="array" ca="1" aca="1" ref="B109">IF($K109="","",_xlfn.LET(_xlpm._fullName,IF($L109="",SUBSTITUTE(SUBSTITUTE(INDIRECT($K109),CHAR(10)," "),"  "," "),$L109),_xlpm._truncatedName,IF(LEN(_xlpm._fullName)&gt;250,LEFT(_xlpm._fullName,250)&amp;"[…]",_xlpm._fullName),HYPERLINK("#'"&amp;$E109&amp;"'!"&amp;$F109&amp;$G109,_xlpm._truncatedName)))</f>
        <v>ID</v>
      </c>
      <c r="C109" s="13" t="s">
        <v>848</v>
      </c>
      <c r="D109" s="13"/>
      <c r="E109" s="61" t="str">
        <f ca="1" t="shared" si="22" ref="E109:E126">IF($K109="","",_xlfn.LET(_xlpm._in,$K109,_xlpm._start,FIND("]",_xlpm._in)+1,SUBSTITUTE(MID(_xlpm._in,_xlpm._start,FIND("!",_xlpm._in)-_xlpm._start),"'","")))</f>
        <v>Assumptions</v>
      </c>
      <c r="F109" s="61" t="str">
        <f ca="1" t="shared" si="23" ref="F109:F126">IF($K109="","",_xlfn.LET(_xlpm._in,SUBSTITUTE($K109,"$","§",1),_xlpm._start,FIND("§",_xlpm._in)+1,SUBSTITUTE(MID(_xlpm._in,_xlpm._start,FIND("$",_xlpm._in)-_xlpm._start),"'","")))</f>
        <v>A</v>
      </c>
      <c r="G109" s="61" t="str">
        <f ca="1" t="shared" si="24" ref="G109:G126">IF($K109="","",RIGHT($K109,LEN($K109)-FIND("$",SUBSTITUTE($K109,"$","§",1))))</f>
        <v>3</v>
      </c>
      <c r="H109" s="61" cm="1">
        <f t="array" ca="1" aca="1" ref="H109">CreateID($H$36,$H:$H,$E109&lt;&gt;INDEX($E:$E,ROW()-1))</f>
        <v>6</v>
      </c>
      <c r="I109" s="61" t="str" cm="1">
        <f t="array" ca="1" aca="1" ref="I109">INDIRECT($K109)</f>
        <v>ID</v>
      </c>
      <c r="K109" s="2" t="str" cm="1">
        <f t="array" ca="1" aca="1" ref="K109">CELL("address",OFFSET(Assumptions!$A$3,0,ROW()-ROW($K$109)))</f>
        <v>'[QuBA-libre.xlsx]Assumptions'!$A$3</v>
      </c>
    </row>
    <row r="110" spans="1:11" ht="45" outlineLevel="1">
      <c r="A110" s="23" t="str" cm="1">
        <f t="array" ca="1" aca="1" ref="A110">IF(INDEX($H:$H,ROW()-1)&lt;&gt;$H110,$E110,"")</f>
        <v/>
      </c>
      <c r="B110" s="71" t="str" cm="1">
        <f t="array" ca="1" aca="1" ref="B110">IF($K110="","",_xlfn.LET(_xlpm._fullName,IF($L110="",SUBSTITUTE(SUBSTITUTE(INDIRECT($K110),CHAR(10)," "),"  "," "),$L110),_xlpm._truncatedName,IF(LEN(_xlpm._fullName)&gt;250,LEFT(_xlpm._fullName,250)&amp;"[…]",_xlpm._fullName),HYPERLINK("#'"&amp;$E110&amp;"'!"&amp;$F110&amp;$G110,_xlpm._truncatedName)))</f>
        <v>Assumption</v>
      </c>
      <c r="C110" s="13" t="s">
        <v>1779</v>
      </c>
      <c r="D110" s="13"/>
      <c r="E110" s="61" t="str">
        <f t="shared" ca="1" si="22"/>
        <v>Assumptions</v>
      </c>
      <c r="F110" s="61" t="str">
        <f t="shared" ca="1" si="23"/>
        <v>B</v>
      </c>
      <c r="G110" s="61" t="str">
        <f t="shared" ca="1" si="24"/>
        <v>3</v>
      </c>
      <c r="H110" s="61" cm="1">
        <f t="array" ca="1" aca="1" ref="H110">CreateID($H$36,$H:$H,$E110&lt;&gt;INDEX($E:$E,ROW()-1))</f>
        <v>6</v>
      </c>
      <c r="I110" s="61" t="str" cm="1">
        <f t="array" ca="1" aca="1" ref="I110">INDIRECT($K110)</f>
        <v>Assumption</v>
      </c>
      <c r="K110" s="2" t="str" cm="1">
        <f t="array" ca="1" aca="1" ref="K110">CELL("address",OFFSET(Assumptions!$A$3,0,ROW()-ROW($K$109)))</f>
        <v>'[QuBA-libre.xlsx]Assumptions'!$B$3</v>
      </c>
    </row>
    <row r="111" spans="1:11" ht="15" outlineLevel="1">
      <c r="A111" s="23" t="str" cm="1">
        <f t="array" ca="1" aca="1" ref="A111">IF(INDEX($H:$H,ROW()-1)&lt;&gt;$H111,$E111,"")</f>
        <v/>
      </c>
      <c r="B111" s="71" t="str" cm="1">
        <f t="array" ca="1" aca="1" ref="B111">IF($K111="","",_xlfn.LET(_xlpm._fullName,IF($L111="",SUBSTITUTE(SUBSTITUTE(INDIRECT($K111),CHAR(10)," "),"  "," "),$L111),_xlpm._truncatedName,IF(LEN(_xlpm._fullName)&gt;250,LEFT(_xlpm._fullName,250)&amp;"[…]",_xlpm._fullName),HYPERLINK("#'"&amp;$E111&amp;"'!"&amp;$F111&amp;$G111,_xlpm._truncatedName)))</f>
        <v>Description</v>
      </c>
      <c r="C111" s="13" t="s">
        <v>810</v>
      </c>
      <c r="D111" s="13"/>
      <c r="E111" s="61" t="str">
        <f t="shared" ca="1" si="22"/>
        <v>Assumptions</v>
      </c>
      <c r="F111" s="61" t="str">
        <f t="shared" ca="1" si="23"/>
        <v>C</v>
      </c>
      <c r="G111" s="61" t="str">
        <f t="shared" ca="1" si="24"/>
        <v>3</v>
      </c>
      <c r="H111" s="61" cm="1">
        <f t="array" ca="1" aca="1" ref="H111">CreateID($H$36,$H:$H,$E111&lt;&gt;INDEX($E:$E,ROW()-1))</f>
        <v>6</v>
      </c>
      <c r="I111" s="61" t="str" cm="1">
        <f t="array" ca="1" aca="1" ref="I111">INDIRECT($K111)</f>
        <v>Description</v>
      </c>
      <c r="K111" s="2" t="str" cm="1">
        <f t="array" ca="1" aca="1" ref="K111">CELL("address",OFFSET(Assumptions!$A$3,0,ROW()-ROW($K$109)))</f>
        <v>'[QuBA-libre.xlsx]Assumptions'!$C$3</v>
      </c>
    </row>
    <row r="112" spans="1:11" ht="30" outlineLevel="1">
      <c r="A112" s="23" t="str" cm="1">
        <f t="array" ca="1" aca="1" ref="A112">IF(INDEX($H:$H,ROW()-1)&lt;&gt;$H112,$E112,"")</f>
        <v/>
      </c>
      <c r="B112" s="71" t="str" cm="1">
        <f t="array" ca="1" aca="1" ref="B112">IF($K112="","",_xlfn.LET(_xlpm._fullName,IF($L112="",SUBSTITUTE(SUBSTITUTE(INDIRECT($K112),CHAR(10)," "),"  "," "),$L112),_xlpm._truncatedName,IF(LEN(_xlpm._fullName)&gt;250,LEFT(_xlpm._fullName,250)&amp;"[…]",_xlpm._fullName),HYPERLINK("#'"&amp;$E112&amp;"'!"&amp;$F112&amp;$G112,_xlpm._truncatedName)))</f>
        <v>Requirements</v>
      </c>
      <c r="C112" s="13" t="s">
        <v>1544</v>
      </c>
      <c r="D112" s="13"/>
      <c r="E112" s="61" t="str">
        <f ca="1">IF($K112="","",_xlfn.LET(_xlpm._in,$K112,_xlpm._start,FIND("]",_xlpm._in)+1,SUBSTITUTE(MID(_xlpm._in,_xlpm._start,FIND("!",_xlpm._in)-_xlpm._start),"'","")))</f>
        <v>Assumptions</v>
      </c>
      <c r="F112" s="61" t="str">
        <f ca="1">IF($K112="","",_xlfn.LET(_xlpm._in,SUBSTITUTE($K112,"$","§",1),_xlpm._start,FIND("§",_xlpm._in)+1,SUBSTITUTE(MID(_xlpm._in,_xlpm._start,FIND("$",_xlpm._in)-_xlpm._start),"'","")))</f>
        <v>D</v>
      </c>
      <c r="G112" s="61" t="str">
        <f ca="1">IF($K112="","",RIGHT($K112,LEN($K112)-FIND("$",SUBSTITUTE($K112,"$","§",1))))</f>
        <v>3</v>
      </c>
      <c r="H112" s="61" cm="1">
        <f t="array" ca="1" aca="1" ref="H112">CreateID($H$36,$H:$H,$E112&lt;&gt;INDEX($E:$E,ROW()-1))</f>
        <v>6</v>
      </c>
      <c r="I112" s="61" t="str" cm="1">
        <f t="array" ca="1" aca="1" ref="I112">INDIRECT($K112)</f>
        <v>Requirements</v>
      </c>
      <c r="K112" s="2" t="str" cm="1">
        <f t="array" ca="1" aca="1" ref="K112">CELL("address",OFFSET(Assumptions!$A$3,0,ROW()-ROW($K$109)))</f>
        <v>'[QuBA-libre.xlsx]Assumptions'!$D$3</v>
      </c>
    </row>
    <row r="113" spans="1:11" ht="45" outlineLevel="1">
      <c r="A113" s="23" t="str" cm="1">
        <f t="array" ca="1" aca="1" ref="A113">IF(INDEX($H:$H,ROW()-1)&lt;&gt;$H113,$E113,"")</f>
        <v/>
      </c>
      <c r="B113" s="71" t="str" cm="1">
        <f t="array" ca="1" aca="1" ref="B113">IF($K113="","",_xlfn.LET(_xlpm._fullName,IF($L113="",SUBSTITUTE(SUBSTITUTE(INDIRECT($K113),CHAR(10)," "),"  "," "),$L113),_xlpm._truncatedName,IF(LEN(_xlpm._fullName)&gt;250,LEFT(_xlpm._fullName,250)&amp;"[…]",_xlpm._fullName),HYPERLINK("#'"&amp;$E113&amp;"'!"&amp;$F113&amp;$G113,_xlpm._truncatedName)))</f>
        <v>Stakeholder</v>
      </c>
      <c r="C113" s="13" t="s">
        <v>811</v>
      </c>
      <c r="D113" s="13"/>
      <c r="E113" s="61" t="str">
        <f t="shared" ca="1" si="22"/>
        <v>Assumptions</v>
      </c>
      <c r="F113" s="61" t="str">
        <f t="shared" ca="1" si="23"/>
        <v>E</v>
      </c>
      <c r="G113" s="61" t="str">
        <f t="shared" ca="1" si="24"/>
        <v>3</v>
      </c>
      <c r="H113" s="61" cm="1">
        <f t="array" ca="1" aca="1" ref="H113">CreateID($H$36,$H:$H,$E113&lt;&gt;INDEX($E:$E,ROW()-1))</f>
        <v>6</v>
      </c>
      <c r="I113" s="61" t="str" cm="1">
        <f t="array" ca="1" aca="1" ref="I113">INDIRECT($K113)</f>
        <v>Stakeholder</v>
      </c>
      <c r="K113" s="2" t="str" cm="1">
        <f t="array" ca="1" aca="1" ref="K113">CELL("address",OFFSET(Assumptions!$A$3,0,ROW()-ROW($K$109)))</f>
        <v>'[QuBA-libre.xlsx]Assumptions'!$E$3</v>
      </c>
    </row>
    <row r="114" spans="1:11" ht="45" outlineLevel="1">
      <c r="A114" s="23" t="str" cm="1">
        <f t="array" ca="1" aca="1" ref="A114">IF(INDEX($H:$H,ROW()-1)&lt;&gt;$H114,$E114,"")</f>
        <v/>
      </c>
      <c r="B114" s="71" t="str" cm="1">
        <f t="array" ca="1" aca="1" ref="B114">IF($K114="","",_xlfn.LET(_xlpm._fullName,IF($L114="",SUBSTITUTE(SUBSTITUTE(INDIRECT($K114),CHAR(10)," "),"  "," "),$L114),_xlpm._truncatedName,IF(LEN(_xlpm._fullName)&gt;250,LEFT(_xlpm._fullName,250)&amp;"[…]",_xlpm._fullName),HYPERLINK("#'"&amp;$E114&amp;"'!"&amp;$F114&amp;$G114,_xlpm._truncatedName)))</f>
        <v>Answers</v>
      </c>
      <c r="C114" s="13" t="s">
        <v>1311</v>
      </c>
      <c r="D114" s="13" t="s">
        <v>1312</v>
      </c>
      <c r="E114" s="61" t="str">
        <f t="shared" ca="1" si="22"/>
        <v>Assumptions</v>
      </c>
      <c r="F114" s="61" t="str">
        <f t="shared" ca="1" si="23"/>
        <v>F</v>
      </c>
      <c r="G114" s="61" t="str">
        <f t="shared" ca="1" si="24"/>
        <v>3</v>
      </c>
      <c r="H114" s="61" cm="1">
        <f t="array" ca="1" aca="1" ref="H114">CreateID($H$36,$H:$H,$E114&lt;&gt;INDEX($E:$E,ROW()-1))</f>
        <v>6</v>
      </c>
      <c r="I114" s="61" t="str" cm="1">
        <f t="array" ca="1" aca="1" ref="I114">INDIRECT($K114)</f>
        <v>Answers</v>
      </c>
      <c r="K114" s="2" t="str" cm="1">
        <f t="array" ca="1" aca="1" ref="K114">CELL("address",OFFSET(Assumptions!$A$3,0,ROW()-ROW($K$109)))</f>
        <v>'[QuBA-libre.xlsx]Assumptions'!$F$3</v>
      </c>
    </row>
    <row r="115" spans="1:11" ht="60" outlineLevel="1">
      <c r="A115" s="23" t="str" cm="1">
        <f t="array" ca="1" aca="1" ref="A115">IF(INDEX($H:$H,ROW()-1)&lt;&gt;$H115,$E115,"")</f>
        <v/>
      </c>
      <c r="B115" s="71" t="str" cm="1">
        <f t="array" ca="1" aca="1" ref="B115">IF($K115="","",_xlfn.LET(_xlpm._fullName,IF($L115="",SUBSTITUTE(SUBSTITUTE(INDIRECT($K115),CHAR(10)," "),"  "," "),$L115),_xlpm._truncatedName,IF(LEN(_xlpm._fullName)&gt;250,LEFT(_xlpm._fullName,250)&amp;"[…]",_xlpm._fullName),HYPERLINK("#'"&amp;$E115&amp;"'!"&amp;$F115&amp;$G115,_xlpm._truncatedName)))</f>
        <v>AS IDs</v>
      </c>
      <c r="C115" s="13" t="s">
        <v>813</v>
      </c>
      <c r="D115" s="13"/>
      <c r="E115" s="61" t="str">
        <f t="shared" ca="1" si="22"/>
        <v>Assumptions</v>
      </c>
      <c r="F115" s="61" t="str">
        <f t="shared" ca="1" si="23"/>
        <v>G</v>
      </c>
      <c r="G115" s="61" t="str">
        <f t="shared" ca="1" si="24"/>
        <v>3</v>
      </c>
      <c r="H115" s="61" cm="1">
        <f t="array" ca="1" aca="1" ref="H115">CreateID($H$36,$H:$H,$E115&lt;&gt;INDEX($E:$E,ROW()-1))</f>
        <v>6</v>
      </c>
      <c r="I115" s="61" t="str" cm="1">
        <f t="array" ca="1" aca="1" ref="I115">INDIRECT($K115)</f>
        <v>AS IDs</v>
      </c>
      <c r="K115" s="2" t="str" cm="1">
        <f t="array" ca="1" aca="1" ref="K115">CELL("address",OFFSET(Assumptions!$A$3,0,ROW()-ROW($K$109)))</f>
        <v>'[QuBA-libre.xlsx]Assumptions'!$G$3</v>
      </c>
    </row>
    <row r="116" spans="1:11" ht="15" outlineLevel="1">
      <c r="A116" s="23" t="str" cm="1">
        <f t="array" ca="1" aca="1" ref="A116">IF(INDEX($H:$H,ROW()-1)&lt;&gt;$H116,$E116,"")</f>
        <v/>
      </c>
      <c r="B116" s="71" t="str" cm="1">
        <f t="array" ca="1" aca="1" ref="B116">IF($K116="","",_xlfn.LET(_xlpm._fullName,IF($L116="",SUBSTITUTE(SUBSTITUTE(INDIRECT($K116),CHAR(10)," "),"  "," "),$L116),_xlpm._truncatedName,IF(LEN(_xlpm._fullName)&gt;250,LEFT(_xlpm._fullName,250)&amp;"[…]",_xlpm._fullName),HYPERLINK("#'"&amp;$E116&amp;"'!"&amp;$F116&amp;$G116,_xlpm._truncatedName)))</f>
        <v>Attack Steps</v>
      </c>
      <c r="C116" s="13" t="s">
        <v>812</v>
      </c>
      <c r="D116" s="13"/>
      <c r="E116" s="61" t="str">
        <f t="shared" ca="1" si="22"/>
        <v>Assumptions</v>
      </c>
      <c r="F116" s="61" t="str">
        <f t="shared" ca="1" si="23"/>
        <v>H</v>
      </c>
      <c r="G116" s="61" t="str">
        <f t="shared" ca="1" si="24"/>
        <v>3</v>
      </c>
      <c r="H116" s="61" cm="1">
        <f t="array" ca="1" aca="1" ref="H116">CreateID($H$36,$H:$H,$E116&lt;&gt;INDEX($E:$E,ROW()-1))</f>
        <v>6</v>
      </c>
      <c r="I116" s="61" t="str" cm="1">
        <f t="array" ca="1" aca="1" ref="I116">INDIRECT($K116)</f>
        <v>Attack Steps</v>
      </c>
      <c r="K116" s="2" t="str" cm="1">
        <f t="array" ca="1" aca="1" ref="K116">CELL("address",OFFSET(Assumptions!$A$3,0,ROW()-ROW($K$109)))</f>
        <v>'[QuBA-libre.xlsx]Assumptions'!$H$3</v>
      </c>
    </row>
    <row r="117" spans="1:11" ht="60" outlineLevel="1">
      <c r="A117" s="23" t="str" cm="1">
        <f t="array" ca="1" aca="1" ref="A117">IF(INDEX($H:$H,ROW()-1)&lt;&gt;$H117,$E117,"")</f>
        <v/>
      </c>
      <c r="B117" s="71" t="str" cm="1">
        <f t="array" ca="1" aca="1" ref="B117">IF($K117="","",_xlfn.LET(_xlpm._fullName,IF($L117="",SUBSTITUTE(SUBSTITUTE(INDIRECT($K117),CHAR(10)," "),"  "," "),$L117),_xlpm._truncatedName,IF(LEN(_xlpm._fullName)&gt;250,LEFT(_xlpm._fullName,250)&amp;"[…]",_xlpm._fullName),HYPERLINK("#'"&amp;$E117&amp;"'!"&amp;$F117&amp;$G117,_xlpm._truncatedName)))</f>
        <v>DSTs</v>
      </c>
      <c r="C117" s="13" t="s">
        <v>1313</v>
      </c>
      <c r="D117" s="13" t="s">
        <v>1314</v>
      </c>
      <c r="E117" s="61" t="str">
        <f t="shared" ca="1" si="22"/>
        <v>Assumptions</v>
      </c>
      <c r="F117" s="61" t="str">
        <f t="shared" ca="1" si="23"/>
        <v>I</v>
      </c>
      <c r="G117" s="61" t="str">
        <f t="shared" ca="1" si="24"/>
        <v>3</v>
      </c>
      <c r="H117" s="61" cm="1">
        <f t="array" ca="1" aca="1" ref="H117">CreateID($H$36,$H:$H,$E117&lt;&gt;INDEX($E:$E,ROW()-1))</f>
        <v>6</v>
      </c>
      <c r="I117" s="61" t="str" cm="1">
        <f t="array" ca="1" aca="1" ref="I117">INDIRECT($K117)</f>
        <v>DSTs</v>
      </c>
      <c r="K117" s="2" t="str" cm="1">
        <f t="array" ca="1" aca="1" ref="K117">CELL("address",OFFSET(Assumptions!$A$3,0,ROW()-ROW($K$109)))</f>
        <v>'[QuBA-libre.xlsx]Assumptions'!$I$3</v>
      </c>
    </row>
    <row r="118" spans="1:11" ht="75" outlineLevel="1">
      <c r="A118" s="23" t="str" cm="1">
        <f t="array" ca="1" aca="1" ref="A118">IF(INDEX($H:$H,ROW()-1)&lt;&gt;$H118,$E118,"")</f>
        <v/>
      </c>
      <c r="B118" s="71" t="str" cm="1">
        <f t="array" ca="1" aca="1" ref="B118">IF($K118="","",_xlfn.LET(_xlpm._fullName,IF($L118="",SUBSTITUTE(SUBSTITUTE(INDIRECT($K118),CHAR(10)," "),"  "," "),$L118),_xlpm._truncatedName,IF(LEN(_xlpm._fullName)&gt;250,LEFT(_xlpm._fullName,250)&amp;"[…]",_xlpm._fullName),HYPERLINK("#'"&amp;$E118&amp;"'!"&amp;$F118&amp;$G118,_xlpm._truncatedName)))</f>
        <v>Damage Scenario Transformation</v>
      </c>
      <c r="C118" s="13" t="s">
        <v>829</v>
      </c>
      <c r="D118" s="13"/>
      <c r="E118" s="61" t="str">
        <f t="shared" ca="1" si="22"/>
        <v>Assumptions</v>
      </c>
      <c r="F118" s="61" t="str">
        <f t="shared" ca="1" si="23"/>
        <v>J</v>
      </c>
      <c r="G118" s="61" t="str">
        <f t="shared" ca="1" si="24"/>
        <v>3</v>
      </c>
      <c r="H118" s="61" cm="1">
        <f t="array" ca="1" aca="1" ref="H118">CreateID($H$36,$H:$H,$E118&lt;&gt;INDEX($E:$E,ROW()-1))</f>
        <v>6</v>
      </c>
      <c r="I118" s="61" t="str" cm="1">
        <f t="array" ca="1" aca="1" ref="I118">INDIRECT($K118)</f>
        <v>Damage Scenario Transformation</v>
      </c>
      <c r="K118" s="2" t="str" cm="1">
        <f t="array" ca="1" aca="1" ref="K118">CELL("address",OFFSET(Assumptions!$A$3,0,ROW()-ROW($K$109)))</f>
        <v>'[QuBA-libre.xlsx]Assumptions'!$J$3</v>
      </c>
    </row>
    <row r="119" spans="1:11" ht="15" outlineLevel="1">
      <c r="A119" s="23" t="str" cm="1">
        <f t="array" ca="1" aca="1" ref="A119">IF(INDEX($H:$H,ROW()-1)&lt;&gt;$H119,$E119,"")</f>
        <v/>
      </c>
      <c r="B119" s="71" t="str" cm="1">
        <f t="array" ca="1" aca="1" ref="B119">IF($K119="","",_xlfn.LET(_xlpm._fullName,IF($L119="",SUBSTITUTE(SUBSTITUTE(INDIRECT($K119),CHAR(10)," "),"  "," "),$L119),_xlpm._truncatedName,IF(LEN(_xlpm._fullName)&gt;250,LEFT(_xlpm._fullName,250)&amp;"[…]",_xlpm._fullName),HYPERLINK("#'"&amp;$E119&amp;"'!"&amp;$F119&amp;$G119,_xlpm._truncatedName)))</f>
        <v>Elapsed Time</v>
      </c>
      <c r="C119" s="13" t="s">
        <v>814</v>
      </c>
      <c r="D119" s="13"/>
      <c r="E119" s="61" t="str">
        <f t="shared" ca="1" si="22"/>
        <v>Assumptions</v>
      </c>
      <c r="F119" s="61" t="str">
        <f t="shared" ca="1" si="23"/>
        <v>K</v>
      </c>
      <c r="G119" s="61" t="str">
        <f t="shared" ca="1" si="24"/>
        <v>3</v>
      </c>
      <c r="H119" s="61" cm="1">
        <f t="array" ca="1" aca="1" ref="H119">CreateID($H$36,$H:$H,$E119&lt;&gt;INDEX($E:$E,ROW()-1))</f>
        <v>6</v>
      </c>
      <c r="I119" s="61" t="str" cm="1">
        <f t="array" ca="1" aca="1" ref="I119">INDIRECT($K119)</f>
        <v>Elapsed Time</v>
      </c>
      <c r="K119" s="2" t="str" cm="1">
        <f t="array" ca="1" aca="1" ref="K119">CELL("address",OFFSET(Assumptions!$A$3,0,ROW()-ROW($K$109)))</f>
        <v>'[QuBA-libre.xlsx]Assumptions'!$K$3</v>
      </c>
    </row>
    <row r="120" spans="1:11" ht="15" outlineLevel="1">
      <c r="A120" s="23" t="str" cm="1">
        <f t="array" ca="1" aca="1" ref="A120">IF(INDEX($H:$H,ROW()-1)&lt;&gt;$H120,$E120,"")</f>
        <v/>
      </c>
      <c r="B120" s="71" t="str" cm="1">
        <f t="array" ca="1" aca="1" ref="B120">IF($K120="","",_xlfn.LET(_xlpm._fullName,IF($L120="",SUBSTITUTE(SUBSTITUTE(INDIRECT($K120),CHAR(10)," "),"  "," "),$L120),_xlpm._truncatedName,IF(LEN(_xlpm._fullName)&gt;250,LEFT(_xlpm._fullName,250)&amp;"[…]",_xlpm._fullName),HYPERLINK("#'"&amp;$E120&amp;"'!"&amp;$F120&amp;$G120,_xlpm._truncatedName)))</f>
        <v>Expertise</v>
      </c>
      <c r="C120" s="13" t="s">
        <v>815</v>
      </c>
      <c r="D120" s="13"/>
      <c r="E120" s="61" t="str">
        <f t="shared" ca="1" si="22"/>
        <v>Assumptions</v>
      </c>
      <c r="F120" s="61" t="str">
        <f t="shared" ca="1" si="23"/>
        <v>L</v>
      </c>
      <c r="G120" s="61" t="str">
        <f t="shared" ca="1" si="24"/>
        <v>3</v>
      </c>
      <c r="H120" s="61" cm="1">
        <f t="array" ca="1" aca="1" ref="H120">CreateID($H$36,$H:$H,$E120&lt;&gt;INDEX($E:$E,ROW()-1))</f>
        <v>6</v>
      </c>
      <c r="I120" s="61" t="str" cm="1">
        <f t="array" ca="1" aca="1" ref="I120">INDIRECT($K120)</f>
        <v>Expertise</v>
      </c>
      <c r="K120" s="2" t="str" cm="1">
        <f t="array" ca="1" aca="1" ref="K120">CELL("address",OFFSET(Assumptions!$A$3,0,ROW()-ROW($K$109)))</f>
        <v>'[QuBA-libre.xlsx]Assumptions'!$L$3</v>
      </c>
    </row>
    <row r="121" spans="1:11" ht="15" outlineLevel="1">
      <c r="A121" s="23" t="str" cm="1">
        <f t="array" ca="1" aca="1" ref="A121">IF(INDEX($H:$H,ROW()-1)&lt;&gt;$H121,$E121,"")</f>
        <v/>
      </c>
      <c r="B121" s="71" t="str" cm="1">
        <f t="array" ca="1" aca="1" ref="B121">IF($K121="","",_xlfn.LET(_xlpm._fullName,IF($L121="",SUBSTITUTE(SUBSTITUTE(INDIRECT($K121),CHAR(10)," "),"  "," "),$L121),_xlpm._truncatedName,IF(LEN(_xlpm._fullName)&gt;250,LEFT(_xlpm._fullName,250)&amp;"[…]",_xlpm._fullName),HYPERLINK("#'"&amp;$E121&amp;"'!"&amp;$F121&amp;$G121,_xlpm._truncatedName)))</f>
        <v>Knowledge of TOE</v>
      </c>
      <c r="C121" s="13" t="s">
        <v>816</v>
      </c>
      <c r="D121" s="13"/>
      <c r="E121" s="61" t="str">
        <f t="shared" ca="1" si="22"/>
        <v>Assumptions</v>
      </c>
      <c r="F121" s="61" t="str">
        <f t="shared" ca="1" si="23"/>
        <v>M</v>
      </c>
      <c r="G121" s="61" t="str">
        <f t="shared" ca="1" si="24"/>
        <v>3</v>
      </c>
      <c r="H121" s="61" cm="1">
        <f t="array" ca="1" aca="1" ref="H121">CreateID($H$36,$H:$H,$E121&lt;&gt;INDEX($E:$E,ROW()-1))</f>
        <v>6</v>
      </c>
      <c r="I121" s="61" t="str" cm="1">
        <f t="array" ca="1" aca="1" ref="I121">INDIRECT($K121)</f>
        <v>Knowledge of TOE</v>
      </c>
      <c r="K121" s="2" t="str" cm="1">
        <f t="array" ca="1" aca="1" ref="K121">CELL("address",OFFSET(Assumptions!$A$3,0,ROW()-ROW($K$109)))</f>
        <v>'[QuBA-libre.xlsx]Assumptions'!$M$3</v>
      </c>
    </row>
    <row r="122" spans="1:11" ht="15" outlineLevel="1">
      <c r="A122" s="23" t="str" cm="1">
        <f t="array" ca="1" aca="1" ref="A122">IF(INDEX($H:$H,ROW()-1)&lt;&gt;$H122,$E122,"")</f>
        <v/>
      </c>
      <c r="B122" s="71" t="str" cm="1">
        <f t="array" ca="1" aca="1" ref="B122">IF($K122="","",_xlfn.LET(_xlpm._fullName,IF($L122="",SUBSTITUTE(SUBSTITUTE(INDIRECT($K122),CHAR(10)," "),"  "," "),$L122),_xlpm._truncatedName,IF(LEN(_xlpm._fullName)&gt;250,LEFT(_xlpm._fullName,250)&amp;"[…]",_xlpm._fullName),HYPERLINK("#'"&amp;$E122&amp;"'!"&amp;$F122&amp;$G122,_xlpm._truncatedName)))</f>
        <v>Window of Opportunity</v>
      </c>
      <c r="C122" s="13" t="s">
        <v>817</v>
      </c>
      <c r="D122" s="13"/>
      <c r="E122" s="61" t="str">
        <f t="shared" ca="1" si="22"/>
        <v>Assumptions</v>
      </c>
      <c r="F122" s="61" t="str">
        <f t="shared" ca="1" si="23"/>
        <v>N</v>
      </c>
      <c r="G122" s="61" t="str">
        <f t="shared" ca="1" si="24"/>
        <v>3</v>
      </c>
      <c r="H122" s="61" cm="1">
        <f t="array" ca="1" aca="1" ref="H122">CreateID($H$36,$H:$H,$E122&lt;&gt;INDEX($E:$E,ROW()-1))</f>
        <v>6</v>
      </c>
      <c r="I122" s="61" t="str" cm="1">
        <f t="array" ca="1" aca="1" ref="I122">INDIRECT($K122)</f>
        <v>Window of Opportunity</v>
      </c>
      <c r="K122" s="2" t="str" cm="1">
        <f t="array" ca="1" aca="1" ref="K122">CELL("address",OFFSET(Assumptions!$A$3,0,ROW()-ROW($K$109)))</f>
        <v>'[QuBA-libre.xlsx]Assumptions'!$N$3</v>
      </c>
    </row>
    <row r="123" spans="1:11" ht="15" outlineLevel="1">
      <c r="A123" s="23" t="str" cm="1">
        <f t="array" ca="1" aca="1" ref="A123">IF(INDEX($H:$H,ROW()-1)&lt;&gt;$H123,$E123,"")</f>
        <v/>
      </c>
      <c r="B123" s="71" t="str" cm="1">
        <f t="array" ca="1" aca="1" ref="B123">IF($K123="","",_xlfn.LET(_xlpm._fullName,IF($L123="",SUBSTITUTE(SUBSTITUTE(INDIRECT($K123),CHAR(10)," "),"  "," "),$L123),_xlpm._truncatedName,IF(LEN(_xlpm._fullName)&gt;250,LEFT(_xlpm._fullName,250)&amp;"[…]",_xlpm._fullName),HYPERLINK("#'"&amp;$E123&amp;"'!"&amp;$F123&amp;$G123,_xlpm._truncatedName)))</f>
        <v>Equipment</v>
      </c>
      <c r="C123" s="13" t="s">
        <v>818</v>
      </c>
      <c r="D123" s="13"/>
      <c r="E123" s="61" t="str">
        <f t="shared" ca="1" si="22"/>
        <v>Assumptions</v>
      </c>
      <c r="F123" s="61" t="str">
        <f t="shared" ca="1" si="23"/>
        <v>O</v>
      </c>
      <c r="G123" s="61" t="str">
        <f t="shared" ca="1" si="24"/>
        <v>3</v>
      </c>
      <c r="H123" s="61" cm="1">
        <f t="array" ca="1" aca="1" ref="H123">CreateID($H$36,$H:$H,$E123&lt;&gt;INDEX($E:$E,ROW()-1))</f>
        <v>6</v>
      </c>
      <c r="I123" s="61" t="str" cm="1">
        <f t="array" ca="1" aca="1" ref="I123">INDIRECT($K123)</f>
        <v>Equipment</v>
      </c>
      <c r="K123" s="2" t="str" cm="1">
        <f t="array" ca="1" aca="1" ref="K123">CELL("address",OFFSET(Assumptions!$A$3,0,ROW()-ROW($K$109)))</f>
        <v>'[QuBA-libre.xlsx]Assumptions'!$O$3</v>
      </c>
    </row>
    <row r="124" spans="1:11" ht="15" outlineLevel="1">
      <c r="A124" s="23" t="str" cm="1">
        <f t="array" ca="1" aca="1" ref="A124">IF(INDEX($H:$H,ROW()-1)&lt;&gt;$H124,$E124,"")</f>
        <v/>
      </c>
      <c r="B124" s="71" t="str" cm="1">
        <f t="array" ca="1" aca="1" ref="B124">IF($K124="","",_xlfn.LET(_xlpm._fullName,IF($L124="",SUBSTITUTE(SUBSTITUTE(INDIRECT($K124),CHAR(10)," "),"  "," "),$L124),_xlpm._truncatedName,IF(LEN(_xlpm._fullName)&gt;250,LEFT(_xlpm._fullName,250)&amp;"[…]",_xlpm._fullName),HYPERLINK("#'"&amp;$E124&amp;"'!"&amp;$F124&amp;$G124,_xlpm._truncatedName)))</f>
        <v>RAP</v>
      </c>
      <c r="C124" s="13" t="s">
        <v>819</v>
      </c>
      <c r="D124" s="13"/>
      <c r="E124" s="61" t="str">
        <f t="shared" ca="1" si="22"/>
        <v>Assumptions</v>
      </c>
      <c r="F124" s="61" t="str">
        <f t="shared" ca="1" si="23"/>
        <v>P</v>
      </c>
      <c r="G124" s="61" t="str">
        <f t="shared" ca="1" si="24"/>
        <v>3</v>
      </c>
      <c r="H124" s="61" cm="1">
        <f t="array" ca="1" aca="1" ref="H124">CreateID($H$36,$H:$H,$E124&lt;&gt;INDEX($E:$E,ROW()-1))</f>
        <v>6</v>
      </c>
      <c r="I124" s="61" t="str" cm="1">
        <f t="array" ca="1" aca="1" ref="I124">INDIRECT($K124)</f>
        <v>RAP</v>
      </c>
      <c r="K124" s="2" t="str" cm="1">
        <f t="array" ca="1" aca="1" ref="K124">CELL("address",OFFSET(Assumptions!$A$3,0,ROW()-ROW($K$109)))</f>
        <v>'[QuBA-libre.xlsx]Assumptions'!$P$3</v>
      </c>
    </row>
    <row r="125" spans="1:11" ht="30" outlineLevel="1">
      <c r="A125" s="23" t="str" cm="1">
        <f t="array" ca="1" aca="1" ref="A125">IF(INDEX($H:$H,ROW()-1)&lt;&gt;$H125,$E125,"")</f>
        <v/>
      </c>
      <c r="B125" s="71" t="str" cm="1">
        <f t="array" ca="1" aca="1" ref="B125">IF($K125="","",_xlfn.LET(_xlpm._fullName,IF($L125="",SUBSTITUTE(SUBSTITUTE(INDIRECT($K125),CHAR(10)," "),"  "," "),$L125),_xlpm._truncatedName,IF(LEN(_xlpm._fullName)&gt;250,LEFT(_xlpm._fullName,250)&amp;"[…]",_xlpm._fullName),HYPERLINK("#'"&amp;$E125&amp;"'!"&amp;$F125&amp;$G125,_xlpm._truncatedName)))</f>
        <v>Mapping to CRA, Annex I (1.2)</v>
      </c>
      <c r="C125" s="13" t="s">
        <v>1687</v>
      </c>
      <c r="D125" s="13"/>
      <c r="E125" s="61" t="str">
        <f t="shared" ca="1" si="22"/>
        <v>Assumptions</v>
      </c>
      <c r="F125" s="61" t="str">
        <f t="shared" ca="1" si="23"/>
        <v>Q</v>
      </c>
      <c r="G125" s="61" t="str">
        <f t="shared" ca="1" si="24"/>
        <v>3</v>
      </c>
      <c r="H125" s="61" cm="1">
        <f t="array" ca="1" aca="1" ref="H125">CreateID($H$36,$H:$H,$E125&lt;&gt;INDEX($E:$E,ROW()-1))</f>
        <v>6</v>
      </c>
      <c r="I125" s="61" t="str" cm="1">
        <f t="array" ca="1" aca="1" ref="I125">INDIRECT($K125)</f>
        <v>Mapping to CRA, Annex I (1.2)</v>
      </c>
      <c r="K125" s="2" t="str" cm="1">
        <f t="array" ca="1" aca="1" ref="K125">CELL("address",OFFSET(Assumptions!$A$3,0,ROW()-ROW($K$109)))</f>
        <v>'[QuBA-libre.xlsx]Assumptions'!$Q$3</v>
      </c>
    </row>
    <row r="126" spans="1:11" ht="30" outlineLevel="1">
      <c r="A126" s="23" t="str" cm="1">
        <f t="array" ca="1" aca="1" ref="A126">IF(INDEX($H:$H,ROW()-1)&lt;&gt;$H126,$E126,"")</f>
        <v/>
      </c>
      <c r="B126" s="71" t="str" cm="1">
        <f t="array" ca="1" aca="1" ref="B126">IF($K126="","",_xlfn.LET(_xlpm._fullName,IF($L126="",SUBSTITUTE(SUBSTITUTE(INDIRECT($K126),CHAR(10)," "),"  "," "),$L126),_xlpm._truncatedName,IF(LEN(_xlpm._fullName)&gt;250,LEFT(_xlpm._fullName,250)&amp;"[…]",_xlpm._fullName),HYPERLINK("#'"&amp;$E126&amp;"'!"&amp;$F126&amp;$G126,_xlpm._truncatedName)))</f>
        <v>Reference</v>
      </c>
      <c r="C126" s="13" t="s">
        <v>1716</v>
      </c>
      <c r="D126" s="13"/>
      <c r="E126" s="61" t="str">
        <f t="shared" ca="1" si="22"/>
        <v>Assumptions</v>
      </c>
      <c r="F126" s="61" t="str">
        <f t="shared" ca="1" si="23"/>
        <v>R</v>
      </c>
      <c r="G126" s="61" t="str">
        <f t="shared" ca="1" si="24"/>
        <v>3</v>
      </c>
      <c r="H126" s="61" cm="1">
        <f t="array" ca="1" aca="1" ref="H126">CreateID($H$36,$H:$H,$E126&lt;&gt;INDEX($E:$E,ROW()-1))</f>
        <v>6</v>
      </c>
      <c r="I126" s="61" t="str" cm="1">
        <f t="array" ca="1" aca="1" ref="I126">INDIRECT($K126)</f>
        <v>Reference</v>
      </c>
      <c r="K126" s="2" t="str" cm="1">
        <f t="array" ca="1" aca="1" ref="K126">CELL("address",OFFSET(Assumptions!$A$3,0,ROW()-ROW($K$109)))</f>
        <v>'[QuBA-libre.xlsx]Assumptions'!$R$3</v>
      </c>
    </row>
    <row r="127" spans="1:11" ht="15" outlineLevel="1">
      <c r="A127" s="23" t="str" cm="1">
        <f t="array" ca="1" aca="1" ref="A127">IF(INDEX($H:$H,ROW()-1)&lt;&gt;$H127,$E127,"")</f>
        <v/>
      </c>
      <c r="B127" s="71" t="str" cm="1">
        <f t="array" ca="1" aca="1" ref="B127">IF($K127="","",_xlfn.LET(_xlpm._fullName,IF($L127="",SUBSTITUTE(SUBSTITUTE(INDIRECT($K127),CHAR(10)," "),"  "," "),$L127),_xlpm._truncatedName,IF(LEN(_xlpm._fullName)&gt;250,LEFT(_xlpm._fullName,250)&amp;"[…]",_xlpm._fullName),HYPERLINK("#'"&amp;$E127&amp;"'!"&amp;$F127&amp;$G127,_xlpm._truncatedName)))</f>
        <v>Comment</v>
      </c>
      <c r="C127" s="13" t="s">
        <v>809</v>
      </c>
      <c r="D127" s="13"/>
      <c r="E127" s="61" t="str">
        <f ca="1">IF($K127="","",_xlfn.LET(_xlpm._in,$K127,_xlpm._start,FIND("]",_xlpm._in)+1,SUBSTITUTE(MID(_xlpm._in,_xlpm._start,FIND("!",_xlpm._in)-_xlpm._start),"'","")))</f>
        <v>Assumptions</v>
      </c>
      <c r="F127" s="61" t="str">
        <f ca="1">IF($K127="","",_xlfn.LET(_xlpm._in,SUBSTITUTE($K127,"$","§",1),_xlpm._start,FIND("§",_xlpm._in)+1,SUBSTITUTE(MID(_xlpm._in,_xlpm._start,FIND("$",_xlpm._in)-_xlpm._start),"'","")))</f>
        <v>S</v>
      </c>
      <c r="G127" s="61" t="str">
        <f ca="1">IF($K127="","",RIGHT($K127,LEN($K127)-FIND("$",SUBSTITUTE($K127,"$","§",1))))</f>
        <v>3</v>
      </c>
      <c r="H127" s="61" cm="1">
        <f t="array" ca="1" aca="1" ref="H127">CreateID($H$36,$H:$H,$E127&lt;&gt;INDEX($E:$E,ROW()-1))</f>
        <v>6</v>
      </c>
      <c r="I127" s="61" t="str" cm="1">
        <f t="array" ca="1" aca="1" ref="I127">INDIRECT($K127)</f>
        <v>Comment</v>
      </c>
      <c r="K127" s="2" t="str" cm="1">
        <f t="array" ca="1" aca="1" ref="K127">CELL("address",OFFSET(Assumptions!$A$3,0,ROW()-ROW($K$109)))</f>
        <v>'[QuBA-libre.xlsx]Assumptions'!$S$3</v>
      </c>
    </row>
    <row r="128" spans="1:11" ht="60">
      <c r="A128" s="23" t="str" cm="1">
        <f t="array" ca="1" aca="1" ref="A128">IF(INDEX($H:$H,ROW()-1)&lt;&gt;$H128,$E128,"")</f>
        <v>Countermeasures</v>
      </c>
      <c r="B128" s="71" t="str" cm="1">
        <f t="array" ca="1" aca="1" ref="B128">IF($K128="","",_xlfn.LET(_xlpm._fullName,IF($L128="",SUBSTITUTE(SUBSTITUTE(INDIRECT($K128),CHAR(10)," "),"  "," "),$L128),_xlpm._truncatedName,IF(LEN(_xlpm._fullName)&gt;250,LEFT(_xlpm._fullName,250)&amp;"[…]",_xlpm._fullName),HYPERLINK("#'"&amp;$E128&amp;"'!"&amp;$F128&amp;$G128,_xlpm._truncatedName)))</f>
        <v>ID</v>
      </c>
      <c r="C128" s="13" t="s">
        <v>1775</v>
      </c>
      <c r="D128" s="13"/>
      <c r="E128" s="61" t="str">
        <f ca="1" t="shared" si="25" ref="E128:E146">IF($K128="","",_xlfn.LET(_xlpm._in,$K128,_xlpm._start,FIND("]",_xlpm._in)+1,SUBSTITUTE(MID(_xlpm._in,_xlpm._start,FIND("!",_xlpm._in)-_xlpm._start),"'","")))</f>
        <v>Countermeasures</v>
      </c>
      <c r="F128" s="61" t="str">
        <f ca="1" t="shared" si="26" ref="F128:F146">IF($K128="","",_xlfn.LET(_xlpm._in,SUBSTITUTE($K128,"$","§",1),_xlpm._start,FIND("§",_xlpm._in)+1,SUBSTITUTE(MID(_xlpm._in,_xlpm._start,FIND("$",_xlpm._in)-_xlpm._start),"'","")))</f>
        <v>A</v>
      </c>
      <c r="G128" s="61" t="str">
        <f ca="1" t="shared" si="27" ref="G128:G146">IF($K128="","",RIGHT($K128,LEN($K128)-FIND("$",SUBSTITUTE($K128,"$","§",1))))</f>
        <v>2</v>
      </c>
      <c r="H128" s="61" cm="1">
        <f t="array" ca="1" aca="1" ref="H128">CreateID($H$36,$H:$H,$E128&lt;&gt;INDEX($E:$E,ROW()-1))</f>
        <v>7</v>
      </c>
      <c r="I128" s="61" t="str" cm="1">
        <f t="array" ca="1" aca="1" ref="I128">INDIRECT($K128)</f>
        <v>ID</v>
      </c>
      <c r="K128" s="2" t="str" cm="1">
        <f t="array" ca="1" aca="1" ref="K128">CELL("address",OFFSET(Countermeasures!$A$2,0,ROW()-ROW($K$128)))</f>
        <v>'[QuBA-libre.xlsx]Countermeasures'!$A$2</v>
      </c>
    </row>
    <row r="129" spans="1:11" ht="45" outlineLevel="1">
      <c r="A129" s="23" t="str" cm="1">
        <f t="array" ca="1" aca="1" ref="A129">IF(INDEX($H:$H,ROW()-1)&lt;&gt;$H129,$E129,"")</f>
        <v/>
      </c>
      <c r="B129" s="71" t="str" cm="1">
        <f t="array" ca="1" aca="1" ref="B129">IF($K129="","",_xlfn.LET(_xlpm._fullName,IF($L129="",SUBSTITUTE(SUBSTITUTE(INDIRECT($K129),CHAR(10)," "),"  "," "),$L129),_xlpm._truncatedName,IF(LEN(_xlpm._fullName)&gt;250,LEFT(_xlpm._fullName,250)&amp;"[…]",_xlpm._fullName),HYPERLINK("#'"&amp;$E129&amp;"'!"&amp;$F129&amp;$G129,_xlpm._truncatedName)))</f>
        <v>Countermeasure</v>
      </c>
      <c r="C129" s="13" t="s">
        <v>1776</v>
      </c>
      <c r="D129" s="13"/>
      <c r="E129" s="61" t="str">
        <f t="shared" ca="1" si="25"/>
        <v>Countermeasures</v>
      </c>
      <c r="F129" s="61" t="str">
        <f t="shared" ca="1" si="26"/>
        <v>B</v>
      </c>
      <c r="G129" s="61" t="str">
        <f t="shared" ca="1" si="27"/>
        <v>2</v>
      </c>
      <c r="H129" s="61" cm="1">
        <f t="array" ca="1" aca="1" ref="H129">CreateID($H$36,$H:$H,$E129&lt;&gt;INDEX($E:$E,ROW()-1))</f>
        <v>7</v>
      </c>
      <c r="I129" s="61" t="str" cm="1">
        <f t="array" ca="1" aca="1" ref="I129">INDIRECT($K129)</f>
        <v>Countermeasure</v>
      </c>
      <c r="K129" s="2" t="str" cm="1">
        <f t="array" ca="1" aca="1" ref="K129">CELL("address",OFFSET(Countermeasures!$A$2,0,ROW()-ROW($K$128)))</f>
        <v>'[QuBA-libre.xlsx]Countermeasures'!$B$2</v>
      </c>
    </row>
    <row r="130" spans="1:11" ht="15" outlineLevel="1">
      <c r="A130" s="23" t="str" cm="1">
        <f t="array" ca="1" aca="1" ref="A130">IF(INDEX($H:$H,ROW()-1)&lt;&gt;$H130,$E130,"")</f>
        <v/>
      </c>
      <c r="B130" s="71" t="str" cm="1">
        <f t="array" ca="1" aca="1" ref="B130">IF($K130="","",_xlfn.LET(_xlpm._fullName,IF($L130="",SUBSTITUTE(SUBSTITUTE(INDIRECT($K130),CHAR(10)," "),"  "," "),$L130),_xlpm._truncatedName,IF(LEN(_xlpm._fullName)&gt;250,LEFT(_xlpm._fullName,250)&amp;"[…]",_xlpm._fullName),HYPERLINK("#'"&amp;$E130&amp;"'!"&amp;$F130&amp;$G130,_xlpm._truncatedName)))</f>
        <v>Description</v>
      </c>
      <c r="C130" s="13" t="s">
        <v>820</v>
      </c>
      <c r="D130" s="13"/>
      <c r="E130" s="61" t="str">
        <f t="shared" ca="1" si="25"/>
        <v>Countermeasures</v>
      </c>
      <c r="F130" s="61" t="str">
        <f t="shared" ca="1" si="26"/>
        <v>C</v>
      </c>
      <c r="G130" s="61" t="str">
        <f t="shared" ca="1" si="27"/>
        <v>2</v>
      </c>
      <c r="H130" s="61" cm="1">
        <f t="array" ca="1" aca="1" ref="H130">CreateID($H$36,$H:$H,$E130&lt;&gt;INDEX($E:$E,ROW()-1))</f>
        <v>7</v>
      </c>
      <c r="I130" s="61" t="str" cm="1">
        <f t="array" ca="1" aca="1" ref="I130">INDIRECT($K130)</f>
        <v>Description</v>
      </c>
      <c r="K130" s="2" t="str" cm="1">
        <f t="array" ca="1" aca="1" ref="K130">CELL("address",OFFSET(Countermeasures!$A$2,0,ROW()-ROW($K$128)))</f>
        <v>'[QuBA-libre.xlsx]Countermeasures'!$C$2</v>
      </c>
    </row>
    <row r="131" spans="1:11" ht="45" outlineLevel="1">
      <c r="A131" s="23" t="str" cm="1">
        <f t="array" ca="1" aca="1" ref="A131">IF(INDEX($H:$H,ROW()-1)&lt;&gt;$H131,$E131,"")</f>
        <v/>
      </c>
      <c r="B131" s="71" t="str" cm="1">
        <f t="array" ca="1" aca="1" ref="B131">IF($K131="","",_xlfn.LET(_xlpm._fullName,IF($L131="",SUBSTITUTE(SUBSTITUTE(INDIRECT($K131),CHAR(10)," "),"  "," "),$L131),_xlpm._truncatedName,IF(LEN(_xlpm._fullName)&gt;250,LEFT(_xlpm._fullName,250)&amp;"[…]",_xlpm._fullName),HYPERLINK("#'"&amp;$E131&amp;"'!"&amp;$F131&amp;$G131,_xlpm._truncatedName)))</f>
        <v>Answers</v>
      </c>
      <c r="C131" s="13" t="s">
        <v>1315</v>
      </c>
      <c r="D131" s="13" t="s">
        <v>1316</v>
      </c>
      <c r="E131" s="61" t="str">
        <f t="shared" ca="1" si="25"/>
        <v>Countermeasures</v>
      </c>
      <c r="F131" s="61" t="str">
        <f t="shared" ca="1" si="26"/>
        <v>D</v>
      </c>
      <c r="G131" s="61" t="str">
        <f t="shared" ca="1" si="27"/>
        <v>2</v>
      </c>
      <c r="H131" s="61" cm="1">
        <f t="array" ca="1" aca="1" ref="H131">CreateID($H$36,$H:$H,$E131&lt;&gt;INDEX($E:$E,ROW()-1))</f>
        <v>7</v>
      </c>
      <c r="I131" s="61" t="str" cm="1">
        <f t="array" ca="1" aca="1" ref="I131">INDIRECT($K131)</f>
        <v>Answers</v>
      </c>
      <c r="K131" s="2" t="str" cm="1">
        <f t="array" ca="1" aca="1" ref="K131">CELL("address",OFFSET(Countermeasures!$A$2,0,ROW()-ROW($K$128)))</f>
        <v>'[QuBA-libre.xlsx]Countermeasures'!$D$2</v>
      </c>
    </row>
    <row r="132" spans="1:11" ht="60" outlineLevel="1">
      <c r="A132" s="23" t="str" cm="1">
        <f t="array" ca="1" aca="1" ref="A132">IF(INDEX($H:$H,ROW()-1)&lt;&gt;$H132,$E132,"")</f>
        <v/>
      </c>
      <c r="B132" s="71" t="str" cm="1">
        <f t="array" ca="1" aca="1" ref="B132">IF($K132="","",_xlfn.LET(_xlpm._fullName,IF($L132="",SUBSTITUTE(SUBSTITUTE(INDIRECT($K132),CHAR(10)," "),"  "," "),$L132),_xlpm._truncatedName,IF(LEN(_xlpm._fullName)&gt;250,LEFT(_xlpm._fullName,250)&amp;"[…]",_xlpm._fullName),HYPERLINK("#'"&amp;$E132&amp;"'!"&amp;$F132&amp;$G132,_xlpm._truncatedName)))</f>
        <v>Attack Step IDs</v>
      </c>
      <c r="C132" s="13" t="s">
        <v>821</v>
      </c>
      <c r="D132" s="13"/>
      <c r="E132" s="61" t="str">
        <f t="shared" ca="1" si="25"/>
        <v>Countermeasures</v>
      </c>
      <c r="F132" s="61" t="str">
        <f t="shared" ca="1" si="26"/>
        <v>E</v>
      </c>
      <c r="G132" s="61" t="str">
        <f t="shared" ca="1" si="27"/>
        <v>2</v>
      </c>
      <c r="H132" s="61" cm="1">
        <f t="array" ca="1" aca="1" ref="H132">CreateID($H$36,$H:$H,$E132&lt;&gt;INDEX($E:$E,ROW()-1))</f>
        <v>7</v>
      </c>
      <c r="I132" s="61" t="str" cm="1">
        <f t="array" ca="1" aca="1" ref="I132">INDIRECT($K132)</f>
        <v>Attack Step IDs</v>
      </c>
      <c r="K132" s="2" t="str" cm="1">
        <f t="array" ca="1" aca="1" ref="K132">CELL("address",OFFSET(Countermeasures!$A$2,0,ROW()-ROW($K$128)))</f>
        <v>'[QuBA-libre.xlsx]Countermeasures'!$E$2</v>
      </c>
    </row>
    <row r="133" spans="1:11" ht="15" outlineLevel="1">
      <c r="A133" s="23" t="str" cm="1">
        <f t="array" ca="1" aca="1" ref="A133">IF(INDEX($H:$H,ROW()-1)&lt;&gt;$H133,$E133,"")</f>
        <v/>
      </c>
      <c r="B133" s="71" t="str" cm="1">
        <f t="array" ca="1" aca="1" ref="B133">IF($K133="","",_xlfn.LET(_xlpm._fullName,IF($L133="",SUBSTITUTE(SUBSTITUTE(INDIRECT($K133),CHAR(10)," "),"  "," "),$L133),_xlpm._truncatedName,IF(LEN(_xlpm._fullName)&gt;250,LEFT(_xlpm._fullName,250)&amp;"[…]",_xlpm._fullName),HYPERLINK("#'"&amp;$E133&amp;"'!"&amp;$F133&amp;$G133,_xlpm._truncatedName)))</f>
        <v>Mitigated Attack Step Names</v>
      </c>
      <c r="C133" s="13" t="s">
        <v>812</v>
      </c>
      <c r="D133" s="13"/>
      <c r="E133" s="61" t="str">
        <f t="shared" ca="1" si="25"/>
        <v>Countermeasures</v>
      </c>
      <c r="F133" s="61" t="str">
        <f t="shared" ca="1" si="26"/>
        <v>F</v>
      </c>
      <c r="G133" s="61" t="str">
        <f t="shared" ca="1" si="27"/>
        <v>2</v>
      </c>
      <c r="H133" s="61" cm="1">
        <f t="array" ca="1" aca="1" ref="H133">CreateID($H$36,$H:$H,$E133&lt;&gt;INDEX($E:$E,ROW()-1))</f>
        <v>7</v>
      </c>
      <c r="I133" s="61" t="str" cm="1">
        <f t="array" ca="1" aca="1" ref="I133">INDIRECT($K133)</f>
        <v>Mitigated Attack Step Names</v>
      </c>
      <c r="K133" s="2" t="str" cm="1">
        <f t="array" ca="1" aca="1" ref="K133">CELL("address",OFFSET(Countermeasures!$A$2,0,ROW()-ROW($K$128)))</f>
        <v>'[QuBA-libre.xlsx]Countermeasures'!$F$2</v>
      </c>
    </row>
    <row r="134" spans="1:11" ht="30" outlineLevel="1">
      <c r="A134" s="23" t="str" cm="1">
        <f t="array" ca="1" aca="1" ref="A134">IF(INDEX($H:$H,ROW()-1)&lt;&gt;$H134,$E134,"")</f>
        <v/>
      </c>
      <c r="B134" s="71" t="str" cm="1">
        <f t="array" ca="1" aca="1" ref="B134">IF($K134="","",_xlfn.LET(_xlpm._fullName,IF($L134="",SUBSTITUTE(SUBSTITUTE(INDIRECT($K134),CHAR(10)," "),"  "," "),$L134),_xlpm._truncatedName,IF(LEN(_xlpm._fullName)&gt;250,LEFT(_xlpm._fullName,250)&amp;"[…]",_xlpm._fullName),HYPERLINK("#'"&amp;$E134&amp;"'!"&amp;$F134&amp;$G134,_xlpm._truncatedName)))</f>
        <v>PR IDs</v>
      </c>
      <c r="C134" s="13" t="s">
        <v>822</v>
      </c>
      <c r="D134" s="13"/>
      <c r="E134" s="61" t="str">
        <f t="shared" ca="1" si="25"/>
        <v>Countermeasures</v>
      </c>
      <c r="F134" s="61" t="str">
        <f t="shared" ca="1" si="26"/>
        <v>G</v>
      </c>
      <c r="G134" s="61" t="str">
        <f t="shared" ca="1" si="27"/>
        <v>2</v>
      </c>
      <c r="H134" s="61" cm="1">
        <f t="array" ca="1" aca="1" ref="H134">CreateID($H$36,$H:$H,$E134&lt;&gt;INDEX($E:$E,ROW()-1))</f>
        <v>7</v>
      </c>
      <c r="I134" s="61" t="str" cm="1">
        <f t="array" ca="1" aca="1" ref="I134">INDIRECT($K134)</f>
        <v>PR IDs</v>
      </c>
      <c r="K134" s="2" t="str" cm="1">
        <f t="array" ca="1" aca="1" ref="K134">CELL("address",OFFSET(Countermeasures!$A$2,0,ROW()-ROW($K$128)))</f>
        <v>'[QuBA-libre.xlsx]Countermeasures'!$G$2</v>
      </c>
    </row>
    <row r="135" spans="1:11" ht="30" outlineLevel="1">
      <c r="A135" s="23" t="str" cm="1">
        <f t="array" ca="1" aca="1" ref="A135">IF(INDEX($H:$H,ROW()-1)&lt;&gt;$H135,$E135,"")</f>
        <v/>
      </c>
      <c r="B135" s="71" t="str" cm="1">
        <f t="array" ca="1" aca="1" ref="B135">IF($K135="","",_xlfn.LET(_xlpm._fullName,IF($L135="",SUBSTITUTE(SUBSTITUTE(INDIRECT($K135),CHAR(10)," "),"  "," "),$L135),_xlpm._truncatedName,IF(LEN(_xlpm._fullName)&gt;250,LEFT(_xlpm._fullName,250)&amp;"[…]",_xlpm._fullName),HYPERLINK("#'"&amp;$E135&amp;"'!"&amp;$F135&amp;$G135,_xlpm._truncatedName)))</f>
        <v>Prerequisites</v>
      </c>
      <c r="C135" s="13" t="s">
        <v>823</v>
      </c>
      <c r="D135" s="13"/>
      <c r="E135" s="61" t="str">
        <f t="shared" ca="1" si="25"/>
        <v>Countermeasures</v>
      </c>
      <c r="F135" s="61" t="str">
        <f t="shared" ca="1" si="26"/>
        <v>H</v>
      </c>
      <c r="G135" s="61" t="str">
        <f t="shared" ca="1" si="27"/>
        <v>2</v>
      </c>
      <c r="H135" s="61" cm="1">
        <f t="array" ca="1" aca="1" ref="H135">CreateID($H$36,$H:$H,$E135&lt;&gt;INDEX($E:$E,ROW()-1))</f>
        <v>7</v>
      </c>
      <c r="I135" s="61" t="str" cm="1">
        <f t="array" ca="1" aca="1" ref="I135">INDIRECT($K135)</f>
        <v>Prerequisites</v>
      </c>
      <c r="K135" s="2" t="str" cm="1">
        <f t="array" ca="1" aca="1" ref="K135">CELL("address",OFFSET(Countermeasures!$A$2,0,ROW()-ROW($K$128)))</f>
        <v>'[QuBA-libre.xlsx]Countermeasures'!$H$2</v>
      </c>
    </row>
    <row r="136" spans="1:11" ht="60" outlineLevel="1">
      <c r="A136" s="23" t="str" cm="1">
        <f t="array" ca="1" aca="1" ref="A136">IF(INDEX($H:$H,ROW()-1)&lt;&gt;$H136,$E136,"")</f>
        <v/>
      </c>
      <c r="B136" s="71" t="str" cm="1">
        <f t="array" ca="1" aca="1" ref="B136">IF($K136="","",_xlfn.LET(_xlpm._fullName,IF($L136="",SUBSTITUTE(SUBSTITUTE(INDIRECT($K136),CHAR(10)," "),"  "," "),$L136),_xlpm._truncatedName,IF(LEN(_xlpm._fullName)&gt;250,LEFT(_xlpm._fullName,250)&amp;"[…]",_xlpm._fullName),HYPERLINK("#'"&amp;$E136&amp;"'!"&amp;$F136&amp;$G136,_xlpm._truncatedName)))</f>
        <v>DSTs</v>
      </c>
      <c r="C136" s="13" t="s">
        <v>1313</v>
      </c>
      <c r="D136" s="13" t="s">
        <v>1314</v>
      </c>
      <c r="E136" s="61" t="str">
        <f t="shared" ca="1" si="25"/>
        <v>Countermeasures</v>
      </c>
      <c r="F136" s="61" t="str">
        <f t="shared" ca="1" si="26"/>
        <v>I</v>
      </c>
      <c r="G136" s="61" t="str">
        <f t="shared" ca="1" si="27"/>
        <v>2</v>
      </c>
      <c r="H136" s="61" cm="1">
        <f t="array" ca="1" aca="1" ref="H136">CreateID($H$36,$H:$H,$E136&lt;&gt;INDEX($E:$E,ROW()-1))</f>
        <v>7</v>
      </c>
      <c r="I136" s="61" t="str" cm="1">
        <f t="array" ca="1" aca="1" ref="I136">INDIRECT($K136)</f>
        <v>DSTs</v>
      </c>
      <c r="K136" s="2" t="str" cm="1">
        <f t="array" ca="1" aca="1" ref="K136">CELL("address",OFFSET(Countermeasures!$A$2,0,ROW()-ROW($K$128)))</f>
        <v>'[QuBA-libre.xlsx]Countermeasures'!$I$2</v>
      </c>
    </row>
    <row r="137" spans="1:11" ht="75" outlineLevel="1">
      <c r="A137" s="23" t="str" cm="1">
        <f t="array" ca="1" aca="1" ref="A137">IF(INDEX($H:$H,ROW()-1)&lt;&gt;$H137,$E137,"")</f>
        <v/>
      </c>
      <c r="B137" s="71" t="str" cm="1">
        <f t="array" ca="1" aca="1" ref="B137">IF($K137="","",_xlfn.LET(_xlpm._fullName,IF($L137="",SUBSTITUTE(SUBSTITUTE(INDIRECT($K137),CHAR(10)," "),"  "," "),$L137),_xlpm._truncatedName,IF(LEN(_xlpm._fullName)&gt;250,LEFT(_xlpm._fullName,250)&amp;"[…]",_xlpm._fullName),HYPERLINK("#'"&amp;$E137&amp;"'!"&amp;$F137&amp;$G137,_xlpm._truncatedName)))</f>
        <v>Damage Scenario Transformation</v>
      </c>
      <c r="C137" s="13" t="s">
        <v>1317</v>
      </c>
      <c r="D137" s="13"/>
      <c r="E137" s="61" t="str">
        <f t="shared" ca="1" si="25"/>
        <v>Countermeasures</v>
      </c>
      <c r="F137" s="61" t="str">
        <f t="shared" ca="1" si="26"/>
        <v>J</v>
      </c>
      <c r="G137" s="61" t="str">
        <f t="shared" ca="1" si="27"/>
        <v>2</v>
      </c>
      <c r="H137" s="61" cm="1">
        <f t="array" ca="1" aca="1" ref="H137">CreateID($H$36,$H:$H,$E137&lt;&gt;INDEX($E:$E,ROW()-1))</f>
        <v>7</v>
      </c>
      <c r="I137" s="61" t="str" cm="1">
        <f t="array" ca="1" aca="1" ref="I137">INDIRECT($K137)</f>
        <v>Damage Scenario Transformation</v>
      </c>
      <c r="K137" s="2" t="str" cm="1">
        <f t="array" ca="1" aca="1" ref="K137">CELL("address",OFFSET(Countermeasures!$A$2,0,ROW()-ROW($K$128)))</f>
        <v>'[QuBA-libre.xlsx]Countermeasures'!$J$2</v>
      </c>
    </row>
    <row r="138" spans="1:11" ht="15" outlineLevel="1">
      <c r="A138" s="23" t="str" cm="1">
        <f t="array" ca="1" aca="1" ref="A138">IF(INDEX($H:$H,ROW()-1)&lt;&gt;$H138,$E138,"")</f>
        <v/>
      </c>
      <c r="B138" s="71" t="str" cm="1">
        <f t="array" ca="1" aca="1" ref="B138">IF($K138="","",_xlfn.LET(_xlpm._fullName,IF($L138="",SUBSTITUTE(SUBSTITUTE(INDIRECT($K138),CHAR(10)," "),"  "," "),$L138),_xlpm._truncatedName,IF(LEN(_xlpm._fullName)&gt;250,LEFT(_xlpm._fullName,250)&amp;"[…]",_xlpm._fullName),HYPERLINK("#'"&amp;$E138&amp;"'!"&amp;$F138&amp;$G138,_xlpm._truncatedName)))</f>
        <v>Elapsed Time</v>
      </c>
      <c r="C138" s="13" t="s">
        <v>824</v>
      </c>
      <c r="D138" s="13"/>
      <c r="E138" s="61" t="str">
        <f t="shared" ca="1" si="25"/>
        <v>Countermeasures</v>
      </c>
      <c r="F138" s="61" t="str">
        <f t="shared" ca="1" si="26"/>
        <v>K</v>
      </c>
      <c r="G138" s="61" t="str">
        <f t="shared" ca="1" si="27"/>
        <v>2</v>
      </c>
      <c r="H138" s="61" cm="1">
        <f t="array" ca="1" aca="1" ref="H138">CreateID($H$36,$H:$H,$E138&lt;&gt;INDEX($E:$E,ROW()-1))</f>
        <v>7</v>
      </c>
      <c r="I138" s="61" t="str" cm="1">
        <f t="array" ca="1" aca="1" ref="I138">INDIRECT($K138)</f>
        <v>Elapsed Time</v>
      </c>
      <c r="K138" s="2" t="str" cm="1">
        <f t="array" ca="1" aca="1" ref="K138">CELL("address",OFFSET(Countermeasures!$A$2,0,ROW()-ROW($K$128)))</f>
        <v>'[QuBA-libre.xlsx]Countermeasures'!$K$2</v>
      </c>
    </row>
    <row r="139" spans="1:11" ht="15" outlineLevel="1">
      <c r="A139" s="23" t="str" cm="1">
        <f t="array" ca="1" aca="1" ref="A139">IF(INDEX($H:$H,ROW()-1)&lt;&gt;$H139,$E139,"")</f>
        <v/>
      </c>
      <c r="B139" s="71" t="str" cm="1">
        <f t="array" ca="1" aca="1" ref="B139">IF($K139="","",_xlfn.LET(_xlpm._fullName,IF($L139="",SUBSTITUTE(SUBSTITUTE(INDIRECT($K139),CHAR(10)," "),"  "," "),$L139),_xlpm._truncatedName,IF(LEN(_xlpm._fullName)&gt;250,LEFT(_xlpm._fullName,250)&amp;"[…]",_xlpm._fullName),HYPERLINK("#'"&amp;$E139&amp;"'!"&amp;$F139&amp;$G139,_xlpm._truncatedName)))</f>
        <v>Expertise</v>
      </c>
      <c r="C139" s="13" t="s">
        <v>825</v>
      </c>
      <c r="D139" s="13"/>
      <c r="E139" s="61" t="str">
        <f t="shared" ca="1" si="25"/>
        <v>Countermeasures</v>
      </c>
      <c r="F139" s="61" t="str">
        <f t="shared" ca="1" si="26"/>
        <v>L</v>
      </c>
      <c r="G139" s="61" t="str">
        <f t="shared" ca="1" si="27"/>
        <v>2</v>
      </c>
      <c r="H139" s="61" cm="1">
        <f t="array" ca="1" aca="1" ref="H139">CreateID($H$36,$H:$H,$E139&lt;&gt;INDEX($E:$E,ROW()-1))</f>
        <v>7</v>
      </c>
      <c r="I139" s="61" t="str" cm="1">
        <f t="array" ca="1" aca="1" ref="I139">INDIRECT($K139)</f>
        <v>Expertise</v>
      </c>
      <c r="K139" s="2" t="str" cm="1">
        <f t="array" ca="1" aca="1" ref="K139">CELL("address",OFFSET(Countermeasures!$A$2,0,ROW()-ROW($K$128)))</f>
        <v>'[QuBA-libre.xlsx]Countermeasures'!$L$2</v>
      </c>
    </row>
    <row r="140" spans="1:11" ht="15" outlineLevel="1">
      <c r="A140" s="23" t="str" cm="1">
        <f t="array" ca="1" aca="1" ref="A140">IF(INDEX($H:$H,ROW()-1)&lt;&gt;$H140,$E140,"")</f>
        <v/>
      </c>
      <c r="B140" s="71" t="str" cm="1">
        <f t="array" ca="1" aca="1" ref="B140">IF($K140="","",_xlfn.LET(_xlpm._fullName,IF($L140="",SUBSTITUTE(SUBSTITUTE(INDIRECT($K140),CHAR(10)," "),"  "," "),$L140),_xlpm._truncatedName,IF(LEN(_xlpm._fullName)&gt;250,LEFT(_xlpm._fullName,250)&amp;"[…]",_xlpm._fullName),HYPERLINK("#'"&amp;$E140&amp;"'!"&amp;$F140&amp;$G140,_xlpm._truncatedName)))</f>
        <v>Knowledge of TOE</v>
      </c>
      <c r="C140" s="13" t="s">
        <v>826</v>
      </c>
      <c r="D140" s="13"/>
      <c r="E140" s="61" t="str">
        <f t="shared" ca="1" si="25"/>
        <v>Countermeasures</v>
      </c>
      <c r="F140" s="61" t="str">
        <f t="shared" ca="1" si="26"/>
        <v>M</v>
      </c>
      <c r="G140" s="61" t="str">
        <f t="shared" ca="1" si="27"/>
        <v>2</v>
      </c>
      <c r="H140" s="61" cm="1">
        <f t="array" ca="1" aca="1" ref="H140">CreateID($H$36,$H:$H,$E140&lt;&gt;INDEX($E:$E,ROW()-1))</f>
        <v>7</v>
      </c>
      <c r="I140" s="61" t="str" cm="1">
        <f t="array" ca="1" aca="1" ref="I140">INDIRECT($K140)</f>
        <v>Knowledge of TOE</v>
      </c>
      <c r="K140" s="2" t="str" cm="1">
        <f t="array" ca="1" aca="1" ref="K140">CELL("address",OFFSET(Countermeasures!$A$2,0,ROW()-ROW($K$128)))</f>
        <v>'[QuBA-libre.xlsx]Countermeasures'!$M$2</v>
      </c>
    </row>
    <row r="141" spans="1:11" ht="30" outlineLevel="1">
      <c r="A141" s="23" t="str" cm="1">
        <f t="array" ca="1" aca="1" ref="A141">IF(INDEX($H:$H,ROW()-1)&lt;&gt;$H141,$E141,"")</f>
        <v/>
      </c>
      <c r="B141" s="71" t="str" cm="1">
        <f t="array" ca="1" aca="1" ref="B141">IF($K141="","",_xlfn.LET(_xlpm._fullName,IF($L141="",SUBSTITUTE(SUBSTITUTE(INDIRECT($K141),CHAR(10)," "),"  "," "),$L141),_xlpm._truncatedName,IF(LEN(_xlpm._fullName)&gt;250,LEFT(_xlpm._fullName,250)&amp;"[…]",_xlpm._fullName),HYPERLINK("#'"&amp;$E141&amp;"'!"&amp;$F141&amp;$G141,_xlpm._truncatedName)))</f>
        <v>Window of Opportunity</v>
      </c>
      <c r="C141" s="13" t="s">
        <v>827</v>
      </c>
      <c r="D141" s="13"/>
      <c r="E141" s="61" t="str">
        <f t="shared" ca="1" si="25"/>
        <v>Countermeasures</v>
      </c>
      <c r="F141" s="61" t="str">
        <f t="shared" ca="1" si="26"/>
        <v>N</v>
      </c>
      <c r="G141" s="61" t="str">
        <f t="shared" ca="1" si="27"/>
        <v>2</v>
      </c>
      <c r="H141" s="61" cm="1">
        <f t="array" ca="1" aca="1" ref="H141">CreateID($H$36,$H:$H,$E141&lt;&gt;INDEX($E:$E,ROW()-1))</f>
        <v>7</v>
      </c>
      <c r="I141" s="61" t="str" cm="1">
        <f t="array" ca="1" aca="1" ref="I141">INDIRECT($K141)</f>
        <v>Window of Opportunity</v>
      </c>
      <c r="K141" s="2" t="str" cm="1">
        <f t="array" ca="1" aca="1" ref="K141">CELL("address",OFFSET(Countermeasures!$A$2,0,ROW()-ROW($K$128)))</f>
        <v>'[QuBA-libre.xlsx]Countermeasures'!$N$2</v>
      </c>
    </row>
    <row r="142" spans="1:11" ht="15" outlineLevel="1">
      <c r="A142" s="23" t="str" cm="1">
        <f t="array" ca="1" aca="1" ref="A142">IF(INDEX($H:$H,ROW()-1)&lt;&gt;$H142,$E142,"")</f>
        <v/>
      </c>
      <c r="B142" s="71" t="str" cm="1">
        <f t="array" ca="1" aca="1" ref="B142">IF($K142="","",_xlfn.LET(_xlpm._fullName,IF($L142="",SUBSTITUTE(SUBSTITUTE(INDIRECT($K142),CHAR(10)," "),"  "," "),$L142),_xlpm._truncatedName,IF(LEN(_xlpm._fullName)&gt;250,LEFT(_xlpm._fullName,250)&amp;"[…]",_xlpm._fullName),HYPERLINK("#'"&amp;$E142&amp;"'!"&amp;$F142&amp;$G142,_xlpm._truncatedName)))</f>
        <v>Equipment</v>
      </c>
      <c r="C142" s="13" t="s">
        <v>828</v>
      </c>
      <c r="D142" s="13"/>
      <c r="E142" s="61" t="str">
        <f t="shared" ca="1" si="25"/>
        <v>Countermeasures</v>
      </c>
      <c r="F142" s="61" t="str">
        <f t="shared" ca="1" si="26"/>
        <v>O</v>
      </c>
      <c r="G142" s="61" t="str">
        <f t="shared" ca="1" si="27"/>
        <v>2</v>
      </c>
      <c r="H142" s="61" cm="1">
        <f t="array" ca="1" aca="1" ref="H142">CreateID($H$36,$H:$H,$E142&lt;&gt;INDEX($E:$E,ROW()-1))</f>
        <v>7</v>
      </c>
      <c r="I142" s="61" t="str" cm="1">
        <f t="array" ca="1" aca="1" ref="I142">INDIRECT($K142)</f>
        <v>Equipment</v>
      </c>
      <c r="K142" s="2" t="str" cm="1">
        <f t="array" ca="1" aca="1" ref="K142">CELL("address",OFFSET(Countermeasures!$A$2,0,ROW()-ROW($K$128)))</f>
        <v>'[QuBA-libre.xlsx]Countermeasures'!$O$2</v>
      </c>
    </row>
    <row r="143" spans="1:11" ht="15" outlineLevel="1">
      <c r="A143" s="23" t="str" cm="1">
        <f t="array" ca="1" aca="1" ref="A143">IF(INDEX($H:$H,ROW()-1)&lt;&gt;$H143,$E143,"")</f>
        <v/>
      </c>
      <c r="B143" s="71" t="str" cm="1">
        <f t="array" ca="1" aca="1" ref="B143">IF($K143="","",_xlfn.LET(_xlpm._fullName,IF($L143="",SUBSTITUTE(SUBSTITUTE(INDIRECT($K143),CHAR(10)," "),"  "," "),$L143),_xlpm._truncatedName,IF(LEN(_xlpm._fullName)&gt;250,LEFT(_xlpm._fullName,250)&amp;"[…]",_xlpm._fullName),HYPERLINK("#'"&amp;$E143&amp;"'!"&amp;$F143&amp;$G143,_xlpm._truncatedName)))</f>
        <v>RAP</v>
      </c>
      <c r="C143" s="13" t="s">
        <v>819</v>
      </c>
      <c r="D143" s="13"/>
      <c r="E143" s="61" t="str">
        <f t="shared" ca="1" si="25"/>
        <v>Countermeasures</v>
      </c>
      <c r="F143" s="61" t="str">
        <f t="shared" ca="1" si="26"/>
        <v>P</v>
      </c>
      <c r="G143" s="61" t="str">
        <f t="shared" ca="1" si="27"/>
        <v>2</v>
      </c>
      <c r="H143" s="61" cm="1">
        <f t="array" ca="1" aca="1" ref="H143">CreateID($H$36,$H:$H,$E143&lt;&gt;INDEX($E:$E,ROW()-1))</f>
        <v>7</v>
      </c>
      <c r="I143" s="61" t="str" cm="1">
        <f t="array" ca="1" aca="1" ref="I143">INDIRECT($K143)</f>
        <v>RAP</v>
      </c>
      <c r="K143" s="2" t="str" cm="1">
        <f t="array" ca="1" aca="1" ref="K143">CELL("address",OFFSET(Countermeasures!$A$2,0,ROW()-ROW($K$128)))</f>
        <v>'[QuBA-libre.xlsx]Countermeasures'!$P$2</v>
      </c>
    </row>
    <row r="144" spans="1:11" ht="30" outlineLevel="1">
      <c r="A144" s="23" t="str" cm="1">
        <f t="array" ca="1" aca="1" ref="A144">IF(INDEX($H:$H,ROW()-1)&lt;&gt;$H144,$E144,"")</f>
        <v/>
      </c>
      <c r="B144" s="71" t="str" cm="1">
        <f t="array" ca="1" aca="1" ref="B144">IF($K144="","",_xlfn.LET(_xlpm._fullName,IF($L144="",SUBSTITUTE(SUBSTITUTE(INDIRECT($K144),CHAR(10)," "),"  "," "),$L144),_xlpm._truncatedName,IF(LEN(_xlpm._fullName)&gt;250,LEFT(_xlpm._fullName,250)&amp;"[…]",_xlpm._fullName),HYPERLINK("#'"&amp;$E144&amp;"'!"&amp;$F144&amp;$G144,_xlpm._truncatedName)))</f>
        <v>Mapping to CRA, Annex I (1.2)</v>
      </c>
      <c r="C144" s="13" t="s">
        <v>1688</v>
      </c>
      <c r="D144" s="13"/>
      <c r="E144" s="61" t="str">
        <f t="shared" ca="1" si="25"/>
        <v>Countermeasures</v>
      </c>
      <c r="F144" s="61" t="str">
        <f t="shared" ca="1" si="26"/>
        <v>Q</v>
      </c>
      <c r="G144" s="61" t="str">
        <f t="shared" ca="1" si="27"/>
        <v>2</v>
      </c>
      <c r="H144" s="61" cm="1">
        <f t="array" ca="1" aca="1" ref="H144">CreateID($H$36,$H:$H,$E144&lt;&gt;INDEX($E:$E,ROW()-1))</f>
        <v>7</v>
      </c>
      <c r="I144" s="61" t="str" cm="1">
        <f t="array" ca="1" aca="1" ref="I144">INDIRECT($K144)</f>
        <v>Mapping to CRA, Annex I (1.2)</v>
      </c>
      <c r="K144" s="2" t="str" cm="1">
        <f t="array" ca="1" aca="1" ref="K144">CELL("address",OFFSET(Countermeasures!$A$2,0,ROW()-ROW($K$128)))</f>
        <v>'[QuBA-libre.xlsx]Countermeasures'!$Q$2</v>
      </c>
    </row>
    <row r="145" spans="1:11" ht="30" outlineLevel="1">
      <c r="A145" s="23" t="str" cm="1">
        <f t="array" ca="1" aca="1" ref="A145">IF(INDEX($H:$H,ROW()-1)&lt;&gt;$H145,$E145,"")</f>
        <v/>
      </c>
      <c r="B145" s="71" t="str" cm="1">
        <f t="array" ca="1" aca="1" ref="B145">IF($K145="","",_xlfn.LET(_xlpm._fullName,IF($L145="",SUBSTITUTE(SUBSTITUTE(INDIRECT($K145),CHAR(10)," "),"  "," "),$L145),_xlpm._truncatedName,IF(LEN(_xlpm._fullName)&gt;250,LEFT(_xlpm._fullName,250)&amp;"[…]",_xlpm._fullName),HYPERLINK("#'"&amp;$E145&amp;"'!"&amp;$F145&amp;$G145,_xlpm._truncatedName)))</f>
        <v>Reference</v>
      </c>
      <c r="C145" s="13" t="s">
        <v>1717</v>
      </c>
      <c r="D145" s="13"/>
      <c r="E145" s="61" t="str">
        <f t="shared" ca="1" si="25"/>
        <v>Countermeasures</v>
      </c>
      <c r="F145" s="61" t="str">
        <f t="shared" ca="1" si="26"/>
        <v>R</v>
      </c>
      <c r="G145" s="61" t="str">
        <f t="shared" ca="1" si="27"/>
        <v>2</v>
      </c>
      <c r="H145" s="61" cm="1">
        <f t="array" ca="1" aca="1" ref="H145">CreateID($H$36,$H:$H,$E145&lt;&gt;INDEX($E:$E,ROW()-1))</f>
        <v>7</v>
      </c>
      <c r="I145" s="61" t="str" cm="1">
        <f t="array" ca="1" aca="1" ref="I145">INDIRECT($K145)</f>
        <v>Reference</v>
      </c>
      <c r="K145" s="2" t="str" cm="1">
        <f t="array" ca="1" aca="1" ref="K145">CELL("address",OFFSET(Countermeasures!$A$2,0,ROW()-ROW($K$128)))</f>
        <v>'[QuBA-libre.xlsx]Countermeasures'!$R$2</v>
      </c>
    </row>
    <row r="146" spans="1:11" ht="15" outlineLevel="1">
      <c r="A146" s="23" t="str" cm="1">
        <f t="array" ca="1" aca="1" ref="A146">IF(INDEX($H:$H,ROW()-1)&lt;&gt;$H146,$E146,"")</f>
        <v/>
      </c>
      <c r="B146" s="71" t="str" cm="1">
        <f t="array" ca="1" aca="1" ref="B146">IF($K146="","",_xlfn.LET(_xlpm._fullName,IF($L146="",SUBSTITUTE(SUBSTITUTE(INDIRECT($K146),CHAR(10)," "),"  "," "),$L146),_xlpm._truncatedName,IF(LEN(_xlpm._fullName)&gt;250,LEFT(_xlpm._fullName,250)&amp;"[…]",_xlpm._fullName),HYPERLINK("#'"&amp;$E146&amp;"'!"&amp;$F146&amp;$G146,_xlpm._truncatedName)))</f>
        <v>Comment</v>
      </c>
      <c r="C146" s="13" t="s">
        <v>809</v>
      </c>
      <c r="D146" s="13"/>
      <c r="E146" s="61" t="str">
        <f t="shared" ca="1" si="25"/>
        <v>Countermeasures</v>
      </c>
      <c r="F146" s="61" t="str">
        <f t="shared" ca="1" si="26"/>
        <v>S</v>
      </c>
      <c r="G146" s="61" t="str">
        <f t="shared" ca="1" si="27"/>
        <v>2</v>
      </c>
      <c r="H146" s="61" cm="1">
        <f t="array" ca="1" aca="1" ref="H146">CreateID($H$36,$H:$H,$E146&lt;&gt;INDEX($E:$E,ROW()-1))</f>
        <v>7</v>
      </c>
      <c r="I146" s="61" t="str" cm="1">
        <f t="array" ca="1" aca="1" ref="I146">INDIRECT($K146)</f>
        <v>Comment</v>
      </c>
      <c r="K146" s="2" t="str" cm="1">
        <f t="array" ca="1" aca="1" ref="K146">CELL("address",OFFSET(Countermeasures!$A$2,0,ROW()-ROW($K$128)))</f>
        <v>'[QuBA-libre.xlsx]Countermeasures'!$S$2</v>
      </c>
    </row>
    <row r="147" spans="1:11" ht="15">
      <c r="A147" s="102" t="str" cm="1">
        <f t="array" ca="1" aca="1" ref="A147">IF(INDEX($H:$H,ROW()-1)&lt;&gt;$H147,$E147,"")</f>
        <v>Documentation</v>
      </c>
      <c r="B147" s="71" t="str" cm="1">
        <f t="array" ca="1" aca="1" ref="B147">IF($K147="","",_xlfn.LET(_xlpm._fullName,IF($L147="",SUBSTITUTE(SUBSTITUTE(INDIRECT($K147),CHAR(10)," "),"  "," "),$L147),_xlpm._truncatedName,IF(LEN(_xlpm._fullName)&gt;250,LEFT(_xlpm._fullName,250)&amp;"[…]",_xlpm._fullName),HYPERLINK("#'"&amp;$E147&amp;"'!"&amp;$F147&amp;$G147,_xlpm._truncatedName)))</f>
        <v>Target of Evaluation</v>
      </c>
      <c r="C147" s="13" t="s">
        <v>830</v>
      </c>
      <c r="D147" s="13"/>
      <c r="E147" s="61" t="str">
        <f ca="1" t="shared" si="28" ref="E147:E169">IF($K147="","",_xlfn.LET(_xlpm._in,$K147,_xlpm._start,FIND("]",_xlpm._in)+1,SUBSTITUTE(MID(_xlpm._in,_xlpm._start,FIND("!",_xlpm._in)-_xlpm._start),"'","")))</f>
        <v>Documentation</v>
      </c>
      <c r="F147" s="61" t="str">
        <f ca="1" t="shared" si="29" ref="F147:F169">IF($K147="","",_xlfn.LET(_xlpm._in,SUBSTITUTE($K147,"$","§",1),_xlpm._start,FIND("§",_xlpm._in)+1,SUBSTITUTE(MID(_xlpm._in,_xlpm._start,FIND("$",_xlpm._in)-_xlpm._start),"'","")))</f>
        <v>B</v>
      </c>
      <c r="G147" s="61" t="str">
        <f ca="1" t="shared" si="30" ref="G147:G169">IF($K147="","",RIGHT($K147,LEN($K147)-FIND("$",SUBSTITUTE($K147,"$","§",1))))</f>
        <v>2</v>
      </c>
      <c r="H147" s="61" cm="1">
        <f t="array" ca="1" aca="1" ref="H147">CreateID($H$36,$H:$H,$E147&lt;&gt;INDEX($E:$E,ROW()-1))</f>
        <v>8</v>
      </c>
      <c r="I147" s="61" t="str" cm="1">
        <f t="array" ca="1" aca="1" ref="I147">INDIRECT($K147)</f>
        <v>Target of Evaluation</v>
      </c>
      <c r="K147" s="2" t="str" cm="1">
        <f t="array" ca="1" aca="1" ref="K147">CELL("address",Documentation!B2)</f>
        <v>'[QuBA-libre.xlsx]Documentation'!$B$2</v>
      </c>
    </row>
    <row r="148" spans="1:11" ht="15" outlineLevel="1">
      <c r="A148" s="23" t="str" cm="1">
        <f t="array" ca="1" aca="1" ref="A148">IF(INDEX($H:$H,ROW()-1)&lt;&gt;$H148,$E148,"")</f>
        <v/>
      </c>
      <c r="B148" s="71" t="str" cm="1">
        <f t="array" ca="1" aca="1" ref="B148">IF($K148="","",_xlfn.LET(_xlpm._fullName,IF($L148="",SUBSTITUTE(SUBSTITUTE(INDIRECT($K148),CHAR(10)," "),"  "," "),$L148),_xlpm._truncatedName,IF(LEN(_xlpm._fullName)&gt;250,LEFT(_xlpm._fullName,250)&amp;"[…]",_xlpm._fullName),HYPERLINK("#'"&amp;$E148&amp;"'!"&amp;$F148&amp;$G148,_xlpm._truncatedName)))</f>
        <v>Author</v>
      </c>
      <c r="C148" s="13" t="s">
        <v>831</v>
      </c>
      <c r="D148" s="13"/>
      <c r="E148" s="61" t="str">
        <f t="shared" ca="1" si="28"/>
        <v>Documentation</v>
      </c>
      <c r="F148" s="61" t="str">
        <f t="shared" ca="1" si="29"/>
        <v>B</v>
      </c>
      <c r="G148" s="61" t="str">
        <f t="shared" ca="1" si="30"/>
        <v>4</v>
      </c>
      <c r="H148" s="61" cm="1">
        <f t="array" ca="1" aca="1" ref="H148">CreateID($H$36,$H:$H,$E148&lt;&gt;INDEX($E:$E,ROW()-1))</f>
        <v>8</v>
      </c>
      <c r="I148" s="61" t="str" cm="1">
        <f t="array" ca="1" aca="1" ref="I148">INDIRECT($K148)</f>
        <v>Author</v>
      </c>
      <c r="K148" s="2" t="str" cm="1">
        <f t="array" ca="1" aca="1" ref="K148">CELL("address",Documentation!B4)</f>
        <v>'[QuBA-libre.xlsx]Documentation'!$B$4</v>
      </c>
    </row>
    <row r="149" spans="1:11" ht="15" outlineLevel="1">
      <c r="A149" s="23" t="str" cm="1">
        <f t="array" ca="1" aca="1" ref="A149">IF(INDEX($H:$H,ROW()-1)&lt;&gt;$H149,$E149,"")</f>
        <v/>
      </c>
      <c r="B149" s="71" t="str" cm="1">
        <f t="array" ca="1" aca="1" ref="B149">IF($K149="","",_xlfn.LET(_xlpm._fullName,IF($L149="",SUBSTITUTE(SUBSTITUTE(INDIRECT($K149),CHAR(10)," "),"  "," "),$L149),_xlpm._truncatedName,IF(LEN(_xlpm._fullName)&gt;250,LEFT(_xlpm._fullName,250)&amp;"[…]",_xlpm._fullName),HYPERLINK("#'"&amp;$E149&amp;"'!"&amp;$F149&amp;$G149,_xlpm._truncatedName)))</f>
        <v>PM Contact</v>
      </c>
      <c r="C149" s="13" t="s">
        <v>1753</v>
      </c>
      <c r="D149" s="13"/>
      <c r="E149" s="61" t="str">
        <f t="shared" ca="1" si="28"/>
        <v>Documentation</v>
      </c>
      <c r="F149" s="61" t="str">
        <f t="shared" ca="1" si="29"/>
        <v>B</v>
      </c>
      <c r="G149" s="61" t="str">
        <f t="shared" ca="1" si="30"/>
        <v>6</v>
      </c>
      <c r="H149" s="61" cm="1">
        <f t="array" ca="1" aca="1" ref="H149">CreateID($H$36,$H:$H,$E149&lt;&gt;INDEX($E:$E,ROW()-1))</f>
        <v>8</v>
      </c>
      <c r="I149" s="61" t="str" cm="1">
        <f t="array" ca="1" aca="1" ref="I149">INDIRECT($K149)</f>
        <v>PM Contact</v>
      </c>
      <c r="K149" s="2" t="str" cm="1">
        <f t="array" ca="1" aca="1" ref="K149">CELL("address",Documentation!B6)</f>
        <v>'[QuBA-libre.xlsx]Documentation'!$B$6</v>
      </c>
    </row>
    <row r="150" spans="1:11" ht="15" outlineLevel="1">
      <c r="A150" s="23" t="str" cm="1">
        <f t="array" ca="1" aca="1" ref="A150">IF(INDEX($H:$H,ROW()-1)&lt;&gt;$H150,$E150,"")</f>
        <v/>
      </c>
      <c r="B150" s="71" t="str" cm="1">
        <f t="array" ca="1" aca="1" ref="B150">IF($K150="","",_xlfn.LET(_xlpm._fullName,IF($L150="",SUBSTITUTE(SUBSTITUTE(INDIRECT($K150),CHAR(10)," "),"  "," "),$L150),_xlpm._truncatedName,IF(LEN(_xlpm._fullName)&gt;250,LEFT(_xlpm._fullName,250)&amp;"[…]",_xlpm._fullName),HYPERLINK("#'"&amp;$E150&amp;"'!"&amp;$F150&amp;$G150,_xlpm._truncatedName)))</f>
        <v>RD Contact</v>
      </c>
      <c r="C150" s="13" t="s">
        <v>1754</v>
      </c>
      <c r="D150" s="13"/>
      <c r="E150" s="61" t="str">
        <f ca="1" t="shared" si="31" ref="E150:E152">IF($K150="","",_xlfn.LET(_xlpm._in,$K150,_xlpm._start,FIND("]",_xlpm._in)+1,SUBSTITUTE(MID(_xlpm._in,_xlpm._start,FIND("!",_xlpm._in)-_xlpm._start),"'","")))</f>
        <v>Documentation</v>
      </c>
      <c r="F150" s="61" t="str">
        <f ca="1" t="shared" si="32" ref="F150:F152">IF($K150="","",_xlfn.LET(_xlpm._in,SUBSTITUTE($K150,"$","§",1),_xlpm._start,FIND("§",_xlpm._in)+1,SUBSTITUTE(MID(_xlpm._in,_xlpm._start,FIND("$",_xlpm._in)-_xlpm._start),"'","")))</f>
        <v>B</v>
      </c>
      <c r="G150" s="61" t="str">
        <f ca="1" t="shared" si="33" ref="G150:G152">IF($K150="","",RIGHT($K150,LEN($K150)-FIND("$",SUBSTITUTE($K150,"$","§",1))))</f>
        <v>8</v>
      </c>
      <c r="H150" s="61" cm="1">
        <f t="array" ca="1" aca="1" ref="H150">CreateID($H$36,$H:$H,$E150&lt;&gt;INDEX($E:$E,ROW()-1))</f>
        <v>8</v>
      </c>
      <c r="I150" s="61" t="str" cm="1">
        <f t="array" ca="1" aca="1" ref="I150">INDIRECT($K150)</f>
        <v>RD Contact</v>
      </c>
      <c r="K150" s="2" t="str" cm="1">
        <f t="array" ca="1" aca="1" ref="K150">CELL("address",Documentation!B8)</f>
        <v>'[QuBA-libre.xlsx]Documentation'!$B$8</v>
      </c>
    </row>
    <row r="151" spans="1:11" ht="15" outlineLevel="1">
      <c r="A151" s="23" t="str" cm="1">
        <f t="array" ca="1" aca="1" ref="A151">IF(INDEX($H:$H,ROW()-1)&lt;&gt;$H151,$E151,"")</f>
        <v/>
      </c>
      <c r="B151" s="71" t="str" cm="1">
        <f t="array" ca="1" aca="1" ref="B151">IF($K151="","",_xlfn.LET(_xlpm._fullName,IF($L151="",SUBSTITUTE(SUBSTITUTE(INDIRECT($K151),CHAR(10)," "),"  "," "),$L151),_xlpm._truncatedName,IF(LEN(_xlpm._fullName)&gt;250,LEFT(_xlpm._fullName,250)&amp;"[…]",_xlpm._fullName),HYPERLINK("#'"&amp;$E151&amp;"'!"&amp;$F151&amp;$G151,_xlpm._truncatedName)))</f>
        <v>CSS</v>
      </c>
      <c r="C151" s="13" t="s">
        <v>1755</v>
      </c>
      <c r="D151" s="13"/>
      <c r="E151" s="61" t="str">
        <f t="shared" ca="1" si="31"/>
        <v>Documentation</v>
      </c>
      <c r="F151" s="61" t="str">
        <f t="shared" ca="1" si="32"/>
        <v>B</v>
      </c>
      <c r="G151" s="61" t="str">
        <f t="shared" ca="1" si="33"/>
        <v>10</v>
      </c>
      <c r="H151" s="61" cm="1">
        <f t="array" ca="1" aca="1" ref="H151">CreateID($H$36,$H:$H,$E151&lt;&gt;INDEX($E:$E,ROW()-1))</f>
        <v>8</v>
      </c>
      <c r="I151" s="61" t="str" cm="1">
        <f t="array" ca="1" aca="1" ref="I151">INDIRECT($K151)</f>
        <v>CSS</v>
      </c>
      <c r="K151" s="2" t="str" cm="1">
        <f t="array" ca="1" aca="1" ref="K151">CELL("address",Documentation!B10)</f>
        <v>'[QuBA-libre.xlsx]Documentation'!$B$10</v>
      </c>
    </row>
    <row r="152" spans="1:11" ht="30" outlineLevel="1">
      <c r="A152" s="23" t="str" cm="1">
        <f t="array" ca="1" aca="1" ref="A152">IF(INDEX($H:$H,ROW()-1)&lt;&gt;$H152,$E152,"")</f>
        <v/>
      </c>
      <c r="B152" s="71" t="str" cm="1">
        <f t="array" ca="1" aca="1" ref="B152">IF($K152="","",_xlfn.LET(_xlpm._fullName,IF($L152="",SUBSTITUTE(SUBSTITUTE(INDIRECT($K152),CHAR(10)," "),"  "," "),$L152),_xlpm._truncatedName,IF(LEN(_xlpm._fullName)&gt;250,LEFT(_xlpm._fullName,250)&amp;"[…]",_xlpm._fullName),HYPERLINK("#'"&amp;$E152&amp;"'!"&amp;$F152&amp;$G152,_xlpm._truncatedName)))</f>
        <v>CSTS</v>
      </c>
      <c r="C152" s="13" t="s">
        <v>1756</v>
      </c>
      <c r="D152" s="13"/>
      <c r="E152" s="61" t="str">
        <f t="shared" ca="1" si="31"/>
        <v>Documentation</v>
      </c>
      <c r="F152" s="61" t="str">
        <f t="shared" ca="1" si="32"/>
        <v>B</v>
      </c>
      <c r="G152" s="61" t="str">
        <f t="shared" ca="1" si="33"/>
        <v>12</v>
      </c>
      <c r="H152" s="61" cm="1">
        <f t="array" ca="1" aca="1" ref="H152">CreateID($H$36,$H:$H,$E152&lt;&gt;INDEX($E:$E,ROW()-1))</f>
        <v>8</v>
      </c>
      <c r="I152" s="61" t="str" cm="1">
        <f t="array" ca="1" aca="1" ref="I152">INDIRECT($K152)</f>
        <v>CSTS</v>
      </c>
      <c r="K152" s="2" t="str" cm="1">
        <f t="array" ca="1" aca="1" ref="K152">CELL("address",Documentation!B12)</f>
        <v>'[QuBA-libre.xlsx]Documentation'!$B$12</v>
      </c>
    </row>
    <row r="153" spans="1:11" ht="15" outlineLevel="1">
      <c r="A153" s="23" t="str" cm="1">
        <f t="array" ca="1" aca="1" ref="A153">IF(INDEX($H:$H,ROW()-1)&lt;&gt;$H153,$E153,"")</f>
        <v/>
      </c>
      <c r="B153" s="71" t="str" cm="1">
        <f t="array" ca="1" aca="1" ref="B153">IF($K153="","",_xlfn.LET(_xlpm._fullName,IF($L153="",SUBSTITUTE(SUBSTITUTE(INDIRECT($K153),CHAR(10)," "),"  "," "),$L153),_xlpm._truncatedName,IF(LEN(_xlpm._fullName)&gt;250,LEFT(_xlpm._fullName,250)&amp;"[…]",_xlpm._fullName),HYPERLINK("#'"&amp;$E153&amp;"'!"&amp;$F153&amp;$G153,_xlpm._truncatedName)))</f>
        <v>Template Release</v>
      </c>
      <c r="C153" s="13" t="s">
        <v>1392</v>
      </c>
      <c r="D153" s="13"/>
      <c r="E153" s="61" t="str">
        <f ca="1">IF($K153="","",_xlfn.LET(_xlpm._in,$K153,_xlpm._start,FIND("]",_xlpm._in)+1,SUBSTITUTE(MID(_xlpm._in,_xlpm._start,FIND("!",_xlpm._in)-_xlpm._start),"'","")))</f>
        <v>Documentation</v>
      </c>
      <c r="F153" s="61" t="str">
        <f ca="1">IF($K153="","",_xlfn.LET(_xlpm._in,SUBSTITUTE($K153,"$","§",1),_xlpm._start,FIND("§",_xlpm._in)+1,SUBSTITUTE(MID(_xlpm._in,_xlpm._start,FIND("$",_xlpm._in)-_xlpm._start),"'","")))</f>
        <v>B</v>
      </c>
      <c r="G153" s="61" t="str">
        <f ca="1">IF($K153="","",RIGHT($K153,LEN($K153)-FIND("$",SUBSTITUTE($K153,"$","§",1))))</f>
        <v>14</v>
      </c>
      <c r="H153" s="61" cm="1">
        <f t="array" ca="1" aca="1" ref="H153">CreateID($H$36,$H:$H,$E153&lt;&gt;INDEX($E:$E,ROW()-1))</f>
        <v>8</v>
      </c>
      <c r="I153" s="61" t="str" cm="1">
        <f t="array" ca="1" aca="1" ref="I153">INDIRECT($K153)</f>
        <v>Template Release</v>
      </c>
      <c r="K153" s="2" t="str" cm="1">
        <f t="array" ca="1" aca="1" ref="K153">CELL("address",Documentation!B14)</f>
        <v>'[QuBA-libre.xlsx]Documentation'!$B$14</v>
      </c>
    </row>
    <row r="154" spans="1:11" ht="45" outlineLevel="1">
      <c r="A154" s="23" t="str" cm="1">
        <f t="array" ca="1" aca="1" ref="A154">IF(INDEX($H:$H,ROW()-1)&lt;&gt;$H154,$E154,"")</f>
        <v/>
      </c>
      <c r="B154" s="71" t="str" cm="1">
        <f t="array" ca="1" aca="1" ref="B154">IF($K154="","",_xlfn.LET(_xlpm._fullName,IF($L154="",SUBSTITUTE(SUBSTITUTE(INDIRECT($K154),CHAR(10)," "),"  "," "),$L154),_xlpm._truncatedName,IF(LEN(_xlpm._fullName)&gt;250,LEFT(_xlpm._fullName,250)&amp;"[…]",_xlpm._fullName),HYPERLINK("#'"&amp;$E154&amp;"'!"&amp;$F154&amp;$G154,_xlpm._truncatedName)))</f>
        <v>QuBA Change History</v>
      </c>
      <c r="C154" s="13" t="s">
        <v>832</v>
      </c>
      <c r="D154" s="13" t="s">
        <v>1393</v>
      </c>
      <c r="E154" s="61" t="str">
        <f t="shared" ca="1" si="28"/>
        <v>Documentation</v>
      </c>
      <c r="F154" s="61" t="str">
        <f t="shared" ca="1" si="29"/>
        <v>B</v>
      </c>
      <c r="G154" s="61" t="str">
        <f t="shared" ca="1" si="30"/>
        <v>16</v>
      </c>
      <c r="H154" s="61" cm="1">
        <f t="array" ca="1" aca="1" ref="H154">CreateID($H$36,$H:$H,$E154&lt;&gt;INDEX($E:$E,ROW()-1))</f>
        <v>8</v>
      </c>
      <c r="I154" s="61" t="str" cm="1">
        <f t="array" ca="1" aca="1" ref="I154">INDIRECT($K154)</f>
        <v>QuBA Change History</v>
      </c>
      <c r="K154" s="2" t="str" cm="1">
        <f t="array" ca="1" aca="1" ref="K154">CELL("address",Documentation!B16)</f>
        <v>'[QuBA-libre.xlsx]Documentation'!$B$16</v>
      </c>
    </row>
    <row r="155" spans="1:11" ht="30" outlineLevel="1">
      <c r="A155" s="23" t="str" cm="1">
        <f t="array" ca="1" aca="1" ref="A155">IF(INDEX($H:$H,ROW()-1)&lt;&gt;$H155,$E155,"")</f>
        <v/>
      </c>
      <c r="B155" s="71" t="str" cm="1">
        <f t="array" ca="1" aca="1" ref="B155">IF($K155="","",_xlfn.LET(_xlpm._fullName,IF($L155="",SUBSTITUTE(SUBSTITUTE(INDIRECT($K155),CHAR(10)," "),"  "," "),$L155),_xlpm._truncatedName,IF(LEN(_xlpm._fullName)&gt;250,LEFT(_xlpm._fullName,250)&amp;"[…]",_xlpm._fullName),HYPERLINK("#'"&amp;$E155&amp;"'!"&amp;$F155&amp;$G155,_xlpm._truncatedName)))</f>
        <v>Illustration / photos of the product, including component / data flow / sequence diagrams, if available.</v>
      </c>
      <c r="C155" s="13" t="s">
        <v>1709</v>
      </c>
      <c r="D155" s="13"/>
      <c r="E155" s="61" t="str">
        <f ca="1">IF($K155="","",_xlfn.LET(_xlpm._in,$K155,_xlpm._start,FIND("]",_xlpm._in)+1,SUBSTITUTE(MID(_xlpm._in,_xlpm._start,FIND("!",_xlpm._in)-_xlpm._start),"'","")))</f>
        <v>Documentation</v>
      </c>
      <c r="F155" s="61" t="str">
        <f ca="1">IF($K155="","",_xlfn.LET(_xlpm._in,SUBSTITUTE($K155,"$","§",1),_xlpm._start,FIND("§",_xlpm._in)+1,SUBSTITUTE(MID(_xlpm._in,_xlpm._start,FIND("$",_xlpm._in)-_xlpm._start),"'","")))</f>
        <v>B</v>
      </c>
      <c r="G155" s="61" t="str">
        <f ca="1">IF($K155="","",RIGHT($K155,LEN($K155)-FIND("$",SUBSTITUTE($K155,"$","§",1))))</f>
        <v>25</v>
      </c>
      <c r="H155" s="61" cm="1">
        <f t="array" ca="1" aca="1" ref="H155">CreateID($H$36,$H:$H,$E155&lt;&gt;INDEX($E:$E,ROW()-1))</f>
        <v>8</v>
      </c>
      <c r="I155" s="61" t="str" cm="1">
        <f t="array" ca="1" aca="1" ref="I155">INDIRECT($K155)</f>
        <v>Illustration / photos of the product, including component / data flow / sequence diagrams, if available.</v>
      </c>
      <c r="K155" s="2" t="str" cm="1">
        <f t="array" ca="1" aca="1" ref="K155">CELL("address",Documentation!B25)</f>
        <v>'[QuBA-libre.xlsx]Documentation'!$B$25</v>
      </c>
    </row>
    <row r="156" spans="1:11" ht="394.5" outlineLevel="1">
      <c r="A156" s="23" t="str" cm="1">
        <f t="array" ca="1" aca="1" ref="A156">IF(INDEX($H:$H,ROW()-1)&lt;&gt;$H156,$E156,"")</f>
        <v/>
      </c>
      <c r="B156" s="71" t="str" cm="1">
        <f t="array" ca="1" aca="1" ref="B156">IF($K156="","",_xlfn.LET(_xlpm._fullName,IF($L156="",SUBSTITUTE(SUBSTITUTE(INDIRECT($K156),CHAR(10)," "),"  "," "),$L156),_xlpm._truncatedName,IF(LEN(_xlpm._fullName)&gt;250,LEFT(_xlpm._fullName,250)&amp;"[…]",_xlpm._fullName),HYPERLINK("#'"&amp;$E156&amp;"'!"&amp;$F156&amp;$G156,_xlpm._truncatedName)))</f>
        <v>Description of the TOE (Target of Evaluation)</v>
      </c>
      <c r="C156" s="13" t="s">
        <v>1328</v>
      </c>
      <c r="D156" s="117" t="s">
        <v>1781</v>
      </c>
      <c r="E156" s="61" t="str">
        <f ca="1">IF($K156="","",_xlfn.LET(_xlpm._in,$K156,_xlpm._start,FIND("]",_xlpm._in)+1,SUBSTITUTE(MID(_xlpm._in,_xlpm._start,FIND("!",_xlpm._in)-_xlpm._start),"'","")))</f>
        <v>Documentation</v>
      </c>
      <c r="F156" s="61" t="str">
        <f ca="1">IF($K156="","",_xlfn.LET(_xlpm._in,SUBSTITUTE($K156,"$","§",1),_xlpm._start,FIND("§",_xlpm._in)+1,SUBSTITUTE(MID(_xlpm._in,_xlpm._start,FIND("$",_xlpm._in)-_xlpm._start),"'","")))</f>
        <v>G</v>
      </c>
      <c r="G156" s="61" t="str">
        <f ca="1">IF($K156="","",RIGHT($K156,LEN($K156)-FIND("$",SUBSTITUTE($K156,"$","§",1))))</f>
        <v>2</v>
      </c>
      <c r="H156" s="61" cm="1">
        <f t="array" ca="1" aca="1" ref="H156">CreateID($H$36,$H:$H,$E156&lt;&gt;INDEX($E:$E,ROW()-1))</f>
        <v>8</v>
      </c>
      <c r="I156" s="61" t="str" cm="1">
        <f t="array" ca="1" aca="1" ref="I156">INDIRECT($K156)</f>
        <v>Description of the TOE (Target of Evaluation)</v>
      </c>
      <c r="K156" s="2" t="str" cm="1">
        <f t="array" ca="1" aca="1" ref="K156">CELL("address",Documentation!G2)</f>
        <v>'[QuBA-libre.xlsx]Documentation'!$G$2</v>
      </c>
    </row>
    <row r="157" spans="1:11" ht="30">
      <c r="A157" s="102" t="str" cm="1">
        <f t="array" ca="1" aca="1" ref="A157">IF(INDEX($H:$H,ROW()-1)&lt;&gt;$H157,$E157,"")</f>
        <v>Questionnaire</v>
      </c>
      <c r="B157" s="71" t="str" cm="1">
        <f t="array" ca="1" aca="1" ref="B157">IF($K157="","",_xlfn.LET(_xlpm._fullName,IF($L157="",SUBSTITUTE(SUBSTITUTE(INDIRECT($K157),CHAR(10)," "),"  "," "),$L157),_xlpm._truncatedName,IF(LEN(_xlpm._fullName)&gt;250,LEFT(_xlpm._fullName,250)&amp;"[…]",_xlpm._fullName),HYPERLINK("#'"&amp;$E157&amp;"'!"&amp;$F157&amp;$G157,_xlpm._truncatedName)))</f>
        <v>ID</v>
      </c>
      <c r="C157" s="13" t="s">
        <v>1203</v>
      </c>
      <c r="D157" s="13"/>
      <c r="E157" s="61" t="str">
        <f t="shared" ca="1" si="28"/>
        <v>Questionnaire</v>
      </c>
      <c r="F157" s="61" t="str">
        <f t="shared" ca="1" si="29"/>
        <v>A</v>
      </c>
      <c r="G157" s="61" t="str">
        <f t="shared" ca="1" si="30"/>
        <v>2</v>
      </c>
      <c r="H157" s="61" cm="1">
        <f t="array" ca="1" aca="1" ref="H157">CreateID($H$36,$H:$H,$E157&lt;&gt;INDEX($E:$E,ROW()-1))</f>
        <v>9</v>
      </c>
      <c r="I157" s="61" t="str" cm="1">
        <f t="array" ca="1" aca="1" ref="I157">INDIRECT($K157)</f>
        <v>ID</v>
      </c>
      <c r="K157" s="2" t="str" cm="1">
        <f t="array" ca="1" aca="1" ref="K157">CELL("address",OFFSET(Questionnaire!$A$2,0,ROW()-ROW($K$157)))</f>
        <v>'[QuBA-libre.xlsx]Questionnaire'!$A$2</v>
      </c>
    </row>
    <row r="158" spans="1:11" ht="60" outlineLevel="1">
      <c r="A158" s="23" t="str" cm="1">
        <f t="array" ca="1" aca="1" ref="A158">IF(INDEX($H:$H,ROW()-1)&lt;&gt;$H158,$E158,"")</f>
        <v/>
      </c>
      <c r="B158" s="71" t="str" cm="1">
        <f t="array" ca="1" aca="1" ref="B158">IF($K158="","",_xlfn.LET(_xlpm._fullName,IF($L158="",SUBSTITUTE(SUBSTITUTE(INDIRECT($K158),CHAR(10)," "),"  "," "),$L158),_xlpm._truncatedName,IF(LEN(_xlpm._fullName)&gt;250,LEFT(_xlpm._fullName,250)&amp;"[…]",_xlpm._fullName),HYPERLINK("#'"&amp;$E158&amp;"'!"&amp;$F158&amp;$G158,_xlpm._truncatedName)))</f>
        <v>Question</v>
      </c>
      <c r="C158" s="13" t="s">
        <v>1318</v>
      </c>
      <c r="D158" s="13" t="s">
        <v>1319</v>
      </c>
      <c r="E158" s="61" t="str">
        <f t="shared" ca="1" si="28"/>
        <v>Questionnaire</v>
      </c>
      <c r="F158" s="61" t="str">
        <f t="shared" ca="1" si="29"/>
        <v>B</v>
      </c>
      <c r="G158" s="61" t="str">
        <f t="shared" ca="1" si="30"/>
        <v>2</v>
      </c>
      <c r="H158" s="61" cm="1">
        <f t="array" ca="1" aca="1" ref="H158">CreateID($H$36,$H:$H,$E158&lt;&gt;INDEX($E:$E,ROW()-1))</f>
        <v>9</v>
      </c>
      <c r="I158" s="61" t="str" cm="1">
        <f t="array" ca="1" aca="1" ref="I158">INDIRECT($K158)</f>
        <v>Question</v>
      </c>
      <c r="K158" s="2" t="str" cm="1">
        <f t="array" ca="1" aca="1" ref="K158">CELL("address",OFFSET(Questionnaire!$A$2,0,ROW()-ROW($K$157)))</f>
        <v>'[QuBA-libre.xlsx]Questionnaire'!$B$2</v>
      </c>
    </row>
    <row r="159" spans="1:11" ht="30" outlineLevel="1">
      <c r="A159" s="23" t="str" cm="1">
        <f t="array" ca="1" aca="1" ref="A159">IF(INDEX($H:$H,ROW()-1)&lt;&gt;$H159,$E159,"")</f>
        <v/>
      </c>
      <c r="B159" s="71" t="str" cm="1">
        <f t="array" ca="1" aca="1" ref="B159">IF($K159="","",_xlfn.LET(_xlpm._fullName,IF($L159="",SUBSTITUTE(SUBSTITUTE(INDIRECT($K159),CHAR(10)," "),"  "," "),$L159),_xlpm._truncatedName,IF(LEN(_xlpm._fullName)&gt;250,LEFT(_xlpm._fullName,250)&amp;"[…]",_xlpm._fullName),HYPERLINK("#'"&amp;$E159&amp;"'!"&amp;$F159&amp;$G159,_xlpm._truncatedName)))</f>
        <v>Answer 1</v>
      </c>
      <c r="C159" s="13" t="s">
        <v>844</v>
      </c>
      <c r="D159" s="13"/>
      <c r="E159" s="61" t="str">
        <f t="shared" ca="1" si="28"/>
        <v>Questionnaire</v>
      </c>
      <c r="F159" s="61" t="str">
        <f t="shared" ca="1" si="29"/>
        <v>C</v>
      </c>
      <c r="G159" s="61" t="str">
        <f t="shared" ca="1" si="30"/>
        <v>2</v>
      </c>
      <c r="H159" s="61" cm="1">
        <f t="array" ca="1" aca="1" ref="H159">CreateID($H$36,$H:$H,$E159&lt;&gt;INDEX($E:$E,ROW()-1))</f>
        <v>9</v>
      </c>
      <c r="I159" s="61" t="str" cm="1">
        <f t="array" ca="1" aca="1" ref="I159">INDIRECT($K159)</f>
        <v>Answer 1</v>
      </c>
      <c r="K159" s="2" t="str" cm="1">
        <f t="array" ca="1" aca="1" ref="K159">CELL("address",OFFSET(Questionnaire!$A$2,0,ROW()-ROW($K$157)))</f>
        <v>'[QuBA-libre.xlsx]Questionnaire'!$C$2</v>
      </c>
    </row>
    <row r="160" spans="1:11" ht="30" outlineLevel="1">
      <c r="A160" s="23" t="str" cm="1">
        <f t="array" ca="1" aca="1" ref="A160">IF(INDEX($H:$H,ROW()-1)&lt;&gt;$H160,$E160,"")</f>
        <v/>
      </c>
      <c r="B160" s="71" t="str" cm="1">
        <f t="array" ca="1" aca="1" ref="B160">IF($K160="","",_xlfn.LET(_xlpm._fullName,IF($L160="",SUBSTITUTE(SUBSTITUTE(INDIRECT($K160),CHAR(10)," "),"  "," "),$L160),_xlpm._truncatedName,IF(LEN(_xlpm._fullName)&gt;250,LEFT(_xlpm._fullName,250)&amp;"[…]",_xlpm._fullName),HYPERLINK("#'"&amp;$E160&amp;"'!"&amp;$F160&amp;$G160,_xlpm._truncatedName)))</f>
        <v>Additonal Question</v>
      </c>
      <c r="C160" s="13" t="s">
        <v>837</v>
      </c>
      <c r="D160" s="13"/>
      <c r="E160" s="61" t="str">
        <f t="shared" ca="1" si="28"/>
        <v>Questionnaire</v>
      </c>
      <c r="F160" s="61" t="str">
        <f t="shared" ca="1" si="29"/>
        <v>D</v>
      </c>
      <c r="G160" s="61" t="str">
        <f t="shared" ca="1" si="30"/>
        <v>2</v>
      </c>
      <c r="H160" s="61" cm="1">
        <f t="array" ca="1" aca="1" ref="H160">CreateID($H$36,$H:$H,$E160&lt;&gt;INDEX($E:$E,ROW()-1))</f>
        <v>9</v>
      </c>
      <c r="I160" s="61" t="str" cm="1">
        <f t="array" ca="1" aca="1" ref="I160">INDIRECT($K160)</f>
        <v>Additonal Question</v>
      </c>
      <c r="K160" s="2" t="str" cm="1">
        <f t="array" ca="1" aca="1" ref="K160">CELL("address",OFFSET(Questionnaire!$A$2,0,ROW()-ROW($K$157)))</f>
        <v>'[QuBA-libre.xlsx]Questionnaire'!$D$2</v>
      </c>
    </row>
    <row r="161" spans="1:11" ht="45" outlineLevel="1">
      <c r="A161" s="23" t="str" cm="1">
        <f t="array" ca="1" aca="1" ref="A161">IF(INDEX($H:$H,ROW()-1)&lt;&gt;$H161,$E161,"")</f>
        <v/>
      </c>
      <c r="B161" s="71" t="str" cm="1">
        <f t="array" ca="1" aca="1" ref="B161">IF($K161="","",_xlfn.LET(_xlpm._fullName,IF($L161="",SUBSTITUTE(SUBSTITUTE(INDIRECT($K161),CHAR(10)," "),"  "," "),$L161),_xlpm._truncatedName,IF(LEN(_xlpm._fullName)&gt;250,LEFT(_xlpm._fullName,250)&amp;"[…]",_xlpm._fullName),HYPERLINK("#'"&amp;$E161&amp;"'!"&amp;$F161&amp;$G161,_xlpm._truncatedName)))</f>
        <v>Answer 2</v>
      </c>
      <c r="C161" s="13" t="s">
        <v>838</v>
      </c>
      <c r="D161" s="13"/>
      <c r="E161" s="61" t="str">
        <f t="shared" ca="1" si="28"/>
        <v>Questionnaire</v>
      </c>
      <c r="F161" s="61" t="str">
        <f t="shared" ca="1" si="29"/>
        <v>E</v>
      </c>
      <c r="G161" s="61" t="str">
        <f t="shared" ca="1" si="30"/>
        <v>2</v>
      </c>
      <c r="H161" s="61" cm="1">
        <f t="array" ca="1" aca="1" ref="H161">CreateID($H$36,$H:$H,$E161&lt;&gt;INDEX($E:$E,ROW()-1))</f>
        <v>9</v>
      </c>
      <c r="I161" s="61" t="str" cm="1">
        <f t="array" ca="1" aca="1" ref="I161">INDIRECT($K161)</f>
        <v>Answer 2</v>
      </c>
      <c r="K161" s="2" t="str" cm="1">
        <f t="array" ca="1" aca="1" ref="K161">CELL("address",OFFSET(Questionnaire!$A$2,0,ROW()-ROW($K$157)))</f>
        <v>'[QuBA-libre.xlsx]Questionnaire'!$E$2</v>
      </c>
    </row>
    <row r="162" spans="1:11" ht="75" outlineLevel="1">
      <c r="A162" s="23" t="str" cm="1">
        <f t="array" ca="1" aca="1" ref="A162">IF(INDEX($H:$H,ROW()-1)&lt;&gt;$H162,$E162,"")</f>
        <v/>
      </c>
      <c r="B162" s="71" t="str" cm="1">
        <f t="array" ca="1" aca="1" ref="B162">IF($K162="","",_xlfn.LET(_xlpm._fullName,IF($L162="",SUBSTITUTE(SUBSTITUTE(INDIRECT($K162),CHAR(10)," "),"  "," "),$L162),_xlpm._truncatedName,IF(LEN(_xlpm._fullName)&gt;250,LEFT(_xlpm._fullName,250)&amp;"[…]",_xlpm._fullName),HYPERLINK("#'"&amp;$E162&amp;"'!"&amp;$F162&amp;$G162,_xlpm._truncatedName)))</f>
        <v>Additional information and instructions</v>
      </c>
      <c r="C162" s="13" t="s">
        <v>839</v>
      </c>
      <c r="D162" s="13"/>
      <c r="E162" s="61" t="str">
        <f t="shared" ca="1" si="28"/>
        <v>Questionnaire</v>
      </c>
      <c r="F162" s="61" t="str">
        <f t="shared" ca="1" si="29"/>
        <v>F</v>
      </c>
      <c r="G162" s="61" t="str">
        <f t="shared" ca="1" si="30"/>
        <v>2</v>
      </c>
      <c r="H162" s="61" cm="1">
        <f t="array" ca="1" aca="1" ref="H162">CreateID($H$36,$H:$H,$E162&lt;&gt;INDEX($E:$E,ROW()-1))</f>
        <v>9</v>
      </c>
      <c r="I162" s="61" t="str" cm="1">
        <f t="array" ca="1" aca="1" ref="I162">INDIRECT($K162)</f>
        <v>Additional information and instructions</v>
      </c>
      <c r="K162" s="2" t="str" cm="1">
        <f t="array" ca="1" aca="1" ref="K162">CELL("address",OFFSET(Questionnaire!$A$2,0,ROW()-ROW($K$157)))</f>
        <v>'[QuBA-libre.xlsx]Questionnaire'!$F$2</v>
      </c>
    </row>
    <row r="163" spans="1:11" ht="105" outlineLevel="1">
      <c r="A163" s="23" t="str" cm="1">
        <f t="array" ca="1" aca="1" ref="A163">IF(INDEX($H:$H,ROW()-1)&lt;&gt;$H163,$E163,"")</f>
        <v/>
      </c>
      <c r="B163" s="71" t="str" cm="1">
        <f t="array" ca="1" aca="1" ref="B163">IF($K163="","",_xlfn.LET(_xlpm._fullName,IF($L163="",SUBSTITUTE(SUBSTITUTE(INDIRECT($K163),CHAR(10)," "),"  "," "),$L163),_xlpm._truncatedName,IF(LEN(_xlpm._fullName)&gt;250,LEFT(_xlpm._fullName,250)&amp;"[…]",_xlpm._fullName),HYPERLINK("#'"&amp;$E163&amp;"'!"&amp;$F163&amp;$G163,_xlpm._truncatedName)))</f>
        <v>Rationale / provide details on the processed data</v>
      </c>
      <c r="C163" s="13" t="s">
        <v>1320</v>
      </c>
      <c r="D163" s="13" t="s">
        <v>1321</v>
      </c>
      <c r="E163" s="61" t="str">
        <f t="shared" ca="1" si="28"/>
        <v>Questionnaire</v>
      </c>
      <c r="F163" s="61" t="str">
        <f t="shared" ca="1" si="29"/>
        <v>G</v>
      </c>
      <c r="G163" s="61" t="str">
        <f t="shared" ca="1" si="30"/>
        <v>3</v>
      </c>
      <c r="H163" s="61" cm="1">
        <f t="array" ca="1" aca="1" ref="H163">CreateID($H$36,$H:$H,$E163&lt;&gt;INDEX($E:$E,ROW()-1))</f>
        <v>9</v>
      </c>
      <c r="I163" s="61" t="str" cm="1">
        <f t="array" ca="1" aca="1" ref="I163">INDIRECT($K163)</f>
        <v>Rationale / provide details on the processed data</v>
      </c>
      <c r="K163" s="2" t="str" cm="1">
        <f t="array" ca="1" aca="1" ref="K163">CELL("address",OFFSET(Questionnaire!$A$3,0,ROW()-ROW($K$157)))</f>
        <v>'[QuBA-libre.xlsx]Questionnaire'!$G$3</v>
      </c>
    </row>
    <row r="164" spans="1:11" ht="30">
      <c r="A164" s="23" t="str" cm="1">
        <f t="array" ca="1" aca="1" ref="A164">IF(INDEX($H:$H,ROW()-1)&lt;&gt;$H164,$E164,"")</f>
        <v>DS Overview</v>
      </c>
      <c r="B164" s="71" t="str" cm="1">
        <f t="array" ca="1" aca="1" ref="B164">IF($K164="","",_xlfn.LET(_xlpm._fullName,IF($L164="",SUBSTITUTE(SUBSTITUTE(INDIRECT($K164),CHAR(10)," "),"  "," "),$L164),_xlpm._truncatedName,IF(LEN(_xlpm._fullName)&gt;250,LEFT(_xlpm._fullName,250)&amp;"[…]",_xlpm._fullName),HYPERLINK("#'"&amp;$E164&amp;"'!"&amp;$F164&amp;$G164,_xlpm._truncatedName)))</f>
        <v>ID</v>
      </c>
      <c r="C164" s="13" t="s">
        <v>850</v>
      </c>
      <c r="D164" s="13"/>
      <c r="E164" s="61" t="str">
        <f t="shared" ca="1" si="28"/>
        <v>DS Overview</v>
      </c>
      <c r="F164" s="61" t="str">
        <f t="shared" ca="1" si="29"/>
        <v>A</v>
      </c>
      <c r="G164" s="61" t="str">
        <f t="shared" ca="1" si="30"/>
        <v>2</v>
      </c>
      <c r="H164" s="61" cm="1">
        <f t="array" ca="1" aca="1" ref="H164">CreateID($H$36,$H:$H,$E164&lt;&gt;INDEX($E:$E,ROW()-1))</f>
        <v>10</v>
      </c>
      <c r="I164" s="61" t="str" cm="1">
        <f t="array" ca="1" aca="1" ref="I164">INDIRECT($K164)</f>
        <v>ID</v>
      </c>
      <c r="K164" s="2" t="str" cm="1">
        <f t="array" ca="1" aca="1" ref="K164">CELL("address",OFFSET('DS Overview'!$A$2,0,ROW()-ROW($K$164)))</f>
        <v>'[QuBA-libre.xlsx]DS Overview'!$A$2</v>
      </c>
    </row>
    <row r="165" spans="1:11" ht="15" outlineLevel="1">
      <c r="A165" s="23" t="str" cm="1">
        <f t="array" ca="1" aca="1" ref="A165">IF(INDEX($H:$H,ROW()-1)&lt;&gt;$H165,$E165,"")</f>
        <v/>
      </c>
      <c r="B165" s="71" t="str" cm="1">
        <f t="array" ca="1" aca="1" ref="B165">IF($K165="","",_xlfn.LET(_xlpm._fullName,IF($L165="",SUBSTITUTE(SUBSTITUTE(INDIRECT($K165),CHAR(10)," "),"  "," "),$L165),_xlpm._truncatedName,IF(LEN(_xlpm._fullName)&gt;250,LEFT(_xlpm._fullName,250)&amp;"[…]",_xlpm._fullName),HYPERLINK("#'"&amp;$E165&amp;"'!"&amp;$F165&amp;$G165,_xlpm._truncatedName)))</f>
        <v>Damage Scenario</v>
      </c>
      <c r="C165" s="13" t="s">
        <v>849</v>
      </c>
      <c r="D165" s="13"/>
      <c r="E165" s="61" t="str">
        <f t="shared" ca="1" si="28"/>
        <v>DS Overview</v>
      </c>
      <c r="F165" s="61" t="str">
        <f t="shared" ca="1" si="29"/>
        <v>B</v>
      </c>
      <c r="G165" s="61" t="str">
        <f t="shared" ca="1" si="30"/>
        <v>2</v>
      </c>
      <c r="H165" s="61" cm="1">
        <f t="array" ca="1" aca="1" ref="H165">CreateID($H$36,$H:$H,$E165&lt;&gt;INDEX($E:$E,ROW()-1))</f>
        <v>10</v>
      </c>
      <c r="I165" s="61" t="str" cm="1">
        <f t="array" ca="1" aca="1" ref="I165">INDIRECT($K165)</f>
        <v>Damage Scenario</v>
      </c>
      <c r="K165" s="2" t="str" cm="1">
        <f t="array" ca="1" aca="1" ref="K165">CELL("address",OFFSET('DS Overview'!$A$2,0,ROW()-ROW($K$164)))</f>
        <v>'[QuBA-libre.xlsx]DS Overview'!$B$2</v>
      </c>
    </row>
    <row r="166" spans="1:11" ht="30" outlineLevel="1">
      <c r="A166" s="23" t="str" cm="1">
        <f t="array" ca="1" aca="1" ref="A166">IF(INDEX($H:$H,ROW()-1)&lt;&gt;$H166,$E166,"")</f>
        <v/>
      </c>
      <c r="B166" s="71" t="str" cm="1">
        <f t="array" ca="1" aca="1" ref="B166">IF($K166="","",_xlfn.LET(_xlpm._fullName,IF($L166="",SUBSTITUTE(SUBSTITUTE(INDIRECT($K166),CHAR(10)," "),"  "," "),$L166),_xlpm._truncatedName,IF(LEN(_xlpm._fullName)&gt;250,LEFT(_xlpm._fullName,250)&amp;"[…]",_xlpm._fullName),HYPERLINK("#'"&amp;$E166&amp;"'!"&amp;$F166&amp;$G166,_xlpm._truncatedName)))</f>
        <v>Damage Level</v>
      </c>
      <c r="C166" s="13" t="s">
        <v>851</v>
      </c>
      <c r="D166" s="13"/>
      <c r="E166" s="61" t="str">
        <f t="shared" ca="1" si="28"/>
        <v>DS Overview</v>
      </c>
      <c r="F166" s="61" t="str">
        <f t="shared" ca="1" si="29"/>
        <v>C</v>
      </c>
      <c r="G166" s="61" t="str">
        <f t="shared" ca="1" si="30"/>
        <v>2</v>
      </c>
      <c r="H166" s="61" cm="1">
        <f t="array" ca="1" aca="1" ref="H166">CreateID($H$36,$H:$H,$E166&lt;&gt;INDEX($E:$E,ROW()-1))</f>
        <v>10</v>
      </c>
      <c r="I166" s="61" t="str" cm="1">
        <f t="array" ca="1" aca="1" ref="I166">INDIRECT($K166)</f>
        <v>Damage Level</v>
      </c>
      <c r="K166" s="2" t="str" cm="1">
        <f t="array" ca="1" aca="1" ref="K166">CELL("address",OFFSET('DS Overview'!$A$2,0,ROW()-ROW($K$164)))</f>
        <v>'[QuBA-libre.xlsx]DS Overview'!$C$2</v>
      </c>
    </row>
    <row r="167" spans="1:11" ht="30" outlineLevel="1">
      <c r="A167" s="23" t="str" cm="1">
        <f t="array" ca="1" aca="1" ref="A167">IF(INDEX($H:$H,ROW()-1)&lt;&gt;$H167,$E167,"")</f>
        <v/>
      </c>
      <c r="B167" s="71" t="str" cm="1">
        <f t="array" ca="1" aca="1" ref="B167">IF($K167="","",_xlfn.LET(_xlpm._fullName,IF($L167="",SUBSTITUTE(SUBSTITUTE(INDIRECT($K167),CHAR(10)," "),"  "," "),$L167),_xlpm._truncatedName,IF(LEN(_xlpm._fullName)&gt;250,LEFT(_xlpm._fullName,250)&amp;"[…]",_xlpm._fullName),HYPERLINK("#'"&amp;$E167&amp;"'!"&amp;$F167&amp;$G167,_xlpm._truncatedName)))</f>
        <v>Related Questions and Answers / Explanation</v>
      </c>
      <c r="C167" s="13" t="s">
        <v>852</v>
      </c>
      <c r="D167" s="13"/>
      <c r="E167" s="61" t="str">
        <f t="shared" ca="1" si="28"/>
        <v>DS Overview</v>
      </c>
      <c r="F167" s="61" t="str">
        <f t="shared" ca="1" si="29"/>
        <v>D</v>
      </c>
      <c r="G167" s="61" t="str">
        <f t="shared" ca="1" si="30"/>
        <v>2</v>
      </c>
      <c r="H167" s="61" cm="1">
        <f t="array" ca="1" aca="1" ref="H167">CreateID($H$36,$H:$H,$E167&lt;&gt;INDEX($E:$E,ROW()-1))</f>
        <v>10</v>
      </c>
      <c r="I167" s="61" t="str" cm="1">
        <f t="array" ca="1" aca="1" ref="I167">INDIRECT($K167)</f>
        <v>Related Questions and Answers / Explanation</v>
      </c>
      <c r="K167" s="2" t="str" cm="1">
        <f t="array" ca="1" aca="1" ref="K167">CELL("address",OFFSET('DS Overview'!$A$2,0,ROW()-ROW($K$164)))</f>
        <v>'[QuBA-libre.xlsx]DS Overview'!$D$2</v>
      </c>
    </row>
    <row r="168" spans="1:11" ht="30">
      <c r="A168" s="23" t="str" cm="1">
        <f t="array" ca="1" aca="1" ref="A168">IF(INDEX($H:$H,ROW()-1)&lt;&gt;$H168,$E168,"")</f>
        <v>Risks</v>
      </c>
      <c r="B168" s="71" t="str" cm="1">
        <f t="array" ca="1" aca="1" ref="B168">IF($K168="","",_xlfn.LET(_xlpm._fullName,IF($L168="",SUBSTITUTE(SUBSTITUTE(INDIRECT($K168),CHAR(10)," "),"  "," "),$L168),_xlpm._truncatedName,IF(LEN(_xlpm._fullName)&gt;250,LEFT(_xlpm._fullName,250)&amp;"[…]",_xlpm._fullName),HYPERLINK("#'"&amp;$E168&amp;"'!"&amp;$F168&amp;$G168,_xlpm._truncatedName)))</f>
        <v>R ID</v>
      </c>
      <c r="C168" s="13" t="s">
        <v>853</v>
      </c>
      <c r="D168" s="13"/>
      <c r="E168" s="61" t="str">
        <f t="shared" ca="1" si="28"/>
        <v>Risks</v>
      </c>
      <c r="F168" s="61" t="str">
        <f t="shared" ca="1" si="29"/>
        <v>A</v>
      </c>
      <c r="G168" s="61" t="str">
        <f t="shared" ca="1" si="30"/>
        <v>2</v>
      </c>
      <c r="H168" s="61" cm="1">
        <f t="array" ca="1" aca="1" ref="H168">CreateID($H$36,$H:$H,$E168&lt;&gt;INDEX($E:$E,ROW()-1))</f>
        <v>11</v>
      </c>
      <c r="I168" s="61" t="str" cm="1">
        <f t="array" ca="1" aca="1" ref="I168">INDIRECT($K168)</f>
        <v>R ID</v>
      </c>
      <c r="K168" s="2" t="str" cm="1">
        <f t="array" ca="1" aca="1" ref="K168">CELL("address",OFFSET(Risks!$A$2,0,ROW()-ROW($K$168)))</f>
        <v>'[QuBA-libre.xlsx]Risks'!$A$2</v>
      </c>
    </row>
    <row r="169" spans="1:11" ht="30" outlineLevel="1">
      <c r="A169" s="23" t="str" cm="1">
        <f t="array" ca="1" aca="1" ref="A169">IF(INDEX($H:$H,ROW()-1)&lt;&gt;$H169,$E169,"")</f>
        <v/>
      </c>
      <c r="B169" s="71" t="str" cm="1">
        <f t="array" ca="1" aca="1" ref="B169">IF($K169="","",_xlfn.LET(_xlpm._fullName,IF($L169="",SUBSTITUTE(SUBSTITUTE(INDIRECT($K169),CHAR(10)," "),"  "," "),$L169),_xlpm._truncatedName,IF(LEN(_xlpm._fullName)&gt;250,LEFT(_xlpm._fullName,250)&amp;"[…]",_xlpm._fullName),HYPERLINK("#'"&amp;$E169&amp;"'!"&amp;$F169&amp;$G169,_xlpm._truncatedName)))</f>
        <v>Attack Path</v>
      </c>
      <c r="C169" s="13" t="s">
        <v>854</v>
      </c>
      <c r="D169" s="13"/>
      <c r="E169" s="61" t="str">
        <f t="shared" ca="1" si="28"/>
        <v>Risks</v>
      </c>
      <c r="F169" s="61" t="str">
        <f t="shared" ca="1" si="29"/>
        <v>B</v>
      </c>
      <c r="G169" s="61" t="str">
        <f t="shared" ca="1" si="30"/>
        <v>2</v>
      </c>
      <c r="H169" s="61" cm="1">
        <f t="array" ca="1" aca="1" ref="H169">CreateID($H$36,$H:$H,$E169&lt;&gt;INDEX($E:$E,ROW()-1))</f>
        <v>11</v>
      </c>
      <c r="I169" s="61" t="str" cm="1">
        <f t="array" ca="1" aca="1" ref="I169">INDIRECT($K169)</f>
        <v>Attack Path</v>
      </c>
      <c r="K169" s="2" t="str" cm="1">
        <f t="array" ca="1" aca="1" ref="K169">CELL("address",OFFSET(Risks!$A$2,0,ROW()-ROW($K$168)))</f>
        <v>'[QuBA-libre.xlsx]Risks'!$B$2</v>
      </c>
    </row>
    <row r="170" spans="1:11" ht="30" outlineLevel="1">
      <c r="A170" s="23" t="str" cm="1">
        <f t="array" ca="1" aca="1" ref="A170">IF(INDEX($H:$H,ROW()-1)&lt;&gt;$H170,$E170,"")</f>
        <v/>
      </c>
      <c r="B170" s="71" t="str" cm="1">
        <f t="array" ca="1" aca="1" ref="B170">IF($K170="","",_xlfn.LET(_xlpm._fullName,IF($L170="",SUBSTITUTE(SUBSTITUTE(INDIRECT($K170),CHAR(10)," "),"  "," "),$L170),_xlpm._truncatedName,IF(LEN(_xlpm._fullName)&gt;250,LEFT(_xlpm._fullName,250)&amp;"[…]",_xlpm._fullName),HYPERLINK("#'"&amp;$E170&amp;"'!"&amp;$F170&amp;$G170,_xlpm._truncatedName)))</f>
        <v>Damage Scenarios</v>
      </c>
      <c r="C170" s="13" t="s">
        <v>855</v>
      </c>
      <c r="D170" s="13"/>
      <c r="E170" s="61" t="str">
        <f ca="1">IF($K170="","",_xlfn.LET(_xlpm._in,$K170,_xlpm._start,FIND("]",_xlpm._in)+1,SUBSTITUTE(MID(_xlpm._in,_xlpm._start,FIND("!",_xlpm._in)-_xlpm._start),"'","")))</f>
        <v>Risks</v>
      </c>
      <c r="F170" s="61" t="str">
        <f ca="1">IF($K170="","",_xlfn.LET(_xlpm._in,SUBSTITUTE($K170,"$","§",1),_xlpm._start,FIND("§",_xlpm._in)+1,SUBSTITUTE(MID(_xlpm._in,_xlpm._start,FIND("$",_xlpm._in)-_xlpm._start),"'","")))</f>
        <v>C</v>
      </c>
      <c r="G170" s="61" t="str">
        <f ca="1">IF($K170="","",RIGHT($K170,LEN($K170)-FIND("$",SUBSTITUTE($K170,"$","§",1))))</f>
        <v>2</v>
      </c>
      <c r="H170" s="61" cm="1">
        <f t="array" ca="1" aca="1" ref="H170">CreateID($H$36,$H:$H,$E170&lt;&gt;INDEX($E:$E,ROW()-1))</f>
        <v>11</v>
      </c>
      <c r="I170" s="61" t="str" cm="1">
        <f t="array" ca="1" aca="1" ref="I170">INDIRECT($K170)</f>
        <v>Damage Scenarios</v>
      </c>
      <c r="K170" s="2" t="str" cm="1">
        <f t="array" ca="1" aca="1" ref="K170">CELL("address",OFFSET(Risks!$A$2,0,ROW()-ROW($K$168)))</f>
        <v>'[QuBA-libre.xlsx]Risks'!$C$2</v>
      </c>
    </row>
    <row r="171" spans="1:11" ht="15" outlineLevel="1">
      <c r="A171" s="23" t="str" cm="1">
        <f t="array" ca="1" aca="1" ref="A171">IF(INDEX($H:$H,ROW()-1)&lt;&gt;$H171,$E171,"")</f>
        <v/>
      </c>
      <c r="B171" s="71" t="str" cm="1">
        <f t="array" ca="1" aca="1" ref="B171">IF($K171="","",_xlfn.LET(_xlpm._fullName,IF($L171="",SUBSTITUTE(SUBSTITUTE(INDIRECT($K171),CHAR(10)," "),"  "," "),$L171),_xlpm._truncatedName,IF(LEN(_xlpm._fullName)&gt;250,LEFT(_xlpm._fullName,250)&amp;"[…]",_xlpm._fullName),HYPERLINK("#'"&amp;$E171&amp;"'!"&amp;$F171&amp;$G171,_xlpm._truncatedName)))</f>
        <v>Damage Level</v>
      </c>
      <c r="C171" s="13" t="s">
        <v>856</v>
      </c>
      <c r="D171" s="13"/>
      <c r="E171" s="61" t="str">
        <f ca="1">IF($K171="","",_xlfn.LET(_xlpm._in,$K171,_xlpm._start,FIND("]",_xlpm._in)+1,SUBSTITUTE(MID(_xlpm._in,_xlpm._start,FIND("!",_xlpm._in)-_xlpm._start),"'","")))</f>
        <v>Risks</v>
      </c>
      <c r="F171" s="61" t="str">
        <f ca="1">IF($K171="","",_xlfn.LET(_xlpm._in,SUBSTITUTE($K171,"$","§",1),_xlpm._start,FIND("§",_xlpm._in)+1,SUBSTITUTE(MID(_xlpm._in,_xlpm._start,FIND("$",_xlpm._in)-_xlpm._start),"'","")))</f>
        <v>D</v>
      </c>
      <c r="G171" s="61" t="str">
        <f ca="1">IF($K171="","",RIGHT($K171,LEN($K171)-FIND("$",SUBSTITUTE($K171,"$","§",1))))</f>
        <v>2</v>
      </c>
      <c r="H171" s="61" cm="1">
        <f t="array" ca="1" aca="1" ref="H171">CreateID($H$36,$H:$H,$E171&lt;&gt;INDEX($E:$E,ROW()-1))</f>
        <v>11</v>
      </c>
      <c r="I171" s="61" t="str" cm="1">
        <f t="array" ca="1" aca="1" ref="I171">INDIRECT($K171)</f>
        <v>Damage Level</v>
      </c>
      <c r="K171" s="2" t="str" cm="1">
        <f t="array" ca="1" aca="1" ref="K171">CELL("address",OFFSET(Risks!$A$2,0,ROW()-ROW($K$168)))</f>
        <v>'[QuBA-libre.xlsx]Risks'!$D$2</v>
      </c>
    </row>
    <row r="172" spans="1:11" ht="45" outlineLevel="1">
      <c r="A172" s="23" t="str" cm="1">
        <f t="array" ca="1" aca="1" ref="A172">IF(INDEX($H:$H,ROW()-1)&lt;&gt;$H172,$E172,"")</f>
        <v/>
      </c>
      <c r="B172" s="71" t="str" cm="1">
        <f t="array" ca="1" aca="1" ref="B172">IF($K172="","",_xlfn.LET(_xlpm._fullName,IF($L172="",SUBSTITUTE(SUBSTITUTE(INDIRECT($K172),CHAR(10)," "),"  "," "),$L172),_xlpm._truncatedName,IF(LEN(_xlpm._fullName)&gt;250,LEFT(_xlpm._fullName,250)&amp;"[…]",_xlpm._fullName),HYPERLINK("#'"&amp;$E172&amp;"'!"&amp;$F172&amp;$G172,_xlpm._truncatedName)))</f>
        <v xml:space="preserve">Factor Explanation </v>
      </c>
      <c r="C172" s="13" t="s">
        <v>870</v>
      </c>
      <c r="D172" s="13"/>
      <c r="E172" s="61" t="str">
        <f ca="1">IF($K172="","",_xlfn.LET(_xlpm._in,$K172,_xlpm._start,FIND("]",_xlpm._in)+1,SUBSTITUTE(MID(_xlpm._in,_xlpm._start,FIND("!",_xlpm._in)-_xlpm._start),"'","")))</f>
        <v>Risks</v>
      </c>
      <c r="F172" s="61" t="str">
        <f ca="1">IF($K172="","",_xlfn.LET(_xlpm._in,SUBSTITUTE($K172,"$","§",1),_xlpm._start,FIND("§",_xlpm._in)+1,SUBSTITUTE(MID(_xlpm._in,_xlpm._start,FIND("$",_xlpm._in)-_xlpm._start),"'","")))</f>
        <v>E</v>
      </c>
      <c r="G172" s="61" t="str">
        <f ca="1">IF($K172="","",RIGHT($K172,LEN($K172)-FIND("$",SUBSTITUTE($K172,"$","§",1))))</f>
        <v>2</v>
      </c>
      <c r="H172" s="61" cm="1">
        <f t="array" ca="1" aca="1" ref="H172">CreateID($H$36,$H:$H,$E172&lt;&gt;INDEX($E:$E,ROW()-1))</f>
        <v>11</v>
      </c>
      <c r="I172" s="61" t="str" cm="1">
        <f t="array" ca="1" aca="1" ref="I172">INDIRECT($K172)</f>
        <v xml:space="preserve">Factor Explanation </v>
      </c>
      <c r="K172" s="2" t="str" cm="1">
        <f t="array" ca="1" aca="1" ref="K172">CELL("address",OFFSET(Risks!$A$2,0,ROW()-ROW($K$168)))</f>
        <v>'[QuBA-libre.xlsx]Risks'!$E$2</v>
      </c>
    </row>
    <row r="173" spans="1:11" ht="45" outlineLevel="1">
      <c r="A173" s="23" t="str" cm="1">
        <f t="array" ca="1" aca="1" ref="A173">IF(INDEX($H:$H,ROW()-1)&lt;&gt;$H173,$E173,"")</f>
        <v/>
      </c>
      <c r="B173" s="71" t="str" cm="1">
        <f t="array" ca="1" aca="1" ref="B173">IF($K173="","",_xlfn.LET(_xlpm._fullName,IF($L173="",SUBSTITUTE(SUBSTITUTE(INDIRECT($K173),CHAR(10)," "),"  "," "),$L173),_xlpm._truncatedName,IF(LEN(_xlpm._fullName)&gt;250,LEFT(_xlpm._fullName,250)&amp;"[…]",_xlpm._fullName),HYPERLINK("#'"&amp;$E173&amp;"'!"&amp;$F173&amp;$G173,_xlpm._truncatedName)))</f>
        <v>RAP</v>
      </c>
      <c r="C173" s="13" t="s">
        <v>857</v>
      </c>
      <c r="D173" s="13"/>
      <c r="E173" s="61" t="str">
        <f ca="1">IF($K173="","",_xlfn.LET(_xlpm._in,$K173,_xlpm._start,FIND("]",_xlpm._in)+1,SUBSTITUTE(MID(_xlpm._in,_xlpm._start,FIND("!",_xlpm._in)-_xlpm._start),"'","")))</f>
        <v>Risks</v>
      </c>
      <c r="F173" s="61" t="str">
        <f ca="1">IF($K173="","",_xlfn.LET(_xlpm._in,SUBSTITUTE($K173,"$","§",1),_xlpm._start,FIND("§",_xlpm._in)+1,SUBSTITUTE(MID(_xlpm._in,_xlpm._start,FIND("$",_xlpm._in)-_xlpm._start),"'","")))</f>
        <v>F</v>
      </c>
      <c r="G173" s="61" t="str">
        <f ca="1">IF($K173="","",RIGHT($K173,LEN($K173)-FIND("$",SUBSTITUTE($K173,"$","§",1))))</f>
        <v>2</v>
      </c>
      <c r="H173" s="61" cm="1">
        <f t="array" ca="1" aca="1" ref="H173">CreateID($H$36,$H:$H,$E173&lt;&gt;INDEX($E:$E,ROW()-1))</f>
        <v>11</v>
      </c>
      <c r="I173" s="61" t="str" cm="1">
        <f t="array" ca="1" aca="1" ref="I173">INDIRECT($K173)</f>
        <v>RAP</v>
      </c>
      <c r="K173" s="2" t="str" cm="1">
        <f t="array" ca="1" aca="1" ref="K173">CELL("address",OFFSET(Risks!$A$2,0,ROW()-ROW($K$168)))</f>
        <v>'[QuBA-libre.xlsx]Risks'!$F$2</v>
      </c>
    </row>
    <row r="174" spans="1:11" ht="30" outlineLevel="1">
      <c r="A174" s="23" t="str" cm="1">
        <f t="array" ca="1" aca="1" ref="A174">IF(INDEX($H:$H,ROW()-1)&lt;&gt;$H174,$E174,"")</f>
        <v/>
      </c>
      <c r="B174" s="71" t="str" cm="1">
        <f t="array" ca="1" aca="1" ref="B174">IF($K174="","",_xlfn.LET(_xlpm._fullName,IF($L174="",SUBSTITUTE(SUBSTITUTE(INDIRECT($K174),CHAR(10)," "),"  "," "),$L174),_xlpm._truncatedName,IF(LEN(_xlpm._fullName)&gt;250,LEFT(_xlpm._fullName,250)&amp;"[…]",_xlpm._fullName),HYPERLINK("#'"&amp;$E174&amp;"'!"&amp;$F174&amp;$G174,_xlpm._truncatedName)))</f>
        <v>Risk Level</v>
      </c>
      <c r="C174" s="13" t="s">
        <v>880</v>
      </c>
      <c r="D174" s="13"/>
      <c r="E174" s="61" t="str">
        <f ca="1">IF($K174="","",_xlfn.LET(_xlpm._in,$K174,_xlpm._start,FIND("]",_xlpm._in)+1,SUBSTITUTE(MID(_xlpm._in,_xlpm._start,FIND("!",_xlpm._in)-_xlpm._start),"'","")))</f>
        <v>Risks</v>
      </c>
      <c r="F174" s="61" t="str">
        <f ca="1">IF($K174="","",_xlfn.LET(_xlpm._in,SUBSTITUTE($K174,"$","§",1),_xlpm._start,FIND("§",_xlpm._in)+1,SUBSTITUTE(MID(_xlpm._in,_xlpm._start,FIND("$",_xlpm._in)-_xlpm._start),"'","")))</f>
        <v>G</v>
      </c>
      <c r="G174" s="61" t="str">
        <f ca="1">IF($K174="","",RIGHT($K174,LEN($K174)-FIND("$",SUBSTITUTE($K174,"$","§",1))))</f>
        <v>2</v>
      </c>
      <c r="H174" s="61" cm="1">
        <f t="array" ca="1" aca="1" ref="H174">CreateID($H$36,$H:$H,$E174&lt;&gt;INDEX($E:$E,ROW()-1))</f>
        <v>11</v>
      </c>
      <c r="I174" s="61" t="str" cm="1">
        <f t="array" ca="1" aca="1" ref="I174">INDIRECT($K174)</f>
        <v>Risk Level</v>
      </c>
      <c r="K174" s="2" t="str" cm="1">
        <f t="array" ca="1" aca="1" ref="K174">CELL("address",OFFSET(Risks!$A$2,0,ROW()-ROW($K$168)))</f>
        <v>'[QuBA-libre.xlsx]Risks'!$G$2</v>
      </c>
    </row>
    <row r="175" spans="1:11" ht="30">
      <c r="A175" s="102" t="str" cm="1">
        <f t="array" ca="1" aca="1" ref="A175">IF(INDEX($H:$H,ROW()-1)&lt;&gt;$H175,$E175,"")</f>
        <v>Mitigation</v>
      </c>
      <c r="B175" s="71" t="str" cm="1">
        <f t="array" ca="1" aca="1" ref="B175">IF($K175="","",_xlfn.LET(_xlpm._fullName,IF($L175="",SUBSTITUTE(SUBSTITUTE(INDIRECT($K175),CHAR(10)," "),"  "," "),$L175),_xlpm._truncatedName,IF(LEN(_xlpm._fullName)&gt;250,LEFT(_xlpm._fullName,250)&amp;"[…]",_xlpm._fullName),HYPERLINK("#'"&amp;$E175&amp;"'!"&amp;$F175&amp;$G175,_xlpm._truncatedName)))</f>
        <v>AS ID</v>
      </c>
      <c r="C175" s="13" t="s">
        <v>858</v>
      </c>
      <c r="D175" s="13"/>
      <c r="E175" s="61" t="str">
        <f ca="1" t="shared" si="34" ref="E175:E189">IF($K175="","",_xlfn.LET(_xlpm._in,$K175,_xlpm._start,FIND("]",_xlpm._in)+1,SUBSTITUTE(MID(_xlpm._in,_xlpm._start,FIND("!",_xlpm._in)-_xlpm._start),"'","")))</f>
        <v>Mitigation</v>
      </c>
      <c r="F175" s="61" t="str">
        <f ca="1" t="shared" si="35" ref="F175:F189">IF($K175="","",_xlfn.LET(_xlpm._in,SUBSTITUTE($K175,"$","§",1),_xlpm._start,FIND("§",_xlpm._in)+1,SUBSTITUTE(MID(_xlpm._in,_xlpm._start,FIND("$",_xlpm._in)-_xlpm._start),"'","")))</f>
        <v>A</v>
      </c>
      <c r="G175" s="61" t="str">
        <f ca="1" t="shared" si="36" ref="G175:G189">IF($K175="","",RIGHT($K175,LEN($K175)-FIND("$",SUBSTITUTE($K175,"$","§",1))))</f>
        <v>2</v>
      </c>
      <c r="H175" s="61" cm="1">
        <f t="array" ca="1" aca="1" ref="H175">CreateID($H$36,$H:$H,$E175&lt;&gt;INDEX($E:$E,ROW()-1))</f>
        <v>12</v>
      </c>
      <c r="I175" s="61" t="str" cm="1">
        <f t="array" ca="1" aca="1" ref="I175">INDIRECT($K175)</f>
        <v>AS ID</v>
      </c>
      <c r="K175" s="2" t="str" cm="1">
        <f t="array" ca="1" aca="1" ref="K175">CELL("address",OFFSET(Mitigation!$A$2,0,ROW()-ROW($K$175)))</f>
        <v>'[QuBA-libre.xlsx]Mitigation'!$A$2</v>
      </c>
    </row>
    <row r="176" spans="1:11" ht="15" outlineLevel="1">
      <c r="A176" s="23" t="str" cm="1">
        <f t="array" ca="1" aca="1" ref="A176">IF(INDEX($H:$H,ROW()-1)&lt;&gt;$H176,$E176,"")</f>
        <v/>
      </c>
      <c r="B176" s="71" t="str" cm="1">
        <f t="array" ca="1" aca="1" ref="B176">IF($K176="","",_xlfn.LET(_xlpm._fullName,IF($L176="",SUBSTITUTE(SUBSTITUTE(INDIRECT($K176),CHAR(10)," "),"  "," "),$L176),_xlpm._truncatedName,IF(LEN(_xlpm._fullName)&gt;250,LEFT(_xlpm._fullName,250)&amp;"[…]",_xlpm._fullName),HYPERLINK("#'"&amp;$E176&amp;"'!"&amp;$F176&amp;$G176,_xlpm._truncatedName)))</f>
        <v>Attack Step</v>
      </c>
      <c r="C176" s="13" t="s">
        <v>859</v>
      </c>
      <c r="D176" s="13"/>
      <c r="E176" s="61" t="str">
        <f t="shared" ca="1" si="34"/>
        <v>Mitigation</v>
      </c>
      <c r="F176" s="61" t="str">
        <f t="shared" ca="1" si="35"/>
        <v>B</v>
      </c>
      <c r="G176" s="61" t="str">
        <f t="shared" ca="1" si="36"/>
        <v>2</v>
      </c>
      <c r="H176" s="61" cm="1">
        <f t="array" ca="1" aca="1" ref="H176">CreateID($H$36,$H:$H,$E176&lt;&gt;INDEX($E:$E,ROW()-1))</f>
        <v>12</v>
      </c>
      <c r="I176" s="61" t="str" cm="1">
        <f t="array" ca="1" aca="1" ref="I176">INDIRECT($K176)</f>
        <v>Attack Step</v>
      </c>
      <c r="K176" s="2" t="str" cm="1">
        <f t="array" ca="1" aca="1" ref="K176">CELL("address",OFFSET(Mitigation!$A$2,0,ROW()-ROW($K$175)))</f>
        <v>'[QuBA-libre.xlsx]Mitigation'!$B$2</v>
      </c>
    </row>
    <row r="177" spans="1:11" ht="45" outlineLevel="1">
      <c r="A177" s="23" t="str" cm="1">
        <f t="array" ca="1" aca="1" ref="A177">IF(INDEX($H:$H,ROW()-1)&lt;&gt;$H177,$E177,"")</f>
        <v/>
      </c>
      <c r="B177" s="71" t="str" cm="1">
        <f t="array" ca="1" aca="1" ref="B177">IF($K177="","",_xlfn.LET(_xlpm._fullName,IF($L177="",SUBSTITUTE(SUBSTITUTE(INDIRECT($K177),CHAR(10)," "),"  "," "),$L177),_xlpm._truncatedName,IF(LEN(_xlpm._fullName)&gt;250,LEFT(_xlpm._fullName,250)&amp;"[…]",_xlpm._fullName),HYPERLINK("#'"&amp;$E177&amp;"'!"&amp;$F177&amp;$G177,_xlpm._truncatedName)))</f>
        <v>Diplay at most # APs (empty = all)</v>
      </c>
      <c r="C177" s="13" t="s">
        <v>968</v>
      </c>
      <c r="D177" s="13"/>
      <c r="E177" s="61" t="str">
        <f ca="1">IF($K177="","",_xlfn.LET(_xlpm._in,$K177,_xlpm._start,FIND("]",_xlpm._in)+1,SUBSTITUTE(MID(_xlpm._in,_xlpm._start,FIND("!",_xlpm._in)-_xlpm._start),"'","")))</f>
        <v>Mitigation</v>
      </c>
      <c r="F177" s="61" t="str">
        <f ca="1">IF($K177="","",_xlfn.LET(_xlpm._in,SUBSTITUTE($K177,"$","§",1),_xlpm._start,FIND("§",_xlpm._in)+1,SUBSTITUTE(MID(_xlpm._in,_xlpm._start,FIND("$",_xlpm._in)-_xlpm._start),"'","")))</f>
        <v>C</v>
      </c>
      <c r="G177" s="61" t="str">
        <f ca="1">IF($K177="","",RIGHT($K177,LEN($K177)-FIND("$",SUBSTITUTE($K177,"$","§",1))))</f>
        <v>2</v>
      </c>
      <c r="H177" s="61" cm="1">
        <f t="array" ca="1" aca="1" ref="H177">CreateID($H$36,$H:$H,$E177&lt;&gt;INDEX($E:$E,ROW()-1))</f>
        <v>12</v>
      </c>
      <c r="I177" s="61" t="str" cm="1">
        <f t="array" ca="1" aca="1" ref="I177">INDIRECT($K177)</f>
        <v>Diplay at most # APs (empty = all)</v>
      </c>
      <c r="K177" s="2" t="str" cm="1">
        <f t="array" ca="1" aca="1" ref="K177">CELL("address",OFFSET(Mitigation!$A$2,0,ROW()-ROW($K$175)))</f>
        <v>'[QuBA-libre.xlsx]Mitigation'!$C$2</v>
      </c>
    </row>
    <row r="178" spans="1:11" ht="30" outlineLevel="1">
      <c r="A178" s="23" t="str" cm="1">
        <f t="array" ca="1" aca="1" ref="A178">IF(INDEX($H:$H,ROW()-1)&lt;&gt;$H178,$E178,"")</f>
        <v/>
      </c>
      <c r="B178" s="71" t="str" cm="1">
        <f t="array" ca="1" aca="1" ref="B178">IF($K178="","",_xlfn.LET(_xlpm._fullName,IF($L178="",SUBSTITUTE(SUBSTITUTE(INDIRECT($K178),CHAR(10)," "),"  "," "),$L178),_xlpm._truncatedName,IF(LEN(_xlpm._fullName)&gt;250,LEFT(_xlpm._fullName,250)&amp;"[…]",_xlpm._fullName),HYPERLINK("#'"&amp;$E178&amp;"'!"&amp;$F178&amp;$G178,_xlpm._truncatedName)))</f>
        <v xml:space="preserve">Dominating Attack Paths </v>
      </c>
      <c r="C178" s="13" t="s">
        <v>860</v>
      </c>
      <c r="D178" s="13"/>
      <c r="E178" s="61" t="str">
        <f t="shared" ca="1" si="34"/>
        <v>Mitigation</v>
      </c>
      <c r="F178" s="61" t="str">
        <f t="shared" ca="1" si="35"/>
        <v>D</v>
      </c>
      <c r="G178" s="61" t="str">
        <f t="shared" ca="1" si="36"/>
        <v>2</v>
      </c>
      <c r="H178" s="61" cm="1">
        <f t="array" ca="1" aca="1" ref="H178">CreateID($H$36,$H:$H,$E178&lt;&gt;INDEX($E:$E,ROW()-1))</f>
        <v>12</v>
      </c>
      <c r="I178" s="61" t="str" cm="1">
        <f t="array" ca="1" aca="1" ref="I178">INDIRECT($K178)</f>
        <v xml:space="preserve">Dominating Attack Paths </v>
      </c>
      <c r="K178" s="2" t="str" cm="1">
        <f t="array" ca="1" aca="1" ref="K178">CELL("address",OFFSET(Mitigation!$A$2,0,ROW()-ROW($K$175)))</f>
        <v>'[QuBA-libre.xlsx]Mitigation'!$D$2</v>
      </c>
    </row>
    <row r="179" spans="1:11" ht="30" outlineLevel="1">
      <c r="A179" s="23" t="str" cm="1">
        <f t="array" ca="1" aca="1" ref="A179">IF(INDEX($H:$H,ROW()-1)&lt;&gt;$H179,$E179,"")</f>
        <v/>
      </c>
      <c r="B179" s="71" t="str" cm="1">
        <f t="array" ca="1" aca="1" ref="B179">IF($K179="","",_xlfn.LET(_xlpm._fullName,IF($L179="",SUBSTITUTE(SUBSTITUTE(INDIRECT($K179),CHAR(10)," "),"  "," "),$L179),_xlpm._truncatedName,IF(LEN(_xlpm._fullName)&gt;250,LEFT(_xlpm._fullName,250)&amp;"[…]",_xlpm._fullName),HYPERLINK("#'"&amp;$E179&amp;"'!"&amp;$F179&amp;$G179,_xlpm._truncatedName)))</f>
        <v>Highest Risk with this Attack Step</v>
      </c>
      <c r="C179" s="13" t="s">
        <v>861</v>
      </c>
      <c r="D179" s="13"/>
      <c r="E179" s="61" t="str">
        <f t="shared" ca="1" si="34"/>
        <v>Mitigation</v>
      </c>
      <c r="F179" s="61" t="str">
        <f t="shared" ca="1" si="35"/>
        <v>E</v>
      </c>
      <c r="G179" s="61" t="str">
        <f t="shared" ca="1" si="36"/>
        <v>2</v>
      </c>
      <c r="H179" s="61" cm="1">
        <f t="array" ca="1" aca="1" ref="H179">CreateID($H$36,$H:$H,$E179&lt;&gt;INDEX($E:$E,ROW()-1))</f>
        <v>12</v>
      </c>
      <c r="I179" s="61" t="str" cm="1">
        <f t="array" ca="1" aca="1" ref="I179">INDIRECT($K179)</f>
        <v>Highest Risk with this
Attack Step</v>
      </c>
      <c r="K179" s="2" t="str" cm="1">
        <f t="array" ca="1" aca="1" ref="K179">CELL("address",OFFSET(Mitigation!$A$2,0,ROW()-ROW($K$175)))</f>
        <v>'[QuBA-libre.xlsx]Mitigation'!$E$2</v>
      </c>
    </row>
    <row r="180" spans="1:12" ht="45" outlineLevel="1">
      <c r="A180" s="23" t="str" cm="1">
        <f t="array" ca="1" aca="1" ref="A180">IF(INDEX($H:$H,ROW()-1)&lt;&gt;$H180,$E180,"")</f>
        <v/>
      </c>
      <c r="B180" s="71" t="str" cm="1">
        <f t="array" ca="1" aca="1" ref="B180">IF($K180="","",_xlfn.LET(_xlpm._fullName,IF($L180="",SUBSTITUTE(SUBSTITUTE(INDIRECT($K180),CHAR(10)," "),"  "," "),$L180),_xlpm._truncatedName,IF(LEN(_xlpm._fullName)&gt;250,LEFT(_xlpm._fullName,250)&amp;"[…]",_xlpm._fullName),HYPERLINK("#'"&amp;$E180&amp;"'!"&amp;$F180&amp;$G180,_xlpm._truncatedName)))</f>
        <v>Proposed Countermeasures</v>
      </c>
      <c r="C180" s="13" t="s">
        <v>938</v>
      </c>
      <c r="D180" s="13"/>
      <c r="E180" s="61" t="str">
        <f t="shared" ca="1" si="34"/>
        <v>Mitigation</v>
      </c>
      <c r="F180" s="61" t="str">
        <f t="shared" ca="1" si="35"/>
        <v>F</v>
      </c>
      <c r="G180" s="61" t="str">
        <f t="shared" ca="1" si="36"/>
        <v>2</v>
      </c>
      <c r="H180" s="61" cm="1">
        <f t="array" ca="1" aca="1" ref="H180">CreateID($H$36,$H:$H,$E180&lt;&gt;INDEX($E:$E,ROW()-1))</f>
        <v>12</v>
      </c>
      <c r="I180" s="61" t="str" cm="1">
        <f t="array" ca="1" aca="1" ref="I180">INDIRECT($K180)</f>
        <v>Proposed Counter-measures</v>
      </c>
      <c r="K180" s="2" t="str" cm="1">
        <f t="array" ca="1" aca="1" ref="K180">CELL("address",OFFSET(Mitigation!$A$2,0,ROW()-ROW($K$175)))</f>
        <v>'[QuBA-libre.xlsx]Mitigation'!$F$2</v>
      </c>
      <c r="L180" s="2" t="str" cm="1">
        <f t="array" ca="1" aca="1" ref="L180">SUBSTITUTE(INDIRECT($K180),"-","")</f>
        <v>Proposed Countermeasures</v>
      </c>
    </row>
    <row r="181" spans="1:11" ht="120" outlineLevel="1">
      <c r="A181" s="23" t="str" cm="1">
        <f t="array" ca="1" aca="1" ref="A181">IF(INDEX($H:$H,ROW()-1)&lt;&gt;$H181,$E181,"")</f>
        <v/>
      </c>
      <c r="B181" s="71" t="str" cm="1">
        <f t="array" ca="1" aca="1" ref="B181">IF($K181="","",_xlfn.LET(_xlpm._fullName,IF($L181="",SUBSTITUTE(SUBSTITUTE(INDIRECT($K181),CHAR(10)," "),"  "," "),$L181),_xlpm._truncatedName,IF(LEN(_xlpm._fullName)&gt;250,LEFT(_xlpm._fullName,250)&amp;"[…]",_xlpm._fullName),HYPERLINK("#'"&amp;$E181&amp;"'!"&amp;$F181&amp;$G181,_xlpm._truncatedName)))</f>
        <v>Proposed Active Assumptions</v>
      </c>
      <c r="C181" s="13" t="s">
        <v>939</v>
      </c>
      <c r="D181" s="13" t="s">
        <v>1261</v>
      </c>
      <c r="E181" s="61" t="str">
        <f ca="1">IF($K181="","",_xlfn.LET(_xlpm._in,$K181,_xlpm._start,FIND("]",_xlpm._in)+1,SUBSTITUTE(MID(_xlpm._in,_xlpm._start,FIND("!",_xlpm._in)-_xlpm._start),"'","")))</f>
        <v>Mitigation</v>
      </c>
      <c r="F181" s="61" t="str">
        <f ca="1">IF($K181="","",_xlfn.LET(_xlpm._in,SUBSTITUTE($K181,"$","§",1),_xlpm._start,FIND("§",_xlpm._in)+1,SUBSTITUTE(MID(_xlpm._in,_xlpm._start,FIND("$",_xlpm._in)-_xlpm._start),"'","")))</f>
        <v>G</v>
      </c>
      <c r="G181" s="61" t="str">
        <f ca="1">IF($K181="","",RIGHT($K181,LEN($K181)-FIND("$",SUBSTITUTE($K181,"$","§",1))))</f>
        <v>2</v>
      </c>
      <c r="H181" s="61" cm="1">
        <f t="array" ca="1" aca="1" ref="H181">CreateID($H$36,$H:$H,$E181&lt;&gt;INDEX($E:$E,ROW()-1))</f>
        <v>12</v>
      </c>
      <c r="I181" s="61" t="str" cm="1">
        <f t="array" ca="1" aca="1" ref="I181">INDIRECT($K181)</f>
        <v>Proposed Active Assumptions</v>
      </c>
      <c r="K181" s="2" t="str" cm="1">
        <f t="array" ca="1" aca="1" ref="K181">CELL("address",OFFSET(Mitigation!$A$2,0,ROW()-ROW($K$175)))</f>
        <v>'[QuBA-libre.xlsx]Mitigation'!$G$2</v>
      </c>
    </row>
    <row r="182" spans="1:11" ht="60" outlineLevel="1">
      <c r="A182" s="23" t="str" cm="1">
        <f t="array" ca="1" aca="1" ref="A182">IF(INDEX($H:$H,ROW()-1)&lt;&gt;$H182,$E182,"")</f>
        <v/>
      </c>
      <c r="B182" s="71" t="str" cm="1">
        <f t="array" ca="1" aca="1" ref="B182">IF($K182="","",_xlfn.LET(_xlpm._fullName,IF($L182="",SUBSTITUTE(SUBSTITUTE(INDIRECT($K182),CHAR(10)," "),"  "," "),$L182),_xlpm._truncatedName,IF(LEN(_xlpm._fullName)&gt;250,LEFT(_xlpm._fullName,250)&amp;"[…]",_xlpm._fullName),HYPERLINK("#'"&amp;$E182&amp;"'!"&amp;$F182&amp;$G182,_xlpm._truncatedName)))</f>
        <v>Potential Additional Assumptions</v>
      </c>
      <c r="C182" s="13" t="s">
        <v>940</v>
      </c>
      <c r="D182" s="13"/>
      <c r="E182" s="61" t="str">
        <f ca="1">IF($K182="","",_xlfn.LET(_xlpm._in,$K182,_xlpm._start,FIND("]",_xlpm._in)+1,SUBSTITUTE(MID(_xlpm._in,_xlpm._start,FIND("!",_xlpm._in)-_xlpm._start),"'","")))</f>
        <v>Mitigation</v>
      </c>
      <c r="F182" s="61" t="str">
        <f ca="1">IF($K182="","",_xlfn.LET(_xlpm._in,SUBSTITUTE($K182,"$","§",1),_xlpm._start,FIND("§",_xlpm._in)+1,SUBSTITUTE(MID(_xlpm._in,_xlpm._start,FIND("$",_xlpm._in)-_xlpm._start),"'","")))</f>
        <v>H</v>
      </c>
      <c r="G182" s="61" t="str">
        <f ca="1">IF($K182="","",RIGHT($K182,LEN($K182)-FIND("$",SUBSTITUTE($K182,"$","§",1))))</f>
        <v>2</v>
      </c>
      <c r="H182" s="61" cm="1">
        <f t="array" ca="1" aca="1" ref="H182">CreateID($H$36,$H:$H,$E182&lt;&gt;INDEX($E:$E,ROW()-1))</f>
        <v>12</v>
      </c>
      <c r="I182" s="61" t="str" cm="1">
        <f t="array" ca="1" aca="1" ref="I182">INDIRECT($K182)</f>
        <v>Potential Additional Assumptions</v>
      </c>
      <c r="K182" s="2" t="str" cm="1">
        <f t="array" ca="1" aca="1" ref="K182">CELL("address",OFFSET(Mitigation!$A$2,0,ROW()-ROW($K$175)))</f>
        <v>'[QuBA-libre.xlsx]Mitigation'!$H$2</v>
      </c>
    </row>
    <row r="183" spans="1:11" ht="15" outlineLevel="1">
      <c r="A183" s="23" t="str" cm="1">
        <f t="array" ca="1" aca="1" ref="A183">IF(INDEX($H:$H,ROW()-1)&lt;&gt;$H183,$E183,"")</f>
        <v/>
      </c>
      <c r="B183" s="71" t="str" cm="1">
        <f t="array" ca="1" aca="1" ref="B183">IF($K183="","",_xlfn.LET(_xlpm._fullName,IF($L183="",SUBSTITUTE(SUBSTITUTE(INDIRECT($K183),CHAR(10)," "),"  "," "),$L183),_xlpm._truncatedName,IF(LEN(_xlpm._fullName)&gt;250,LEFT(_xlpm._fullName,250)&amp;"[…]",_xlpm._fullName),HYPERLINK("#'"&amp;$E183&amp;"'!"&amp;$F183&amp;$G183,_xlpm._truncatedName)))</f>
        <v>Proposed Countermeasures and Assumptions</v>
      </c>
      <c r="C183" s="13" t="s">
        <v>862</v>
      </c>
      <c r="D183" s="13"/>
      <c r="E183" s="61" t="str">
        <f t="shared" ca="1" si="34"/>
        <v>Mitigation</v>
      </c>
      <c r="F183" s="61" t="str">
        <f t="shared" ca="1" si="35"/>
        <v>I</v>
      </c>
      <c r="G183" s="61" t="str">
        <f t="shared" ca="1" si="36"/>
        <v>2</v>
      </c>
      <c r="H183" s="61" cm="1">
        <f t="array" ca="1" aca="1" ref="H183">CreateID($H$36,$H:$H,$E183&lt;&gt;INDEX($E:$E,ROW()-1))</f>
        <v>12</v>
      </c>
      <c r="I183" s="61" t="str" cm="1">
        <f t="array" ca="1" aca="1" ref="I183">INDIRECT($K183)</f>
        <v>Proposed Countermeasures and Assumptions</v>
      </c>
      <c r="K183" s="2" t="str" cm="1">
        <f t="array" ca="1" aca="1" ref="K183">CELL("address",OFFSET(Mitigation!$A$2,0,ROW()-ROW($K$175)))</f>
        <v>'[QuBA-libre.xlsx]Mitigation'!$I$2</v>
      </c>
    </row>
    <row r="184" spans="1:11" ht="120" outlineLevel="1">
      <c r="A184" s="23" t="str" cm="1">
        <f t="array" ca="1" aca="1" ref="A184">IF(INDEX($H:$H,ROW()-1)&lt;&gt;$H184,$E184,"")</f>
        <v/>
      </c>
      <c r="B184" s="71" t="str" cm="1">
        <f t="array" ca="1" aca="1" ref="B184">IF($K184="","",_xlfn.LET(_xlpm._fullName,IF($L184="",SUBSTITUTE(SUBSTITUTE(INDIRECT($K184),CHAR(10)," "),"  "," "),$L184),_xlpm._truncatedName,IF(LEN(_xlpm._fullName)&gt;250,LEFT(_xlpm._fullName,250)&amp;"[…]",_xlpm._fullName),HYPERLINK("#'"&amp;$E184&amp;"'!"&amp;$F184&amp;$G184,_xlpm._truncatedName)))</f>
        <v>C and A IDs</v>
      </c>
      <c r="C184" s="13" t="s">
        <v>863</v>
      </c>
      <c r="D184" s="13"/>
      <c r="E184" s="61" t="str">
        <f t="shared" ca="1" si="34"/>
        <v>Mitigation</v>
      </c>
      <c r="F184" s="61" t="str">
        <f t="shared" ca="1" si="35"/>
        <v>J</v>
      </c>
      <c r="G184" s="61" t="str">
        <f t="shared" ca="1" si="36"/>
        <v>2</v>
      </c>
      <c r="H184" s="61" cm="1">
        <f t="array" ca="1" aca="1" ref="H184">CreateID($H$36,$H:$H,$E184&lt;&gt;INDEX($E:$E,ROW()-1))</f>
        <v>12</v>
      </c>
      <c r="I184" s="61" t="str" cm="1">
        <f t="array" ca="1" aca="1" ref="I184">INDIRECT($K184)</f>
        <v>C and A IDs</v>
      </c>
      <c r="K184" s="2" t="str" cm="1">
        <f t="array" ca="1" aca="1" ref="K184">CELL("address",OFFSET(Mitigation!$A$2,0,ROW()-ROW($K$175)))</f>
        <v>'[QuBA-libre.xlsx]Mitigation'!$J$2</v>
      </c>
    </row>
    <row r="185" spans="1:11" ht="15" outlineLevel="1">
      <c r="A185" s="23" t="str" cm="1">
        <f t="array" ca="1" aca="1" ref="A185">IF(INDEX($H:$H,ROW()-1)&lt;&gt;$H185,$E185,"")</f>
        <v/>
      </c>
      <c r="B185" s="71" t="str" cm="1">
        <f t="array" ca="1" aca="1" ref="B185">IF($K185="","",_xlfn.LET(_xlpm._fullName,IF($L185="",SUBSTITUTE(SUBSTITUTE(INDIRECT($K185),CHAR(10)," "),"  "," "),$L185),_xlpm._truncatedName,IF(LEN(_xlpm._fullName)&gt;250,LEFT(_xlpm._fullName,250)&amp;"[…]",_xlpm._fullName),HYPERLINK("#'"&amp;$E185&amp;"'!"&amp;$F185&amp;$G185,_xlpm._truncatedName)))</f>
        <v>Countermeasures and Assumptions</v>
      </c>
      <c r="C185" s="13" t="s">
        <v>864</v>
      </c>
      <c r="D185" s="13"/>
      <c r="E185" s="61" t="str">
        <f t="shared" ca="1" si="34"/>
        <v>Mitigation</v>
      </c>
      <c r="F185" s="61" t="str">
        <f t="shared" ca="1" si="35"/>
        <v>K</v>
      </c>
      <c r="G185" s="61" t="str">
        <f t="shared" ca="1" si="36"/>
        <v>2</v>
      </c>
      <c r="H185" s="61" cm="1">
        <f t="array" ca="1" aca="1" ref="H185">CreateID($H$36,$H:$H,$E185&lt;&gt;INDEX($E:$E,ROW()-1))</f>
        <v>12</v>
      </c>
      <c r="I185" s="61" t="str" cm="1">
        <f t="array" ca="1" aca="1" ref="I185">INDIRECT($K185)</f>
        <v>Countermeasures and Assumptions</v>
      </c>
      <c r="K185" s="2" t="str" cm="1">
        <f t="array" ca="1" aca="1" ref="K185">CELL("address",OFFSET(Mitigation!$A$2,0,ROW()-ROW($K$175)))</f>
        <v>'[QuBA-libre.xlsx]Mitigation'!$K$2</v>
      </c>
    </row>
    <row r="186" spans="1:11" ht="45" outlineLevel="1">
      <c r="A186" s="23" t="str" cm="1">
        <f t="array" ca="1" aca="1" ref="A186">IF(INDEX($H:$H,ROW()-1)&lt;&gt;$H186,$E186,"")</f>
        <v/>
      </c>
      <c r="B186" s="71" t="str" cm="1">
        <f t="array" ca="1" aca="1" ref="B186">IF($K186="","",_xlfn.LET(_xlpm._fullName,IF($L186="",SUBSTITUTE(SUBSTITUTE(INDIRECT($K186),CHAR(10)," "),"  "," "),$L186),_xlpm._truncatedName,IF(LEN(_xlpm._fullName)&gt;250,LEFT(_xlpm._fullName,250)&amp;"[…]",_xlpm._fullName),HYPERLINK("#'"&amp;$E186&amp;"'!"&amp;$F186&amp;$G186,_xlpm._truncatedName)))</f>
        <v xml:space="preserve">Diplay at most # APs (empty = all) </v>
      </c>
      <c r="C186" s="13" t="s">
        <v>968</v>
      </c>
      <c r="D186" s="13"/>
      <c r="E186" s="61" t="str">
        <f ca="1">IF($K186="","",_xlfn.LET(_xlpm._in,$K186,_xlpm._start,FIND("]",_xlpm._in)+1,SUBSTITUTE(MID(_xlpm._in,_xlpm._start,FIND("!",_xlpm._in)-_xlpm._start),"'","")))</f>
        <v>Mitigation</v>
      </c>
      <c r="F186" s="61" t="str">
        <f ca="1">IF($K186="","",_xlfn.LET(_xlpm._in,SUBSTITUTE($K186,"$","§",1),_xlpm._start,FIND("§",_xlpm._in)+1,SUBSTITUTE(MID(_xlpm._in,_xlpm._start,FIND("$",_xlpm._in)-_xlpm._start),"'","")))</f>
        <v>L</v>
      </c>
      <c r="G186" s="61" t="str">
        <f ca="1">IF($K186="","",RIGHT($K186,LEN($K186)-FIND("$",SUBSTITUTE($K186,"$","§",1))))</f>
        <v>2</v>
      </c>
      <c r="H186" s="61" cm="1">
        <f t="array" ca="1" aca="1" ref="H186">CreateID($H$36,$H:$H,$E186&lt;&gt;INDEX($E:$E,ROW()-1))</f>
        <v>12</v>
      </c>
      <c r="I186" s="61" t="str" cm="1">
        <f t="array" ca="1" aca="1" ref="I186">INDIRECT($K186)</f>
        <v xml:space="preserve">Diplay at most # APs
(empty = all) </v>
      </c>
      <c r="K186" s="2" t="str" cm="1">
        <f t="array" ca="1" aca="1" ref="K186">CELL("address",OFFSET(Mitigation!$A$2,0,ROW()-ROW($K$175)))</f>
        <v>'[QuBA-libre.xlsx]Mitigation'!$L$2</v>
      </c>
    </row>
    <row r="187" spans="1:11" ht="45" outlineLevel="1">
      <c r="A187" s="23" t="str" cm="1">
        <f t="array" ca="1" aca="1" ref="A187">IF(INDEX($H:$H,ROW()-1)&lt;&gt;$H187,$E187,"")</f>
        <v/>
      </c>
      <c r="B187" s="71" t="str" cm="1">
        <f t="array" ca="1" aca="1" ref="B187">IF($K187="","",_xlfn.LET(_xlpm._fullName,IF($L187="",SUBSTITUTE(SUBSTITUTE(INDIRECT($K187),CHAR(10)," "),"  "," "),$L187),_xlpm._truncatedName,IF(LEN(_xlpm._fullName)&gt;250,LEFT(_xlpm._fullName,250)&amp;"[…]",_xlpm._fullName),HYPERLINK("#'"&amp;$E187&amp;"'!"&amp;$F187&amp;$G187,_xlpm._truncatedName)))</f>
        <v>Dominating Attack Paths</v>
      </c>
      <c r="C187" s="13" t="s">
        <v>881</v>
      </c>
      <c r="D187" s="13"/>
      <c r="E187" s="61" t="str">
        <f t="shared" ca="1" si="34"/>
        <v>Mitigation</v>
      </c>
      <c r="F187" s="61" t="str">
        <f t="shared" ca="1" si="35"/>
        <v>M</v>
      </c>
      <c r="G187" s="61" t="str">
        <f t="shared" ca="1" si="36"/>
        <v>2</v>
      </c>
      <c r="H187" s="61" cm="1">
        <f t="array" ca="1" aca="1" ref="H187">CreateID($H$36,$H:$H,$E187&lt;&gt;INDEX($E:$E,ROW()-1))</f>
        <v>12</v>
      </c>
      <c r="I187" s="61" t="str" cm="1">
        <f t="array" ca="1" aca="1" ref="I187">INDIRECT($K187)</f>
        <v>Dominating Attack Paths</v>
      </c>
      <c r="K187" s="2" t="str" cm="1">
        <f t="array" ca="1" aca="1" ref="K187">CELL("address",OFFSET(Mitigation!$A$2,0,ROW()-ROW($K$175)))</f>
        <v>'[QuBA-libre.xlsx]Mitigation'!$M$2</v>
      </c>
    </row>
    <row r="188" spans="1:11" ht="45" outlineLevel="1">
      <c r="A188" s="23" t="str" cm="1">
        <f t="array" ca="1" aca="1" ref="A188">IF(INDEX($H:$H,ROW()-1)&lt;&gt;$H188,$E188,"")</f>
        <v/>
      </c>
      <c r="B188" s="71" t="str" cm="1">
        <f t="array" ca="1" aca="1" ref="B188">IF($K188="","",_xlfn.LET(_xlpm._fullName,IF($L188="",SUBSTITUTE(SUBSTITUTE(INDIRECT($K188),CHAR(10)," "),"  "," "),$L188),_xlpm._truncatedName,IF(LEN(_xlpm._fullName)&gt;250,LEFT(_xlpm._fullName,250)&amp;"[…]",_xlpm._fullName),HYPERLINK("#'"&amp;$E188&amp;"'!"&amp;$F188&amp;$G188,_xlpm._truncatedName)))</f>
        <v>Highest Remaining Risk with this Attack Step</v>
      </c>
      <c r="C188" s="13" t="s">
        <v>865</v>
      </c>
      <c r="D188" s="13"/>
      <c r="E188" s="61" t="str">
        <f t="shared" ca="1" si="34"/>
        <v>Mitigation</v>
      </c>
      <c r="F188" s="61" t="str">
        <f t="shared" ca="1" si="35"/>
        <v>N</v>
      </c>
      <c r="G188" s="61" t="str">
        <f t="shared" ca="1" si="36"/>
        <v>2</v>
      </c>
      <c r="H188" s="61" cm="1">
        <f t="array" ca="1" aca="1" ref="H188">CreateID($H$36,$H:$H,$E188&lt;&gt;INDEX($E:$E,ROW()-1))</f>
        <v>12</v>
      </c>
      <c r="I188" s="61" t="str" cm="1">
        <f t="array" ca="1" aca="1" ref="I188">INDIRECT($K188)</f>
        <v>Highest Remaining Risk with this
Attack Step</v>
      </c>
      <c r="K188" s="2" t="str" cm="1">
        <f t="array" ca="1" aca="1" ref="K188">CELL("address",OFFSET(Mitigation!$A$2,0,ROW()-ROW($K$175)))</f>
        <v>'[QuBA-libre.xlsx]Mitigation'!$N$2</v>
      </c>
    </row>
    <row r="189" spans="1:11" ht="60" outlineLevel="1">
      <c r="A189" s="23" t="str" cm="1">
        <f t="array" ca="1" aca="1" ref="A189">IF(INDEX($H:$H,ROW()-1)&lt;&gt;$H189,$E189,"")</f>
        <v/>
      </c>
      <c r="B189" s="71" t="str" cm="1">
        <f t="array" ca="1" aca="1" ref="B189">IF($K189="","",_xlfn.LET(_xlpm._fullName,IF($L189="",SUBSTITUTE(SUBSTITUTE(INDIRECT($K189),CHAR(10)," "),"  "," "),$L189),_xlpm._truncatedName,IF(LEN(_xlpm._fullName)&gt;250,LEFT(_xlpm._fullName,250)&amp;"[…]",_xlpm._fullName),HYPERLINK("#'"&amp;$E189&amp;"'!"&amp;$F189&amp;$G189,_xlpm._truncatedName)))</f>
        <v>Comment To add a control or assumption: {&lt;C or A&gt; &lt;Name&gt;[: &lt;RAP&gt;]} RAP Options: Basic, Enhanced-Basic, Moderate, High, Beyond High</v>
      </c>
      <c r="C189" s="13" t="s">
        <v>882</v>
      </c>
      <c r="D189" s="13" t="s">
        <v>1332</v>
      </c>
      <c r="E189" s="61" t="str">
        <f t="shared" ca="1" si="34"/>
        <v>Mitigation</v>
      </c>
      <c r="F189" s="61" t="str">
        <f t="shared" ca="1" si="35"/>
        <v>O</v>
      </c>
      <c r="G189" s="61" t="str">
        <f t="shared" ca="1" si="36"/>
        <v>2</v>
      </c>
      <c r="H189" s="61" cm="1">
        <f t="array" ca="1" aca="1" ref="H189">CreateID($H$36,$H:$H,$E189&lt;&gt;INDEX($E:$E,ROW()-1))</f>
        <v>12</v>
      </c>
      <c r="I189" s="61" t="str" cm="1">
        <f t="array" ca="1" aca="1" ref="I189">INDIRECT($K189)</f>
        <v>Comment
To add a control or assumption:
{&lt;C or A&gt; &lt;Name&gt;[: &lt;RAP&gt;]}
RAP Options: Basic, Enhanced-Basic, Moderate, High, Beyond High</v>
      </c>
      <c r="K189" s="2" t="str" cm="1">
        <f t="array" ca="1" aca="1" ref="K189">CELL("address",OFFSET(Mitigation!$A$2,0,ROW()-ROW($K$175)))</f>
        <v>'[QuBA-libre.xlsx]Mitigation'!$O$2</v>
      </c>
    </row>
    <row r="190" spans="1:11" ht="45">
      <c r="A190" s="102" t="str" cm="1">
        <f t="array" ca="1" aca="1" ref="A190">IF(INDEX($H:$H,ROW()-1)&lt;&gt;$H190,$E190,"")</f>
        <v>Risk Treatment</v>
      </c>
      <c r="B190" s="71" t="str" cm="1">
        <f t="array" ca="1" aca="1" ref="B190">IF($K190="","",_xlfn.LET(_xlpm._fullName,IF($L190="",SUBSTITUTE(SUBSTITUTE(INDIRECT($K190),CHAR(10)," "),"  "," "),$L190),_xlpm._truncatedName,IF(LEN(_xlpm._fullName)&gt;250,LEFT(_xlpm._fullName,250)&amp;"[…]",_xlpm._fullName),HYPERLINK("#'"&amp;$E190&amp;"'!"&amp;$F190&amp;$G190,_xlpm._truncatedName)))</f>
        <v>Helper: All IDs</v>
      </c>
      <c r="C190" s="13" t="s">
        <v>979</v>
      </c>
      <c r="D190" s="13"/>
      <c r="E190" s="61" t="str">
        <f ca="1" t="shared" si="37" ref="E190:E210">IF($K190="","",_xlfn.LET(_xlpm._in,$K190,_xlpm._start,FIND("]",_xlpm._in)+1,SUBSTITUTE(MID(_xlpm._in,_xlpm._start,FIND("!",_xlpm._in)-_xlpm._start),"'","")))</f>
        <v>Risk Treatment</v>
      </c>
      <c r="F190" s="61" t="str">
        <f ca="1" t="shared" si="38" ref="F190:F210">IF($K190="","",_xlfn.LET(_xlpm._in,SUBSTITUTE($K190,"$","§",1),_xlpm._start,FIND("§",_xlpm._in)+1,SUBSTITUTE(MID(_xlpm._in,_xlpm._start,FIND("$",_xlpm._in)-_xlpm._start),"'","")))</f>
        <v>A</v>
      </c>
      <c r="G190" s="61" t="str">
        <f ca="1" t="shared" si="39" ref="G190:G210">IF($K190="","",RIGHT($K190,LEN($K190)-FIND("$",SUBSTITUTE($K190,"$","§",1))))</f>
        <v>4</v>
      </c>
      <c r="H190" s="61" cm="1">
        <f t="array" ca="1" aca="1" ref="H190">CreateID($H$36,$H:$H,$E190&lt;&gt;INDEX($E:$E,ROW()-1))</f>
        <v>13</v>
      </c>
      <c r="I190" s="61" t="str" cm="1">
        <f t="array" ca="1" aca="1" ref="I190">INDIRECT($K190)</f>
        <v>Helper: All IDs</v>
      </c>
      <c r="K190" s="2" t="str" cm="1">
        <f t="array" ca="1" aca="1" ref="K190">CELL("address",OFFSET('Risk Treatment'!$A$4,0,ROW()-ROW($K$190)))</f>
        <v>'[QuBA-libre.xlsx]Risk Treatment'!$A$4</v>
      </c>
    </row>
    <row r="191" spans="1:11" ht="60">
      <c r="A191" s="23" t="str" cm="1">
        <f t="array" ca="1" aca="1" ref="A191">IF(INDEX($H:$H,ROW()-1)&lt;&gt;$H191,$E191,"")</f>
        <v/>
      </c>
      <c r="B191" s="71" t="str" cm="1">
        <f t="array" ca="1" aca="1" ref="B191">IF($K191="","",_xlfn.LET(_xlpm._fullName,IF($L191="",SUBSTITUTE(SUBSTITUTE(INDIRECT($K191),CHAR(10)," "),"  "," "),$L191),_xlpm._truncatedName,IF(LEN(_xlpm._fullName)&gt;250,LEFT(_xlpm._fullName,250)&amp;"[…]",_xlpm._fullName),HYPERLINK("#'"&amp;$E191&amp;"'!"&amp;$F191&amp;$G191,_xlpm._truncatedName)))</f>
        <v>Open IDs:</v>
      </c>
      <c r="C191" s="13" t="s">
        <v>1333</v>
      </c>
      <c r="D191" s="13"/>
      <c r="E191" s="61" t="str">
        <f ca="1">IF($K191="","",_xlfn.LET(_xlpm._in,$K191,_xlpm._start,FIND("]",_xlpm._in)+1,SUBSTITUTE(MID(_xlpm._in,_xlpm._start,FIND("!",_xlpm._in)-_xlpm._start),"'","")))</f>
        <v>Risk Treatment</v>
      </c>
      <c r="F191" s="61" t="str">
        <f ca="1">IF($K191="","",_xlfn.LET(_xlpm._in,SUBSTITUTE($K191,"$","§",1),_xlpm._start,FIND("§",_xlpm._in)+1,SUBSTITUTE(MID(_xlpm._in,_xlpm._start,FIND("$",_xlpm._in)-_xlpm._start),"'","")))</f>
        <v>C</v>
      </c>
      <c r="G191" s="61" t="str">
        <f ca="1">IF($K191="","",RIGHT($K191,LEN($K191)-FIND("$",SUBSTITUTE($K191,"$","§",1))))</f>
        <v>2</v>
      </c>
      <c r="H191" s="61" cm="1">
        <f t="array" ca="1" aca="1" ref="H191">CreateID($H$36,$H:$H,$E191&lt;&gt;INDEX($E:$E,ROW()-1))</f>
        <v>13</v>
      </c>
      <c r="I191" s="61" t="str" cm="1">
        <f t="array" ca="1" aca="1" ref="I191">INDIRECT($K191)</f>
        <v>Open IDs:</v>
      </c>
      <c r="K191" s="2" t="str" cm="1">
        <f t="array" ca="1" aca="1" ref="K191">CELL("address",'Risk Treatment'!$C$2)</f>
        <v>'[QuBA-libre.xlsx]Risk Treatment'!$C$2</v>
      </c>
    </row>
    <row r="192" spans="1:11" ht="45" outlineLevel="1">
      <c r="A192" s="23" t="str" cm="1">
        <f t="array" ca="1" aca="1" ref="A192">IF(INDEX($H:$H,ROW()-1)&lt;&gt;$H192,$E192,"")</f>
        <v/>
      </c>
      <c r="B192" s="71" t="str" cm="1">
        <f t="array" ca="1" aca="1" ref="B192">IF($K192="","",_xlfn.LET(_xlpm._fullName,IF($L192="",SUBSTITUTE(SUBSTITUTE(INDIRECT($K192),CHAR(10)," "),"  "," "),$L192),_xlpm._truncatedName,IF(LEN(_xlpm._fullName)&gt;250,LEFT(_xlpm._fullName,250)&amp;"[…]",_xlpm._fullName),HYPERLINK("#'"&amp;$E192&amp;"'!"&amp;$F192&amp;$G192,_xlpm._truncatedName)))</f>
        <v>R ID</v>
      </c>
      <c r="C192" s="13" t="s">
        <v>866</v>
      </c>
      <c r="D192" s="13"/>
      <c r="E192" s="61" t="str">
        <f t="shared" ca="1" si="37"/>
        <v>Risk Treatment</v>
      </c>
      <c r="F192" s="61" t="str">
        <f t="shared" ca="1" si="38"/>
        <v>C</v>
      </c>
      <c r="G192" s="61" t="str">
        <f t="shared" ca="1" si="39"/>
        <v>4</v>
      </c>
      <c r="H192" s="61" cm="1">
        <f t="array" ca="1" aca="1" ref="H192">CreateID($H$36,$H:$H,$E192&lt;&gt;INDEX($E:$E,ROW()-1))</f>
        <v>13</v>
      </c>
      <c r="I192" s="61" t="str" cm="1">
        <f t="array" ca="1" aca="1" ref="I192">INDIRECT($K192)</f>
        <v>R ID</v>
      </c>
      <c r="K192" s="2" t="str" cm="1">
        <f t="array" ca="1" aca="1" ref="K192">CELL("address",OFFSET('Risk Treatment'!$C$4,0,ROW()-ROW($K$192)))</f>
        <v>'[QuBA-libre.xlsx]Risk Treatment'!$C$4</v>
      </c>
    </row>
    <row r="193" spans="1:11" ht="30" outlineLevel="1">
      <c r="A193" s="23" t="str" cm="1">
        <f t="array" ca="1" aca="1" ref="A193">IF(INDEX($H:$H,ROW()-1)&lt;&gt;$H193,$E193,"")</f>
        <v/>
      </c>
      <c r="B193" s="71" t="str" cm="1">
        <f t="array" ca="1" aca="1" ref="B193">IF($K193="","",_xlfn.LET(_xlpm._fullName,IF($L193="",SUBSTITUTE(SUBSTITUTE(INDIRECT($K193),CHAR(10)," "),"  "," "),$L193),_xlpm._truncatedName,IF(LEN(_xlpm._fullName)&gt;250,LEFT(_xlpm._fullName,250)&amp;"[…]",_xlpm._fullName),HYPERLINK("#'"&amp;$E193&amp;"'!"&amp;$F193&amp;$G193,_xlpm._truncatedName)))</f>
        <v>Attack Path</v>
      </c>
      <c r="C193" s="13" t="s">
        <v>867</v>
      </c>
      <c r="D193" s="13"/>
      <c r="E193" s="61" t="str">
        <f t="shared" ca="1" si="37"/>
        <v>Risk Treatment</v>
      </c>
      <c r="F193" s="61" t="str">
        <f t="shared" ca="1" si="38"/>
        <v>D</v>
      </c>
      <c r="G193" s="61" t="str">
        <f t="shared" ca="1" si="39"/>
        <v>4</v>
      </c>
      <c r="H193" s="61" cm="1">
        <f t="array" ca="1" aca="1" ref="H193">CreateID($H$36,$H:$H,$E193&lt;&gt;INDEX($E:$E,ROW()-1))</f>
        <v>13</v>
      </c>
      <c r="I193" s="61" t="str" cm="1">
        <f t="array" ca="1" aca="1" ref="I193">INDIRECT($K193)</f>
        <v>Attack Path</v>
      </c>
      <c r="K193" s="2" t="str" cm="1">
        <f t="array" ca="1" aca="1" ref="K193">CELL("address",OFFSET('Risk Treatment'!$C$4,0,ROW()-ROW($K$192)))</f>
        <v>'[QuBA-libre.xlsx]Risk Treatment'!$D$4</v>
      </c>
    </row>
    <row r="194" spans="1:11" ht="30" outlineLevel="1">
      <c r="A194" s="23" t="str" cm="1">
        <f t="array" ca="1" aca="1" ref="A194">IF(INDEX($H:$H,ROW()-1)&lt;&gt;$H194,$E194,"")</f>
        <v/>
      </c>
      <c r="B194" s="71" t="str" cm="1">
        <f t="array" ca="1" aca="1" ref="B194">IF($K194="","",_xlfn.LET(_xlpm._fullName,IF($L194="",SUBSTITUTE(SUBSTITUTE(INDIRECT($K194),CHAR(10)," "),"  "," "),$L194),_xlpm._truncatedName,IF(LEN(_xlpm._fullName)&gt;250,LEFT(_xlpm._fullName,250)&amp;"[…]",_xlpm._fullName),HYPERLINK("#'"&amp;$E194&amp;"'!"&amp;$F194&amp;$G194,_xlpm._truncatedName)))</f>
        <v>Damage Scenarios</v>
      </c>
      <c r="C194" s="13" t="s">
        <v>868</v>
      </c>
      <c r="D194" s="13"/>
      <c r="E194" s="61" t="str">
        <f t="shared" ca="1" si="37"/>
        <v>Risk Treatment</v>
      </c>
      <c r="F194" s="61" t="str">
        <f t="shared" ca="1" si="38"/>
        <v>E</v>
      </c>
      <c r="G194" s="61" t="str">
        <f t="shared" ca="1" si="39"/>
        <v>4</v>
      </c>
      <c r="H194" s="61" cm="1">
        <f t="array" ca="1" aca="1" ref="H194">CreateID($H$36,$H:$H,$E194&lt;&gt;INDEX($E:$E,ROW()-1))</f>
        <v>13</v>
      </c>
      <c r="I194" s="61" t="str" cm="1">
        <f t="array" ca="1" aca="1" ref="I194">INDIRECT($K194)</f>
        <v>Damage Scenarios</v>
      </c>
      <c r="K194" s="2" t="str" cm="1">
        <f t="array" ca="1" aca="1" ref="K194">CELL("address",OFFSET('Risk Treatment'!$C$4,0,ROW()-ROW($K$192)))</f>
        <v>'[QuBA-libre.xlsx]Risk Treatment'!$E$4</v>
      </c>
    </row>
    <row r="195" spans="1:11" ht="30" outlineLevel="1">
      <c r="A195" s="23" t="str" cm="1">
        <f t="array" ca="1" aca="1" ref="A195">IF(INDEX($H:$H,ROW()-1)&lt;&gt;$H195,$E195,"")</f>
        <v/>
      </c>
      <c r="B195" s="71" t="str" cm="1">
        <f t="array" ca="1" aca="1" ref="B195">IF($K195="","",_xlfn.LET(_xlpm._fullName,IF($L195="",SUBSTITUTE(SUBSTITUTE(INDIRECT($K195),CHAR(10)," "),"  "," "),$L195),_xlpm._truncatedName,IF(LEN(_xlpm._fullName)&gt;250,LEFT(_xlpm._fullName,250)&amp;"[…]",_xlpm._fullName),HYPERLINK("#'"&amp;$E195&amp;"'!"&amp;$F195&amp;$G195,_xlpm._truncatedName)))</f>
        <v>Damage Level</v>
      </c>
      <c r="C195" s="13" t="s">
        <v>869</v>
      </c>
      <c r="D195" s="13"/>
      <c r="E195" s="61" t="str">
        <f t="shared" ca="1" si="37"/>
        <v>Risk Treatment</v>
      </c>
      <c r="F195" s="61" t="str">
        <f t="shared" ca="1" si="38"/>
        <v>F</v>
      </c>
      <c r="G195" s="61" t="str">
        <f t="shared" ca="1" si="39"/>
        <v>4</v>
      </c>
      <c r="H195" s="61" cm="1">
        <f t="array" ca="1" aca="1" ref="H195">CreateID($H$36,$H:$H,$E195&lt;&gt;INDEX($E:$E,ROW()-1))</f>
        <v>13</v>
      </c>
      <c r="I195" s="61" t="str" cm="1">
        <f t="array" ca="1" aca="1" ref="I195">INDIRECT($K195)</f>
        <v>Damage Level</v>
      </c>
      <c r="K195" s="2" t="str" cm="1">
        <f t="array" ca="1" aca="1" ref="K195">CELL("address",OFFSET('Risk Treatment'!$C$4,0,ROW()-ROW($K$192)))</f>
        <v>'[QuBA-libre.xlsx]Risk Treatment'!$F$4</v>
      </c>
    </row>
    <row r="196" spans="1:11" ht="45" outlineLevel="1">
      <c r="A196" s="23" t="str" cm="1">
        <f t="array" ca="1" aca="1" ref="A196">IF(INDEX($H:$H,ROW()-1)&lt;&gt;$H196,$E196,"")</f>
        <v/>
      </c>
      <c r="B196" s="71" t="str" cm="1">
        <f t="array" ca="1" aca="1" ref="B196">IF($K196="","",_xlfn.LET(_xlpm._fullName,IF($L196="",SUBSTITUTE(SUBSTITUTE(INDIRECT($K196),CHAR(10)," "),"  "," "),$L196),_xlpm._truncatedName,IF(LEN(_xlpm._fullName)&gt;250,LEFT(_xlpm._fullName,250)&amp;"[…]",_xlpm._fullName),HYPERLINK("#'"&amp;$E196&amp;"'!"&amp;$F196&amp;$G196,_xlpm._truncatedName)))</f>
        <v xml:space="preserve">Factor Explanation </v>
      </c>
      <c r="C196" s="13" t="s">
        <v>870</v>
      </c>
      <c r="D196" s="13"/>
      <c r="E196" s="61" t="str">
        <f t="shared" ca="1" si="37"/>
        <v>Risk Treatment</v>
      </c>
      <c r="F196" s="61" t="str">
        <f t="shared" ca="1" si="38"/>
        <v>G</v>
      </c>
      <c r="G196" s="61" t="str">
        <f t="shared" ca="1" si="39"/>
        <v>4</v>
      </c>
      <c r="H196" s="61" cm="1">
        <f t="array" ca="1" aca="1" ref="H196">CreateID($H$36,$H:$H,$E196&lt;&gt;INDEX($E:$E,ROW()-1))</f>
        <v>13</v>
      </c>
      <c r="I196" s="61" t="str" cm="1">
        <f t="array" ca="1" aca="1" ref="I196">INDIRECT($K196)</f>
        <v xml:space="preserve">Factor Explanation </v>
      </c>
      <c r="K196" s="2" t="str" cm="1">
        <f t="array" ca="1" aca="1" ref="K196">CELL("address",OFFSET('Risk Treatment'!$C$4,0,ROW()-ROW($K$192)))</f>
        <v>'[QuBA-libre.xlsx]Risk Treatment'!$G$4</v>
      </c>
    </row>
    <row r="197" spans="1:11" ht="30" outlineLevel="1">
      <c r="A197" s="23" t="str" cm="1">
        <f t="array" ca="1" aca="1" ref="A197">IF(INDEX($H:$H,ROW()-1)&lt;&gt;$H197,$E197,"")</f>
        <v/>
      </c>
      <c r="B197" s="71" t="str" cm="1">
        <f t="array" ca="1" aca="1" ref="B197">IF($K197="","",_xlfn.LET(_xlpm._fullName,IF($L197="",SUBSTITUTE(SUBSTITUTE(INDIRECT($K197),CHAR(10)," "),"  "," "),$L197),_xlpm._truncatedName,IF(LEN(_xlpm._fullName)&gt;250,LEFT(_xlpm._fullName,250)&amp;"[…]",_xlpm._fullName),HYPERLINK("#'"&amp;$E197&amp;"'!"&amp;$F197&amp;$G197,_xlpm._truncatedName)))</f>
        <v>RAP</v>
      </c>
      <c r="C197" s="13" t="s">
        <v>871</v>
      </c>
      <c r="D197" s="13"/>
      <c r="E197" s="61" t="str">
        <f t="shared" ca="1" si="37"/>
        <v>Risk Treatment</v>
      </c>
      <c r="F197" s="61" t="str">
        <f t="shared" ca="1" si="38"/>
        <v>H</v>
      </c>
      <c r="G197" s="61" t="str">
        <f t="shared" ca="1" si="39"/>
        <v>4</v>
      </c>
      <c r="H197" s="61" cm="1">
        <f t="array" ca="1" aca="1" ref="H197">CreateID($H$36,$H:$H,$E197&lt;&gt;INDEX($E:$E,ROW()-1))</f>
        <v>13</v>
      </c>
      <c r="I197" s="61" t="str" cm="1">
        <f t="array" ca="1" aca="1" ref="I197">INDIRECT($K197)</f>
        <v>RAP</v>
      </c>
      <c r="K197" s="2" t="str" cm="1">
        <f t="array" ca="1" aca="1" ref="K197">CELL("address",OFFSET('Risk Treatment'!$C$4,0,ROW()-ROW($K$192)))</f>
        <v>'[QuBA-libre.xlsx]Risk Treatment'!$H$4</v>
      </c>
    </row>
    <row r="198" spans="1:11" ht="30" outlineLevel="1">
      <c r="A198" s="23" t="str" cm="1">
        <f t="array" ca="1" aca="1" ref="A198">IF(INDEX($H:$H,ROW()-1)&lt;&gt;$H198,$E198,"")</f>
        <v/>
      </c>
      <c r="B198" s="71" t="str" cm="1">
        <f t="array" ca="1" aca="1" ref="B198">IF($K198="","",_xlfn.LET(_xlpm._fullName,IF($L198="",SUBSTITUTE(SUBSTITUTE(INDIRECT($K198),CHAR(10)," "),"  "," "),$L198),_xlpm._truncatedName,IF(LEN(_xlpm._fullName)&gt;250,LEFT(_xlpm._fullName,250)&amp;"[…]",_xlpm._fullName),HYPERLINK("#'"&amp;$E198&amp;"'!"&amp;$F198&amp;$G198,_xlpm._truncatedName)))</f>
        <v>Risk Level</v>
      </c>
      <c r="C198" s="13" t="s">
        <v>872</v>
      </c>
      <c r="D198" s="13"/>
      <c r="E198" s="61" t="str">
        <f t="shared" ca="1" si="37"/>
        <v>Risk Treatment</v>
      </c>
      <c r="F198" s="61" t="str">
        <f t="shared" ca="1" si="38"/>
        <v>I</v>
      </c>
      <c r="G198" s="61" t="str">
        <f t="shared" ca="1" si="39"/>
        <v>4</v>
      </c>
      <c r="H198" s="61" cm="1">
        <f t="array" ca="1" aca="1" ref="H198">CreateID($H$36,$H:$H,$E198&lt;&gt;INDEX($E:$E,ROW()-1))</f>
        <v>13</v>
      </c>
      <c r="I198" s="61" t="str" cm="1">
        <f t="array" ca="1" aca="1" ref="I198">INDIRECT($K198)</f>
        <v>Risk Level</v>
      </c>
      <c r="K198" s="2" t="str" cm="1">
        <f t="array" ca="1" aca="1" ref="K198">CELL("address",OFFSET('Risk Treatment'!$C$4,0,ROW()-ROW($K$192)))</f>
        <v>'[QuBA-libre.xlsx]Risk Treatment'!$I$4</v>
      </c>
    </row>
    <row r="199" spans="1:11" ht="30" outlineLevel="1">
      <c r="A199" s="23" t="str" cm="1">
        <f t="array" ca="1" aca="1" ref="A199">IF(INDEX($H:$H,ROW()-1)&lt;&gt;$H199,$E199,"")</f>
        <v/>
      </c>
      <c r="B199" s="71" t="str" cm="1">
        <f t="array" ca="1" aca="1" ref="B199">IF($K199="","",_xlfn.LET(_xlpm._fullName,IF($L199="",SUBSTITUTE(SUBSTITUTE(INDIRECT($K199),CHAR(10)," "),"  "," "),$L199),_xlpm._truncatedName,IF(LEN(_xlpm._fullName)&gt;250,LEFT(_xlpm._fullName,250)&amp;"[…]",_xlpm._fullName),HYPERLINK("#'"&amp;$E199&amp;"'!"&amp;$F199&amp;$G199,_xlpm._truncatedName)))</f>
        <v>Countermeasures and Assumptions</v>
      </c>
      <c r="C199" s="13" t="s">
        <v>873</v>
      </c>
      <c r="D199" s="13"/>
      <c r="E199" s="61" t="str">
        <f t="shared" ca="1" si="37"/>
        <v>Risk Treatment</v>
      </c>
      <c r="F199" s="61" t="str">
        <f t="shared" ca="1" si="38"/>
        <v>J</v>
      </c>
      <c r="G199" s="61" t="str">
        <f t="shared" ca="1" si="39"/>
        <v>4</v>
      </c>
      <c r="H199" s="61" cm="1">
        <f t="array" ca="1" aca="1" ref="H199">CreateID($H$36,$H:$H,$E199&lt;&gt;INDEX($E:$E,ROW()-1))</f>
        <v>13</v>
      </c>
      <c r="I199" s="61" t="str" cm="1">
        <f t="array" ca="1" aca="1" ref="I199">INDIRECT($K199)</f>
        <v>Countermeasures and Assumptions</v>
      </c>
      <c r="K199" s="2" t="str" cm="1">
        <f t="array" ca="1" aca="1" ref="K199">CELL("address",OFFSET('Risk Treatment'!$C$4,0,ROW()-ROW($K$192)))</f>
        <v>'[QuBA-libre.xlsx]Risk Treatment'!$J$4</v>
      </c>
    </row>
    <row r="200" spans="1:11" ht="45" outlineLevel="1">
      <c r="A200" s="23" t="str" cm="1">
        <f t="array" ca="1" aca="1" ref="A200">IF(INDEX($H:$H,ROW()-1)&lt;&gt;$H200,$E200,"")</f>
        <v/>
      </c>
      <c r="B200" s="71" t="str" cm="1">
        <f t="array" ca="1" aca="1" ref="B200">IF($K200="","",_xlfn.LET(_xlpm._fullName,IF($L200="",SUBSTITUTE(SUBSTITUTE(INDIRECT($K200),CHAR(10)," "),"  "," "),$L200),_xlpm._truncatedName,IF(LEN(_xlpm._fullName)&gt;250,LEFT(_xlpm._fullName,250)&amp;"[…]",_xlpm._fullName),HYPERLINK("#'"&amp;$E200&amp;"'!"&amp;$F200&amp;$G200,_xlpm._truncatedName)))</f>
        <v xml:space="preserve">Damage Scenarios </v>
      </c>
      <c r="C200" s="13" t="s">
        <v>874</v>
      </c>
      <c r="D200" s="13"/>
      <c r="E200" s="61" t="str">
        <f t="shared" ca="1" si="37"/>
        <v>Risk Treatment</v>
      </c>
      <c r="F200" s="61" t="str">
        <f t="shared" ca="1" si="38"/>
        <v>K</v>
      </c>
      <c r="G200" s="61" t="str">
        <f t="shared" ca="1" si="39"/>
        <v>4</v>
      </c>
      <c r="H200" s="61" cm="1">
        <f t="array" ca="1" aca="1" ref="H200">CreateID($H$36,$H:$H,$E200&lt;&gt;INDEX($E:$E,ROW()-1))</f>
        <v>13</v>
      </c>
      <c r="I200" s="61" t="str" cm="1">
        <f t="array" ca="1" aca="1" ref="I200">INDIRECT($K200)</f>
        <v xml:space="preserve">Damage Scenarios </v>
      </c>
      <c r="K200" s="2" t="str" cm="1">
        <f t="array" ca="1" aca="1" ref="K200">CELL("address",OFFSET('Risk Treatment'!$C$4,0,ROW()-ROW($K$192)))</f>
        <v>'[QuBA-libre.xlsx]Risk Treatment'!$K$4</v>
      </c>
    </row>
    <row r="201" spans="1:11" ht="30" outlineLevel="1">
      <c r="A201" s="23" t="str" cm="1">
        <f t="array" ca="1" aca="1" ref="A201">IF(INDEX($H:$H,ROW()-1)&lt;&gt;$H201,$E201,"")</f>
        <v/>
      </c>
      <c r="B201" s="71" t="str" cm="1">
        <f t="array" ca="1" aca="1" ref="B201">IF($K201="","",_xlfn.LET(_xlpm._fullName,IF($L201="",SUBSTITUTE(SUBSTITUTE(INDIRECT($K201),CHAR(10)," "),"  "," "),$L201),_xlpm._truncatedName,IF(LEN(_xlpm._fullName)&gt;250,LEFT(_xlpm._fullName,250)&amp;"[…]",_xlpm._fullName),HYPERLINK("#'"&amp;$E201&amp;"'!"&amp;$F201&amp;$G201,_xlpm._truncatedName)))</f>
        <v xml:space="preserve">Damage Level </v>
      </c>
      <c r="C201" s="13" t="s">
        <v>875</v>
      </c>
      <c r="D201" s="13"/>
      <c r="E201" s="61" t="str">
        <f t="shared" ca="1" si="37"/>
        <v>Risk Treatment</v>
      </c>
      <c r="F201" s="61" t="str">
        <f t="shared" ca="1" si="38"/>
        <v>L</v>
      </c>
      <c r="G201" s="61" t="str">
        <f t="shared" ca="1" si="39"/>
        <v>4</v>
      </c>
      <c r="H201" s="61" cm="1">
        <f t="array" ca="1" aca="1" ref="H201">CreateID($H$36,$H:$H,$E201&lt;&gt;INDEX($E:$E,ROW()-1))</f>
        <v>13</v>
      </c>
      <c r="I201" s="61" t="str" cm="1">
        <f t="array" ca="1" aca="1" ref="I201">INDIRECT($K201)</f>
        <v xml:space="preserve">Damage Level </v>
      </c>
      <c r="K201" s="2" t="str" cm="1">
        <f t="array" ca="1" aca="1" ref="K201">CELL("address",OFFSET('Risk Treatment'!$C$4,0,ROW()-ROW($K$192)))</f>
        <v>'[QuBA-libre.xlsx]Risk Treatment'!$L$4</v>
      </c>
    </row>
    <row r="202" spans="1:11" ht="30" outlineLevel="1">
      <c r="A202" s="23" t="str" cm="1">
        <f t="array" ca="1" aca="1" ref="A202">IF(INDEX($H:$H,ROW()-1)&lt;&gt;$H202,$E202,"")</f>
        <v/>
      </c>
      <c r="B202" s="71" t="str" cm="1">
        <f t="array" ca="1" aca="1" ref="B202">IF($K202="","",_xlfn.LET(_xlpm._fullName,IF($L202="",SUBSTITUTE(SUBSTITUTE(INDIRECT($K202),CHAR(10)," "),"  "," "),$L202),_xlpm._truncatedName,IF(LEN(_xlpm._fullName)&gt;250,LEFT(_xlpm._fullName,250)&amp;"[…]",_xlpm._fullName),HYPERLINK("#'"&amp;$E202&amp;"'!"&amp;$F202&amp;$G202,_xlpm._truncatedName)))</f>
        <v>Factor Explanation</v>
      </c>
      <c r="C202" s="13" t="s">
        <v>876</v>
      </c>
      <c r="D202" s="13"/>
      <c r="E202" s="61" t="str">
        <f t="shared" ca="1" si="37"/>
        <v>Risk Treatment</v>
      </c>
      <c r="F202" s="61" t="str">
        <f t="shared" ca="1" si="38"/>
        <v>M</v>
      </c>
      <c r="G202" s="61" t="str">
        <f t="shared" ca="1" si="39"/>
        <v>4</v>
      </c>
      <c r="H202" s="61" cm="1">
        <f t="array" ca="1" aca="1" ref="H202">CreateID($H$36,$H:$H,$E202&lt;&gt;INDEX($E:$E,ROW()-1))</f>
        <v>13</v>
      </c>
      <c r="I202" s="61" t="str" cm="1">
        <f t="array" ca="1" aca="1" ref="I202">INDIRECT($K202)</f>
        <v>Factor Explanation</v>
      </c>
      <c r="K202" s="2" t="str" cm="1">
        <f t="array" ca="1" aca="1" ref="K202">CELL("address",OFFSET('Risk Treatment'!$C$4,0,ROW()-ROW($K$192)))</f>
        <v>'[QuBA-libre.xlsx]Risk Treatment'!$M$4</v>
      </c>
    </row>
    <row r="203" spans="1:11" ht="15" outlineLevel="1">
      <c r="A203" s="23" t="str" cm="1">
        <f t="array" ca="1" aca="1" ref="A203">IF(INDEX($H:$H,ROW()-1)&lt;&gt;$H203,$E203,"")</f>
        <v/>
      </c>
      <c r="B203" s="71" t="str" cm="1">
        <f t="array" ca="1" aca="1" ref="B203">IF($K203="","",_xlfn.LET(_xlpm._fullName,IF($L203="",SUBSTITUTE(SUBSTITUTE(INDIRECT($K203),CHAR(10)," "),"  "," "),$L203),_xlpm._truncatedName,IF(LEN(_xlpm._fullName)&gt;250,LEFT(_xlpm._fullName,250)&amp;"[…]",_xlpm._fullName),HYPERLINK("#'"&amp;$E203&amp;"'!"&amp;$F203&amp;$G203,_xlpm._truncatedName)))</f>
        <v xml:space="preserve">RAP </v>
      </c>
      <c r="C203" s="13" t="s">
        <v>877</v>
      </c>
      <c r="D203" s="13"/>
      <c r="E203" s="61" t="str">
        <f t="shared" ca="1" si="37"/>
        <v>Risk Treatment</v>
      </c>
      <c r="F203" s="61" t="str">
        <f t="shared" ca="1" si="38"/>
        <v>N</v>
      </c>
      <c r="G203" s="61" t="str">
        <f t="shared" ca="1" si="39"/>
        <v>4</v>
      </c>
      <c r="H203" s="61" cm="1">
        <f t="array" ca="1" aca="1" ref="H203">CreateID($H$36,$H:$H,$E203&lt;&gt;INDEX($E:$E,ROW()-1))</f>
        <v>13</v>
      </c>
      <c r="I203" s="61" t="str" cm="1">
        <f t="array" ca="1" aca="1" ref="I203">INDIRECT($K203)</f>
        <v xml:space="preserve">RAP </v>
      </c>
      <c r="K203" s="2" t="str" cm="1">
        <f t="array" ca="1" aca="1" ref="K203">CELL("address",OFFSET('Risk Treatment'!$C$4,0,ROW()-ROW($K$192)))</f>
        <v>'[QuBA-libre.xlsx]Risk Treatment'!$N$4</v>
      </c>
    </row>
    <row r="204" spans="1:11" ht="30" outlineLevel="1">
      <c r="A204" s="23" t="str" cm="1">
        <f t="array" ca="1" aca="1" ref="A204">IF(INDEX($H:$H,ROW()-1)&lt;&gt;$H204,$E204,"")</f>
        <v/>
      </c>
      <c r="B204" s="71" t="str" cm="1">
        <f t="array" ca="1" aca="1" ref="B204">IF($K204="","",_xlfn.LET(_xlpm._fullName,IF($L204="",SUBSTITUTE(SUBSTITUTE(INDIRECT($K204),CHAR(10)," "),"  "," "),$L204),_xlpm._truncatedName,IF(LEN(_xlpm._fullName)&gt;250,LEFT(_xlpm._fullName,250)&amp;"[…]",_xlpm._fullName),HYPERLINK("#'"&amp;$E204&amp;"'!"&amp;$F204&amp;$G204,_xlpm._truncatedName)))</f>
        <v xml:space="preserve">Remaining Risk Level </v>
      </c>
      <c r="C204" s="13" t="s">
        <v>953</v>
      </c>
      <c r="D204" s="13"/>
      <c r="E204" s="61" t="str">
        <f t="shared" ca="1" si="37"/>
        <v>Risk Treatment</v>
      </c>
      <c r="F204" s="61" t="str">
        <f t="shared" ca="1" si="38"/>
        <v>O</v>
      </c>
      <c r="G204" s="61" t="str">
        <f t="shared" ca="1" si="39"/>
        <v>4</v>
      </c>
      <c r="H204" s="61" cm="1">
        <f t="array" ca="1" aca="1" ref="H204">CreateID($H$36,$H:$H,$E204&lt;&gt;INDEX($E:$E,ROW()-1))</f>
        <v>13</v>
      </c>
      <c r="I204" s="61" t="str" cm="1">
        <f t="array" ca="1" aca="1" ref="I204">INDIRECT($K204)</f>
        <v xml:space="preserve">Remaining Risk Level </v>
      </c>
      <c r="K204" s="2" t="str" cm="1">
        <f t="array" ca="1" aca="1" ref="K204">CELL("address",OFFSET('Risk Treatment'!$C$4,0,ROW()-ROW($K$192)))</f>
        <v>'[QuBA-libre.xlsx]Risk Treatment'!$O$4</v>
      </c>
    </row>
    <row r="205" spans="1:11" ht="30" outlineLevel="1">
      <c r="A205" s="23" t="str" cm="1">
        <f t="array" ca="1" aca="1" ref="A205">IF(INDEX($H:$H,ROW()-1)&lt;&gt;$H205,$E205,"")</f>
        <v/>
      </c>
      <c r="B205" s="71" t="str" cm="1">
        <f t="array" ca="1" aca="1" ref="B205">IF($K205="","",_xlfn.LET(_xlpm._fullName,IF($L205="",SUBSTITUTE(SUBSTITUTE(INDIRECT($K205),CHAR(10)," "),"  "," "),$L205),_xlpm._truncatedName,IF(LEN(_xlpm._fullName)&gt;250,LEFT(_xlpm._fullName,250)&amp;"[…]",_xlpm._fullName),HYPERLINK("#'"&amp;$E205&amp;"'!"&amp;$F205&amp;$G205,_xlpm._truncatedName)))</f>
        <v>Risk Treatment Proposal</v>
      </c>
      <c r="C205" s="13" t="s">
        <v>878</v>
      </c>
      <c r="D205" s="13"/>
      <c r="E205" s="61" t="str">
        <f t="shared" ca="1" si="37"/>
        <v>Risk Treatment</v>
      </c>
      <c r="F205" s="61" t="str">
        <f t="shared" ca="1" si="38"/>
        <v>P</v>
      </c>
      <c r="G205" s="61" t="str">
        <f t="shared" ca="1" si="39"/>
        <v>4</v>
      </c>
      <c r="H205" s="61" cm="1">
        <f t="array" ca="1" aca="1" ref="H205">CreateID($H$36,$H:$H,$E205&lt;&gt;INDEX($E:$E,ROW()-1))</f>
        <v>13</v>
      </c>
      <c r="I205" s="61" t="str" cm="1">
        <f t="array" ca="1" aca="1" ref="I205">INDIRECT($K205)</f>
        <v>Risk Treatment Proposal</v>
      </c>
      <c r="K205" s="2" t="str" cm="1">
        <f t="array" ca="1" aca="1" ref="K205">CELL("address",OFFSET('Risk Treatment'!$C$4,0,ROW()-ROW($K$192)))</f>
        <v>'[QuBA-libre.xlsx]Risk Treatment'!$P$4</v>
      </c>
    </row>
    <row r="206" spans="1:11" ht="60" outlineLevel="1">
      <c r="A206" s="23" t="str" cm="1">
        <f t="array" ca="1" aca="1" ref="A206">IF(INDEX($H:$H,ROW()-1)&lt;&gt;$H206,$E206,"")</f>
        <v/>
      </c>
      <c r="B206" s="71" t="str" cm="1">
        <f t="array" ca="1" aca="1" ref="B206">IF($K206="","",_xlfn.LET(_xlpm._fullName,IF($L206="",SUBSTITUTE(SUBSTITUTE(INDIRECT($K206),CHAR(10)," "),"  "," "),$L206),_xlpm._truncatedName,IF(LEN(_xlpm._fullName)&gt;250,LEFT(_xlpm._fullName,250)&amp;"[…]",_xlpm._fullName),HYPERLINK("#'"&amp;$E206&amp;"'!"&amp;$F206&amp;$G206,_xlpm._truncatedName)))</f>
        <v>Manual Risk Treatment</v>
      </c>
      <c r="C206" s="13" t="s">
        <v>879</v>
      </c>
      <c r="D206" s="13"/>
      <c r="E206" s="61" t="str">
        <f t="shared" ca="1" si="37"/>
        <v>Risk Treatment</v>
      </c>
      <c r="F206" s="61" t="str">
        <f t="shared" ca="1" si="38"/>
        <v>Q</v>
      </c>
      <c r="G206" s="61" t="str">
        <f t="shared" ca="1" si="39"/>
        <v>4</v>
      </c>
      <c r="H206" s="61" cm="1">
        <f t="array" ca="1" aca="1" ref="H206">CreateID($H$36,$H:$H,$E206&lt;&gt;INDEX($E:$E,ROW()-1))</f>
        <v>13</v>
      </c>
      <c r="I206" s="61" t="str" cm="1">
        <f t="array" ca="1" aca="1" ref="I206">INDIRECT($K206)</f>
        <v>Manual Risk Treatment</v>
      </c>
      <c r="K206" s="2" t="str" cm="1">
        <f t="array" ca="1" aca="1" ref="K206">CELL("address",OFFSET('Risk Treatment'!$C$4,0,ROW()-ROW($K$192)))</f>
        <v>'[QuBA-libre.xlsx]Risk Treatment'!$Q$4</v>
      </c>
    </row>
    <row r="207" spans="1:11" ht="75" outlineLevel="1">
      <c r="A207" s="23" t="str" cm="1">
        <f t="array" ca="1" aca="1" ref="A207">IF(INDEX($H:$H,ROW()-1)&lt;&gt;$H207,$E207,"")</f>
        <v/>
      </c>
      <c r="B207" s="71" t="str" cm="1">
        <f t="array" ca="1" aca="1" ref="B207">IF($K207="","",_xlfn.LET(_xlpm._fullName,IF($L207="",SUBSTITUTE(SUBSTITUTE(INDIRECT($K207),CHAR(10)," "),"  "," "),$L207),_xlpm._truncatedName,IF(LEN(_xlpm._fullName)&gt;250,LEFT(_xlpm._fullName,250)&amp;"[…]",_xlpm._fullName),HYPERLINK("#'"&amp;$E207&amp;"'!"&amp;$F207&amp;$G207,_xlpm._truncatedName)))</f>
        <v>Risk Treatment Decision</v>
      </c>
      <c r="C207" s="13" t="s">
        <v>884</v>
      </c>
      <c r="D207" s="13"/>
      <c r="E207" s="61" t="str">
        <f t="shared" ca="1" si="37"/>
        <v>Risk Treatment</v>
      </c>
      <c r="F207" s="61" t="str">
        <f t="shared" ca="1" si="38"/>
        <v>R</v>
      </c>
      <c r="G207" s="61" t="str">
        <f t="shared" ca="1" si="39"/>
        <v>4</v>
      </c>
      <c r="H207" s="61" cm="1">
        <f t="array" ca="1" aca="1" ref="H207">CreateID($H$36,$H:$H,$E207&lt;&gt;INDEX($E:$E,ROW()-1))</f>
        <v>13</v>
      </c>
      <c r="I207" s="61" t="str" cm="1">
        <f t="array" ca="1" aca="1" ref="I207">INDIRECT($K207)</f>
        <v>Risk Treatment Decision</v>
      </c>
      <c r="K207" s="2" t="str" cm="1">
        <f t="array" ca="1" aca="1" ref="K207">CELL("address",OFFSET('Risk Treatment'!$C$4,0,ROW()-ROW($K$192)))</f>
        <v>'[QuBA-libre.xlsx]Risk Treatment'!$R$4</v>
      </c>
    </row>
    <row r="208" spans="1:11" ht="45" outlineLevel="1">
      <c r="A208" s="23" t="str" cm="1">
        <f t="array" ca="1" aca="1" ref="A208">IF(INDEX($H:$H,ROW()-1)&lt;&gt;$H208,$E208,"")</f>
        <v/>
      </c>
      <c r="B208" s="71" t="str" cm="1">
        <f t="array" ca="1" aca="1" ref="B208">IF($K208="","",_xlfn.LET(_xlpm._fullName,IF($L208="",SUBSTITUTE(SUBSTITUTE(INDIRECT($K208),CHAR(10)," "),"  "," "),$L208),_xlpm._truncatedName,IF(LEN(_xlpm._fullName)&gt;250,LEFT(_xlpm._fullName,250)&amp;"[…]",_xlpm._fullName),HYPERLINK("#'"&amp;$E208&amp;"'!"&amp;$F208&amp;$G208,_xlpm._truncatedName)))</f>
        <v>Risk Treatment Rationale / Explanation</v>
      </c>
      <c r="C208" s="13" t="s">
        <v>883</v>
      </c>
      <c r="D208" s="13"/>
      <c r="E208" s="61" t="str">
        <f t="shared" ca="1" si="37"/>
        <v>Risk Treatment</v>
      </c>
      <c r="F208" s="61" t="str">
        <f t="shared" ca="1" si="38"/>
        <v>S</v>
      </c>
      <c r="G208" s="61" t="str">
        <f t="shared" ca="1" si="39"/>
        <v>4</v>
      </c>
      <c r="H208" s="61" cm="1">
        <f t="array" ca="1" aca="1" ref="H208">CreateID($H$36,$H:$H,$E208&lt;&gt;INDEX($E:$E,ROW()-1))</f>
        <v>13</v>
      </c>
      <c r="I208" s="61" t="str" cm="1">
        <f t="array" ca="1" aca="1" ref="I208">INDIRECT($K208)</f>
        <v>Risk Treatment Rationale / Explanation</v>
      </c>
      <c r="K208" s="2" t="str" cm="1">
        <f t="array" ca="1" aca="1" ref="K208">CELL("address",OFFSET('Risk Treatment'!$C$4,0,ROW()-ROW($K$192)))</f>
        <v>'[QuBA-libre.xlsx]Risk Treatment'!$S$4</v>
      </c>
    </row>
    <row r="209" spans="1:11" ht="15" outlineLevel="1">
      <c r="A209" s="23" t="str" cm="1">
        <f t="array" ca="1" aca="1" ref="A209">IF(INDEX($H:$H,ROW()-1)&lt;&gt;$H209,$E209,"")</f>
        <v/>
      </c>
      <c r="B209" s="71" t="str" cm="1">
        <f t="array" ca="1" aca="1" ref="B209">IF($K209="","",_xlfn.LET(_xlpm._fullName,IF($L209="",SUBSTITUTE(SUBSTITUTE(INDIRECT($K209),CHAR(10)," "),"  "," "),$L209),_xlpm._truncatedName,IF(LEN(_xlpm._fullName)&gt;250,LEFT(_xlpm._fullName,250)&amp;"[…]",_xlpm._fullName),HYPERLINK("#'"&amp;$E209&amp;"'!"&amp;$F209&amp;$G209,_xlpm._truncatedName)))</f>
        <v>Comment</v>
      </c>
      <c r="C209" s="13" t="s">
        <v>809</v>
      </c>
      <c r="D209" s="13"/>
      <c r="E209" s="61" t="str">
        <f t="shared" ca="1" si="37"/>
        <v>Risk Treatment</v>
      </c>
      <c r="F209" s="61" t="str">
        <f t="shared" ca="1" si="38"/>
        <v>T</v>
      </c>
      <c r="G209" s="61" t="str">
        <f t="shared" ca="1" si="39"/>
        <v>4</v>
      </c>
      <c r="H209" s="61" cm="1">
        <f t="array" ca="1" aca="1" ref="H209">CreateID($H$36,$H:$H,$E209&lt;&gt;INDEX($E:$E,ROW()-1))</f>
        <v>13</v>
      </c>
      <c r="I209" s="61" t="str" cm="1">
        <f t="array" ca="1" aca="1" ref="I209">INDIRECT($K209)</f>
        <v>Comment</v>
      </c>
      <c r="K209" s="2" t="str" cm="1">
        <f t="array" ca="1" aca="1" ref="K209">CELL("address",OFFSET('Risk Treatment'!$C$4,0,ROW()-ROW($K$192)))</f>
        <v>'[QuBA-libre.xlsx]Risk Treatment'!$T$4</v>
      </c>
    </row>
    <row r="210" spans="1:12" ht="45" outlineLevel="1">
      <c r="A210" s="23" t="str" cm="1">
        <f t="array" ca="1" aca="1" ref="A210">IF(INDEX($H:$H,ROW()-1)&lt;&gt;$H210,$E210,"")</f>
        <v/>
      </c>
      <c r="B210" s="71" t="str" cm="1">
        <f t="array" ca="1" aca="1" ref="B210">IF($K210="","",_xlfn.LET(_xlpm._fullName,IF($L210="",SUBSTITUTE(SUBSTITUTE(INDIRECT($K210),CHAR(10)," "),"  "," "),$L210),_xlpm._truncatedName,IF(LEN(_xlpm._fullName)&gt;250,LEFT(_xlpm._fullName,250)&amp;"[…]",_xlpm._fullName),HYPERLINK("#'"&amp;$E210&amp;"'!"&amp;$F210&amp;$G210,_xlpm._truncatedName)))</f>
        <v>Open IDs</v>
      </c>
      <c r="C210" s="13" t="s">
        <v>885</v>
      </c>
      <c r="D210" s="13"/>
      <c r="E210" s="61" t="str">
        <f t="shared" ca="1" si="37"/>
        <v>Risk Treatment</v>
      </c>
      <c r="F210" s="61" t="str">
        <f t="shared" ca="1" si="38"/>
        <v>D</v>
      </c>
      <c r="G210" s="61" t="str">
        <f t="shared" ca="1" si="39"/>
        <v>2</v>
      </c>
      <c r="H210" s="61" cm="1">
        <f t="array" ca="1" aca="1" ref="H210">CreateID($H$36,$H:$H,$E210&lt;&gt;INDEX($E:$E,ROW()-1))</f>
        <v>13</v>
      </c>
      <c r="I210" s="61" t="str" cm="1">
        <f t="array" ca="1" aca="1" ref="I210">INDIRECT($K210)</f>
        <v>R1-3, R2-3, R1-4, R2-4, R1-6, R2-6, R1-7, R2-7, R1-3-10, R2-3-10, R1-3-11, R2-3-11, R1-14, R1-16, R2-16, R21-23, R22-23, R1-29, R2-29, R31, R1-3-32, R2-3-32, R1-5-32, R2-5-32, R1-7-32, R2-7-32, R1-16-32, R2-16-32, R21-23-32, R22-23-32, R21-24-32, R22-24-32, R1-29-32, R2-29-32, R37, R38, R1-40, R2-40</v>
      </c>
      <c r="K210" s="2" t="str" cm="1">
        <f t="array" ca="1" aca="1" ref="K210">CELL("address",OFFSET('Risk Treatment'!$D$2,0,ROW()-ROW($K$210)))</f>
        <v>'[QuBA-libre.xlsx]Risk Treatment'!$D$2</v>
      </c>
      <c r="L210" s="2" t="s">
        <v>549</v>
      </c>
    </row>
    <row r="211" spans="1:11" ht="45">
      <c r="A211" s="23" t="str" cm="1">
        <f t="array" ca="1" aca="1" ref="A211">IF(INDEX($H:$H,ROW()-1)&lt;&gt;$H211,$E211,"")</f>
        <v>Result Summary</v>
      </c>
      <c r="B211" s="71" t="str" cm="1">
        <f t="array" ca="1" aca="1" ref="B211">IF($K211="","",_xlfn.LET(_xlpm._fullName,IF($L211="",SUBSTITUTE(SUBSTITUTE(INDIRECT($K211),CHAR(10)," "),"  "," "),$L211),_xlpm._truncatedName,IF(LEN(_xlpm._fullName)&gt;250,LEFT(_xlpm._fullName,250)&amp;"[…]",_xlpm._fullName),HYPERLINK("#'"&amp;$E211&amp;"'!"&amp;$F211&amp;$G211,_xlpm._truncatedName)))</f>
        <v>ID</v>
      </c>
      <c r="C211" s="13" t="s">
        <v>887</v>
      </c>
      <c r="D211" s="13"/>
      <c r="E211" s="61" t="str">
        <f ca="1">IF($K211="","",_xlfn.LET(_xlpm._in,$K211,_xlpm._start,FIND("]",_xlpm._in)+1,SUBSTITUTE(MID(_xlpm._in,_xlpm._start,FIND("!",_xlpm._in)-_xlpm._start),"'","")))</f>
        <v>Result Summary</v>
      </c>
      <c r="F211" s="61" t="str">
        <f ca="1">IF($K211="","",_xlfn.LET(_xlpm._in,SUBSTITUTE($K211,"$","§",1),_xlpm._start,FIND("§",_xlpm._in)+1,SUBSTITUTE(MID(_xlpm._in,_xlpm._start,FIND("$",_xlpm._in)-_xlpm._start),"'","")))</f>
        <v>A</v>
      </c>
      <c r="G211" s="61" t="str">
        <f ca="1">IF($K211="","",RIGHT($K211,LEN($K211)-FIND("$",SUBSTITUTE($K211,"$","§",1))))</f>
        <v>17</v>
      </c>
      <c r="H211" s="61" cm="1">
        <f t="array" ca="1" aca="1" ref="H211">CreateID($H$36,$H:$H,$E211&lt;&gt;INDEX($E:$E,ROW()-1))</f>
        <v>14</v>
      </c>
      <c r="I211" s="61" t="str" cm="1">
        <f t="array" ca="1" aca="1" ref="I211">INDIRECT($K211)</f>
        <v>ID</v>
      </c>
      <c r="K211" s="2" t="str" cm="1">
        <f t="array" ca="1" aca="1" ref="K211">CELL("address",OFFSET('Result Summary'!$A$17,0,ROW()-ROW($K$211)))</f>
        <v>'[QuBA-libre.xlsx]Result Summary'!$A$17</v>
      </c>
    </row>
    <row r="212" spans="1:11" ht="30" outlineLevel="1">
      <c r="A212" s="23" t="str" cm="1">
        <f t="array" ca="1" aca="1" ref="A212">IF(INDEX($H:$H,ROW()-1)&lt;&gt;$H212,$E212,"")</f>
        <v/>
      </c>
      <c r="B212" s="71" t="str" cm="1">
        <f t="array" ca="1" aca="1" ref="B212">IF($K212="","",_xlfn.LET(_xlpm._fullName,IF($L212="",SUBSTITUTE(SUBSTITUTE(INDIRECT($K212),CHAR(10)," "),"  "," "),$L212),_xlpm._truncatedName,IF(LEN(_xlpm._fullName)&gt;250,LEFT(_xlpm._fullName,250)&amp;"[…]",_xlpm._fullName),HYPERLINK("#'"&amp;$E212&amp;"'!"&amp;$F212&amp;$G212,_xlpm._truncatedName)))</f>
        <v>Name</v>
      </c>
      <c r="C212" s="13" t="s">
        <v>886</v>
      </c>
      <c r="D212" s="13"/>
      <c r="E212" s="61" t="str">
        <f ca="1" t="shared" si="40" ref="E212:E256">IF($K212="","",_xlfn.LET(_xlpm._in,$K212,_xlpm._start,FIND("]",_xlpm._in)+1,SUBSTITUTE(MID(_xlpm._in,_xlpm._start,FIND("!",_xlpm._in)-_xlpm._start),"'","")))</f>
        <v>Result Summary</v>
      </c>
      <c r="F212" s="61" t="str">
        <f ca="1" t="shared" si="41" ref="F212:F256">IF($K212="","",_xlfn.LET(_xlpm._in,SUBSTITUTE($K212,"$","§",1),_xlpm._start,FIND("§",_xlpm._in)+1,SUBSTITUTE(MID(_xlpm._in,_xlpm._start,FIND("$",_xlpm._in)-_xlpm._start),"'","")))</f>
        <v>B</v>
      </c>
      <c r="G212" s="61" t="str">
        <f ca="1" t="shared" si="42" ref="G212:G256">IF($K212="","",RIGHT($K212,LEN($K212)-FIND("$",SUBSTITUTE($K212,"$","§",1))))</f>
        <v>17</v>
      </c>
      <c r="H212" s="61" cm="1">
        <f t="array" ca="1" aca="1" ref="H212">CreateID($H$36,$H:$H,$E212&lt;&gt;INDEX($E:$E,ROW()-1))</f>
        <v>14</v>
      </c>
      <c r="I212" s="61" t="str" cm="1">
        <f t="array" ca="1" aca="1" ref="I212">INDIRECT($K212)</f>
        <v>Name</v>
      </c>
      <c r="K212" s="2" t="str" cm="1">
        <f t="array" ca="1" aca="1" ref="K212">CELL("address",OFFSET('Result Summary'!$A$17,0,ROW()-ROW($K$211)))</f>
        <v>'[QuBA-libre.xlsx]Result Summary'!$B$17</v>
      </c>
    </row>
    <row r="213" spans="1:11" ht="60" outlineLevel="1">
      <c r="A213" s="23" t="str" cm="1">
        <f t="array" ca="1" aca="1" ref="A213">IF(INDEX($H:$H,ROW()-1)&lt;&gt;$H213,$E213,"")</f>
        <v/>
      </c>
      <c r="B213" s="71" t="str" cm="1">
        <f t="array" ca="1" aca="1" ref="B213">IF($K213="","",_xlfn.LET(_xlpm._fullName,IF($L213="",SUBSTITUTE(SUBSTITUTE(INDIRECT($K213),CHAR(10)," "),"  "," "),$L213),_xlpm._truncatedName,IF(LEN(_xlpm._fullName)&gt;250,LEFT(_xlpm._fullName,250)&amp;"[…]",_xlpm._fullName),HYPERLINK("#'"&amp;$E213&amp;"'!"&amp;$F213&amp;$G213,_xlpm._truncatedName)))</f>
        <v>Stakeholder</v>
      </c>
      <c r="C213" s="13" t="s">
        <v>888</v>
      </c>
      <c r="D213" s="13"/>
      <c r="E213" s="61" t="str">
        <f t="shared" ca="1" si="40"/>
        <v>Result Summary</v>
      </c>
      <c r="F213" s="61" t="str">
        <f t="shared" ca="1" si="41"/>
        <v>C</v>
      </c>
      <c r="G213" s="61" t="str">
        <f t="shared" ca="1" si="42"/>
        <v>17</v>
      </c>
      <c r="H213" s="61" cm="1">
        <f t="array" ca="1" aca="1" ref="H213">CreateID($H$36,$H:$H,$E213&lt;&gt;INDEX($E:$E,ROW()-1))</f>
        <v>14</v>
      </c>
      <c r="I213" s="61" t="str" cm="1">
        <f t="array" ca="1" aca="1" ref="I213">INDIRECT($K213)</f>
        <v>Stakeholder</v>
      </c>
      <c r="K213" s="2" t="str" cm="1">
        <f t="array" ca="1" aca="1" ref="K213">CELL("address",OFFSET('Result Summary'!$A$17,0,ROW()-ROW($K$211)))</f>
        <v>'[QuBA-libre.xlsx]Result Summary'!$C$17</v>
      </c>
    </row>
    <row r="214" spans="1:11" ht="165" outlineLevel="1">
      <c r="A214" s="23" t="str" cm="1">
        <f t="array" ca="1" aca="1" ref="A214">IF(INDEX($H:$H,ROW()-1)&lt;&gt;$H214,$E214,"")</f>
        <v/>
      </c>
      <c r="B214" s="71" t="str" cm="1">
        <f t="array" ca="1" aca="1" ref="B214">IF($K214="","",_xlfn.LET(_xlpm._fullName,IF($L214="",SUBSTITUTE(SUBSTITUTE(INDIRECT($K214),CHAR(10)," "),"  "," "),$L214),_xlpm._truncatedName,IF(LEN(_xlpm._fullName)&gt;250,LEFT(_xlpm._fullName,250)&amp;"[…]",_xlpm._fullName),HYPERLINK("#'"&amp;$E214&amp;"'!"&amp;$F214&amp;$G214,_xlpm._truncatedName)))</f>
        <v>Additional Information</v>
      </c>
      <c r="C214" s="13" t="s">
        <v>889</v>
      </c>
      <c r="D214" s="13"/>
      <c r="E214" s="61" t="str">
        <f t="shared" ca="1" si="40"/>
        <v>Result Summary</v>
      </c>
      <c r="F214" s="61" t="str">
        <f t="shared" ca="1" si="41"/>
        <v>D</v>
      </c>
      <c r="G214" s="61" t="str">
        <f t="shared" ca="1" si="42"/>
        <v>17</v>
      </c>
      <c r="H214" s="61" cm="1">
        <f t="array" ca="1" aca="1" ref="H214">CreateID($H$36,$H:$H,$E214&lt;&gt;INDEX($E:$E,ROW()-1))</f>
        <v>14</v>
      </c>
      <c r="I214" s="61" t="str" cm="1">
        <f t="array" ca="1" aca="1" ref="I214">INDIRECT($K214)</f>
        <v>Additional Information</v>
      </c>
      <c r="K214" s="2" t="str" cm="1">
        <f t="array" ca="1" aca="1" ref="K214">CELL("address",OFFSET('Result Summary'!$A$17,0,ROW()-ROW($K$211)))</f>
        <v>'[QuBA-libre.xlsx]Result Summary'!$D$17</v>
      </c>
    </row>
    <row r="215" spans="1:11" ht="30" outlineLevel="1">
      <c r="A215" s="23" t="str" cm="1">
        <f t="array" ca="1" aca="1" ref="A215">IF(INDEX($H:$H,ROW()-1)&lt;&gt;$H215,$E215,"")</f>
        <v/>
      </c>
      <c r="B215" s="71" t="str" cm="1">
        <f t="array" ca="1" aca="1" ref="B215">IF($K215="","",_xlfn.LET(_xlpm._fullName,IF($L215="",SUBSTITUTE(SUBSTITUTE(INDIRECT($K215),CHAR(10)," "),"  "," "),$L215),_xlpm._truncatedName,IF(LEN(_xlpm._fullName)&gt;250,LEFT(_xlpm._fullName,250)&amp;"[…]",_xlpm._fullName),HYPERLINK("#'"&amp;$E215&amp;"'!"&amp;$F215&amp;$G215,_xlpm._truncatedName)))</f>
        <v>Go to ID</v>
      </c>
      <c r="C215" s="13" t="s">
        <v>890</v>
      </c>
      <c r="D215" s="13"/>
      <c r="E215" s="61" t="str">
        <f t="shared" ca="1" si="40"/>
        <v>Result Summary</v>
      </c>
      <c r="F215" s="61" t="str">
        <f t="shared" ca="1" si="41"/>
        <v>E</v>
      </c>
      <c r="G215" s="61" t="str">
        <f t="shared" ca="1" si="42"/>
        <v>17</v>
      </c>
      <c r="H215" s="61" cm="1">
        <f t="array" ca="1" aca="1" ref="H215">CreateID($H$36,$H:$H,$E215&lt;&gt;INDEX($E:$E,ROW()-1))</f>
        <v>14</v>
      </c>
      <c r="I215" s="61" t="str" cm="1">
        <f t="array" ca="1" aca="1" ref="I215">INDIRECT($K215)</f>
        <v>Go to ID</v>
      </c>
      <c r="K215" s="2" t="str" cm="1">
        <f t="array" ca="1" aca="1" ref="K215">CELL("address",OFFSET('Result Summary'!$A$17,0,ROW()-ROW($K$211)))</f>
        <v>'[QuBA-libre.xlsx]Result Summary'!$E$17</v>
      </c>
    </row>
    <row r="216" spans="1:11" ht="105" outlineLevel="1">
      <c r="A216" s="23" t="str" cm="1">
        <f t="array" ca="1" aca="1" ref="A216">IF(INDEX($H:$H,ROW()-1)&lt;&gt;$H216,$E216,"")</f>
        <v/>
      </c>
      <c r="B216" s="71" t="str" cm="1">
        <f t="array" ca="1" aca="1" ref="B216">IF($K216="","",_xlfn.LET(_xlpm._fullName,IF($L216="",SUBSTITUTE(SUBSTITUTE(INDIRECT($K216),CHAR(10)," "),"  "," "),$L216),_xlpm._truncatedName,IF(LEN(_xlpm._fullName)&gt;250,LEFT(_xlpm._fullName,250)&amp;"[…]",_xlpm._fullName),HYPERLINK("#'"&amp;$E216&amp;"'!"&amp;$F216&amp;$G216,_xlpm._truncatedName)))</f>
        <v>Link</v>
      </c>
      <c r="C216" s="13" t="s">
        <v>891</v>
      </c>
      <c r="D216" s="13"/>
      <c r="E216" s="61" t="str">
        <f t="shared" ca="1" si="40"/>
        <v>Result Summary</v>
      </c>
      <c r="F216" s="61" t="str">
        <f t="shared" ca="1" si="41"/>
        <v>F</v>
      </c>
      <c r="G216" s="61" t="str">
        <f t="shared" ca="1" si="42"/>
        <v>17</v>
      </c>
      <c r="H216" s="61" cm="1">
        <f t="array" ca="1" aca="1" ref="H216">CreateID($H$36,$H:$H,$E216&lt;&gt;INDEX($E:$E,ROW()-1))</f>
        <v>14</v>
      </c>
      <c r="I216" s="61" t="str" cm="1">
        <f t="array" ca="1" aca="1" ref="I216">INDIRECT($K216)</f>
        <v>Link</v>
      </c>
      <c r="K216" s="2" t="str" cm="1">
        <f t="array" ca="1" aca="1" ref="K216">CELL("address",OFFSET('Result Summary'!$A$17,0,ROW()-ROW($K$211)))</f>
        <v>'[QuBA-libre.xlsx]Result Summary'!$F$17</v>
      </c>
    </row>
    <row r="217" spans="1:11" ht="15" outlineLevel="1">
      <c r="A217" s="23" t="str" cm="1">
        <f t="array" ca="1" aca="1" ref="A217">IF(INDEX($H:$H,ROW()-1)&lt;&gt;$H217,$E217,"")</f>
        <v/>
      </c>
      <c r="B217" s="71" t="str" cm="1">
        <f t="array" ca="1" aca="1" ref="B217">IF($K217="","",_xlfn.LET(_xlpm._fullName,IF($L217="",SUBSTITUTE(SUBSTITUTE(INDIRECT($K217),CHAR(10)," "),"  "," "),$L217),_xlpm._truncatedName,IF(LEN(_xlpm._fullName)&gt;250,LEFT(_xlpm._fullName,250)&amp;"[…]",_xlpm._fullName),HYPERLINK("#'"&amp;$E217&amp;"'!"&amp;$F217&amp;$G217,_xlpm._truncatedName)))</f>
        <v>Reference</v>
      </c>
      <c r="C217" s="13" t="s">
        <v>1718</v>
      </c>
      <c r="D217" s="13"/>
      <c r="E217" s="61" t="str">
        <f ca="1">IF($K217="","",_xlfn.LET(_xlpm._in,$K217,_xlpm._start,FIND("]",_xlpm._in)+1,SUBSTITUTE(MID(_xlpm._in,_xlpm._start,FIND("!",_xlpm._in)-_xlpm._start),"'","")))</f>
        <v>Result Summary</v>
      </c>
      <c r="F217" s="61" t="str">
        <f ca="1">IF($K217="","",_xlfn.LET(_xlpm._in,SUBSTITUTE($K217,"$","§",1),_xlpm._start,FIND("§",_xlpm._in)+1,SUBSTITUTE(MID(_xlpm._in,_xlpm._start,FIND("$",_xlpm._in)-_xlpm._start),"'","")))</f>
        <v>G</v>
      </c>
      <c r="G217" s="61" t="str">
        <f ca="1">IF($K217="","",RIGHT($K217,LEN($K217)-FIND("$",SUBSTITUTE($K217,"$","§",1))))</f>
        <v>17</v>
      </c>
      <c r="H217" s="61" cm="1">
        <f t="array" ca="1" aca="1" ref="H217">CreateID($H$36,$H:$H,$E217&lt;&gt;INDEX($E:$E,ROW()-1))</f>
        <v>14</v>
      </c>
      <c r="I217" s="61" t="str" cm="1">
        <f t="array" ca="1" aca="1" ref="I217">INDIRECT($K217)</f>
        <v>Reference</v>
      </c>
      <c r="K217" s="2" t="str" cm="1">
        <f t="array" ca="1" aca="1" ref="K217">CELL("address",OFFSET('Result Summary'!$A$17,0,ROW()-ROW($K$211)))</f>
        <v>'[QuBA-libre.xlsx]Result Summary'!$G$17</v>
      </c>
    </row>
    <row r="218" spans="1:11" ht="30" outlineLevel="1">
      <c r="A218" s="23" t="str" cm="1">
        <f t="array" ca="1" aca="1" ref="A218">IF(INDEX($H:$H,ROW()-1)&lt;&gt;$H218,$E218,"")</f>
        <v/>
      </c>
      <c r="B218" s="71" t="str" cm="1">
        <f t="array" ca="1" aca="1" ref="B218">IF($K218="","",_xlfn.LET(_xlpm._fullName,IF($L218="",SUBSTITUTE(SUBSTITUTE(INDIRECT($K218),CHAR(10)," "),"  "," "),$L218),_xlpm._truncatedName,IF(LEN(_xlpm._fullName)&gt;250,LEFT(_xlpm._fullName,250)&amp;"[…]",_xlpm._fullName),HYPERLINK("#'"&amp;$E218&amp;"'!"&amp;$F218&amp;$G218,_xlpm._truncatedName)))</f>
        <v>Comment</v>
      </c>
      <c r="C218" s="13" t="s">
        <v>892</v>
      </c>
      <c r="D218" s="13"/>
      <c r="E218" s="61" t="str">
        <f t="shared" ca="1" si="40"/>
        <v>Result Summary</v>
      </c>
      <c r="F218" s="61" t="str">
        <f t="shared" ca="1" si="41"/>
        <v>H</v>
      </c>
      <c r="G218" s="61" t="str">
        <f t="shared" ca="1" si="42"/>
        <v>17</v>
      </c>
      <c r="H218" s="61" cm="1">
        <f t="array" ca="1" aca="1" ref="H218">CreateID($H$36,$H:$H,$E218&lt;&gt;INDEX($E:$E,ROW()-1))</f>
        <v>14</v>
      </c>
      <c r="I218" s="61" t="str" cm="1">
        <f t="array" ca="1" aca="1" ref="I218">INDIRECT($K218)</f>
        <v>Comment</v>
      </c>
      <c r="K218" s="2" t="str" cm="1">
        <f t="array" ca="1" aca="1" ref="K218">CELL("address",OFFSET('Result Summary'!$A$17,0,ROW()-ROW($K$211)))</f>
        <v>'[QuBA-libre.xlsx]Result Summary'!$H$17</v>
      </c>
    </row>
    <row r="219" spans="1:11" ht="15">
      <c r="A219" s="23" t="str" cm="1">
        <f t="array" ca="1" aca="1" ref="A219">IF(INDEX($H:$H,ROW()-1)&lt;&gt;$H219,$E219,"")</f>
        <v>Annex I 1.2 Report</v>
      </c>
      <c r="B219" s="71" t="str" cm="1">
        <f t="array" ca="1" aca="1" ref="B219">IF($K219="","",_xlfn.LET(_xlpm._fullName,IF($L219="",SUBSTITUTE(SUBSTITUTE(INDIRECT($K219),CHAR(10)," "),"  "," "),$L219),_xlpm._truncatedName,IF(LEN(_xlpm._fullName)&gt;250,LEFT(_xlpm._fullName,250)&amp;"[…]",_xlpm._fullName),HYPERLINK("#'"&amp;$E219&amp;"'!"&amp;$F219&amp;$G219,_xlpm._truncatedName)))</f>
        <v>Letter</v>
      </c>
      <c r="C219" s="13" t="s">
        <v>1689</v>
      </c>
      <c r="D219" s="13"/>
      <c r="E219" s="61" t="str">
        <f t="shared" ca="1" si="40"/>
        <v>Annex I 1.2 Report</v>
      </c>
      <c r="F219" s="61" t="str">
        <f t="shared" ca="1" si="41"/>
        <v>A</v>
      </c>
      <c r="G219" s="61" t="str">
        <f t="shared" ca="1" si="42"/>
        <v>2</v>
      </c>
      <c r="H219" s="61" cm="1">
        <f t="array" ca="1" aca="1" ref="H219">CreateID($H$36,$H:$H,$E219&lt;&gt;INDEX($E:$E,ROW()-1))</f>
        <v>15</v>
      </c>
      <c r="I219" s="61" t="str" cm="1">
        <f t="array" ca="1" aca="1" ref="I219">INDIRECT($K219)</f>
        <v>Letter</v>
      </c>
      <c r="K219" s="2" t="str" cm="1">
        <f t="array" ca="1" aca="1" ref="K219">CELL("address",OFFSET('Annex I 1.2 Report'!$A$2,0,ROW()-ROW($K$219)))</f>
        <v>'[QuBA-libre.xlsx]Annex I 1.2 Report'!$A$2</v>
      </c>
    </row>
    <row r="220" spans="1:11" ht="15" outlineLevel="1">
      <c r="A220" s="23" t="str" cm="1">
        <f t="array" ca="1" aca="1" ref="A220">IF(INDEX($H:$H,ROW()-1)&lt;&gt;$H220,$E220,"")</f>
        <v/>
      </c>
      <c r="B220" s="71" t="str" cm="1">
        <f t="array" ca="1" aca="1" ref="B220">IF($K220="","",_xlfn.LET(_xlpm._fullName,IF($L220="",SUBSTITUTE(SUBSTITUTE(INDIRECT($K220),CHAR(10)," "),"  "," "),$L220),_xlpm._truncatedName,IF(LEN(_xlpm._fullName)&gt;250,LEFT(_xlpm._fullName,250)&amp;"[…]",_xlpm._fullName),HYPERLINK("#'"&amp;$E220&amp;"'!"&amp;$F220&amp;$G220,_xlpm._truncatedName)))</f>
        <v>Products with digital elements shall…</v>
      </c>
      <c r="C220" s="13" t="s">
        <v>893</v>
      </c>
      <c r="D220" s="13"/>
      <c r="E220" s="61" t="str">
        <f t="shared" ca="1" si="40"/>
        <v>Annex I 1.2 Report</v>
      </c>
      <c r="F220" s="61" t="str">
        <f t="shared" ca="1" si="41"/>
        <v>B</v>
      </c>
      <c r="G220" s="61" t="str">
        <f t="shared" ca="1" si="42"/>
        <v>2</v>
      </c>
      <c r="H220" s="61" cm="1">
        <f t="array" ca="1" aca="1" ref="H220">CreateID($H$36,$H:$H,$E220&lt;&gt;INDEX($E:$E,ROW()-1))</f>
        <v>15</v>
      </c>
      <c r="I220" s="61" t="str" cm="1">
        <f t="array" ca="1" aca="1" ref="I220">INDIRECT($K220)</f>
        <v>Products with digital elements shall…</v>
      </c>
      <c r="K220" s="2" t="str" cm="1">
        <f t="array" ca="1" aca="1" ref="K220">CELL("address",OFFSET('Annex I 1.2 Report'!$A$2,0,ROW()-ROW($K$219)))</f>
        <v>'[QuBA-libre.xlsx]Annex I 1.2 Report'!$B$2</v>
      </c>
    </row>
    <row r="221" spans="1:11" ht="105" outlineLevel="1">
      <c r="A221" s="23" t="str" cm="1">
        <f t="array" ca="1" aca="1" ref="A221">IF(INDEX($H:$H,ROW()-1)&lt;&gt;$H221,$E221,"")</f>
        <v/>
      </c>
      <c r="B221" s="71" t="str" cm="1">
        <f t="array" ca="1" aca="1" ref="B221">IF($K221="","",_xlfn.LET(_xlpm._fullName,IF($L221="",SUBSTITUTE(SUBSTITUTE(INDIRECT($K221),CHAR(10)," "),"  "," "),$L221),_xlpm._truncatedName,IF(LEN(_xlpm._fullName)&gt;250,LEFT(_xlpm._fullName,250)&amp;"[…]",_xlpm._fullName),HYPERLINK("#'"&amp;$E221&amp;"'!"&amp;$F221&amp;$G221,_xlpm._truncatedName)))</f>
        <v>Implemented by</v>
      </c>
      <c r="C221" s="13" t="s">
        <v>1690</v>
      </c>
      <c r="D221" s="13"/>
      <c r="E221" s="61" t="str">
        <f t="shared" ca="1" si="40"/>
        <v>Annex I 1.2 Report</v>
      </c>
      <c r="F221" s="61" t="str">
        <f t="shared" ca="1" si="41"/>
        <v>C</v>
      </c>
      <c r="G221" s="61" t="str">
        <f t="shared" ca="1" si="42"/>
        <v>2</v>
      </c>
      <c r="H221" s="61" cm="1">
        <f t="array" ca="1" aca="1" ref="H221">CreateID($H$36,$H:$H,$E221&lt;&gt;INDEX($E:$E,ROW()-1))</f>
        <v>15</v>
      </c>
      <c r="I221" s="61" t="str" cm="1">
        <f t="array" ca="1" aca="1" ref="I221">INDIRECT($K221)</f>
        <v>Implemented by</v>
      </c>
      <c r="K221" s="2" t="str" cm="1">
        <f t="array" ca="1" aca="1" ref="K221">CELL("address",OFFSET('Annex I 1.2 Report'!$A$2,0,ROW()-ROW($K$219)))</f>
        <v>'[QuBA-libre.xlsx]Annex I 1.2 Report'!$C$2</v>
      </c>
    </row>
    <row r="222" spans="1:11" ht="30" outlineLevel="1">
      <c r="A222" s="23" t="str" cm="1">
        <f t="array" ca="1" aca="1" ref="A222">IF(INDEX($H:$H,ROW()-1)&lt;&gt;$H222,$E222,"")</f>
        <v/>
      </c>
      <c r="B222" s="71" t="str" cm="1">
        <f t="array" ca="1" aca="1" ref="B222">IF($K222="","",_xlfn.LET(_xlpm._fullName,IF($L222="",SUBSTITUTE(SUBSTITUTE(INDIRECT($K222),CHAR(10)," "),"  "," "),$L222),_xlpm._truncatedName,IF(LEN(_xlpm._fullName)&gt;250,LEFT(_xlpm._fullName,250)&amp;"[…]",_xlpm._fullName),HYPERLINK("#'"&amp;$E222&amp;"'!"&amp;$F222&amp;$G222,_xlpm._truncatedName)))</f>
        <v>Countermeasure / Assumption Names</v>
      </c>
      <c r="C222" s="13" t="s">
        <v>894</v>
      </c>
      <c r="D222" s="13"/>
      <c r="E222" s="61" t="str">
        <f t="shared" ca="1" si="40"/>
        <v>Annex I 1.2 Report</v>
      </c>
      <c r="F222" s="61" t="str">
        <f t="shared" ca="1" si="41"/>
        <v>D</v>
      </c>
      <c r="G222" s="61" t="str">
        <f t="shared" ca="1" si="42"/>
        <v>2</v>
      </c>
      <c r="H222" s="61" cm="1">
        <f t="array" ca="1" aca="1" ref="H222">CreateID($H$36,$H:$H,$E222&lt;&gt;INDEX($E:$E,ROW()-1))</f>
        <v>15</v>
      </c>
      <c r="I222" s="61" t="str" cm="1">
        <f t="array" ca="1" aca="1" ref="I222">INDIRECT($K222)</f>
        <v>Countermeasure / Assumption Names</v>
      </c>
      <c r="K222" s="2" t="str" cm="1">
        <f t="array" ca="1" aca="1" ref="K222">CELL("address",OFFSET('Annex I 1.2 Report'!$A$2,0,ROW()-ROW($K$219)))</f>
        <v>'[QuBA-libre.xlsx]Annex I 1.2 Report'!$D$2</v>
      </c>
    </row>
    <row r="223" spans="1:11" ht="45" outlineLevel="1">
      <c r="A223" s="23" t="str" cm="1">
        <f t="array" ca="1" aca="1" ref="A223">IF(INDEX($H:$H,ROW()-1)&lt;&gt;$H223,$E223,"")</f>
        <v/>
      </c>
      <c r="B223" s="71" t="str" cm="1">
        <f t="array" ca="1" aca="1" ref="B223">IF($K223="","",_xlfn.LET(_xlpm._fullName,IF($L223="",SUBSTITUTE(SUBSTITUTE(INDIRECT($K223),CHAR(10)," "),"  "," "),$L223),_xlpm._truncatedName,IF(LEN(_xlpm._fullName)&gt;250,LEFT(_xlpm._fullName,250)&amp;"[…]",_xlpm._fullName),HYPERLINK("#'"&amp;$E223&amp;"'!"&amp;$F223&amp;$G223,_xlpm._truncatedName)))</f>
        <v>Explicit Risk Treatment</v>
      </c>
      <c r="C223" s="13" t="s">
        <v>895</v>
      </c>
      <c r="D223" s="13"/>
      <c r="E223" s="61" t="str">
        <f t="shared" ca="1" si="40"/>
        <v>Annex I 1.2 Report</v>
      </c>
      <c r="F223" s="61" t="str">
        <f t="shared" ca="1" si="41"/>
        <v>E</v>
      </c>
      <c r="G223" s="61" t="str">
        <f t="shared" ca="1" si="42"/>
        <v>2</v>
      </c>
      <c r="H223" s="61" cm="1">
        <f t="array" ca="1" aca="1" ref="H223">CreateID($H$36,$H:$H,$E223&lt;&gt;INDEX($E:$E,ROW()-1))</f>
        <v>15</v>
      </c>
      <c r="I223" s="61" t="str" cm="1">
        <f t="array" ca="1" aca="1" ref="I223">INDIRECT($K223)</f>
        <v>Explicit Risk Treatment</v>
      </c>
      <c r="K223" s="2" t="str" cm="1">
        <f t="array" ca="1" aca="1" ref="K223">CELL("address",OFFSET('Annex I 1.2 Report'!$A$2,0,ROW()-ROW($K$219)))</f>
        <v>'[QuBA-libre.xlsx]Annex I 1.2 Report'!$E$2</v>
      </c>
    </row>
    <row r="224" spans="1:11" ht="15" outlineLevel="1">
      <c r="A224" s="23" t="str" cm="1">
        <f t="array" ca="1" aca="1" ref="A224">IF(INDEX($H:$H,ROW()-1)&lt;&gt;$H224,$E224,"")</f>
        <v/>
      </c>
      <c r="B224" s="71" t="str" cm="1">
        <f t="array" ca="1" aca="1" ref="B224">IF($K224="","",_xlfn.LET(_xlpm._fullName,IF($L224="",SUBSTITUTE(SUBSTITUTE(INDIRECT($K224),CHAR(10)," "),"  "," "),$L224),_xlpm._truncatedName,IF(LEN(_xlpm._fullName)&gt;250,LEFT(_xlpm._fullName,250)&amp;"[…]",_xlpm._fullName),HYPERLINK("#'"&amp;$E224&amp;"'!"&amp;$F224&amp;$G224,_xlpm._truncatedName)))</f>
        <v>Comment</v>
      </c>
      <c r="C224" s="13" t="s">
        <v>809</v>
      </c>
      <c r="D224" s="13"/>
      <c r="E224" s="61" t="str">
        <f t="shared" ca="1" si="40"/>
        <v>Annex I 1.2 Report</v>
      </c>
      <c r="F224" s="61" t="str">
        <f t="shared" ca="1" si="41"/>
        <v>F</v>
      </c>
      <c r="G224" s="61" t="str">
        <f t="shared" ca="1" si="42"/>
        <v>2</v>
      </c>
      <c r="H224" s="61" cm="1">
        <f t="array" ca="1" aca="1" ref="H224">CreateID($H$36,$H:$H,$E224&lt;&gt;INDEX($E:$E,ROW()-1))</f>
        <v>15</v>
      </c>
      <c r="I224" s="61" t="str" cm="1">
        <f t="array" ca="1" aca="1" ref="I224">INDIRECT($K224)</f>
        <v>Comment</v>
      </c>
      <c r="K224" s="2" t="str" cm="1">
        <f t="array" ca="1" aca="1" ref="K224">CELL("address",OFFSET('Annex I 1.2 Report'!$A$2,0,ROW()-ROW($K$219)))</f>
        <v>'[QuBA-libre.xlsx]Annex I 1.2 Report'!$F$2</v>
      </c>
    </row>
    <row r="225" spans="1:11" ht="30">
      <c r="A225" s="23" t="str" cm="1">
        <f t="array" ca="1" aca="1" ref="A225">IF(INDEX($H:$H,ROW()-1)&lt;&gt;$H225,$E225,"")</f>
        <v>Tracing</v>
      </c>
      <c r="B225" s="71" t="str" cm="1">
        <f t="array" ca="1" aca="1" ref="B225">IF($K225="","",_xlfn.LET(_xlpm._fullName,IF($L225="",SUBSTITUTE(SUBSTITUTE(INDIRECT($K225),CHAR(10)," "),"  "," "),$L225),_xlpm._truncatedName,IF(LEN(_xlpm._fullName)&gt;250,LEFT(_xlpm._fullName,250)&amp;"[…]",_xlpm._fullName),HYPERLINK("#'"&amp;$E225&amp;"'!"&amp;$F225&amp;$G225,_xlpm._truncatedName)))</f>
        <v>Catalog import:</v>
      </c>
      <c r="C225" s="13" t="s">
        <v>1409</v>
      </c>
      <c r="D225" s="13" t="s">
        <v>1731</v>
      </c>
      <c r="E225" s="61" t="str">
        <f ca="1" t="shared" si="43" ref="E225:E242">IF($K225="","",_xlfn.LET(_xlpm._in,$K225,_xlpm._start,FIND("]",_xlpm._in)+1,SUBSTITUTE(MID(_xlpm._in,_xlpm._start,FIND("!",_xlpm._in)-_xlpm._start),"'","")))</f>
        <v>Tracing</v>
      </c>
      <c r="F225" s="61" t="str">
        <f ca="1" t="shared" si="44" ref="F225:F242">IF($K225="","",_xlfn.LET(_xlpm._in,SUBSTITUTE($K225,"$","§",1),_xlpm._start,FIND("§",_xlpm._in)+1,SUBSTITUTE(MID(_xlpm._in,_xlpm._start,FIND("$",_xlpm._in)-_xlpm._start),"'","")))</f>
        <v>B</v>
      </c>
      <c r="G225" s="61" t="str">
        <f ca="1" t="shared" si="45" ref="G225:G242">IF($K225="","",RIGHT($K225,LEN($K225)-FIND("$",SUBSTITUTE($K225,"$","§",1))))</f>
        <v>1</v>
      </c>
      <c r="H225" s="61" cm="1">
        <f t="array" ca="1" aca="1" ref="H225">CreateID($H$36,$H:$H,$E225&lt;&gt;INDEX($E:$E,ROW()-1))</f>
        <v>16</v>
      </c>
      <c r="I225" s="61" t="str" cm="1">
        <f t="array" ca="1" aca="1" ref="I225">INDIRECT($K225)</f>
        <v>Catalog import:</v>
      </c>
      <c r="K225" s="2" t="str" cm="1">
        <f t="array" ca="1" aca="1" ref="K225">CELL("address",Tracing!B1)</f>
        <v>'[QuBA-libre.xlsx]Tracing'!$B$1</v>
      </c>
    </row>
    <row r="226" spans="1:11" ht="30">
      <c r="A226" s="23" t="str" cm="1">
        <f t="array" ca="1" aca="1" ref="A226">IF(INDEX($H:$H,ROW()-1)&lt;&gt;$H226,$E226,"")</f>
        <v/>
      </c>
      <c r="B226" s="71" t="str" cm="1">
        <f t="array" ca="1" aca="1" ref="B226">IF($K226="","",_xlfn.LET(_xlpm._fullName,IF($L226="",SUBSTITUTE(SUBSTITUTE(INDIRECT($K226),CHAR(10)," "),"  "," "),$L226),_xlpm._truncatedName,IF(LEN(_xlpm._fullName)&gt;250,LEFT(_xlpm._fullName,250)&amp;"[…]",_xlpm._fullName),HYPERLINK("#'"&amp;$E226&amp;"'!"&amp;$F226&amp;$G226,_xlpm._truncatedName)))</f>
        <v>Not confirmed by import:</v>
      </c>
      <c r="C226" s="13" t="s">
        <v>1415</v>
      </c>
      <c r="D226" s="13"/>
      <c r="E226" s="61" t="str">
        <f ca="1" t="shared" si="46" ref="E226:E227">IF($K226="","",_xlfn.LET(_xlpm._in,$K226,_xlpm._start,FIND("]",_xlpm._in)+1,SUBSTITUTE(MID(_xlpm._in,_xlpm._start,FIND("!",_xlpm._in)-_xlpm._start),"'","")))</f>
        <v>Tracing</v>
      </c>
      <c r="F226" s="61" t="str">
        <f ca="1" t="shared" si="47" ref="F226:F227">IF($K226="","",_xlfn.LET(_xlpm._in,SUBSTITUTE($K226,"$","§",1),_xlpm._start,FIND("§",_xlpm._in)+1,SUBSTITUTE(MID(_xlpm._in,_xlpm._start,FIND("$",_xlpm._in)-_xlpm._start),"'","")))</f>
        <v>B</v>
      </c>
      <c r="G226" s="61" t="str">
        <f ca="1" t="shared" si="48" ref="G226:G227">IF($K226="","",RIGHT($K226,LEN($K226)-FIND("$",SUBSTITUTE($K226,"$","§",1))))</f>
        <v>2</v>
      </c>
      <c r="H226" s="61" cm="1">
        <f t="array" ca="1" aca="1" ref="H226">CreateID($H$36,$H:$H,$E226&lt;&gt;INDEX($E:$E,ROW()-1))</f>
        <v>16</v>
      </c>
      <c r="I226" s="61" t="str" cm="1">
        <f t="array" ca="1" aca="1" ref="I226">INDIRECT($K226)</f>
        <v>Not confirmed by import:</v>
      </c>
      <c r="K226" s="2" t="str" cm="1">
        <f t="array" ca="1" aca="1" ref="K226">CELL("address",Tracing!B2)</f>
        <v>'[QuBA-libre.xlsx]Tracing'!$B$2</v>
      </c>
    </row>
    <row r="227" spans="1:11" ht="30">
      <c r="A227" s="23" t="str" cm="1">
        <f t="array" ca="1" aca="1" ref="A227">IF(INDEX($H:$H,ROW()-1)&lt;&gt;$H227,$E227,"")</f>
        <v/>
      </c>
      <c r="B227" s="71" t="str" cm="1">
        <f t="array" ca="1" aca="1" ref="B227">IF($K227="","",_xlfn.LET(_xlpm._fullName,IF($L227="",SUBSTITUTE(SUBSTITUTE(INDIRECT($K227),CHAR(10)," "),"  "," "),$L227),_xlpm._truncatedName,IF(LEN(_xlpm._fullName)&gt;250,LEFT(_xlpm._fullName,250)&amp;"[…]",_xlpm._fullName),HYPERLINK("#'"&amp;$E227&amp;"'!"&amp;$F227&amp;$G227,_xlpm._truncatedName)))</f>
        <v>Confirm:</v>
      </c>
      <c r="C227" s="13" t="s">
        <v>1438</v>
      </c>
      <c r="D227" s="13" t="s">
        <v>1416</v>
      </c>
      <c r="E227" s="61" t="str">
        <f t="shared" ca="1" si="46"/>
        <v>Tracing</v>
      </c>
      <c r="F227" s="61" t="str">
        <f t="shared" ca="1" si="47"/>
        <v>B</v>
      </c>
      <c r="G227" s="61" t="str">
        <f t="shared" ca="1" si="48"/>
        <v>3</v>
      </c>
      <c r="H227" s="61" cm="1">
        <f t="array" ca="1" aca="1" ref="H227">CreateID($H$36,$H:$H,$E227&lt;&gt;INDEX($E:$E,ROW()-1))</f>
        <v>16</v>
      </c>
      <c r="I227" s="61" t="str" cm="1">
        <f t="array" ca="1" aca="1" ref="I227">INDIRECT($K227)</f>
        <v>Confirm:</v>
      </c>
      <c r="K227" s="2" t="str" cm="1">
        <f t="array" ca="1" aca="1" ref="K227">CELL("address",Tracing!B3)</f>
        <v>'[QuBA-libre.xlsx]Tracing'!$B$3</v>
      </c>
    </row>
    <row r="228" spans="1:11" ht="30" outlineLevel="1">
      <c r="A228" s="23" t="str" cm="1">
        <f t="array" ca="1" aca="1" ref="A228">IF(INDEX($H:$H,ROW()-1)&lt;&gt;$H228,$E228,"")</f>
        <v/>
      </c>
      <c r="B228" s="71" t="str" cm="1">
        <f t="array" ca="1" aca="1" ref="B228">IF($K228="","",_xlfn.LET(_xlpm._fullName,IF($L228="",SUBSTITUTE(SUBSTITUTE(INDIRECT($K228),CHAR(10)," "),"  "," "),$L228),_xlpm._truncatedName,IF(LEN(_xlpm._fullName)&gt;250,LEFT(_xlpm._fullName,250)&amp;"[…]",_xlpm._fullName),HYPERLINK("#'"&amp;$E228&amp;"'!"&amp;$F228&amp;$G228,_xlpm._truncatedName)))</f>
        <v>R ID</v>
      </c>
      <c r="C228" s="13" t="s">
        <v>1410</v>
      </c>
      <c r="D228" s="13"/>
      <c r="E228" s="61" t="str">
        <f t="shared" ca="1" si="43"/>
        <v>Tracing</v>
      </c>
      <c r="F228" s="61" t="str">
        <f t="shared" ca="1" si="44"/>
        <v>B</v>
      </c>
      <c r="G228" s="61" t="str">
        <f t="shared" ca="1" si="45"/>
        <v>5</v>
      </c>
      <c r="H228" s="61" cm="1">
        <f t="array" ca="1" aca="1" ref="H228">CreateID($H$36,$H:$H,$E228&lt;&gt;INDEX($E:$E,ROW()-1))</f>
        <v>16</v>
      </c>
      <c r="I228" s="61" t="str" cm="1">
        <f t="array" ca="1" aca="1" ref="I228">INDIRECT($K228)</f>
        <v>R ID</v>
      </c>
      <c r="K228" s="2" t="str" cm="1">
        <f t="array" ca="1" aca="1" ref="K228">CELL("address",OFFSET(Tracing!$B$5,0,ROW()-ROW($K$228)))</f>
        <v>'[QuBA-libre.xlsx]Tracing'!$B$5</v>
      </c>
    </row>
    <row r="229" spans="1:11" ht="30" outlineLevel="1">
      <c r="A229" s="23" t="str" cm="1">
        <f t="array" ca="1" aca="1" ref="A229">IF(INDEX($H:$H,ROW()-1)&lt;&gt;$H229,$E229,"")</f>
        <v/>
      </c>
      <c r="B229" s="71" t="str" cm="1">
        <f t="array" ca="1" aca="1" ref="B229">IF($K229="","",_xlfn.LET(_xlpm._fullName,IF($L229="",SUBSTITUTE(SUBSTITUTE(INDIRECT($K229),CHAR(10)," "),"  "," "),$L229),_xlpm._truncatedName,IF(LEN(_xlpm._fullName)&gt;250,LEFT(_xlpm._fullName,250)&amp;"[…]",_xlpm._fullName),HYPERLINK("#'"&amp;$E229&amp;"'!"&amp;$F229&amp;$G229,_xlpm._truncatedName)))</f>
        <v>Attack Path</v>
      </c>
      <c r="C229" s="13" t="s">
        <v>867</v>
      </c>
      <c r="D229" s="13"/>
      <c r="E229" s="61" t="str">
        <f t="shared" ca="1" si="43"/>
        <v>Tracing</v>
      </c>
      <c r="F229" s="61" t="str">
        <f t="shared" ca="1" si="44"/>
        <v>C</v>
      </c>
      <c r="G229" s="61" t="str">
        <f t="shared" ca="1" si="45"/>
        <v>5</v>
      </c>
      <c r="H229" s="61" cm="1">
        <f t="array" ca="1" aca="1" ref="H229">CreateID($H$36,$H:$H,$E229&lt;&gt;INDEX($E:$E,ROW()-1))</f>
        <v>16</v>
      </c>
      <c r="I229" s="61" t="str" cm="1">
        <f t="array" ca="1" aca="1" ref="I229">INDIRECT($K229)</f>
        <v>Attack Path</v>
      </c>
      <c r="K229" s="2" t="str" cm="1">
        <f t="array" ca="1" aca="1" ref="K229">CELL("address",OFFSET(Tracing!$B$5,0,ROW()-ROW($K$228)))</f>
        <v>'[QuBA-libre.xlsx]Tracing'!$C$5</v>
      </c>
    </row>
    <row r="230" spans="1:11" ht="45" outlineLevel="1">
      <c r="A230" s="23" t="str" cm="1">
        <f t="array" ca="1" aca="1" ref="A230">IF(INDEX($H:$H,ROW()-1)&lt;&gt;$H230,$E230,"")</f>
        <v/>
      </c>
      <c r="B230" s="71" t="str" cm="1">
        <f t="array" ca="1" aca="1" ref="B230">IF($K230="","",_xlfn.LET(_xlpm._fullName,IF($L230="",SUBSTITUTE(SUBSTITUTE(INDIRECT($K230),CHAR(10)," "),"  "," "),$L230),_xlpm._truncatedName,IF(LEN(_xlpm._fullName)&gt;250,LEFT(_xlpm._fullName,250)&amp;"[…]",_xlpm._fullName),HYPERLINK("#'"&amp;$E230&amp;"'!"&amp;$F230&amp;$G230,_xlpm._truncatedName)))</f>
        <v>Damage Scenarios</v>
      </c>
      <c r="C230" s="13" t="s">
        <v>1417</v>
      </c>
      <c r="D230" s="13"/>
      <c r="E230" s="61" t="str">
        <f t="shared" ca="1" si="43"/>
        <v>Tracing</v>
      </c>
      <c r="F230" s="61" t="str">
        <f t="shared" ca="1" si="44"/>
        <v>D</v>
      </c>
      <c r="G230" s="61" t="str">
        <f t="shared" ca="1" si="45"/>
        <v>5</v>
      </c>
      <c r="H230" s="61" cm="1">
        <f t="array" ca="1" aca="1" ref="H230">CreateID($H$36,$H:$H,$E230&lt;&gt;INDEX($E:$E,ROW()-1))</f>
        <v>16</v>
      </c>
      <c r="I230" s="61" t="str" cm="1">
        <f t="array" ca="1" aca="1" ref="I230">INDIRECT($K230)</f>
        <v>Damage Scenarios</v>
      </c>
      <c r="K230" s="2" t="str" cm="1">
        <f t="array" ca="1" aca="1" ref="K230">CELL("address",OFFSET(Tracing!$B$5,0,ROW()-ROW($K$228)))</f>
        <v>'[QuBA-libre.xlsx]Tracing'!$D$5</v>
      </c>
    </row>
    <row r="231" spans="1:11" ht="30" outlineLevel="1">
      <c r="A231" s="23" t="str" cm="1">
        <f t="array" ca="1" aca="1" ref="A231">IF(INDEX($H:$H,ROW()-1)&lt;&gt;$H231,$E231,"")</f>
        <v/>
      </c>
      <c r="B231" s="71" t="str" cm="1">
        <f t="array" ca="1" aca="1" ref="B231">IF($K231="","",_xlfn.LET(_xlpm._fullName,IF($L231="",SUBSTITUTE(SUBSTITUTE(INDIRECT($K231),CHAR(10)," "),"  "," "),$L231),_xlpm._truncatedName,IF(LEN(_xlpm._fullName)&gt;250,LEFT(_xlpm._fullName,250)&amp;"[…]",_xlpm._fullName),HYPERLINK("#'"&amp;$E231&amp;"'!"&amp;$F231&amp;$G231,_xlpm._truncatedName)))</f>
        <v>Damage Level</v>
      </c>
      <c r="C231" s="13" t="s">
        <v>875</v>
      </c>
      <c r="D231" s="13"/>
      <c r="E231" s="61" t="str">
        <f t="shared" ca="1" si="43"/>
        <v>Tracing</v>
      </c>
      <c r="F231" s="61" t="str">
        <f t="shared" ca="1" si="44"/>
        <v>E</v>
      </c>
      <c r="G231" s="61" t="str">
        <f t="shared" ca="1" si="45"/>
        <v>5</v>
      </c>
      <c r="H231" s="61" cm="1">
        <f t="array" ca="1" aca="1" ref="H231">CreateID($H$36,$H:$H,$E231&lt;&gt;INDEX($E:$E,ROW()-1))</f>
        <v>16</v>
      </c>
      <c r="I231" s="61" t="str" cm="1">
        <f t="array" ca="1" aca="1" ref="I231">INDIRECT($K231)</f>
        <v>Damage Level</v>
      </c>
      <c r="K231" s="2" t="str" cm="1">
        <f t="array" ca="1" aca="1" ref="K231">CELL("address",OFFSET(Tracing!$B$5,0,ROW()-ROW($K$228)))</f>
        <v>'[QuBA-libre.xlsx]Tracing'!$E$5</v>
      </c>
    </row>
    <row r="232" spans="1:11" ht="30" outlineLevel="1">
      <c r="A232" s="23" t="str" cm="1">
        <f t="array" ca="1" aca="1" ref="A232">IF(INDEX($H:$H,ROW()-1)&lt;&gt;$H232,$E232,"")</f>
        <v/>
      </c>
      <c r="B232" s="71" t="str" cm="1">
        <f t="array" ca="1" aca="1" ref="B232">IF($K232="","",_xlfn.LET(_xlpm._fullName,IF($L232="",SUBSTITUTE(SUBSTITUTE(INDIRECT($K232),CHAR(10)," "),"  "," "),$L232),_xlpm._truncatedName,IF(LEN(_xlpm._fullName)&gt;250,LEFT(_xlpm._fullName,250)&amp;"[…]",_xlpm._fullName),HYPERLINK("#'"&amp;$E232&amp;"'!"&amp;$F232&amp;$G232,_xlpm._truncatedName)))</f>
        <v xml:space="preserve">Factor Explanation </v>
      </c>
      <c r="C232" s="13" t="s">
        <v>1418</v>
      </c>
      <c r="D232" s="13"/>
      <c r="E232" s="61" t="str">
        <f t="shared" ca="1" si="43"/>
        <v>Tracing</v>
      </c>
      <c r="F232" s="61" t="str">
        <f t="shared" ca="1" si="44"/>
        <v>F</v>
      </c>
      <c r="G232" s="61" t="str">
        <f t="shared" ca="1" si="45"/>
        <v>5</v>
      </c>
      <c r="H232" s="61" cm="1">
        <f t="array" ca="1" aca="1" ref="H232">CreateID($H$36,$H:$H,$E232&lt;&gt;INDEX($E:$E,ROW()-1))</f>
        <v>16</v>
      </c>
      <c r="I232" s="61" t="str" cm="1">
        <f t="array" ca="1" aca="1" ref="I232">INDIRECT($K232)</f>
        <v xml:space="preserve">Factor Explanation </v>
      </c>
      <c r="K232" s="2" t="str" cm="1">
        <f t="array" ca="1" aca="1" ref="K232">CELL("address",OFFSET(Tracing!$B$5,0,ROW()-ROW($K$228)))</f>
        <v>'[QuBA-libre.xlsx]Tracing'!$F$5</v>
      </c>
    </row>
    <row r="233" spans="1:11" ht="30" outlineLevel="1">
      <c r="A233" s="23" t="str" cm="1">
        <f t="array" ca="1" aca="1" ref="A233">IF(INDEX($H:$H,ROW()-1)&lt;&gt;$H233,$E233,"")</f>
        <v/>
      </c>
      <c r="B233" s="71" t="str" cm="1">
        <f t="array" ca="1" aca="1" ref="B233">IF($K233="","",_xlfn.LET(_xlpm._fullName,IF($L233="",SUBSTITUTE(SUBSTITUTE(INDIRECT($K233),CHAR(10)," "),"  "," "),$L233),_xlpm._truncatedName,IF(LEN(_xlpm._fullName)&gt;250,LEFT(_xlpm._fullName,250)&amp;"[…]",_xlpm._fullName),HYPERLINK("#'"&amp;$E233&amp;"'!"&amp;$F233&amp;$G233,_xlpm._truncatedName)))</f>
        <v>RAP</v>
      </c>
      <c r="C233" s="13" t="s">
        <v>1419</v>
      </c>
      <c r="D233" s="13"/>
      <c r="E233" s="61" t="str">
        <f t="shared" ca="1" si="43"/>
        <v>Tracing</v>
      </c>
      <c r="F233" s="61" t="str">
        <f t="shared" ca="1" si="44"/>
        <v>G</v>
      </c>
      <c r="G233" s="61" t="str">
        <f t="shared" ca="1" si="45"/>
        <v>5</v>
      </c>
      <c r="H233" s="61" cm="1">
        <f t="array" ca="1" aca="1" ref="H233">CreateID($H$36,$H:$H,$E233&lt;&gt;INDEX($E:$E,ROW()-1))</f>
        <v>16</v>
      </c>
      <c r="I233" s="61" t="str" cm="1">
        <f t="array" ca="1" aca="1" ref="I233">INDIRECT($K233)</f>
        <v>RAP</v>
      </c>
      <c r="K233" s="2" t="str" cm="1">
        <f t="array" ca="1" aca="1" ref="K233">CELL("address",OFFSET(Tracing!$B$5,0,ROW()-ROW($K$228)))</f>
        <v>'[QuBA-libre.xlsx]Tracing'!$G$5</v>
      </c>
    </row>
    <row r="234" spans="1:11" ht="15" outlineLevel="1">
      <c r="A234" s="23" t="str" cm="1">
        <f t="array" ca="1" aca="1" ref="A234">IF(INDEX($H:$H,ROW()-1)&lt;&gt;$H234,$E234,"")</f>
        <v/>
      </c>
      <c r="B234" s="71" t="str" cm="1">
        <f t="array" ca="1" aca="1" ref="B234">IF($K234="","",_xlfn.LET(_xlpm._fullName,IF($L234="",SUBSTITUTE(SUBSTITUTE(INDIRECT($K234),CHAR(10)," "),"  "," "),$L234),_xlpm._truncatedName,IF(LEN(_xlpm._fullName)&gt;250,LEFT(_xlpm._fullName,250)&amp;"[…]",_xlpm._fullName),HYPERLINK("#'"&amp;$E234&amp;"'!"&amp;$F234&amp;$G234,_xlpm._truncatedName)))</f>
        <v>Planned Countermeasures and Assumptions</v>
      </c>
      <c r="C234" s="13" t="s">
        <v>1422</v>
      </c>
      <c r="D234" s="13"/>
      <c r="E234" s="61" t="str">
        <f t="shared" ca="1" si="43"/>
        <v>Tracing</v>
      </c>
      <c r="F234" s="61" t="str">
        <f t="shared" ca="1" si="44"/>
        <v>H</v>
      </c>
      <c r="G234" s="61" t="str">
        <f t="shared" ca="1" si="45"/>
        <v>5</v>
      </c>
      <c r="H234" s="61" cm="1">
        <f t="array" ca="1" aca="1" ref="H234">CreateID($H$36,$H:$H,$E234&lt;&gt;INDEX($E:$E,ROW()-1))</f>
        <v>16</v>
      </c>
      <c r="I234" s="61" t="str" cm="1">
        <f t="array" ca="1" aca="1" ref="I234">INDIRECT($K234)</f>
        <v>Planned Countermeasures and Assumptions</v>
      </c>
      <c r="K234" s="2" t="str" cm="1">
        <f t="array" ca="1" aca="1" ref="K234">CELL("address",OFFSET(Tracing!$B$5,0,ROW()-ROW($K$228)))</f>
        <v>'[QuBA-libre.xlsx]Tracing'!$H$5</v>
      </c>
    </row>
    <row r="235" spans="1:11" ht="45" outlineLevel="1">
      <c r="A235" s="23" t="str" cm="1">
        <f t="array" ca="1" aca="1" ref="A235">IF(INDEX($H:$H,ROW()-1)&lt;&gt;$H235,$E235,"")</f>
        <v/>
      </c>
      <c r="B235" s="71" t="str" cm="1">
        <f t="array" ca="1" aca="1" ref="B235">IF($K235="","",_xlfn.LET(_xlpm._fullName,IF($L235="",SUBSTITUTE(SUBSTITUTE(INDIRECT($K235),CHAR(10)," "),"  "," "),$L235),_xlpm._truncatedName,IF(LEN(_xlpm._fullName)&gt;250,LEFT(_xlpm._fullName,250)&amp;"[…]",_xlpm._fullName),HYPERLINK("#'"&amp;$E235&amp;"'!"&amp;$F235&amp;$G235,_xlpm._truncatedName)))</f>
        <v>Risk Level (Planned)</v>
      </c>
      <c r="C235" s="13" t="s">
        <v>1420</v>
      </c>
      <c r="D235" s="13"/>
      <c r="E235" s="61" t="str">
        <f t="shared" ca="1" si="43"/>
        <v>Tracing</v>
      </c>
      <c r="F235" s="61" t="str">
        <f t="shared" ca="1" si="44"/>
        <v>I</v>
      </c>
      <c r="G235" s="61" t="str">
        <f t="shared" ca="1" si="45"/>
        <v>5</v>
      </c>
      <c r="H235" s="61" cm="1">
        <f t="array" ca="1" aca="1" ref="H235">CreateID($H$36,$H:$H,$E235&lt;&gt;INDEX($E:$E,ROW()-1))</f>
        <v>16</v>
      </c>
      <c r="I235" s="61" t="str" cm="1">
        <f t="array" ca="1" aca="1" ref="I235">INDIRECT($K235)</f>
        <v>Risk Level
(Planned)</v>
      </c>
      <c r="K235" s="2" t="str" cm="1">
        <f t="array" ca="1" aca="1" ref="K235">CELL("address",OFFSET(Tracing!$B$5,0,ROW()-ROW($K$228)))</f>
        <v>'[QuBA-libre.xlsx]Tracing'!$I$5</v>
      </c>
    </row>
    <row r="236" spans="1:11" ht="30" outlineLevel="1">
      <c r="A236" s="23" t="str" cm="1">
        <f t="array" ca="1" aca="1" ref="A236">IF(INDEX($H:$H,ROW()-1)&lt;&gt;$H236,$E236,"")</f>
        <v/>
      </c>
      <c r="B236" s="71" t="str" cm="1">
        <f t="array" ca="1" aca="1" ref="B236">IF($K236="","",_xlfn.LET(_xlpm._fullName,IF($L236="",SUBSTITUTE(SUBSTITUTE(INDIRECT($K236),CHAR(10)," "),"  "," "),$L236),_xlpm._truncatedName,IF(LEN(_xlpm._fullName)&gt;250,LEFT(_xlpm._fullName,250)&amp;"[…]",_xlpm._fullName),HYPERLINK("#'"&amp;$E236&amp;"'!"&amp;$F236&amp;$G236,_xlpm._truncatedName)))</f>
        <v>Confirmed Countermeasures and Assumptions</v>
      </c>
      <c r="C236" s="13" t="s">
        <v>1423</v>
      </c>
      <c r="D236" s="13" t="s">
        <v>1424</v>
      </c>
      <c r="E236" s="61" t="str">
        <f t="shared" ca="1" si="43"/>
        <v>Tracing</v>
      </c>
      <c r="F236" s="61" t="str">
        <f t="shared" ca="1" si="44"/>
        <v>J</v>
      </c>
      <c r="G236" s="61" t="str">
        <f t="shared" ca="1" si="45"/>
        <v>5</v>
      </c>
      <c r="H236" s="61" cm="1">
        <f t="array" ca="1" aca="1" ref="H236">CreateID($H$36,$H:$H,$E236&lt;&gt;INDEX($E:$E,ROW()-1))</f>
        <v>16</v>
      </c>
      <c r="I236" s="61" t="str" cm="1">
        <f t="array" ca="1" aca="1" ref="I236">INDIRECT($K236)</f>
        <v>Confirmed Countermeasures and Assumptions</v>
      </c>
      <c r="K236" s="2" t="str" cm="1">
        <f t="array" ca="1" aca="1" ref="K236">CELL("address",OFFSET(Tracing!$B$5,0,ROW()-ROW($K$228)))</f>
        <v>'[QuBA-libre.xlsx]Tracing'!$J$5</v>
      </c>
    </row>
    <row r="237" spans="1:11" ht="45" outlineLevel="1">
      <c r="A237" s="23" t="str" cm="1">
        <f t="array" ca="1" aca="1" ref="A237">IF(INDEX($H:$H,ROW()-1)&lt;&gt;$H237,$E237,"")</f>
        <v/>
      </c>
      <c r="B237" s="71" t="str" cm="1">
        <f t="array" ca="1" aca="1" ref="B237">IF($K237="","",_xlfn.LET(_xlpm._fullName,IF($L237="",SUBSTITUTE(SUBSTITUTE(INDIRECT($K237),CHAR(10)," "),"  "," "),$L237),_xlpm._truncatedName,IF(LEN(_xlpm._fullName)&gt;250,LEFT(_xlpm._fullName,250)&amp;"[…]",_xlpm._fullName),HYPERLINK("#'"&amp;$E237&amp;"'!"&amp;$F237&amp;$G237,_xlpm._truncatedName)))</f>
        <v xml:space="preserve">Damage Scenarios </v>
      </c>
      <c r="C237" s="13" t="s">
        <v>1425</v>
      </c>
      <c r="D237" s="13"/>
      <c r="E237" s="61" t="str">
        <f t="shared" ca="1" si="43"/>
        <v>Tracing</v>
      </c>
      <c r="F237" s="61" t="str">
        <f t="shared" ca="1" si="44"/>
        <v>K</v>
      </c>
      <c r="G237" s="61" t="str">
        <f t="shared" ca="1" si="45"/>
        <v>5</v>
      </c>
      <c r="H237" s="61" cm="1">
        <f t="array" ca="1" aca="1" ref="H237">CreateID($H$36,$H:$H,$E237&lt;&gt;INDEX($E:$E,ROW()-1))</f>
        <v>16</v>
      </c>
      <c r="I237" s="61" t="str" cm="1">
        <f t="array" ca="1" aca="1" ref="I237">INDIRECT($K237)</f>
        <v xml:space="preserve">Damage Scenarios </v>
      </c>
      <c r="K237" s="2" t="str" cm="1">
        <f t="array" ca="1" aca="1" ref="K237">CELL("address",OFFSET(Tracing!$B$5,0,ROW()-ROW($K$228)))</f>
        <v>'[QuBA-libre.xlsx]Tracing'!$K$5</v>
      </c>
    </row>
    <row r="238" spans="1:11" ht="30" outlineLevel="1">
      <c r="A238" s="23" t="str" cm="1">
        <f t="array" ca="1" aca="1" ref="A238">IF(INDEX($H:$H,ROW()-1)&lt;&gt;$H238,$E238,"")</f>
        <v/>
      </c>
      <c r="B238" s="71" t="str" cm="1">
        <f t="array" ca="1" aca="1" ref="B238">IF($K238="","",_xlfn.LET(_xlpm._fullName,IF($L238="",SUBSTITUTE(SUBSTITUTE(INDIRECT($K238),CHAR(10)," "),"  "," "),$L238),_xlpm._truncatedName,IF(LEN(_xlpm._fullName)&gt;250,LEFT(_xlpm._fullName,250)&amp;"[…]",_xlpm._fullName),HYPERLINK("#'"&amp;$E238&amp;"'!"&amp;$F238&amp;$G238,_xlpm._truncatedName)))</f>
        <v xml:space="preserve">Damage Level </v>
      </c>
      <c r="C238" s="13" t="s">
        <v>875</v>
      </c>
      <c r="D238" s="13"/>
      <c r="E238" s="61" t="str">
        <f t="shared" ca="1" si="43"/>
        <v>Tracing</v>
      </c>
      <c r="F238" s="61" t="str">
        <f t="shared" ca="1" si="44"/>
        <v>L</v>
      </c>
      <c r="G238" s="61" t="str">
        <f t="shared" ca="1" si="45"/>
        <v>5</v>
      </c>
      <c r="H238" s="61" cm="1">
        <f t="array" ca="1" aca="1" ref="H238">CreateID($H$36,$H:$H,$E238&lt;&gt;INDEX($E:$E,ROW()-1))</f>
        <v>16</v>
      </c>
      <c r="I238" s="61" t="str" cm="1">
        <f t="array" ca="1" aca="1" ref="I238">INDIRECT($K238)</f>
        <v xml:space="preserve">Damage Level </v>
      </c>
      <c r="K238" s="2" t="str" cm="1">
        <f t="array" ca="1" aca="1" ref="K238">CELL("address",OFFSET(Tracing!$B$5,0,ROW()-ROW($K$228)))</f>
        <v>'[QuBA-libre.xlsx]Tracing'!$L$5</v>
      </c>
    </row>
    <row r="239" spans="1:11" ht="30" outlineLevel="1">
      <c r="A239" s="23" t="str" cm="1">
        <f t="array" ca="1" aca="1" ref="A239">IF(INDEX($H:$H,ROW()-1)&lt;&gt;$H239,$E239,"")</f>
        <v/>
      </c>
      <c r="B239" s="71" t="str" cm="1">
        <f t="array" ca="1" aca="1" ref="B239">IF($K239="","",_xlfn.LET(_xlpm._fullName,IF($L239="",SUBSTITUTE(SUBSTITUTE(INDIRECT($K239),CHAR(10)," "),"  "," "),$L239),_xlpm._truncatedName,IF(LEN(_xlpm._fullName)&gt;250,LEFT(_xlpm._fullName,250)&amp;"[…]",_xlpm._fullName),HYPERLINK("#'"&amp;$E239&amp;"'!"&amp;$F239&amp;$G239,_xlpm._truncatedName)))</f>
        <v>Factor Explanation</v>
      </c>
      <c r="C239" s="13" t="s">
        <v>1426</v>
      </c>
      <c r="D239" s="13"/>
      <c r="E239" s="61" t="str">
        <f t="shared" ca="1" si="43"/>
        <v>Tracing</v>
      </c>
      <c r="F239" s="61" t="str">
        <f t="shared" ca="1" si="44"/>
        <v>M</v>
      </c>
      <c r="G239" s="61" t="str">
        <f t="shared" ca="1" si="45"/>
        <v>5</v>
      </c>
      <c r="H239" s="61" cm="1">
        <f t="array" ca="1" aca="1" ref="H239">CreateID($H$36,$H:$H,$E239&lt;&gt;INDEX($E:$E,ROW()-1))</f>
        <v>16</v>
      </c>
      <c r="I239" s="61" t="str" cm="1">
        <f t="array" ca="1" aca="1" ref="I239">INDIRECT($K239)</f>
        <v>Factor Explanation</v>
      </c>
      <c r="K239" s="2" t="str" cm="1">
        <f t="array" ca="1" aca="1" ref="K239">CELL("address",OFFSET(Tracing!$B$5,0,ROW()-ROW($K$228)))</f>
        <v>'[QuBA-libre.xlsx]Tracing'!$M$5</v>
      </c>
    </row>
    <row r="240" spans="1:11" ht="30" outlineLevel="1">
      <c r="A240" s="23" t="str" cm="1">
        <f t="array" ca="1" aca="1" ref="A240">IF(INDEX($H:$H,ROW()-1)&lt;&gt;$H240,$E240,"")</f>
        <v/>
      </c>
      <c r="B240" s="71" t="str" cm="1">
        <f t="array" ca="1" aca="1" ref="B240">IF($K240="","",_xlfn.LET(_xlpm._fullName,IF($L240="",SUBSTITUTE(SUBSTITUTE(INDIRECT($K240),CHAR(10)," "),"  "," "),$L240),_xlpm._truncatedName,IF(LEN(_xlpm._fullName)&gt;250,LEFT(_xlpm._fullName,250)&amp;"[…]",_xlpm._fullName),HYPERLINK("#'"&amp;$E240&amp;"'!"&amp;$F240&amp;$G240,_xlpm._truncatedName)))</f>
        <v xml:space="preserve">RAP </v>
      </c>
      <c r="C240" s="13" t="s">
        <v>1427</v>
      </c>
      <c r="D240" s="13"/>
      <c r="E240" s="61" t="str">
        <f t="shared" ca="1" si="43"/>
        <v>Tracing</v>
      </c>
      <c r="F240" s="61" t="str">
        <f t="shared" ca="1" si="44"/>
        <v>N</v>
      </c>
      <c r="G240" s="61" t="str">
        <f t="shared" ca="1" si="45"/>
        <v>5</v>
      </c>
      <c r="H240" s="61" cm="1">
        <f t="array" ca="1" aca="1" ref="H240">CreateID($H$36,$H:$H,$E240&lt;&gt;INDEX($E:$E,ROW()-1))</f>
        <v>16</v>
      </c>
      <c r="I240" s="61" t="str" cm="1">
        <f t="array" ca="1" aca="1" ref="I240">INDIRECT($K240)</f>
        <v xml:space="preserve">RAP </v>
      </c>
      <c r="K240" s="2" t="str" cm="1">
        <f t="array" ca="1" aca="1" ref="K240">CELL("address",OFFSET(Tracing!$B$5,0,ROW()-ROW($K$228)))</f>
        <v>'[QuBA-libre.xlsx]Tracing'!$N$5</v>
      </c>
    </row>
    <row r="241" spans="1:11" ht="45" outlineLevel="1">
      <c r="A241" s="23" t="str" cm="1">
        <f t="array" ca="1" aca="1" ref="A241">IF(INDEX($H:$H,ROW()-1)&lt;&gt;$H241,$E241,"")</f>
        <v/>
      </c>
      <c r="B241" s="71" t="str" cm="1">
        <f t="array" ca="1" aca="1" ref="B241">IF($K241="","",_xlfn.LET(_xlpm._fullName,IF($L241="",SUBSTITUTE(SUBSTITUTE(INDIRECT($K241),CHAR(10)," "),"  "," "),$L241),_xlpm._truncatedName,IF(LEN(_xlpm._fullName)&gt;250,LEFT(_xlpm._fullName,250)&amp;"[…]",_xlpm._fullName),HYPERLINK("#'"&amp;$E241&amp;"'!"&amp;$F241&amp;$G241,_xlpm._truncatedName)))</f>
        <v xml:space="preserve">Remaining Risk Level </v>
      </c>
      <c r="C241" s="13" t="s">
        <v>1421</v>
      </c>
      <c r="D241" s="13"/>
      <c r="E241" s="61" t="str">
        <f t="shared" ca="1" si="43"/>
        <v>Tracing</v>
      </c>
      <c r="F241" s="61" t="str">
        <f t="shared" ca="1" si="44"/>
        <v>O</v>
      </c>
      <c r="G241" s="61" t="str">
        <f t="shared" ca="1" si="45"/>
        <v>5</v>
      </c>
      <c r="H241" s="61" cm="1">
        <f t="array" ca="1" aca="1" ref="H241">CreateID($H$36,$H:$H,$E241&lt;&gt;INDEX($E:$E,ROW()-1))</f>
        <v>16</v>
      </c>
      <c r="I241" s="61" t="str" cm="1">
        <f t="array" ca="1" aca="1" ref="I241">INDIRECT($K241)</f>
        <v xml:space="preserve">Remaining Risk Level </v>
      </c>
      <c r="K241" s="2" t="str" cm="1">
        <f t="array" ca="1" aca="1" ref="K241">CELL("address",OFFSET(Tracing!$B$5,0,ROW()-ROW($K$228)))</f>
        <v>'[QuBA-libre.xlsx]Tracing'!$O$5</v>
      </c>
    </row>
    <row r="242" spans="1:11" ht="30" outlineLevel="1">
      <c r="A242" s="23" t="str" cm="1">
        <f t="array" ca="1" aca="1" ref="A242">IF(INDEX($H:$H,ROW()-1)&lt;&gt;$H242,$E242,"")</f>
        <v/>
      </c>
      <c r="B242" s="71" t="str" cm="1">
        <f t="array" ca="1" aca="1" ref="B242">IF($K242="","",_xlfn.LET(_xlpm._fullName,IF($L242="",SUBSTITUTE(SUBSTITUTE(INDIRECT($K242),CHAR(10)," "),"  "," "),$L242),_xlpm._truncatedName,IF(LEN(_xlpm._fullName)&gt;250,LEFT(_xlpm._fullName,250)&amp;"[…]",_xlpm._fullName),HYPERLINK("#'"&amp;$E242&amp;"'!"&amp;$F242&amp;$G242,_xlpm._truncatedName)))</f>
        <v>Risk Treatment Proposal</v>
      </c>
      <c r="C242" s="13" t="s">
        <v>878</v>
      </c>
      <c r="D242" s="13"/>
      <c r="E242" s="61" t="str">
        <f t="shared" ca="1" si="43"/>
        <v>Tracing</v>
      </c>
      <c r="F242" s="61" t="str">
        <f t="shared" ca="1" si="44"/>
        <v>P</v>
      </c>
      <c r="G242" s="61" t="str">
        <f t="shared" ca="1" si="45"/>
        <v>5</v>
      </c>
      <c r="H242" s="61" cm="1">
        <f t="array" ca="1" aca="1" ref="H242">CreateID($H$36,$H:$H,$E242&lt;&gt;INDEX($E:$E,ROW()-1))</f>
        <v>16</v>
      </c>
      <c r="I242" s="61" t="str" cm="1">
        <f t="array" ca="1" aca="1" ref="I242">INDIRECT($K242)</f>
        <v>Risk Treatment Proposal</v>
      </c>
      <c r="K242" s="2" t="str" cm="1">
        <f t="array" ca="1" aca="1" ref="K242">CELL("address",OFFSET(Tracing!$B$5,0,ROW()-ROW($K$228)))</f>
        <v>'[QuBA-libre.xlsx]Tracing'!$P$5</v>
      </c>
    </row>
    <row r="243" spans="1:11" ht="60" outlineLevel="1">
      <c r="A243" s="23" t="str" cm="1">
        <f t="array" ca="1" aca="1" ref="A243">IF(INDEX($H:$H,ROW()-1)&lt;&gt;$H243,$E243,"")</f>
        <v/>
      </c>
      <c r="B243" s="71" t="str" cm="1">
        <f t="array" ca="1" aca="1" ref="B243">IF($K243="","",_xlfn.LET(_xlpm._fullName,IF($L243="",SUBSTITUTE(SUBSTITUTE(INDIRECT($K243),CHAR(10)," "),"  "," "),$L243),_xlpm._truncatedName,IF(LEN(_xlpm._fullName)&gt;250,LEFT(_xlpm._fullName,250)&amp;"[…]",_xlpm._fullName),HYPERLINK("#'"&amp;$E243&amp;"'!"&amp;$F243&amp;$G243,_xlpm._truncatedName)))</f>
        <v>Manual Risk Treatment</v>
      </c>
      <c r="C243" s="13" t="s">
        <v>879</v>
      </c>
      <c r="D243" s="13"/>
      <c r="E243" s="61" t="str">
        <f ca="1" t="shared" si="49" ref="E243:E245">IF($K243="","",_xlfn.LET(_xlpm._in,$K243,_xlpm._start,FIND("]",_xlpm._in)+1,SUBSTITUTE(MID(_xlpm._in,_xlpm._start,FIND("!",_xlpm._in)-_xlpm._start),"'","")))</f>
        <v>Tracing</v>
      </c>
      <c r="F243" s="61" t="str">
        <f ca="1" t="shared" si="50" ref="F243:F245">IF($K243="","",_xlfn.LET(_xlpm._in,SUBSTITUTE($K243,"$","§",1),_xlpm._start,FIND("§",_xlpm._in)+1,SUBSTITUTE(MID(_xlpm._in,_xlpm._start,FIND("$",_xlpm._in)-_xlpm._start),"'","")))</f>
        <v>Q</v>
      </c>
      <c r="G243" s="61" t="str">
        <f ca="1" t="shared" si="51" ref="G243:G245">IF($K243="","",RIGHT($K243,LEN($K243)-FIND("$",SUBSTITUTE($K243,"$","§",1))))</f>
        <v>5</v>
      </c>
      <c r="H243" s="61" cm="1">
        <f t="array" ca="1" aca="1" ref="H243">CreateID($H$36,$H:$H,$E243&lt;&gt;INDEX($E:$E,ROW()-1))</f>
        <v>16</v>
      </c>
      <c r="I243" s="61" t="str" cm="1">
        <f t="array" ca="1" aca="1" ref="I243">INDIRECT($K243)</f>
        <v>Manual Risk Treatment</v>
      </c>
      <c r="K243" s="2" t="str" cm="1">
        <f t="array" ca="1" aca="1" ref="K243">CELL("address",OFFSET(Tracing!$B$5,0,ROW()-ROW($K$228)))</f>
        <v>'[QuBA-libre.xlsx]Tracing'!$Q$5</v>
      </c>
    </row>
    <row r="244" spans="1:11" ht="75" outlineLevel="1">
      <c r="A244" s="23" t="str" cm="1">
        <f t="array" ca="1" aca="1" ref="A244">IF(INDEX($H:$H,ROW()-1)&lt;&gt;$H244,$E244,"")</f>
        <v/>
      </c>
      <c r="B244" s="71" t="str" cm="1">
        <f t="array" ca="1" aca="1" ref="B244">IF($K244="","",_xlfn.LET(_xlpm._fullName,IF($L244="",SUBSTITUTE(SUBSTITUTE(INDIRECT($K244),CHAR(10)," "),"  "," "),$L244),_xlpm._truncatedName,IF(LEN(_xlpm._fullName)&gt;250,LEFT(_xlpm._fullName,250)&amp;"[…]",_xlpm._fullName),HYPERLINK("#'"&amp;$E244&amp;"'!"&amp;$F244&amp;$G244,_xlpm._truncatedName)))</f>
        <v>Risk Treatment Decision</v>
      </c>
      <c r="C244" s="13" t="s">
        <v>884</v>
      </c>
      <c r="D244" s="13"/>
      <c r="E244" s="61" t="str">
        <f t="shared" ca="1" si="49"/>
        <v>Tracing</v>
      </c>
      <c r="F244" s="61" t="str">
        <f t="shared" ca="1" si="50"/>
        <v>R</v>
      </c>
      <c r="G244" s="61" t="str">
        <f t="shared" ca="1" si="51"/>
        <v>5</v>
      </c>
      <c r="H244" s="61" cm="1">
        <f t="array" ca="1" aca="1" ref="H244">CreateID($H$36,$H:$H,$E244&lt;&gt;INDEX($E:$E,ROW()-1))</f>
        <v>16</v>
      </c>
      <c r="I244" s="61" t="str" cm="1">
        <f t="array" ca="1" aca="1" ref="I244">INDIRECT($K244)</f>
        <v>Risk Treatment Decision</v>
      </c>
      <c r="K244" s="2" t="str" cm="1">
        <f t="array" ca="1" aca="1" ref="K244">CELL("address",OFFSET(Tracing!$B$5,0,ROW()-ROW($K$228)))</f>
        <v>'[QuBA-libre.xlsx]Tracing'!$R$5</v>
      </c>
    </row>
    <row r="245" spans="1:11" ht="45" outlineLevel="1">
      <c r="A245" s="23" t="str" cm="1">
        <f t="array" ca="1" aca="1" ref="A245">IF(INDEX($H:$H,ROW()-1)&lt;&gt;$H245,$E245,"")</f>
        <v/>
      </c>
      <c r="B245" s="71" t="str" cm="1">
        <f t="array" ca="1" aca="1" ref="B245">IF($K245="","",_xlfn.LET(_xlpm._fullName,IF($L245="",SUBSTITUTE(SUBSTITUTE(INDIRECT($K245),CHAR(10)," "),"  "," "),$L245),_xlpm._truncatedName,IF(LEN(_xlpm._fullName)&gt;250,LEFT(_xlpm._fullName,250)&amp;"[…]",_xlpm._fullName),HYPERLINK("#'"&amp;$E245&amp;"'!"&amp;$F245&amp;$G245,_xlpm._truncatedName)))</f>
        <v>Risk Treatment Rationale / Explanation</v>
      </c>
      <c r="C245" s="13" t="s">
        <v>883</v>
      </c>
      <c r="D245" s="13"/>
      <c r="E245" s="61" t="str">
        <f t="shared" ca="1" si="49"/>
        <v>Tracing</v>
      </c>
      <c r="F245" s="61" t="str">
        <f t="shared" ca="1" si="50"/>
        <v>S</v>
      </c>
      <c r="G245" s="61" t="str">
        <f t="shared" ca="1" si="51"/>
        <v>5</v>
      </c>
      <c r="H245" s="61" cm="1">
        <f t="array" ca="1" aca="1" ref="H245">CreateID($H$36,$H:$H,$E245&lt;&gt;INDEX($E:$E,ROW()-1))</f>
        <v>16</v>
      </c>
      <c r="I245" s="61" t="str" cm="1">
        <f t="array" ca="1" aca="1" ref="I245">INDIRECT($K245)</f>
        <v>Risk Treatment Rationale / Explanation</v>
      </c>
      <c r="K245" s="2" t="str" cm="1">
        <f t="array" ca="1" aca="1" ref="K245">CELL("address",OFFSET(Tracing!$B$5,0,ROW()-ROW($K$228)))</f>
        <v>'[QuBA-libre.xlsx]Tracing'!$S$5</v>
      </c>
    </row>
    <row r="246" spans="1:11" ht="15" outlineLevel="1">
      <c r="A246" s="23" t="str" cm="1">
        <f t="array" ca="1" aca="1" ref="A246">IF(INDEX($H:$H,ROW()-1)&lt;&gt;$H246,$E246,"")</f>
        <v/>
      </c>
      <c r="B246" s="71" t="str" cm="1">
        <f t="array" ca="1" aca="1" ref="B246">IF($K246="","",_xlfn.LET(_xlpm._fullName,IF($L246="",SUBSTITUTE(SUBSTITUTE(INDIRECT($K246),CHAR(10)," "),"  "," "),$L246),_xlpm._truncatedName,IF(LEN(_xlpm._fullName)&gt;250,LEFT(_xlpm._fullName,250)&amp;"[…]",_xlpm._fullName),HYPERLINK("#'"&amp;$E246&amp;"'!"&amp;$F246&amp;$G246,_xlpm._truncatedName)))</f>
        <v>Comment</v>
      </c>
      <c r="C246" s="13" t="s">
        <v>809</v>
      </c>
      <c r="D246" s="13"/>
      <c r="E246" s="61" t="str">
        <f ca="1">IF($K246="","",_xlfn.LET(_xlpm._in,$K246,_xlpm._start,FIND("]",_xlpm._in)+1,SUBSTITUTE(MID(_xlpm._in,_xlpm._start,FIND("!",_xlpm._in)-_xlpm._start),"'","")))</f>
        <v>Tracing</v>
      </c>
      <c r="F246" s="61" t="str">
        <f ca="1">IF($K246="","",_xlfn.LET(_xlpm._in,SUBSTITUTE($K246,"$","§",1),_xlpm._start,FIND("§",_xlpm._in)+1,SUBSTITUTE(MID(_xlpm._in,_xlpm._start,FIND("$",_xlpm._in)-_xlpm._start),"'","")))</f>
        <v>T</v>
      </c>
      <c r="G246" s="61" t="str">
        <f ca="1">IF($K246="","",RIGHT($K246,LEN($K246)-FIND("$",SUBSTITUTE($K246,"$","§",1))))</f>
        <v>5</v>
      </c>
      <c r="H246" s="61" cm="1">
        <f t="array" ca="1" aca="1" ref="H246">CreateID($H$36,$H:$H,$E246&lt;&gt;INDEX($E:$E,ROW()-1))</f>
        <v>16</v>
      </c>
      <c r="I246" s="61" t="str" cm="1">
        <f t="array" ca="1" aca="1" ref="I246">INDIRECT($K246)</f>
        <v>Comment</v>
      </c>
      <c r="K246" s="2" t="str" cm="1">
        <f t="array" ca="1" aca="1" ref="K246">CELL("address",OFFSET(Tracing!$B$5,0,ROW()-ROW($K$228)))</f>
        <v>'[QuBA-libre.xlsx]Tracing'!$T$5</v>
      </c>
    </row>
    <row r="247" spans="1:12" ht="60">
      <c r="A247" s="23" t="str" cm="1">
        <f t="array" ca="1" aca="1" ref="A247">IF(INDEX($H:$H,ROW()-1)&lt;&gt;$H247,$E247,"")</f>
        <v>Tasks</v>
      </c>
      <c r="B247" s="71" t="str" cm="1">
        <f t="array" ca="1" aca="1" ref="B247">IF($K247="","",_xlfn.LET(_xlpm._fullName,IF($L247="",SUBSTITUTE(SUBSTITUTE(INDIRECT($K247),CHAR(10)," "),"  "," "),$L247),_xlpm._truncatedName,IF(LEN(_xlpm._fullName)&gt;250,LEFT(_xlpm._fullName,250)&amp;"[…]",_xlpm._fullName),HYPERLINK("#'"&amp;$E247&amp;"'!"&amp;$F247&amp;$G247,_xlpm._truncatedName)))</f>
        <v>Key Word</v>
      </c>
      <c r="C247" s="13" t="s">
        <v>898</v>
      </c>
      <c r="D247" s="13"/>
      <c r="E247" s="61" t="str">
        <f t="shared" ca="1" si="40"/>
        <v>Tasks</v>
      </c>
      <c r="F247" s="61" t="str">
        <f t="shared" ca="1" si="41"/>
        <v>A</v>
      </c>
      <c r="G247" s="61" t="str">
        <f t="shared" ca="1" si="42"/>
        <v>17</v>
      </c>
      <c r="H247" s="61" cm="1">
        <f t="array" ca="1" aca="1" ref="H247">CreateID($H$36,$H:$H,$E247&lt;&gt;INDEX($E:$E,ROW()-1))</f>
        <v>17</v>
      </c>
      <c r="I247" s="61" t="str" cm="1">
        <f t="array" ca="1" aca="1" ref="I247">INDIRECT($K247)</f>
        <v>Key Word:</v>
      </c>
      <c r="K247" s="2" t="str" cm="1">
        <f t="array" ca="1" aca="1" ref="K247">CELL("address",Tasks!$A$17)</f>
        <v>'[QuBA-libre.xlsx]Tasks'!$A$17</v>
      </c>
      <c r="L247" s="2" t="s">
        <v>897</v>
      </c>
    </row>
    <row r="248" spans="1:11" ht="60" outlineLevel="1">
      <c r="A248" s="23" t="str" cm="1">
        <f t="array" ca="1" aca="1" ref="A248">IF(INDEX($H:$H,ROW()-1)&lt;&gt;$H248,$E248,"")</f>
        <v/>
      </c>
      <c r="B248" s="71" t="str" cm="1">
        <f t="array" ca="1" aca="1" ref="B248">IF($K248="","",_xlfn.LET(_xlpm._fullName,IF($L248="",SUBSTITUTE(SUBSTITUTE(INDIRECT($K248),CHAR(10)," "),"  "," "),$L248),_xlpm._truncatedName,IF(LEN(_xlpm._fullName)&gt;250,LEFT(_xlpm._fullName,250)&amp;"[…]",_xlpm._fullName),HYPERLINK("#'"&amp;$E248&amp;"'!"&amp;$F248&amp;$G248,_xlpm._truncatedName)))</f>
        <v>Element</v>
      </c>
      <c r="C248" s="13" t="s">
        <v>928</v>
      </c>
      <c r="D248" s="13"/>
      <c r="E248" s="61" t="str">
        <f t="shared" ca="1" si="40"/>
        <v>Tasks</v>
      </c>
      <c r="F248" s="61" t="str">
        <f t="shared" ca="1" si="41"/>
        <v>A</v>
      </c>
      <c r="G248" s="61" t="str">
        <f t="shared" ca="1" si="42"/>
        <v>19</v>
      </c>
      <c r="H248" s="61" cm="1">
        <f t="array" ca="1" aca="1" ref="H248">CreateID($H$36,$H:$H,$E248&lt;&gt;INDEX($E:$E,ROW()-1))</f>
        <v>17</v>
      </c>
      <c r="I248" s="61" t="str" cm="1">
        <f t="array" ca="1" aca="1" ref="I248">INDIRECT($K248)</f>
        <v>Element</v>
      </c>
      <c r="K248" s="2" t="str" cm="1">
        <f t="array" ca="1" aca="1" ref="K248">CELL("address",Tasks!$A$19)</f>
        <v>'[QuBA-libre.xlsx]Tasks'!$A$19</v>
      </c>
    </row>
    <row r="249" spans="1:11" ht="45" outlineLevel="1">
      <c r="A249" s="23" t="str" cm="1">
        <f t="array" ca="1" aca="1" ref="A249">IF(INDEX($H:$H,ROW()-1)&lt;&gt;$H249,$E249,"")</f>
        <v/>
      </c>
      <c r="B249" s="71" t="str" cm="1">
        <f t="array" ca="1" aca="1" ref="B249">IF($K249="","",_xlfn.LET(_xlpm._fullName,IF($L249="",SUBSTITUTE(SUBSTITUTE(INDIRECT($K249),CHAR(10)," "),"  "," "),$L249),_xlpm._truncatedName,IF(LEN(_xlpm._fullName)&gt;250,LEFT(_xlpm._fullName,250)&amp;"[…]",_xlpm._fullName),HYPERLINK("#'"&amp;$E249&amp;"'!"&amp;$F249&amp;$G249,_xlpm._truncatedName)))</f>
        <v>Comment (click to follow the link)</v>
      </c>
      <c r="C249" s="13" t="s">
        <v>929</v>
      </c>
      <c r="D249" s="13"/>
      <c r="E249" s="61" t="str">
        <f t="shared" ca="1" si="40"/>
        <v>Tasks</v>
      </c>
      <c r="F249" s="61" t="str">
        <f t="shared" ca="1" si="41"/>
        <v>B</v>
      </c>
      <c r="G249" s="61" t="str">
        <f t="shared" ca="1" si="42"/>
        <v>19</v>
      </c>
      <c r="H249" s="61" cm="1">
        <f t="array" ca="1" aca="1" ref="H249">CreateID($H$36,$H:$H,$E249&lt;&gt;INDEX($E:$E,ROW()-1))</f>
        <v>17</v>
      </c>
      <c r="I249" s="61" t="str" cm="1">
        <f t="array" ca="1" aca="1" ref="I249">INDIRECT($K249)</f>
        <v>Comment (click to follow the link)</v>
      </c>
      <c r="K249" s="2" t="str" cm="1">
        <f t="array" ca="1" aca="1" ref="K249">CELL("address",Tasks!$B$19)</f>
        <v>'[QuBA-libre.xlsx]Tasks'!$B$19</v>
      </c>
    </row>
    <row r="250" spans="1:11" ht="90">
      <c r="A250" s="23" t="str" cm="1">
        <f t="array" ca="1" aca="1" ref="A250">IF(INDEX($H:$H,ROW()-1)&lt;&gt;$H250,$E250,"")</f>
        <v>Quality Indicators</v>
      </c>
      <c r="B250" s="71" t="str" cm="1">
        <f t="array" ca="1" aca="1" ref="B250">IF($K250="","",_xlfn.LET(_xlpm._fullName,IF($L250="",SUBSTITUTE(SUBSTITUTE(INDIRECT($K250),CHAR(10)," "),"  "," "),$L250),_xlpm._truncatedName,IF(LEN(_xlpm._fullName)&gt;250,LEFT(_xlpm._fullName,250)&amp;"[…]",_xlpm._fullName),HYPERLINK("#'"&amp;$E250&amp;"'!"&amp;$F250&amp;$G250,_xlpm._truncatedName)))</f>
        <v>#</v>
      </c>
      <c r="C250" s="13" t="s">
        <v>899</v>
      </c>
      <c r="D250" s="13"/>
      <c r="E250" s="61" t="str">
        <f t="shared" ca="1" si="40"/>
        <v>Quality Indicators</v>
      </c>
      <c r="F250" s="61" t="str">
        <f t="shared" ca="1" si="41"/>
        <v>A</v>
      </c>
      <c r="G250" s="61" t="str">
        <f t="shared" ca="1" si="42"/>
        <v>2</v>
      </c>
      <c r="H250" s="61" cm="1">
        <f t="array" ca="1" aca="1" ref="H250">CreateID($H$36,$H:$H,$E250&lt;&gt;INDEX($E:$E,ROW()-1))</f>
        <v>18</v>
      </c>
      <c r="I250" s="61" t="str" cm="1">
        <f t="array" ca="1" aca="1" ref="I250">INDIRECT($K250)</f>
        <v>#</v>
      </c>
      <c r="K250" s="2" t="str" cm="1">
        <f t="array" ca="1" aca="1" ref="K250">CELL("address",OFFSET('Quality Indicators'!$A$2,0,ROW()-ROW($K$250)))</f>
        <v>'[QuBA-libre.xlsx]Quality Indicators'!$A$2</v>
      </c>
    </row>
    <row r="251" spans="1:11" ht="15" outlineLevel="1">
      <c r="A251" s="23" t="str" cm="1">
        <f t="array" ca="1" aca="1" ref="A251">IF(INDEX($H:$H,ROW()-1)&lt;&gt;$H251,$E251,"")</f>
        <v/>
      </c>
      <c r="B251" s="71" t="str" cm="1">
        <f t="array" ca="1" aca="1" ref="B251">IF($K251="","",_xlfn.LET(_xlpm._fullName,IF($L251="",SUBSTITUTE(SUBSTITUTE(INDIRECT($K251),CHAR(10)," "),"  "," "),$L251),_xlpm._truncatedName,IF(LEN(_xlpm._fullName)&gt;250,LEFT(_xlpm._fullName,250)&amp;"[…]",_xlpm._fullName),HYPERLINK("#'"&amp;$E251&amp;"'!"&amp;$F251&amp;$G251,_xlpm._truncatedName)))</f>
        <v>Criterion</v>
      </c>
      <c r="C251" s="13" t="s">
        <v>900</v>
      </c>
      <c r="D251" s="13"/>
      <c r="E251" s="61" t="str">
        <f t="shared" ca="1" si="40"/>
        <v>Quality Indicators</v>
      </c>
      <c r="F251" s="61" t="str">
        <f t="shared" ca="1" si="41"/>
        <v>B</v>
      </c>
      <c r="G251" s="61" t="str">
        <f t="shared" ca="1" si="42"/>
        <v>2</v>
      </c>
      <c r="H251" s="61" cm="1">
        <f t="array" ca="1" aca="1" ref="H251">CreateID($H$36,$H:$H,$E251&lt;&gt;INDEX($E:$E,ROW()-1))</f>
        <v>18</v>
      </c>
      <c r="I251" s="61" t="str" cm="1">
        <f t="array" ca="1" aca="1" ref="I251">INDIRECT($K251)</f>
        <v>Criterion</v>
      </c>
      <c r="K251" s="2" t="str" cm="1">
        <f t="array" ca="1" aca="1" ref="K251">CELL("address",OFFSET('Quality Indicators'!$A$2,0,ROW()-ROW($K$250)))</f>
        <v>'[QuBA-libre.xlsx]Quality Indicators'!$B$2</v>
      </c>
    </row>
    <row r="252" spans="1:11" ht="30" outlineLevel="1">
      <c r="A252" s="23" t="str" cm="1">
        <f t="array" ca="1" aca="1" ref="A252">IF(INDEX($H:$H,ROW()-1)&lt;&gt;$H252,$E252,"")</f>
        <v/>
      </c>
      <c r="B252" s="71" t="str" cm="1">
        <f t="array" ca="1" aca="1" ref="B252">IF($K252="","",_xlfn.LET(_xlpm._fullName,IF($L252="",SUBSTITUTE(SUBSTITUTE(INDIRECT($K252),CHAR(10)," "),"  "," "),$L252),_xlpm._truncatedName,IF(LEN(_xlpm._fullName)&gt;250,LEFT(_xlpm._fullName,250)&amp;"[…]",_xlpm._fullName),HYPERLINK("#'"&amp;$E252&amp;"'!"&amp;$F252&amp;$G252,_xlpm._truncatedName)))</f>
        <v>Triggering Elements</v>
      </c>
      <c r="C252" s="13" t="s">
        <v>901</v>
      </c>
      <c r="D252" s="13"/>
      <c r="E252" s="61" t="str">
        <f t="shared" ca="1" si="40"/>
        <v>Quality Indicators</v>
      </c>
      <c r="F252" s="61" t="str">
        <f t="shared" ca="1" si="41"/>
        <v>C</v>
      </c>
      <c r="G252" s="61" t="str">
        <f t="shared" ca="1" si="42"/>
        <v>2</v>
      </c>
      <c r="H252" s="61" cm="1">
        <f t="array" ca="1" aca="1" ref="H252">CreateID($H$36,$H:$H,$E252&lt;&gt;INDEX($E:$E,ROW()-1))</f>
        <v>18</v>
      </c>
      <c r="I252" s="61" t="str" cm="1">
        <f t="array" ca="1" aca="1" ref="I252">INDIRECT($K252)</f>
        <v>Triggering Elements</v>
      </c>
      <c r="K252" s="2" t="str" cm="1">
        <f t="array" ca="1" aca="1" ref="K252">CELL("address",OFFSET('Quality Indicators'!$A$2,0,ROW()-ROW($K$250)))</f>
        <v>'[QuBA-libre.xlsx]Quality Indicators'!$C$2</v>
      </c>
    </row>
    <row r="253" spans="1:11" ht="30" outlineLevel="1">
      <c r="A253" s="23" t="str" cm="1">
        <f t="array" ca="1" aca="1" ref="A253">IF(INDEX($H:$H,ROW()-1)&lt;&gt;$H253,$E253,"")</f>
        <v/>
      </c>
      <c r="B253" s="71" t="str" cm="1">
        <f t="array" ca="1" aca="1" ref="B253">IF($K253="","",_xlfn.LET(_xlpm._fullName,IF($L253="",SUBSTITUTE(SUBSTITUTE(INDIRECT($K253),CHAR(10)," "),"  "," "),$L253),_xlpm._truncatedName,IF(LEN(_xlpm._fullName)&gt;250,LEFT(_xlpm._fullName,250)&amp;"[…]",_xlpm._fullName),HYPERLINK("#'"&amp;$E253&amp;"'!"&amp;$F253&amp;$G253,_xlpm._truncatedName)))</f>
        <v>Link to First Element</v>
      </c>
      <c r="C253" s="13" t="s">
        <v>902</v>
      </c>
      <c r="D253" s="13"/>
      <c r="E253" s="61" t="str">
        <f t="shared" ca="1" si="40"/>
        <v>Quality Indicators</v>
      </c>
      <c r="F253" s="61" t="str">
        <f t="shared" ca="1" si="41"/>
        <v>D</v>
      </c>
      <c r="G253" s="61" t="str">
        <f t="shared" ca="1" si="42"/>
        <v>2</v>
      </c>
      <c r="H253" s="61" cm="1">
        <f t="array" ca="1" aca="1" ref="H253">CreateID($H$36,$H:$H,$E253&lt;&gt;INDEX($E:$E,ROW()-1))</f>
        <v>18</v>
      </c>
      <c r="I253" s="61" t="str" cm="1">
        <f t="array" ca="1" aca="1" ref="I253">INDIRECT($K253)</f>
        <v>Link to First Element</v>
      </c>
      <c r="K253" s="2" t="str" cm="1">
        <f t="array" ca="1" aca="1" ref="K253">CELL("address",OFFSET('Quality Indicators'!$A$2,0,ROW()-ROW($K$250)))</f>
        <v>'[QuBA-libre.xlsx]Quality Indicators'!$D$2</v>
      </c>
    </row>
    <row r="254" spans="1:11" ht="15" outlineLevel="1">
      <c r="A254" s="23" t="str" cm="1">
        <f t="array" ca="1" aca="1" ref="A254">IF(INDEX($H:$H,ROW()-1)&lt;&gt;$H254,$E254,"")</f>
        <v/>
      </c>
      <c r="B254" s="71" t="str" cm="1">
        <f t="array" ca="1" aca="1" ref="B254">IF($K254="","",_xlfn.LET(_xlpm._fullName,IF($L254="",SUBSTITUTE(SUBSTITUTE(INDIRECT($K254),CHAR(10)," "),"  "," "),$L254),_xlpm._truncatedName,IF(LEN(_xlpm._fullName)&gt;250,LEFT(_xlpm._fullName,250)&amp;"[…]",_xlpm._fullName),HYPERLINK("#'"&amp;$E254&amp;"'!"&amp;$F254&amp;$G254,_xlpm._truncatedName)))</f>
        <v>Open IDs</v>
      </c>
      <c r="C254" s="13" t="s">
        <v>903</v>
      </c>
      <c r="D254" s="13"/>
      <c r="E254" s="61" t="str">
        <f t="shared" ca="1" si="40"/>
        <v>Quality Indicators</v>
      </c>
      <c r="F254" s="61" t="str">
        <f t="shared" ca="1" si="41"/>
        <v>E</v>
      </c>
      <c r="G254" s="61" t="str">
        <f t="shared" ca="1" si="42"/>
        <v>2</v>
      </c>
      <c r="H254" s="61" cm="1">
        <f t="array" ca="1" aca="1" ref="H254">CreateID($H$36,$H:$H,$E254&lt;&gt;INDEX($E:$E,ROW()-1))</f>
        <v>18</v>
      </c>
      <c r="I254" s="61" t="str" cm="1">
        <f t="array" ca="1" aca="1" ref="I254">INDIRECT($K254)</f>
        <v>Open IDs</v>
      </c>
      <c r="K254" s="2" t="str" cm="1">
        <f t="array" ca="1" aca="1" ref="K254">CELL("address",OFFSET('Quality Indicators'!$A$2,0,ROW()-ROW($K$250)))</f>
        <v>'[QuBA-libre.xlsx]Quality Indicators'!$E$2</v>
      </c>
    </row>
    <row r="255" spans="1:11" ht="30" outlineLevel="1">
      <c r="A255" s="23" t="str" cm="1">
        <f t="array" ca="1" aca="1" ref="A255">IF(INDEX($H:$H,ROW()-1)&lt;&gt;$H255,$E255,"")</f>
        <v/>
      </c>
      <c r="B255" s="71" t="str" cm="1">
        <f t="array" ca="1" aca="1" ref="B255">IF($K255="","",_xlfn.LET(_xlpm._fullName,IF($L255="",SUBSTITUTE(SUBSTITUTE(INDIRECT($K255),CHAR(10)," "),"  "," "),$L255),_xlpm._truncatedName,IF(LEN(_xlpm._fullName)&gt;250,LEFT(_xlpm._fullName,250)&amp;"[…]",_xlpm._fullName),HYPERLINK("#'"&amp;$E255&amp;"'!"&amp;$F255&amp;$G255,_xlpm._truncatedName)))</f>
        <v>OK for IDs</v>
      </c>
      <c r="C255" s="13" t="s">
        <v>904</v>
      </c>
      <c r="D255" s="13"/>
      <c r="E255" s="61" t="str">
        <f t="shared" ca="1" si="40"/>
        <v>Quality Indicators</v>
      </c>
      <c r="F255" s="61" t="str">
        <f t="shared" ca="1" si="41"/>
        <v>F</v>
      </c>
      <c r="G255" s="61" t="str">
        <f t="shared" ca="1" si="42"/>
        <v>2</v>
      </c>
      <c r="H255" s="61" cm="1">
        <f t="array" ca="1" aca="1" ref="H255">CreateID($H$36,$H:$H,$E255&lt;&gt;INDEX($E:$E,ROW()-1))</f>
        <v>18</v>
      </c>
      <c r="I255" s="61" t="str" cm="1">
        <f t="array" ca="1" aca="1" ref="I255">INDIRECT($K255)</f>
        <v>OK for IDs</v>
      </c>
      <c r="K255" s="2" t="str" cm="1">
        <f t="array" ca="1" aca="1" ref="K255">CELL("address",OFFSET('Quality Indicators'!$A$2,0,ROW()-ROW($K$250)))</f>
        <v>'[QuBA-libre.xlsx]Quality Indicators'!$F$2</v>
      </c>
    </row>
    <row r="256" spans="1:11" ht="15" outlineLevel="1">
      <c r="A256" s="23" t="str" cm="1">
        <f t="array" ca="1" aca="1" ref="A256">IF(INDEX($H:$H,ROW()-1)&lt;&gt;$H256,$E256,"")</f>
        <v/>
      </c>
      <c r="B256" s="71" t="str" cm="1">
        <f t="array" ca="1" aca="1" ref="B256">IF($K256="","",_xlfn.LET(_xlpm._fullName,IF($L256="",SUBSTITUTE(SUBSTITUTE(INDIRECT($K256),CHAR(10)," "),"  "," "),$L256),_xlpm._truncatedName,IF(LEN(_xlpm._fullName)&gt;250,LEFT(_xlpm._fullName,250)&amp;"[…]",_xlpm._fullName),HYPERLINK("#'"&amp;$E256&amp;"'!"&amp;$F256&amp;$G256,_xlpm._truncatedName)))</f>
        <v>Rationale</v>
      </c>
      <c r="C256" s="13" t="s">
        <v>905</v>
      </c>
      <c r="D256" s="13"/>
      <c r="E256" s="61" t="str">
        <f t="shared" ca="1" si="40"/>
        <v>Quality Indicators</v>
      </c>
      <c r="F256" s="61" t="str">
        <f t="shared" ca="1" si="41"/>
        <v>G</v>
      </c>
      <c r="G256" s="61" t="str">
        <f t="shared" ca="1" si="42"/>
        <v>2</v>
      </c>
      <c r="H256" s="61" cm="1">
        <f t="array" ca="1" aca="1" ref="H256">CreateID($H$36,$H:$H,$E256&lt;&gt;INDEX($E:$E,ROW()-1))</f>
        <v>18</v>
      </c>
      <c r="I256" s="61" t="str" cm="1">
        <f t="array" ca="1" aca="1" ref="I256">INDIRECT($K256)</f>
        <v>Rationale</v>
      </c>
      <c r="K256" s="2" t="str" cm="1">
        <f t="array" ca="1" aca="1" ref="K256">CELL("address",OFFSET('Quality Indicators'!$A$2,0,ROW()-ROW($K$250)))</f>
        <v>'[QuBA-libre.xlsx]Quality Indicators'!$G$2</v>
      </c>
    </row>
    <row r="257" spans="1:11" ht="30" collapsed="1">
      <c r="A257" s="23" t="str" cm="1">
        <f t="array" ca="1" aca="1" ref="A257">IF(INDEX($H:$H,ROW()-1)&lt;&gt;$H257,$E257,"")</f>
        <v>JSON</v>
      </c>
      <c r="B257" s="71" t="str" cm="1">
        <f t="array" ca="1" aca="1" ref="B257">IF($K257="","",_xlfn.LET(_xlpm._fullName,IF($L257="",SUBSTITUTE(SUBSTITUTE(INDIRECT($K257),CHAR(10)," "),"  "," "),$L257),_xlpm._truncatedName,IF(LEN(_xlpm._fullName)&gt;250,LEFT(_xlpm._fullName,250)&amp;"[…]",_xlpm._fullName),HYPERLINK("#'"&amp;$E257&amp;"'!"&amp;$F257&amp;$G257,_xlpm._truncatedName)))</f>
        <v>Sheet</v>
      </c>
      <c r="C257" s="13" t="s">
        <v>1365</v>
      </c>
      <c r="D257" s="13"/>
      <c r="E257" s="61" t="str">
        <f ca="1">IF($K257="","",_xlfn.LET(_xlpm._in,$K257,_xlpm._start,FIND("]",_xlpm._in)+1,SUBSTITUTE(MID(_xlpm._in,_xlpm._start,FIND("!",_xlpm._in)-_xlpm._start),"'","")))</f>
        <v>JSON</v>
      </c>
      <c r="F257" s="61" t="str">
        <f ca="1">IF($K257="","",_xlfn.LET(_xlpm._in,SUBSTITUTE($K257,"$","§",1),_xlpm._start,FIND("§",_xlpm._in)+1,SUBSTITUTE(MID(_xlpm._in,_xlpm._start,FIND("$",_xlpm._in)-_xlpm._start),"'","")))</f>
        <v>B</v>
      </c>
      <c r="G257" s="61" t="str">
        <f ca="1">IF($K257="","",RIGHT($K257,LEN($K257)-FIND("$",SUBSTITUTE($K257,"$","§",1))))</f>
        <v>6</v>
      </c>
      <c r="H257" s="61" cm="1">
        <f t="array" ca="1" aca="1" ref="H257">CreateID($H$36,$H:$H,$E257&lt;&gt;INDEX($E:$E,ROW()-1))</f>
        <v>19</v>
      </c>
      <c r="I257" s="61" t="str" cm="1">
        <f t="array" ca="1" aca="1" ref="I257">INDIRECT($K257)</f>
        <v>Sheet</v>
      </c>
      <c r="K257" s="2" t="str" cm="1">
        <f t="array" ca="1" aca="1" ref="K257">CELL("address",JSON!$B$6)</f>
        <v>'[QuBA-libre.xlsx]JSON'!$B$6</v>
      </c>
    </row>
    <row r="258" spans="1:11" ht="120">
      <c r="A258" s="23" t="str" cm="1">
        <f t="array" ca="1" aca="1" ref="A258">IF(INDEX($H:$H,ROW()-1)&lt;&gt;$H258,$E258,"")</f>
        <v/>
      </c>
      <c r="B258" s="71" t="str" cm="1">
        <f t="array" ca="1" aca="1" ref="B258">IF($K258="","",_xlfn.LET(_xlpm._fullName,IF($L258="",SUBSTITUTE(SUBSTITUTE(INDIRECT($K258),CHAR(10)," "),"  "," "),$L258),_xlpm._truncatedName,IF(LEN(_xlpm._fullName)&gt;250,LEFT(_xlpm._fullName,250)&amp;"[…]",_xlpm._fullName),HYPERLINK("#'"&amp;$E258&amp;"'!"&amp;$F258&amp;$G258,_xlpm._truncatedName)))</f>
        <v>Export String (copy to MS Word)</v>
      </c>
      <c r="C258" s="13" t="s">
        <v>1366</v>
      </c>
      <c r="D258" s="13" t="s">
        <v>1367</v>
      </c>
      <c r="E258" s="61" t="str">
        <f ca="1">IF($K258="","",_xlfn.LET(_xlpm._in,$K258,_xlpm._start,FIND("]",_xlpm._in)+1,SUBSTITUTE(MID(_xlpm._in,_xlpm._start,FIND("!",_xlpm._in)-_xlpm._start),"'","")))</f>
        <v>JSON</v>
      </c>
      <c r="F258" s="61" t="str">
        <f ca="1">IF($K258="","",_xlfn.LET(_xlpm._in,SUBSTITUTE($K258,"$","§",1),_xlpm._start,FIND("§",_xlpm._in)+1,SUBSTITUTE(MID(_xlpm._in,_xlpm._start,FIND("$",_xlpm._in)-_xlpm._start),"'","")))</f>
        <v>C</v>
      </c>
      <c r="G258" s="61" t="str">
        <f ca="1">IF($K258="","",RIGHT($K258,LEN($K258)-FIND("$",SUBSTITUTE($K258,"$","§",1))))</f>
        <v>6</v>
      </c>
      <c r="H258" s="61" cm="1">
        <f t="array" ca="1" aca="1" ref="H258">CreateID($H$36,$H:$H,$E258&lt;&gt;INDEX($E:$E,ROW()-1))</f>
        <v>19</v>
      </c>
      <c r="I258" s="61" t="str" cm="1">
        <f t="array" ca="1" aca="1" ref="I258">INDIRECT($K258)</f>
        <v>Export String (copy to MS Word)</v>
      </c>
      <c r="K258" s="2" t="str" cm="1">
        <f t="array" ca="1" aca="1" ref="K258">CELL("address",JSON!$C$6)</f>
        <v>'[QuBA-libre.xlsx]JSON'!$C$6</v>
      </c>
    </row>
  </sheetData>
  <sheetProtection password="E7E3" sheet="1" objects="1" scenarios="1"/>
  <mergeCells count="3">
    <mergeCell ref="B9:D9"/>
    <mergeCell ref="B7:D7"/>
    <mergeCell ref="B3:D3"/>
  </mergeCells>
  <conditionalFormatting sqref="A1:A34 A35:D35 A36:A1048576">
    <cfRule type="expression" priority="6" dxfId="681">
      <formula>AND($H1&lt;&gt;"",MOD($H1,2)=0)</formula>
    </cfRule>
    <cfRule type="expression" priority="7" dxfId="682">
      <formula>AND($H1&lt;&gt;"",MOD($H1,2)=1)</formula>
    </cfRule>
  </conditionalFormatting>
  <conditionalFormatting sqref="C4:C6 C8 C10:C34 C36:C1048576">
    <cfRule type="expression" priority="5" dxfId="81">
      <formula>IFERROR(FIND("Calculated:",$C4)&gt;0,FALSE)</formula>
    </cfRule>
  </conditionalFormatting>
  <conditionalFormatting sqref="C1:D2">
    <cfRule type="expression" priority="4" dxfId="81">
      <formula>IFERROR(FIND("Calculated:",$C1)&gt;0,FALSE)</formula>
    </cfRule>
  </conditionalFormatting>
  <conditionalFormatting sqref="D12">
    <cfRule type="expression" priority="3" dxfId="81">
      <formula>IFERROR(FIND("Calculated:",$C12)&gt;0,FALSE)</formula>
    </cfRule>
  </conditionalFormatting>
  <conditionalFormatting sqref="D21">
    <cfRule type="expression" priority="2" dxfId="81">
      <formula>IFERROR(FIND("Calculated:",$C21)&gt;0,FALSE)</formula>
    </cfRule>
  </conditionalFormatting>
  <conditionalFormatting sqref="D28">
    <cfRule type="expression" priority="1" dxfId="81">
      <formula>IFERROR(FIND("Calculated:",$C28)&gt;0,FALSE)</formula>
    </cfRule>
  </conditionalFormatting>
  <pageMargins left="0.7" right="0.7" top="0.75" bottom="0.75" header="0.3" footer="0.3"/>
  <pageSetup orientation="portrait" paperSize="9" r:id="rId3"/>
  <drawing r:id="rId2"/>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1B8D93-95D7-4105-9CDD-A7C6BEE73F4B}">
  <sheetPr>
    <tabColor theme="1"/>
  </sheetPr>
  <dimension ref="A1:I19"/>
  <sheetViews>
    <sheetView windowProtection="1" workbookViewId="0" topLeftCell="A1">
      <selection pane="topLeft" activeCell="E3" sqref="E3"/>
    </sheetView>
  </sheetViews>
  <sheetFormatPr defaultColWidth="9.14428571428571" defaultRowHeight="15"/>
  <cols>
    <col min="1" max="1" width="2.71428571428571" style="115" customWidth="1"/>
    <col min="2" max="2" width="24.5714285714286" style="2" bestFit="1" customWidth="1"/>
    <col min="3" max="3" width="24.5714285714286" style="2" customWidth="1"/>
    <col min="4" max="4" width="120.714285714286" style="2" customWidth="1"/>
    <col min="5" max="5" width="35.7142857142857" style="2" customWidth="1"/>
    <col min="6" max="6" width="15.7142857142857" style="2" hidden="1" customWidth="1"/>
    <col min="7" max="8" width="9.14285714285714" style="2"/>
    <col min="9" max="9" width="10.1428571428571" style="2" bestFit="1" customWidth="1"/>
    <col min="10" max="16384" width="9.14285714285714" style="2"/>
  </cols>
  <sheetData>
    <row r="1" spans="1:3" ht="18.7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$20,$B1,README!$E:$E,README!$I$36,README!$B$36)</f>
        <v>◈</v>
      </c>
      <c r="B1" s="31" t="s">
        <v>250</v>
      </c>
      <c r="C1" s="31"/>
    </row>
    <row r="2" spans="2:6" ht="15">
      <c r="B2" s="132" t="s">
        <v>251</v>
      </c>
      <c r="C2" s="132" t="s">
        <v>1719</v>
      </c>
      <c r="D2" s="132" t="s">
        <v>252</v>
      </c>
      <c r="E2" s="132" t="s">
        <v>253</v>
      </c>
      <c r="F2" s="135" t="s">
        <v>1721</v>
      </c>
    </row>
    <row r="3" spans="2:9" ht="30">
      <c r="B3" s="32">
        <v>45870</v>
      </c>
      <c r="C3" s="32" t="s">
        <v>1757</v>
      </c>
      <c r="D3" s="13" t="s">
        <v>921</v>
      </c>
      <c r="E3" s="137" t="s">
        <v>1732</v>
      </c>
      <c r="F3" s="2" t="b" cm="1">
        <f t="array" ca="1" aca="1" ref="F3">_xlfn.LAMBDA(_xlpm._dateCell,AND(_xlpm._dateCell&lt;&gt;"",OFFSET(_xlpm._dateCell,1,0)=""))($B3)</f>
        <v>1</v>
      </c>
      <c r="I3" s="136"/>
    </row>
    <row r="5" spans="1:3" ht="18.75">
      <c r="A5" s="115" t="str" cm="1">
        <f t="array" ca="1" aca="1" ref="A5">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$20,$B5,README!$E:$E,README!$I$36,README!$B$36)</f>
        <v>◈</v>
      </c>
      <c r="B5" s="31" t="s">
        <v>1134</v>
      </c>
      <c r="C5" s="31"/>
    </row>
    <row r="6" spans="2:6" ht="15">
      <c r="B6" s="132" t="s">
        <v>251</v>
      </c>
      <c r="C6" s="132" t="s">
        <v>1127</v>
      </c>
      <c r="D6" s="132" t="s">
        <v>252</v>
      </c>
      <c r="E6" s="132" t="s">
        <v>1720</v>
      </c>
      <c r="F6" s="135" t="s">
        <v>1721</v>
      </c>
    </row>
    <row r="7" spans="2:6" ht="15">
      <c r="B7" s="133">
        <v>45870</v>
      </c>
      <c r="C7" s="133"/>
      <c r="D7" s="134" t="s">
        <v>922</v>
      </c>
      <c r="E7" s="134"/>
      <c r="F7" s="2" t="b" cm="1">
        <f t="array" ca="1" aca="1" ref="F7">_xlfn.LAMBDA(_xlpm._dateCell,AND(_xlpm._dateCell&lt;&gt;"",OFFSET(_xlpm._dateCell,1,0)=""))($B7)</f>
        <v>1</v>
      </c>
    </row>
    <row r="9" spans="1:3" ht="18.75">
      <c r="A9" s="115" t="str" cm="1">
        <f t="array" ca="1" aca="1" ref="A9">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$20,$B9,README!$E:$E,README!$I$36,README!$B$36)</f>
        <v>◈</v>
      </c>
      <c r="B9" s="31" t="s">
        <v>655</v>
      </c>
      <c r="C9" s="31"/>
    </row>
    <row r="10" spans="2:6" ht="15">
      <c r="B10" s="132" t="s">
        <v>251</v>
      </c>
      <c r="C10" s="132" t="s">
        <v>1720</v>
      </c>
      <c r="D10" s="132" t="s">
        <v>252</v>
      </c>
      <c r="E10" s="132" t="s">
        <v>1127</v>
      </c>
      <c r="F10" s="135" t="s">
        <v>1721</v>
      </c>
    </row>
    <row r="11" spans="2:6" ht="15">
      <c r="B11" s="133">
        <v>45870</v>
      </c>
      <c r="C11" s="133"/>
      <c r="D11" s="134" t="s">
        <v>922</v>
      </c>
      <c r="E11" s="134"/>
      <c r="F11" s="2" t="b" cm="1">
        <f t="array" ca="1" aca="1" ref="F11">_xlfn.LAMBDA(_xlpm._dateCell,AND(_xlpm._dateCell&lt;&gt;"",OFFSET(_xlpm._dateCell,1,0)=""))($B11)</f>
        <v>1</v>
      </c>
    </row>
    <row r="13" spans="1:3" ht="18.75">
      <c r="A13" s="115" t="str" cm="1">
        <f t="array" ca="1" aca="1" ref="A1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$20,$B13,README!$E:$E,README!$I$36,README!$B$36)</f>
        <v>◈</v>
      </c>
      <c r="B13" s="31" t="s">
        <v>656</v>
      </c>
      <c r="C13" s="31"/>
    </row>
    <row r="14" spans="2:6" ht="15">
      <c r="B14" s="132" t="s">
        <v>251</v>
      </c>
      <c r="C14" s="132" t="s">
        <v>1720</v>
      </c>
      <c r="D14" s="132" t="s">
        <v>252</v>
      </c>
      <c r="E14" s="132" t="s">
        <v>1127</v>
      </c>
      <c r="F14" s="135" t="s">
        <v>1721</v>
      </c>
    </row>
    <row r="15" spans="2:6" ht="15">
      <c r="B15" s="133">
        <v>45870</v>
      </c>
      <c r="C15" s="133"/>
      <c r="D15" s="134" t="s">
        <v>922</v>
      </c>
      <c r="E15" s="134"/>
      <c r="F15" s="2" t="b" cm="1">
        <f t="array" ca="1" aca="1" ref="F15">_xlfn.LAMBDA(_xlpm._dateCell,AND(_xlpm._dateCell&lt;&gt;"",OFFSET(_xlpm._dateCell,1,0)=""))($B15)</f>
        <v>1</v>
      </c>
    </row>
    <row r="17" spans="1:3" ht="18.75">
      <c r="A17" s="115" t="str" cm="1">
        <f t="array" ca="1" aca="1" ref="A17">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$20,$B17,README!$E:$E,README!$I$36,README!$B$36)</f>
        <v>◈</v>
      </c>
      <c r="B17" s="31" t="s">
        <v>657</v>
      </c>
      <c r="C17" s="31"/>
    </row>
    <row r="18" spans="2:6" ht="15">
      <c r="B18" s="132" t="s">
        <v>251</v>
      </c>
      <c r="C18" s="132" t="s">
        <v>1720</v>
      </c>
      <c r="D18" s="132" t="s">
        <v>252</v>
      </c>
      <c r="E18" s="132" t="s">
        <v>1127</v>
      </c>
      <c r="F18" s="135" t="s">
        <v>1721</v>
      </c>
    </row>
    <row r="19" spans="2:6" ht="15">
      <c r="B19" s="133">
        <v>45870</v>
      </c>
      <c r="C19" s="133"/>
      <c r="D19" s="134" t="s">
        <v>922</v>
      </c>
      <c r="E19" s="134"/>
      <c r="F19" s="2" t="b" cm="1">
        <f t="array" ca="1" aca="1" ref="F19">_xlfn.LAMBDA(_xlpm._dateCell,AND(_xlpm._dateCell&lt;&gt;"",OFFSET(_xlpm._dateCell,1,0)=""))($B19)</f>
        <v>1</v>
      </c>
    </row>
  </sheetData>
  <sheetProtection password="E383" sheet="1" objects="1" scenarios="1"/>
  <pageMargins left="0.7" right="0.7" top="0.75" bottom="0.75" header="0.3" footer="0.3"/>
  <pageSetup orientation="portrait" paperSize="9" r:id="rId6"/>
  <tableParts>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4DC066-7050-4654-BD8D-03729623D18A}">
  <sheetPr>
    <tabColor theme="6"/>
  </sheetPr>
  <dimension ref="A1:BK26"/>
  <sheetViews>
    <sheetView windowProtection="1" workbookViewId="0" topLeftCell="A1">
      <selection pane="topLeft" activeCell="M4" sqref="M4"/>
    </sheetView>
  </sheetViews>
  <sheetFormatPr defaultColWidth="9.14428571428571" defaultRowHeight="15"/>
  <cols>
    <col min="1" max="1" width="11.8571428571429" style="4" bestFit="1" customWidth="1"/>
    <col min="2" max="2" width="9.14285714285714" style="4"/>
    <col min="3" max="3" width="21.2857142857143" style="4" bestFit="1" customWidth="1"/>
    <col min="4" max="4" width="9.14285714285714" style="4"/>
    <col min="5" max="5" width="25.5714285714286" style="4" bestFit="1" customWidth="1"/>
    <col min="6" max="6" width="9.14285714285714" style="4"/>
    <col min="7" max="7" width="15.7142857142857" style="4" customWidth="1"/>
    <col min="8" max="8" width="25.7142857142857" style="4" customWidth="1"/>
    <col min="9" max="9" width="45.7142857142857" style="4" customWidth="1"/>
    <col min="10" max="10" width="15.7142857142857" style="4" customWidth="1"/>
    <col min="11" max="11" width="21" style="4" hidden="1" customWidth="1"/>
    <col min="12" max="12" width="9.14285714285714" style="4"/>
    <col min="13" max="13" width="18.8571428571429" style="4" bestFit="1" customWidth="1"/>
    <col min="14" max="14" width="9.14285714285714" style="4"/>
    <col min="15" max="15" width="22.5714285714286" style="4" bestFit="1" customWidth="1"/>
    <col min="16" max="16" width="9.14285714285714" style="4"/>
    <col min="17" max="17" width="10.7142857142857" style="4" bestFit="1" customWidth="1"/>
    <col min="18" max="19" width="9.14285714285714" style="4"/>
    <col min="20" max="20" width="13.7142857142857" style="4" bestFit="1" customWidth="1"/>
    <col min="21" max="21" width="9.14285714285714" style="4"/>
    <col min="22" max="22" width="18" style="4" customWidth="1"/>
    <col min="23" max="23" width="14.8571428571429" style="4" bestFit="1" customWidth="1"/>
    <col min="24" max="24" width="9.14285714285714" style="4"/>
    <col min="25" max="25" width="22.4285714285714" style="4" bestFit="1" customWidth="1"/>
    <col min="26" max="26" width="29.1428571428571" style="4" bestFit="1" customWidth="1"/>
    <col min="27" max="27" width="9.14285714285714" style="4"/>
    <col min="28" max="28" width="9.85714285714286" style="4" hidden="1" customWidth="1"/>
    <col min="29" max="29" width="21" style="4" hidden="1" customWidth="1"/>
    <col min="30" max="30" width="9.14285714285714" style="4"/>
    <col min="31" max="31" width="14.2857142857143" style="4" bestFit="1" customWidth="1"/>
    <col min="32" max="33" width="9.14285714285714" style="4"/>
    <col min="34" max="39" width="15.7142857142857" style="4" customWidth="1"/>
    <col min="40" max="40" width="9.14285714285714" style="4"/>
    <col min="41" max="41" width="20.2857142857143" style="4" bestFit="1" customWidth="1"/>
    <col min="42" max="42" width="9.14285714285714" style="4"/>
    <col min="43" max="43" width="25.1428571428571" style="4" bestFit="1" customWidth="1"/>
    <col min="44" max="44" width="11.4285714285714" style="4" bestFit="1" customWidth="1"/>
    <col min="45" max="45" width="10.5714285714286" style="4" bestFit="1" customWidth="1"/>
    <col min="46" max="46" width="9.14285714285714" style="4"/>
    <col min="47" max="47" width="73.4285714285714" style="4" bestFit="1" customWidth="1"/>
    <col min="48" max="48" width="9.14285714285714" style="4"/>
    <col min="49" max="49" width="48.1428571428571" style="4" bestFit="1" customWidth="1"/>
    <col min="50" max="50" width="9.14285714285714" style="4"/>
    <col min="51" max="51" width="25.8571428571429" style="4" bestFit="1" customWidth="1"/>
    <col min="52" max="52" width="9.14285714285714" style="4"/>
    <col min="53" max="53" width="16.5714285714286" style="4" bestFit="1" customWidth="1"/>
    <col min="54" max="54" width="9.14285714285714" style="4"/>
    <col min="55" max="55" width="17.8571428571429" style="4" bestFit="1" customWidth="1"/>
    <col min="56" max="56" width="17.4285714285714" style="4" bestFit="1" customWidth="1"/>
    <col min="57" max="57" width="9.14285714285714" style="4"/>
    <col min="58" max="58" width="29" style="4" bestFit="1" customWidth="1"/>
    <col min="59" max="59" width="29" style="4" customWidth="1"/>
    <col min="60" max="60" width="9.14285714285714" style="4"/>
    <col min="61" max="61" width="24.2857142857143" style="4" bestFit="1" customWidth="1"/>
    <col min="62" max="62" width="9.14285714285714" style="4"/>
    <col min="63" max="63" width="28.4285714285714" style="4" bestFit="1" customWidth="1"/>
    <col min="64" max="16384" width="9.14285714285714" style="4"/>
  </cols>
  <sheetData>
    <row r="1" spans="1:63" s="114" customFormat="1" ht="15">
      <c r="A1" s="114"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$2,README!$E:$E,README!$I$36,README!$B$36)</f>
        <v>◈</v>
      </c>
      <c r="C1" s="114"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C$2,README!$E:$E,README!$I$36,README!$B$36)</f>
        <v>◈</v>
      </c>
      <c r="E1" s="114"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E$2,README!$E:$E,README!$I$36,README!$B$36)</f>
        <v>◈</v>
      </c>
      <c r="G1" s="114"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G$2,README!$E:$E,README!$I$36,README!$B$36)</f>
        <v>◈</v>
      </c>
      <c r="M1" s="114"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M$2,README!$E:$E,README!$I$36,README!$B$36)</f>
        <v>◈</v>
      </c>
      <c r="O1" s="114" t="str" cm="1">
        <f t="array" ca="1" aca="1" ref="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O$2,README!$E:$E,README!$I$36,README!$B$36)</f>
        <v>◈</v>
      </c>
      <c r="Q1" s="114" t="str" cm="1">
        <f t="array" ca="1" aca="1" ref="Q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Q$2,README!$E:$E,README!$I$36,README!$B$36)</f>
        <v>◈</v>
      </c>
      <c r="T1" s="114" t="str" cm="1">
        <f t="array" ca="1" aca="1" ref="T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T$2,README!$E:$E,README!$I$36,README!$B$36)</f>
        <v>◈</v>
      </c>
      <c r="V1" s="114" t="str" cm="1">
        <f t="array" ca="1" aca="1" ref="V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V$2,README!$E:$E,README!$I$36,README!$B$36)</f>
        <v>◈</v>
      </c>
      <c r="Y1" s="114" t="str" cm="1">
        <f t="array" ca="1" aca="1" ref="Y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Y$2,README!$E:$E,README!$I$36,README!$B$36)</f>
        <v>◈</v>
      </c>
      <c r="AE1" s="114" t="str" cm="1">
        <f t="array" ca="1" aca="1" ref="A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E$2,README!$E:$E,README!$I$36,README!$B$36)</f>
        <v>◈</v>
      </c>
      <c r="AH1" s="114" t="str" cm="1">
        <f t="array" ca="1" aca="1" ref="A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H$2,README!$E:$E,README!$I$36,README!$B$36)</f>
        <v>◈</v>
      </c>
      <c r="AO1" s="114" t="str" cm="1">
        <f t="array" ca="1" aca="1" ref="A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O$2,README!$E:$E,README!$I$36,README!$B$36)</f>
        <v>◈</v>
      </c>
      <c r="AQ1" s="114" t="str" cm="1">
        <f t="array" ca="1" aca="1" ref="AQ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Q$2,README!$E:$E,README!$I$36,README!$B$36)</f>
        <v>◈</v>
      </c>
      <c r="AU1" s="114" t="str" cm="1">
        <f t="array" ca="1" aca="1" ref="AU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U$2,README!$E:$E,README!$I$36,README!$B$36)</f>
        <v>◈</v>
      </c>
      <c r="AW1" s="114" t="str" cm="1">
        <f t="array" ca="1" aca="1" ref="AW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W$2,README!$E:$E,README!$I$36,README!$B$36)</f>
        <v>◈</v>
      </c>
      <c r="AY1" s="114" t="str" cm="1">
        <f t="array" ca="1" aca="1" ref="AY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AY$2,README!$E:$E,README!$I$36,README!$B$36)</f>
        <v>◈</v>
      </c>
      <c r="BA1" s="114" t="str" cm="1">
        <f t="array" ca="1" aca="1" ref="B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BA$2,README!$E:$E,README!$I$36,README!$B$36)</f>
        <v>◈</v>
      </c>
      <c r="BF1" s="114" t="str" cm="1">
        <f t="array" ca="1" aca="1" ref="B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BF$2,README!$E:$E,README!$I$36,README!$B$36)</f>
        <v>◈</v>
      </c>
      <c r="BI1" s="114" t="str" cm="1">
        <f t="array" ca="1" aca="1" ref="B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BI$2,README!$E:$E,README!$I$36,README!$B$36)</f>
        <v>◈</v>
      </c>
      <c r="BK1" s="114" t="str" cm="1">
        <f t="array" ca="1" aca="1" ref="B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$3,BK$2,README!$E:$E,README!$I$36,README!$B$36)</f>
        <v>◈</v>
      </c>
    </row>
    <row r="2" spans="1:63" s="26" customFormat="1" ht="21">
      <c r="A2" s="26" t="s">
        <v>194</v>
      </c>
      <c r="C2" s="26" t="s">
        <v>1126</v>
      </c>
      <c r="E2" s="26" t="s">
        <v>914</v>
      </c>
      <c r="G2" s="26" t="s">
        <v>912</v>
      </c>
      <c r="M2" s="26" t="s">
        <v>220</v>
      </c>
      <c r="O2" s="26" t="s">
        <v>221</v>
      </c>
      <c r="Q2" s="26" t="s">
        <v>193</v>
      </c>
      <c r="T2" s="26" t="s">
        <v>77</v>
      </c>
      <c r="V2" s="26" t="s">
        <v>1</v>
      </c>
      <c r="Y2" s="26" t="s">
        <v>191</v>
      </c>
      <c r="AE2" s="26" t="s">
        <v>195</v>
      </c>
      <c r="AH2" s="26" t="s">
        <v>192</v>
      </c>
      <c r="AO2" s="26" t="s">
        <v>371</v>
      </c>
      <c r="AQ2" s="26" t="s">
        <v>666</v>
      </c>
      <c r="AU2" s="26" t="s">
        <v>705</v>
      </c>
      <c r="AW2" s="26" t="s">
        <v>1484</v>
      </c>
      <c r="AY2" s="26" t="s">
        <v>1295</v>
      </c>
      <c r="BA2" s="26" t="s">
        <v>1345</v>
      </c>
      <c r="BF2" s="26" t="s">
        <v>1679</v>
      </c>
      <c r="BI2" s="26" t="s">
        <v>1372</v>
      </c>
      <c r="BK2" s="26" t="s">
        <v>1373</v>
      </c>
    </row>
    <row r="3" spans="1:63" s="25" customFormat="1" ht="30">
      <c r="A3" s="25" t="s">
        <v>216</v>
      </c>
      <c r="C3" s="25" t="s">
        <v>217</v>
      </c>
      <c r="E3" s="25" t="s">
        <v>217</v>
      </c>
      <c r="G3" s="25" t="s">
        <v>913</v>
      </c>
      <c r="H3" s="25" t="s">
        <v>217</v>
      </c>
      <c r="I3" s="25" t="s">
        <v>218</v>
      </c>
      <c r="J3" s="25" t="s">
        <v>187</v>
      </c>
      <c r="K3" s="25" t="s">
        <v>920</v>
      </c>
      <c r="M3" s="25" t="s">
        <v>219</v>
      </c>
      <c r="O3" s="25" t="s">
        <v>219</v>
      </c>
      <c r="Q3" s="25" t="s">
        <v>217</v>
      </c>
      <c r="R3" s="25" t="s">
        <v>222</v>
      </c>
      <c r="T3" s="25" t="s">
        <v>223</v>
      </c>
      <c r="V3" s="25" t="s">
        <v>224</v>
      </c>
      <c r="W3" s="25" t="s">
        <v>188</v>
      </c>
      <c r="Y3" s="25" t="s">
        <v>225</v>
      </c>
      <c r="Z3" s="25" t="s">
        <v>226</v>
      </c>
      <c r="AA3" s="25" t="s">
        <v>222</v>
      </c>
      <c r="AB3" s="25" t="s">
        <v>227</v>
      </c>
      <c r="AC3" s="25" t="s">
        <v>920</v>
      </c>
      <c r="AE3" s="25" t="s">
        <v>217</v>
      </c>
      <c r="AF3" s="25" t="s">
        <v>222</v>
      </c>
      <c r="AH3" s="82" t="s">
        <v>535</v>
      </c>
      <c r="AI3" s="5" t="str">
        <f ca="1">OFFSET($W$4,COLUMN()-COLUMN($AI$2),0)</f>
        <v>Basic</v>
      </c>
      <c r="AJ3" s="5" t="str">
        <f ca="1">OFFSET($W$4,COLUMN()-COLUMN($AI$2),0)</f>
        <v>Enhanced-Basic</v>
      </c>
      <c r="AK3" s="5" t="str">
        <f ca="1">OFFSET($W$4,COLUMN()-COLUMN($AI$2),0)</f>
        <v>Moderate</v>
      </c>
      <c r="AL3" s="5" t="str">
        <f ca="1">OFFSET($W$4,COLUMN()-COLUMN($AI$2),0)</f>
        <v>High</v>
      </c>
      <c r="AM3" s="5" t="str">
        <f ca="1">OFFSET($W$4,COLUMN()-COLUMN($AI$2),0)</f>
        <v>Beyond High</v>
      </c>
      <c r="AO3" s="25" t="s">
        <v>374</v>
      </c>
      <c r="AQ3" s="25" t="s">
        <v>662</v>
      </c>
      <c r="AR3" s="25" t="s">
        <v>660</v>
      </c>
      <c r="AS3" s="25" t="s">
        <v>661</v>
      </c>
      <c r="AU3" s="25" t="s">
        <v>706</v>
      </c>
      <c r="AW3" s="25" t="s">
        <v>1276</v>
      </c>
      <c r="AY3" s="25" t="s">
        <v>1327</v>
      </c>
      <c r="BA3" s="25" t="s">
        <v>235</v>
      </c>
      <c r="BB3" s="25" t="s">
        <v>1346</v>
      </c>
      <c r="BC3" s="25" t="s">
        <v>1348</v>
      </c>
      <c r="BD3" s="25" t="s">
        <v>1349</v>
      </c>
      <c r="BF3" s="25" t="s">
        <v>1680</v>
      </c>
      <c r="BG3" s="25" t="s">
        <v>779</v>
      </c>
      <c r="BI3" s="25" t="s">
        <v>219</v>
      </c>
      <c r="BK3" s="25" t="s">
        <v>219</v>
      </c>
    </row>
    <row r="4" spans="1:63" ht="75">
      <c r="A4" s="4" t="s">
        <v>10</v>
      </c>
      <c r="C4" s="4" t="s">
        <v>1783</v>
      </c>
      <c r="E4" s="4" t="s">
        <v>915</v>
      </c>
      <c r="G4" s="4" t="str">
        <f>$E$4</f>
        <v>Personal Data</v>
      </c>
      <c r="H4" s="4" t="s">
        <v>14</v>
      </c>
      <c r="I4" s="4" t="s">
        <v>1015</v>
      </c>
      <c r="J4" s="4" t="s">
        <v>17</v>
      </c>
      <c r="K4" s="4" t="b">
        <f ca="1">OFFSET($G4,-1,0)=$G4</f>
        <v>0</v>
      </c>
      <c r="M4" s="4" t="s">
        <v>40</v>
      </c>
      <c r="O4" s="4" t="s">
        <v>49</v>
      </c>
      <c r="Q4" s="4" t="s">
        <v>185</v>
      </c>
      <c r="R4" s="4">
        <v>1</v>
      </c>
      <c r="T4" s="4">
        <v>60</v>
      </c>
      <c r="V4" s="4">
        <v>0</v>
      </c>
      <c r="W4" s="4" t="s">
        <v>79</v>
      </c>
      <c r="Y4" s="4" t="s">
        <v>131</v>
      </c>
      <c r="Z4" s="4" t="s">
        <v>132</v>
      </c>
      <c r="AA4" s="4">
        <v>0</v>
      </c>
      <c r="AB4" s="4" cm="1">
        <f t="array" ref="AB4">IF(ROW()=ROW($AB$3)+1,0,INDEX($AB:$AB,ROW()-1))+IF($Y4=INDEX($Y:$Y,ROW()-1),0,1)</f>
        <v>1</v>
      </c>
      <c r="AC4" s="4" t="b">
        <f ca="1">OFFSET($AB4,-1,0)=$AB4</f>
        <v>0</v>
      </c>
      <c r="AE4" s="4" t="s">
        <v>1240</v>
      </c>
      <c r="AF4" s="4">
        <v>0</v>
      </c>
      <c r="AH4" s="82" t="str">
        <f>Q4</f>
        <v>Immaterial</v>
      </c>
      <c r="AI4" s="4" t="str">
        <f>$AE$5</f>
        <v>Low</v>
      </c>
      <c r="AJ4" s="4" t="str">
        <f>$AE$5</f>
        <v>Low</v>
      </c>
      <c r="AK4" s="4" t="str">
        <f>$AE$5</f>
        <v>Low</v>
      </c>
      <c r="AL4" s="4" t="str">
        <f>$AE$5</f>
        <v>Low</v>
      </c>
      <c r="AM4" s="4" t="str">
        <f>$AE$5</f>
        <v>Low</v>
      </c>
      <c r="AO4" s="4" t="str">
        <f>$C$4</f>
        <v>acontis techonlogies GmbH</v>
      </c>
      <c r="AQ4" s="4" t="s">
        <v>269</v>
      </c>
      <c r="AR4" s="4" t="s">
        <v>663</v>
      </c>
      <c r="AS4" s="4" t="s">
        <v>665</v>
      </c>
      <c r="AU4" s="4" t="s">
        <v>10</v>
      </c>
      <c r="AW4" s="4" t="s">
        <v>1277</v>
      </c>
      <c r="AY4" s="4" t="str">
        <f>_xlfn.UNICHAR(9672)</f>
        <v>◈</v>
      </c>
      <c r="BA4" s="4" t="str" cm="1">
        <f t="array" ca="1" aca="1" ref="BA4">GetSheetName(Questionnaire!$L$3)</f>
        <v>Questionnaire</v>
      </c>
      <c r="BB4" s="4" t="str" cm="1">
        <f t="array" ca="1" aca="1" ref="BB4">GetColumnLetter(Questionnaire!$A$2)&amp;GetColumnLetter(Questionnaire!$K$2)&amp;GetColumnLetter(Questionnaire!$C$2)&amp;GetColumnLetter(Questionnaire!$D$2)&amp;GetColumnLetter(Questionnaire!$E$2)&amp;GetColumnLetter(Questionnaire!$F$2)&amp;GetColumnLetter(Questionnaire!$G$2)</f>
        <v>AKCDEFG</v>
      </c>
      <c r="BC4" s="4" t="str" cm="1">
        <f t="array" ca="1" aca="1" ref="BC4">GetColumnLetter(Questionnaire!$L$3)</f>
        <v>L</v>
      </c>
      <c r="BD4" s="4">
        <f>ROW(Questionnaire!$L$2)</f>
        <v>2</v>
      </c>
      <c r="BF4" s="4" t="s">
        <v>10</v>
      </c>
      <c r="BG4" s="4" t="s">
        <v>1684</v>
      </c>
      <c r="BI4" s="4" t="s">
        <v>1644</v>
      </c>
      <c r="BK4" s="4" t="s">
        <v>1651</v>
      </c>
    </row>
    <row r="5" spans="1:63" ht="60">
      <c r="A5" s="4" t="s">
        <v>11</v>
      </c>
      <c r="E5" s="4" t="s">
        <v>916</v>
      </c>
      <c r="G5" s="4" t="str">
        <f>$E$4</f>
        <v>Personal Data</v>
      </c>
      <c r="H5" s="4" t="s">
        <v>15</v>
      </c>
      <c r="I5" s="4" t="s">
        <v>12</v>
      </c>
      <c r="J5" s="4" t="s">
        <v>18</v>
      </c>
      <c r="K5" s="4" t="b">
        <f ca="1" t="shared" si="0" ref="K5:K22">OFFSET($G5,-1,0)=$G5</f>
        <v>1</v>
      </c>
      <c r="M5" s="4" t="s">
        <v>41</v>
      </c>
      <c r="O5" s="4" t="s">
        <v>50</v>
      </c>
      <c r="Q5" s="4" t="s">
        <v>17</v>
      </c>
      <c r="R5" s="4">
        <v>2</v>
      </c>
      <c r="V5" s="4">
        <v>10</v>
      </c>
      <c r="W5" s="4" t="s">
        <v>80</v>
      </c>
      <c r="Y5" s="4" t="s">
        <v>131</v>
      </c>
      <c r="Z5" s="4" t="s">
        <v>133</v>
      </c>
      <c r="AA5" s="4">
        <v>1</v>
      </c>
      <c r="AB5" s="4" cm="1">
        <f t="array" ref="AB5">IF(ROW()=ROW($AB$3)+1,0,INDEX($AB:$AB,ROW()-1))+IF($Y5=INDEX($Y:$Y,ROW()-1),0,1)</f>
        <v>1</v>
      </c>
      <c r="AC5" s="4" t="b">
        <f ca="1" t="shared" si="1" ref="AC5:AC26">OFFSET($AB5,-1,0)=$AB5</f>
        <v>1</v>
      </c>
      <c r="AE5" s="4" t="s">
        <v>17</v>
      </c>
      <c r="AF5" s="4">
        <v>1</v>
      </c>
      <c r="AH5" s="82" t="str">
        <f>Q5</f>
        <v>Low</v>
      </c>
      <c r="AI5" s="4" t="str">
        <f>$AE$7</f>
        <v>High</v>
      </c>
      <c r="AJ5" s="4" t="str">
        <f>$AE$6</f>
        <v>Moderate</v>
      </c>
      <c r="AK5" s="4" t="str">
        <f>$AE$6</f>
        <v>Moderate</v>
      </c>
      <c r="AL5" s="4" t="str">
        <f>$AE$6</f>
        <v>Moderate</v>
      </c>
      <c r="AM5" s="4" t="str">
        <f>$AE$5</f>
        <v>Low</v>
      </c>
      <c r="AO5" s="4" t="s">
        <v>372</v>
      </c>
      <c r="AQ5" s="4" t="s">
        <v>274</v>
      </c>
      <c r="AR5" s="4" t="s">
        <v>664</v>
      </c>
      <c r="AS5" s="4" t="s">
        <v>665</v>
      </c>
      <c r="AW5" s="4" t="s">
        <v>1278</v>
      </c>
      <c r="BA5" s="4" t="str" cm="1">
        <f t="array" ca="1" aca="1" ref="BA5">GetSheetName('Risk Treatment'!$U$4)</f>
        <v>Risk Treatment</v>
      </c>
      <c r="BB5" s="4" t="str" cm="1">
        <f t="array" ca="1" aca="1" ref="BB5">GetColumnLetter('Risk Treatment'!$C$4)&amp;GetColumnLetter('Risk Treatment'!$F$4)&amp;GetColumnLetter('Risk Treatment'!$H$4)&amp;GetColumnLetter('Risk Treatment'!$I$4)&amp;GetColumnLetter('Risk Treatment'!$J$4)&amp;GetColumnLetter('Risk Treatment'!$O$4)&amp;GetColumnLetter('Risk Treatment'!$R$4)</f>
        <v>CFHIJOR</v>
      </c>
      <c r="BC5" s="4" t="str" cm="1">
        <f t="array" ca="1" aca="1" ref="BC5">GetColumnLetter('Risk Treatment'!$U$4)</f>
        <v>U</v>
      </c>
      <c r="BD5" s="4">
        <f>ROW('Risk Treatment'!$U$4)</f>
        <v>4</v>
      </c>
      <c r="BF5" s="4" t="s">
        <v>11</v>
      </c>
      <c r="BG5" s="4" t="s">
        <v>1685</v>
      </c>
      <c r="BI5" s="4" t="s">
        <v>1645</v>
      </c>
      <c r="BK5" s="4" t="s">
        <v>1652</v>
      </c>
    </row>
    <row r="6" spans="5:63" ht="75">
      <c r="E6" s="4" t="s">
        <v>917</v>
      </c>
      <c r="G6" s="4" t="str">
        <f>$E$4</f>
        <v>Personal Data</v>
      </c>
      <c r="H6" s="4" t="s">
        <v>16</v>
      </c>
      <c r="I6" s="4" t="s">
        <v>13</v>
      </c>
      <c r="J6" s="4" t="s">
        <v>19</v>
      </c>
      <c r="K6" s="4" t="b">
        <f t="shared" ca="1" si="0"/>
        <v>1</v>
      </c>
      <c r="M6" s="4" t="s">
        <v>43</v>
      </c>
      <c r="Q6" s="4" t="s">
        <v>24</v>
      </c>
      <c r="R6" s="4">
        <v>3</v>
      </c>
      <c r="V6" s="4">
        <v>14</v>
      </c>
      <c r="W6" s="4" t="s">
        <v>81</v>
      </c>
      <c r="Y6" s="4" t="s">
        <v>131</v>
      </c>
      <c r="Z6" s="4" t="s">
        <v>134</v>
      </c>
      <c r="AA6" s="4">
        <v>4</v>
      </c>
      <c r="AB6" s="4" cm="1">
        <f t="array" ref="AB6">IF(ROW()=ROW($AB$3)+1,0,INDEX($AB:$AB,ROW()-1))+IF($Y6=INDEX($Y:$Y,ROW()-1),0,1)</f>
        <v>1</v>
      </c>
      <c r="AC6" s="4" t="b">
        <f t="shared" ca="1" si="1"/>
        <v>1</v>
      </c>
      <c r="AE6" s="4" t="s">
        <v>81</v>
      </c>
      <c r="AF6" s="4">
        <v>2</v>
      </c>
      <c r="AH6" s="82" t="str">
        <f>Q6</f>
        <v>Medium</v>
      </c>
      <c r="AI6" s="4" t="str">
        <f>$AE$8</f>
        <v>Very High</v>
      </c>
      <c r="AJ6" s="4" t="str">
        <f>$AE$7</f>
        <v>High</v>
      </c>
      <c r="AK6" s="4" t="str">
        <f>$AE$7</f>
        <v>High</v>
      </c>
      <c r="AL6" s="4" t="str">
        <f>$AE$6</f>
        <v>Moderate</v>
      </c>
      <c r="AM6" s="4" t="str">
        <f>$AE$6</f>
        <v>Moderate</v>
      </c>
      <c r="AO6" s="4" t="s">
        <v>373</v>
      </c>
      <c r="AQ6" s="4" t="s">
        <v>1286</v>
      </c>
      <c r="AR6" s="4" t="s">
        <v>1284</v>
      </c>
      <c r="AW6" s="4" t="s">
        <v>1279</v>
      </c>
      <c r="BA6" s="4" t="str" cm="1">
        <f t="array" ca="1" aca="1" ref="BA6">GetSheetName('Result Summary'!$I$17)</f>
        <v>Result Summary</v>
      </c>
      <c r="BB6" s="4" t="str" cm="1">
        <f t="array" ca="1" aca="1" ref="BB6">GetColumnLetter('Result Summary'!$A$17)&amp;GetColumnLetter('Result Summary'!$B$17)&amp;GetColumnLetter('Result Summary'!$C$17)</f>
        <v>ABC</v>
      </c>
      <c r="BC6" s="4" t="str" cm="1">
        <f t="array" ca="1" aca="1" ref="BC6">GetColumnLetter('Result Summary'!$I$17)</f>
        <v>I</v>
      </c>
      <c r="BD6" s="4">
        <f>ROW('Result Summary'!$I$17)</f>
        <v>17</v>
      </c>
      <c r="BF6" s="4" t="s">
        <v>1682</v>
      </c>
      <c r="BG6" s="4" t="s">
        <v>1683</v>
      </c>
      <c r="BI6" s="4" t="s">
        <v>1646</v>
      </c>
      <c r="BK6" s="4" t="s">
        <v>1653</v>
      </c>
    </row>
    <row r="7" spans="5:63" ht="45">
      <c r="E7" s="4" t="s">
        <v>59</v>
      </c>
      <c r="G7" s="4" t="str">
        <f>$E$5</f>
        <v>Loss of Intellectual Property</v>
      </c>
      <c r="H7" s="4" t="s">
        <v>20</v>
      </c>
      <c r="I7" s="4" t="s">
        <v>21</v>
      </c>
      <c r="J7" s="4" t="s">
        <v>17</v>
      </c>
      <c r="K7" s="4" t="b">
        <f t="shared" ca="1" si="0"/>
        <v>0</v>
      </c>
      <c r="M7" s="4" t="s">
        <v>42</v>
      </c>
      <c r="Q7" s="4" t="s">
        <v>18</v>
      </c>
      <c r="R7" s="4">
        <v>4</v>
      </c>
      <c r="V7" s="4">
        <v>20</v>
      </c>
      <c r="W7" s="4" t="s">
        <v>18</v>
      </c>
      <c r="Y7" s="4" t="s">
        <v>131</v>
      </c>
      <c r="Z7" s="4" t="s">
        <v>135</v>
      </c>
      <c r="AA7" s="4">
        <v>10</v>
      </c>
      <c r="AB7" s="4" cm="1">
        <f t="array" ref="AB7">IF(ROW()=ROW($AB$3)+1,0,INDEX($AB:$AB,ROW()-1))+IF($Y7=INDEX($Y:$Y,ROW()-1),0,1)</f>
        <v>1</v>
      </c>
      <c r="AC7" s="4" t="b">
        <f t="shared" ca="1" si="1"/>
        <v>1</v>
      </c>
      <c r="AE7" s="4" t="s">
        <v>18</v>
      </c>
      <c r="AF7" s="4">
        <v>3</v>
      </c>
      <c r="AH7" s="82" t="str">
        <f>Q7</f>
        <v>High</v>
      </c>
      <c r="AI7" s="4" t="str">
        <f>$AE$8</f>
        <v>Very High</v>
      </c>
      <c r="AJ7" s="4" t="str">
        <f>$AE$8</f>
        <v>Very High</v>
      </c>
      <c r="AK7" s="4" t="str">
        <f>$AE$7</f>
        <v>High</v>
      </c>
      <c r="AL7" s="4" t="str">
        <f>$AE$7</f>
        <v>High</v>
      </c>
      <c r="AM7" s="4" t="str">
        <f>$AE$6</f>
        <v>Moderate</v>
      </c>
      <c r="AW7" s="4" t="s">
        <v>1280</v>
      </c>
      <c r="BI7" s="4" t="s">
        <v>1647</v>
      </c>
      <c r="BK7" s="4" t="s">
        <v>1654</v>
      </c>
    </row>
    <row r="8" spans="5:39 61:63" ht="45" customHeight="1">
      <c r="E8" s="4" t="s">
        <v>918</v>
      </c>
      <c r="G8" s="4" t="str">
        <f>$E$5</f>
        <v>Loss of Intellectual Property</v>
      </c>
      <c r="H8" s="4" t="s">
        <v>22</v>
      </c>
      <c r="I8" s="4" t="s">
        <v>23</v>
      </c>
      <c r="J8" s="4" t="s">
        <v>24</v>
      </c>
      <c r="K8" s="4" t="b">
        <f t="shared" ca="1" si="0"/>
        <v>1</v>
      </c>
      <c r="Q8" s="4" t="s">
        <v>19</v>
      </c>
      <c r="R8" s="4">
        <v>5</v>
      </c>
      <c r="V8" s="4">
        <v>25</v>
      </c>
      <c r="W8" s="4" t="s">
        <v>82</v>
      </c>
      <c r="Y8" s="4" t="s">
        <v>131</v>
      </c>
      <c r="Z8" s="4" t="s">
        <v>136</v>
      </c>
      <c r="AA8" s="4">
        <v>19</v>
      </c>
      <c r="AB8" s="4" cm="1">
        <f t="array" ref="AB8">IF(ROW()=ROW($AB$3)+1,0,INDEX($AB:$AB,ROW()-1))+IF($Y8=INDEX($Y:$Y,ROW()-1),0,1)</f>
        <v>1</v>
      </c>
      <c r="AC8" s="4" t="b">
        <f t="shared" ca="1" si="1"/>
        <v>1</v>
      </c>
      <c r="AE8" s="4" t="s">
        <v>186</v>
      </c>
      <c r="AF8" s="4">
        <v>4</v>
      </c>
      <c r="AH8" s="82" t="str">
        <f>Q8</f>
        <v>Critical</v>
      </c>
      <c r="AI8" s="4" t="str">
        <f>$AE$8</f>
        <v>Very High</v>
      </c>
      <c r="AJ8" s="4" t="str">
        <f>$AE$8</f>
        <v>Very High</v>
      </c>
      <c r="AK8" s="4" t="str">
        <f>$AE$8</f>
        <v>Very High</v>
      </c>
      <c r="AL8" s="4" t="str">
        <f>$AE$7</f>
        <v>High</v>
      </c>
      <c r="AM8" s="4" t="str">
        <f>$AE$6</f>
        <v>Moderate</v>
      </c>
      <c r="BI8" s="4" t="s">
        <v>1648</v>
      </c>
      <c r="BK8" s="4" t="s">
        <v>1655</v>
      </c>
    </row>
    <row r="9" spans="7:29 61:61" ht="45" customHeight="1">
      <c r="G9" s="4" t="str">
        <f>$E$5</f>
        <v>Loss of Intellectual Property</v>
      </c>
      <c r="H9" s="4" t="s">
        <v>25</v>
      </c>
      <c r="I9" s="4" t="s">
        <v>26</v>
      </c>
      <c r="J9" s="4" t="s">
        <v>18</v>
      </c>
      <c r="K9" s="4" t="b">
        <f t="shared" ca="1" si="0"/>
        <v>1</v>
      </c>
      <c r="Y9" s="4" t="s">
        <v>131</v>
      </c>
      <c r="Z9" s="4" t="s">
        <v>137</v>
      </c>
      <c r="AA9" s="4">
        <v>25</v>
      </c>
      <c r="AB9" s="4" cm="1">
        <f t="array" ref="AB9">IF(ROW()=ROW($AB$3)+1,0,INDEX($AB:$AB,ROW()-1))+IF($Y9=INDEX($Y:$Y,ROW()-1),0,1)</f>
        <v>1</v>
      </c>
      <c r="AC9" s="4" t="b">
        <f t="shared" ca="1" si="1"/>
        <v>1</v>
      </c>
      <c r="BI9" s="4" t="s">
        <v>1376</v>
      </c>
    </row>
    <row r="10" spans="7:29 61:61" ht="45" customHeight="1">
      <c r="G10" s="4" t="str">
        <f>$E$6</f>
        <v>Financial and Legal</v>
      </c>
      <c r="H10" s="4" t="s">
        <v>1733</v>
      </c>
      <c r="I10" s="4" t="s">
        <v>1734</v>
      </c>
      <c r="J10" s="4" t="s">
        <v>17</v>
      </c>
      <c r="K10" s="4" t="b">
        <f t="shared" ca="1" si="0"/>
        <v>0</v>
      </c>
      <c r="Y10" s="4" t="s">
        <v>138</v>
      </c>
      <c r="Z10" s="4" t="s">
        <v>139</v>
      </c>
      <c r="AA10" s="4">
        <v>0</v>
      </c>
      <c r="AB10" s="4" cm="1">
        <f t="array" ref="AB10">IF(ROW()=ROW($AB$3)+1,0,INDEX($AB:$AB,ROW()-1))+IF($Y10=INDEX($Y:$Y,ROW()-1),0,1)</f>
        <v>2</v>
      </c>
      <c r="AC10" s="4" t="b">
        <f t="shared" ca="1" si="1"/>
        <v>0</v>
      </c>
      <c r="BI10" s="4" t="s">
        <v>1649</v>
      </c>
    </row>
    <row r="11" spans="7:29 61:61" ht="30" customHeight="1">
      <c r="G11" s="4" t="str">
        <f>$E$6</f>
        <v>Financial and Legal</v>
      </c>
      <c r="H11" s="4" t="s">
        <v>1735</v>
      </c>
      <c r="I11" s="4" t="s">
        <v>1736</v>
      </c>
      <c r="J11" s="4" t="s">
        <v>24</v>
      </c>
      <c r="K11" s="4" t="b">
        <f t="shared" ca="1" si="0"/>
        <v>1</v>
      </c>
      <c r="Y11" s="4" t="s">
        <v>138</v>
      </c>
      <c r="Z11" s="4" t="s">
        <v>140</v>
      </c>
      <c r="AA11" s="4">
        <v>3</v>
      </c>
      <c r="AB11" s="4" cm="1">
        <f t="array" ref="AB11">IF(ROW()=ROW($AB$3)+1,0,INDEX($AB:$AB,ROW()-1))+IF($Y11=INDEX($Y:$Y,ROW()-1),0,1)</f>
        <v>2</v>
      </c>
      <c r="AC11" s="4" t="b">
        <f t="shared" ca="1" si="1"/>
        <v>1</v>
      </c>
      <c r="BI11" s="4" t="s">
        <v>1650</v>
      </c>
    </row>
    <row r="12" spans="7:29" ht="30" customHeight="1">
      <c r="G12" s="4" t="str">
        <f>$E$6</f>
        <v>Financial and Legal</v>
      </c>
      <c r="H12" s="4" t="s">
        <v>1737</v>
      </c>
      <c r="I12" s="4" t="s">
        <v>1738</v>
      </c>
      <c r="J12" s="4" t="s">
        <v>18</v>
      </c>
      <c r="K12" s="4" t="b">
        <f t="shared" ca="1" si="0"/>
        <v>1</v>
      </c>
      <c r="Y12" s="4" t="s">
        <v>138</v>
      </c>
      <c r="Z12" s="4" t="s">
        <v>141</v>
      </c>
      <c r="AA12" s="4">
        <v>6</v>
      </c>
      <c r="AB12" s="4" cm="1">
        <f t="array" ref="AB12">IF(ROW()=ROW($AB$3)+1,0,INDEX($AB:$AB,ROW()-1))+IF($Y12=INDEX($Y:$Y,ROW()-1),0,1)</f>
        <v>2</v>
      </c>
      <c r="AC12" s="4" t="b">
        <f t="shared" ca="1" si="1"/>
        <v>1</v>
      </c>
    </row>
    <row r="13" spans="7:29" ht="45">
      <c r="G13" s="4" t="str">
        <f>$E$6</f>
        <v>Financial and Legal</v>
      </c>
      <c r="H13" s="4" t="s">
        <v>1739</v>
      </c>
      <c r="I13" s="4" t="s">
        <v>1740</v>
      </c>
      <c r="J13" s="4" t="s">
        <v>19</v>
      </c>
      <c r="K13" s="4" t="b">
        <f t="shared" ca="1" si="0"/>
        <v>1</v>
      </c>
      <c r="Y13" s="4" t="s">
        <v>138</v>
      </c>
      <c r="Z13" s="4" t="s">
        <v>142</v>
      </c>
      <c r="AA13" s="4">
        <v>8</v>
      </c>
      <c r="AB13" s="4" cm="1">
        <f t="array" ref="AB13">IF(ROW()=ROW($AB$3)+1,0,INDEX($AB:$AB,ROW()-1))+IF($Y13=INDEX($Y:$Y,ROW()-1),0,1)</f>
        <v>2</v>
      </c>
      <c r="AC13" s="4" t="b">
        <f t="shared" ca="1" si="1"/>
        <v>1</v>
      </c>
    </row>
    <row r="14" spans="7:29" ht="45" customHeight="1">
      <c r="G14" s="4" t="str">
        <f>$E$7</f>
        <v>Safety</v>
      </c>
      <c r="H14" s="4" t="s">
        <v>29</v>
      </c>
      <c r="I14" s="4" t="s">
        <v>29</v>
      </c>
      <c r="J14" s="4" t="s">
        <v>17</v>
      </c>
      <c r="K14" s="4" t="b">
        <f t="shared" ca="1" si="0"/>
        <v>0</v>
      </c>
      <c r="Y14" s="4" t="s">
        <v>143</v>
      </c>
      <c r="Z14" s="4" t="s">
        <v>144</v>
      </c>
      <c r="AA14" s="4">
        <v>0</v>
      </c>
      <c r="AB14" s="4" cm="1">
        <f t="array" ref="AB14">IF(ROW()=ROW($AB$3)+1,0,INDEX($AB:$AB,ROW()-1))+IF($Y14=INDEX($Y:$Y,ROW()-1),0,1)</f>
        <v>3</v>
      </c>
      <c r="AC14" s="4" t="b">
        <f t="shared" ca="1" si="1"/>
        <v>0</v>
      </c>
    </row>
    <row r="15" spans="7:29" ht="15">
      <c r="G15" s="4" t="str">
        <f>$E$7</f>
        <v>Safety</v>
      </c>
      <c r="H15" s="4" t="s">
        <v>30</v>
      </c>
      <c r="I15" s="4" t="s">
        <v>30</v>
      </c>
      <c r="J15" s="4" t="s">
        <v>24</v>
      </c>
      <c r="K15" s="4" t="b">
        <f t="shared" ca="1" si="0"/>
        <v>1</v>
      </c>
      <c r="Y15" s="4" t="s">
        <v>143</v>
      </c>
      <c r="Z15" s="4" t="s">
        <v>145</v>
      </c>
      <c r="AA15" s="4">
        <v>3</v>
      </c>
      <c r="AB15" s="4" cm="1">
        <f t="array" ref="AB15">IF(ROW()=ROW($AB$3)+1,0,INDEX($AB:$AB,ROW()-1))+IF($Y15=INDEX($Y:$Y,ROW()-1),0,1)</f>
        <v>3</v>
      </c>
      <c r="AC15" s="4" t="b">
        <f t="shared" ca="1" si="1"/>
        <v>1</v>
      </c>
    </row>
    <row r="16" spans="7:29" ht="30">
      <c r="G16" s="4" t="str">
        <f>$E$7</f>
        <v>Safety</v>
      </c>
      <c r="H16" s="4" t="s">
        <v>31</v>
      </c>
      <c r="I16" s="4" t="s">
        <v>31</v>
      </c>
      <c r="J16" s="4" t="s">
        <v>18</v>
      </c>
      <c r="K16" s="4" t="b">
        <f t="shared" ca="1" si="0"/>
        <v>1</v>
      </c>
      <c r="Y16" s="4" t="s">
        <v>143</v>
      </c>
      <c r="Z16" s="4" t="s">
        <v>146</v>
      </c>
      <c r="AA16" s="4">
        <v>7</v>
      </c>
      <c r="AB16" s="4" cm="1">
        <f t="array" ref="AB16">IF(ROW()=ROW($AB$3)+1,0,INDEX($AB:$AB,ROW()-1))+IF($Y16=INDEX($Y:$Y,ROW()-1),0,1)</f>
        <v>3</v>
      </c>
      <c r="AC16" s="4" t="b">
        <f t="shared" ca="1" si="1"/>
        <v>1</v>
      </c>
    </row>
    <row r="17" spans="7:29" ht="15">
      <c r="G17" s="4" t="str">
        <f>$E$7</f>
        <v>Safety</v>
      </c>
      <c r="H17" s="4" t="s">
        <v>32</v>
      </c>
      <c r="I17" s="4" t="s">
        <v>32</v>
      </c>
      <c r="J17" s="4" t="s">
        <v>19</v>
      </c>
      <c r="K17" s="4" t="b">
        <f t="shared" ca="1" si="0"/>
        <v>1</v>
      </c>
      <c r="Y17" s="4" t="s">
        <v>143</v>
      </c>
      <c r="Z17" s="4" t="s">
        <v>19</v>
      </c>
      <c r="AA17" s="4">
        <v>11</v>
      </c>
      <c r="AB17" s="4" cm="1">
        <f t="array" ref="AB17">IF(ROW()=ROW($AB$3)+1,0,INDEX($AB:$AB,ROW()-1))+IF($Y17=INDEX($Y:$Y,ROW()-1),0,1)</f>
        <v>3</v>
      </c>
      <c r="AC17" s="4" t="b">
        <f t="shared" ca="1" si="1"/>
        <v>1</v>
      </c>
    </row>
    <row r="18" spans="7:29" ht="30">
      <c r="G18" s="4" t="str">
        <f>$E$8</f>
        <v>Function and Availability</v>
      </c>
      <c r="H18" s="4" t="s">
        <v>33</v>
      </c>
      <c r="I18" s="4" t="s">
        <v>34</v>
      </c>
      <c r="J18" s="4" t="s">
        <v>17</v>
      </c>
      <c r="K18" s="4" t="b">
        <f t="shared" ca="1" si="0"/>
        <v>0</v>
      </c>
      <c r="Y18" s="4" t="s">
        <v>147</v>
      </c>
      <c r="Z18" s="4" t="s">
        <v>148</v>
      </c>
      <c r="AA18" s="4">
        <v>0</v>
      </c>
      <c r="AB18" s="4" cm="1">
        <f t="array" ref="AB18">IF(ROW()=ROW($AB$3)+1,0,INDEX($AB:$AB,ROW()-1))+IF($Y18=INDEX($Y:$Y,ROW()-1),0,1)</f>
        <v>4</v>
      </c>
      <c r="AC18" s="4" t="b">
        <f t="shared" ca="1" si="1"/>
        <v>0</v>
      </c>
    </row>
    <row r="19" spans="7:29" ht="30">
      <c r="G19" s="4" t="str">
        <f t="shared" si="2" ref="G19:G23">$E$8</f>
        <v>Function and Availability</v>
      </c>
      <c r="H19" s="4" t="s">
        <v>35</v>
      </c>
      <c r="I19" s="4" t="s">
        <v>36</v>
      </c>
      <c r="J19" s="4" t="s">
        <v>24</v>
      </c>
      <c r="K19" s="4" t="b">
        <f t="shared" ca="1" si="0"/>
        <v>1</v>
      </c>
      <c r="Y19" s="4" t="s">
        <v>147</v>
      </c>
      <c r="Z19" s="4" t="s">
        <v>149</v>
      </c>
      <c r="AA19" s="4">
        <v>1</v>
      </c>
      <c r="AB19" s="4" cm="1">
        <f t="array" ref="AB19">IF(ROW()=ROW($AB$3)+1,0,INDEX($AB:$AB,ROW()-1))+IF($Y19=INDEX($Y:$Y,ROW()-1),0,1)</f>
        <v>4</v>
      </c>
      <c r="AC19" s="4" t="b">
        <f t="shared" ca="1" si="1"/>
        <v>1</v>
      </c>
    </row>
    <row r="20" spans="7:29" ht="30">
      <c r="G20" s="4" t="str">
        <f t="shared" si="2"/>
        <v>Function and Availability</v>
      </c>
      <c r="H20" s="4" t="s">
        <v>37</v>
      </c>
      <c r="I20" s="4" t="s">
        <v>38</v>
      </c>
      <c r="J20" s="4" t="s">
        <v>18</v>
      </c>
      <c r="K20" s="4" t="b">
        <f t="shared" ca="1" si="0"/>
        <v>1</v>
      </c>
      <c r="Y20" s="4" t="s">
        <v>147</v>
      </c>
      <c r="Z20" s="4" t="s">
        <v>81</v>
      </c>
      <c r="AA20" s="4">
        <v>4</v>
      </c>
      <c r="AB20" s="4" cm="1">
        <f t="array" ref="AB20">IF(ROW()=ROW($AB$3)+1,0,INDEX($AB:$AB,ROW()-1))+IF($Y20=INDEX($Y:$Y,ROW()-1),0,1)</f>
        <v>4</v>
      </c>
      <c r="AC20" s="4" t="b">
        <f t="shared" ca="1" si="1"/>
        <v>1</v>
      </c>
    </row>
    <row r="21" spans="7:29" ht="30">
      <c r="G21" s="4" t="str">
        <f t="shared" si="2"/>
        <v>Function and Availability</v>
      </c>
      <c r="H21" s="4" t="s">
        <v>1135</v>
      </c>
      <c r="I21" s="4" t="s">
        <v>1133</v>
      </c>
      <c r="J21" s="4" t="s">
        <v>18</v>
      </c>
      <c r="K21" s="4" t="b">
        <f t="shared" ca="1" si="0"/>
        <v>1</v>
      </c>
      <c r="Y21" s="4" t="s">
        <v>147</v>
      </c>
      <c r="Z21" s="4" t="s">
        <v>150</v>
      </c>
      <c r="AA21" s="4">
        <v>10</v>
      </c>
      <c r="AB21" s="4" cm="1">
        <f t="array" ref="AB21">IF(ROW()=ROW($AB$3)+1,0,INDEX($AB:$AB,ROW()-1))+IF($Y21=INDEX($Y:$Y,ROW()-1),0,1)</f>
        <v>4</v>
      </c>
      <c r="AC21" s="4" t="b">
        <f t="shared" ca="1" si="1"/>
        <v>1</v>
      </c>
    </row>
    <row r="22" spans="7:29" ht="45">
      <c r="G22" s="4" t="str">
        <f t="shared" si="2"/>
        <v>Function and Availability</v>
      </c>
      <c r="H22" s="4" t="s">
        <v>39</v>
      </c>
      <c r="I22" s="4" t="s">
        <v>1132</v>
      </c>
      <c r="J22" s="4" t="s">
        <v>19</v>
      </c>
      <c r="K22" s="4" t="b">
        <f t="shared" ca="1" si="0"/>
        <v>1</v>
      </c>
      <c r="Y22" s="4" t="s">
        <v>147</v>
      </c>
      <c r="Z22" s="4" t="s">
        <v>151</v>
      </c>
      <c r="AA22" s="4">
        <v>25</v>
      </c>
      <c r="AB22" s="4" cm="1">
        <f t="array" ref="AB22">IF(ROW()=ROW($AB$3)+1,0,INDEX($AB:$AB,ROW()-1))+IF($Y22=INDEX($Y:$Y,ROW()-1),0,1)</f>
        <v>4</v>
      </c>
      <c r="AC22" s="4" t="b">
        <f t="shared" ca="1" si="1"/>
        <v>1</v>
      </c>
    </row>
    <row r="23" spans="7:29" ht="45">
      <c r="G23" s="4" t="str">
        <f t="shared" si="2"/>
        <v>Function and Availability</v>
      </c>
      <c r="H23" s="4" t="s">
        <v>1136</v>
      </c>
      <c r="I23" s="4" t="s">
        <v>1137</v>
      </c>
      <c r="J23" s="4" t="s">
        <v>19</v>
      </c>
      <c r="K23" s="4" t="b">
        <f ca="1">OFFSET($G23,-1,0)=$G23</f>
        <v>1</v>
      </c>
      <c r="Y23" s="4" t="s">
        <v>152</v>
      </c>
      <c r="Z23" s="4" t="s">
        <v>153</v>
      </c>
      <c r="AA23" s="4">
        <v>0</v>
      </c>
      <c r="AB23" s="4" cm="1">
        <f t="array" ref="AB23">IF(ROW()=ROW($AB$3)+1,0,INDEX($AB:$AB,ROW()-1))+IF($Y23=INDEX($Y:$Y,ROW()-1),0,1)</f>
        <v>5</v>
      </c>
      <c r="AC23" s="4" t="b">
        <f t="shared" ca="1" si="1"/>
        <v>0</v>
      </c>
    </row>
    <row r="24" spans="25:29" ht="15">
      <c r="Y24" s="4" t="s">
        <v>152</v>
      </c>
      <c r="Z24" s="4" t="s">
        <v>154</v>
      </c>
      <c r="AA24" s="4">
        <v>4</v>
      </c>
      <c r="AB24" s="4" cm="1">
        <f t="array" ref="AB24">IF(ROW()=ROW($AB$3)+1,0,INDEX($AB:$AB,ROW()-1))+IF($Y24=INDEX($Y:$Y,ROW()-1),0,1)</f>
        <v>5</v>
      </c>
      <c r="AC24" s="4" t="b">
        <f t="shared" ca="1" si="1"/>
        <v>1</v>
      </c>
    </row>
    <row r="25" spans="25:29" ht="15">
      <c r="Y25" s="4" t="s">
        <v>152</v>
      </c>
      <c r="Z25" s="4" t="s">
        <v>155</v>
      </c>
      <c r="AA25" s="4">
        <v>7</v>
      </c>
      <c r="AB25" s="4" cm="1">
        <f t="array" ref="AB25">IF(ROW()=ROW($AB$3)+1,0,INDEX($AB:$AB,ROW()-1))+IF($Y25=INDEX($Y:$Y,ROW()-1),0,1)</f>
        <v>5</v>
      </c>
      <c r="AC25" s="4" t="b">
        <f t="shared" ca="1" si="1"/>
        <v>1</v>
      </c>
    </row>
    <row r="26" spans="25:29" ht="15">
      <c r="Y26" s="4" t="s">
        <v>152</v>
      </c>
      <c r="Z26" s="4" t="s">
        <v>156</v>
      </c>
      <c r="AA26" s="4">
        <v>9</v>
      </c>
      <c r="AB26" s="4" cm="1">
        <f t="array" ref="AB26">IF(ROW()=ROW($AB$3)+1,0,INDEX($AB:$AB,ROW()-1))+IF($Y26=INDEX($Y:$Y,ROW()-1),0,1)</f>
        <v>5</v>
      </c>
      <c r="AC26" s="4" t="b">
        <f t="shared" ca="1" si="1"/>
        <v>1</v>
      </c>
    </row>
  </sheetData>
  <sheetProtection password="E623" sheet="1" objects="1" scenarios="1"/>
  <conditionalFormatting sqref="A1:XFD10001">
    <cfRule type="expression" priority="1" dxfId="682">
      <formula>AND(A1&lt;&gt;"",MOD(ROW(A1),2)=MOD(ROW(A$3),2),ROW(A1)&gt;ROW(A$1))</formula>
    </cfRule>
  </conditionalFormatting>
  <conditionalFormatting sqref="A2:XFD3">
    <cfRule type="expression" priority="12" dxfId="75">
      <formula>A$3&lt;&gt;""</formula>
    </cfRule>
  </conditionalFormatting>
  <conditionalFormatting sqref="G1:G1048576">
    <cfRule type="expression" priority="368" dxfId="74">
      <formula>AND($H1&lt;&gt;"",$G1="",ROW($G1)&gt;ROW($G$3))</formula>
    </cfRule>
    <cfRule type="expression" priority="369" dxfId="73">
      <formula>AND($K1,MOD(ROW($G1),2)=MOD(ROW($G$3),2),ROW($G1)&gt;ROW($G$3))</formula>
    </cfRule>
    <cfRule type="expression" priority="370" dxfId="72">
      <formula>AND($K1,MOD(ROW($G1),2)=MOD(ROW($G$3)+1,2),ROW($G1)&gt;ROW($G$3))</formula>
    </cfRule>
  </conditionalFormatting>
  <conditionalFormatting sqref="G1:K1048576">
    <cfRule type="expression" priority="367" dxfId="71">
      <formula>AND(ROW($G1)&gt;ROW($G$3),$G1&lt;&gt;$G2)</formula>
    </cfRule>
  </conditionalFormatting>
  <conditionalFormatting sqref="Y1:Y1048576">
    <cfRule type="expression" priority="371" dxfId="74">
      <formula>AND($Z1&lt;&gt;"",$Y1="",ROW($Y1)&gt;ROW($Y$3))</formula>
    </cfRule>
    <cfRule type="expression" priority="372" dxfId="73">
      <formula>AND($AC1,ROW($Y1)&gt;ROW($Y$3),MOD(ROW($Y1),2)=MOD(ROW($Y$3),2))</formula>
    </cfRule>
    <cfRule type="expression" priority="373" dxfId="72">
      <formula>AND($AC1,ROW($Y1)&gt;ROW($Y$3),MOD(ROW($Y1),2)=MOD(ROW($Y$3)+1,2))</formula>
    </cfRule>
  </conditionalFormatting>
  <conditionalFormatting sqref="Y1:AA1048576">
    <cfRule type="expression" priority="375" dxfId="71">
      <formula>AND(ROW($AB1)&gt;ROW($AB$3),$AB1&lt;&gt;$AB2)</formula>
    </cfRule>
  </conditionalFormatting>
  <dataValidations count="1">
    <dataValidation type="list" allowBlank="1" showInputMessage="1" showErrorMessage="1" sqref="AU4">
      <formula1>$A$4:$A$5</formula1>
    </dataValidation>
  </dataValidations>
  <pageMargins left="0.7" right="0.7" top="0.75" bottom="0.75" header="0.3" footer="0.3"/>
  <pageSetup orientation="portrait" paperSize="9" r:id="rId3"/>
  <ignoredErrors>
    <ignoredError sqref="G4:G17 G19:G22" evalError="1" listDataValidation="1" calculatedColumn="1"/>
  </ignoredErrors>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37B548-CACB-4911-B1B8-594ED37E14CE}">
  <sheetPr>
    <tabColor theme="6"/>
  </sheetPr>
  <dimension ref="A1:R60"/>
  <sheetViews>
    <sheetView windowProtection="1" workbookViewId="0" topLeftCell="A1">
      <pane xSplit="2" ySplit="3" topLeftCell="C4" activePane="bottomRight" state="frozen"/>
      <selection pane="topLeft" activeCell="A1" sqref="A1"/>
      <selection pane="bottomLeft" activeCell="A3" sqref="A3"/>
      <selection pane="topRight" activeCell="C1" sqref="C1"/>
      <selection pane="bottomRight" activeCell="A3" sqref="A3"/>
    </sheetView>
  </sheetViews>
  <sheetFormatPr defaultColWidth="9.14428571428571" defaultRowHeight="15"/>
  <cols>
    <col min="1" max="1" width="9.14285714285714" style="2"/>
    <col min="2" max="2" width="45.7142857142857" style="2" customWidth="1"/>
    <col min="3" max="3" width="13.7142857142857" style="2" bestFit="1" customWidth="1"/>
    <col min="4" max="4" width="14.7142857142857" style="2" bestFit="1" customWidth="1"/>
    <col min="5" max="5" width="24.5714285714286" style="2" bestFit="1" customWidth="1"/>
    <col min="6" max="6" width="10.7142857142857" style="2" customWidth="1"/>
    <col min="7" max="7" width="20.7142857142857" style="2" customWidth="1"/>
    <col min="8" max="8" width="45.7142857142857" style="2" customWidth="1"/>
    <col min="9" max="9" width="26.7142857142857" style="2" bestFit="1" customWidth="1"/>
    <col min="10" max="10" width="10.7142857142857" style="2" customWidth="1"/>
    <col min="11" max="11" width="30.7142857142857" style="2" customWidth="1"/>
    <col min="12" max="12" width="90.7142857142857" style="2" customWidth="1"/>
    <col min="13" max="13" width="13.2857142857143" style="2" bestFit="1" customWidth="1"/>
    <col min="14" max="14" width="45.7142857142857" style="2" customWidth="1"/>
    <col min="15" max="16" width="12.5714285714286" style="2" hidden="1" customWidth="1"/>
    <col min="17" max="17" width="12.1428571428571" style="2" hidden="1" customWidth="1"/>
    <col min="18" max="18" width="21.4285714285714" style="2" hidden="1" customWidth="1"/>
    <col min="19" max="16384" width="9.14285714285714" style="2"/>
  </cols>
  <sheetData>
    <row r="1" spans="1:14" s="115"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A$3,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B$3,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C$3,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D$3,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E$3,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F$3,README!$E:$E,README!$I$36,README!$B$36)</f>
        <v>◈</v>
      </c>
      <c r="G1" s="115"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G$3,README!$E:$E,README!$I$36,README!$B$36)</f>
        <v>◈</v>
      </c>
      <c r="H1" s="115" t="str" cm="1">
        <f t="array" ca="1" aca="1" ref="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H$3,README!$E:$E,README!$I$36,README!$B$36)</f>
        <v>◈</v>
      </c>
      <c r="I1" s="115" t="str" cm="1">
        <f t="array" ca="1" aca="1" ref="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I$3,README!$E:$E,README!$I$36,README!$B$36)</f>
        <v>◈</v>
      </c>
      <c r="J1" s="115" t="str" cm="1">
        <f t="array" ca="1" aca="1" ref="J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J$3,README!$E:$E,README!$I$36,README!$B$36)</f>
        <v>◈</v>
      </c>
      <c r="K1" s="115" t="str" cm="1">
        <f t="array" ca="1" aca="1" ref="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K$3,README!$E:$E,README!$I$36,README!$B$36)</f>
        <v>◈</v>
      </c>
      <c r="L1" s="115" t="str" cm="1">
        <f t="array" ca="1" aca="1" ref="L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L$3,README!$E:$E,README!$I$36,README!$B$36)</f>
        <v>◈</v>
      </c>
      <c r="M1" s="115"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M$3,README!$E:$E,README!$I$36,README!$B$36)</f>
        <v>◈</v>
      </c>
      <c r="N1" s="115" t="str" cm="1">
        <f t="array" ca="1" aca="1" ref="N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$4,N$3,README!$E:$E,README!$I$36,README!$B$36)</f>
        <v>◈</v>
      </c>
    </row>
    <row r="2" spans="5:12" s="1" customFormat="1" ht="15">
      <c r="E2" s="141" t="s">
        <v>1169</v>
      </c>
      <c r="F2" s="142"/>
      <c r="G2" s="142"/>
      <c r="H2" s="143"/>
      <c r="I2" s="141" t="s">
        <v>1170</v>
      </c>
      <c r="J2" s="142"/>
      <c r="K2" s="142"/>
      <c r="L2" s="143"/>
    </row>
    <row r="3" spans="1:18" ht="15">
      <c r="A3" s="10" t="s">
        <v>53</v>
      </c>
      <c r="B3" s="10" t="s">
        <v>1166</v>
      </c>
      <c r="C3" s="10" t="s">
        <v>64</v>
      </c>
      <c r="D3" s="10" t="s">
        <v>1178</v>
      </c>
      <c r="E3" s="88" t="s">
        <v>1159</v>
      </c>
      <c r="F3" s="89" t="s">
        <v>1167</v>
      </c>
      <c r="G3" s="92" t="s">
        <v>1160</v>
      </c>
      <c r="H3" s="90" t="s">
        <v>1161</v>
      </c>
      <c r="I3" s="88" t="s">
        <v>1162</v>
      </c>
      <c r="J3" s="89" t="s">
        <v>1168</v>
      </c>
      <c r="K3" s="92" t="s">
        <v>1163</v>
      </c>
      <c r="L3" s="90" t="s">
        <v>1164</v>
      </c>
      <c r="M3" s="10" t="s">
        <v>1196</v>
      </c>
      <c r="N3" s="10" t="s">
        <v>3</v>
      </c>
      <c r="O3" s="10" t="s">
        <v>54</v>
      </c>
      <c r="P3" s="10" t="s">
        <v>230</v>
      </c>
      <c r="Q3" s="10" t="s">
        <v>1198</v>
      </c>
      <c r="R3" s="10" t="s">
        <v>1334</v>
      </c>
    </row>
    <row r="4" spans="1:18" ht="15">
      <c r="A4" s="13" t="s">
        <v>1165</v>
      </c>
      <c r="B4" s="13" t="s">
        <v>0</v>
      </c>
      <c r="C4" s="13">
        <v>0</v>
      </c>
      <c r="D4" s="112" t="str">
        <f t="shared" si="0" ref="D4:D35">IF($A4="","",IF(LEFT($A4,1)="Q","x",""))</f>
        <v/>
      </c>
      <c r="E4" s="91"/>
      <c r="F4" s="89"/>
      <c r="G4" s="97" t="str">
        <f ca="1" t="shared" si="1" ref="G4:G35">IF($E4="","",_xlfn.TEXTJOIN(CHAR(10),TRUE,OFFSET(INDIRECT($E4),0,0,$F4,1)))</f>
        <v/>
      </c>
      <c r="H4" s="93"/>
      <c r="I4" s="91"/>
      <c r="J4" s="100"/>
      <c r="K4" s="97" t="str" cm="1">
        <f t="array" ca="1" aca="1" ref="K4">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J4),CHAR(10))</f>
        <v/>
      </c>
      <c r="L4" s="93"/>
      <c r="M4" s="13"/>
      <c r="N4" s="13"/>
      <c r="O4" s="13" cm="1">
        <f t="array" ref="O4">CreateID($O$3,$O:$O,$A4&lt;&gt;"")</f>
        <v>1</v>
      </c>
      <c r="P4" s="13" cm="1">
        <f t="array" ref="P4">CreateTaskID($P$3,$P:$P,Tasks!$B$17,$N4)</f>
        <v>0</v>
      </c>
      <c r="Q4" s="13" t="b" cm="1">
        <f t="array" ref="Q4">IF($M4="",FALSE,CheckRelevance(SanitizeInput($M4),Questionnaire!$AA:$AA))</f>
        <v>0</v>
      </c>
      <c r="R4" s="23" cm="1">
        <f t="array" ref="R4">CreateID($R$3,$R:$R,AND($A4&lt;&gt;"",$D4&lt;&gt;""))</f>
        <v>0</v>
      </c>
    </row>
    <row r="5" spans="1:18" ht="15">
      <c r="A5" s="13" t="s">
        <v>1171</v>
      </c>
      <c r="B5" s="13" t="s">
        <v>4</v>
      </c>
      <c r="C5" s="13">
        <v>0</v>
      </c>
      <c r="D5" s="112" t="str">
        <f t="shared" si="0"/>
        <v/>
      </c>
      <c r="E5" s="91"/>
      <c r="F5" s="89"/>
      <c r="G5" s="97" t="str">
        <f t="shared" ca="1" si="1"/>
        <v/>
      </c>
      <c r="H5" s="93"/>
      <c r="I5" s="91"/>
      <c r="J5" s="100"/>
      <c r="K5" s="97" t="str" cm="1">
        <f t="array" ca="1" aca="1" ref="K5">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J5),CHAR(10))</f>
        <v/>
      </c>
      <c r="L5" s="93"/>
      <c r="M5" s="13"/>
      <c r="N5" s="13"/>
      <c r="O5" s="13" cm="1">
        <f t="array" ref="O5">CreateID($O$3,$O:$O,$A5&lt;&gt;"")</f>
        <v>2</v>
      </c>
      <c r="P5" s="13" cm="1">
        <f t="array" ref="P5">CreateTaskID($P$3,$P:$P,Tasks!$B$17,$N5)</f>
        <v>0</v>
      </c>
      <c r="Q5" s="13" t="b" cm="1">
        <f t="array" ref="Q5">IF($M5="",FALSE,CheckRelevance(SanitizeInput($M5),Questionnaire!$AA:$AA))</f>
        <v>0</v>
      </c>
      <c r="R5" s="23" cm="1">
        <f t="array" ref="R5">CreateID($R$3,$R:$R,AND($A5&lt;&gt;"",$D5&lt;&gt;""))</f>
        <v>0</v>
      </c>
    </row>
    <row r="6" spans="1:18" ht="15">
      <c r="A6" s="13" t="s">
        <v>1179</v>
      </c>
      <c r="B6" s="13" t="s">
        <v>56</v>
      </c>
      <c r="C6" s="13">
        <v>3</v>
      </c>
      <c r="D6" s="112" t="str">
        <f t="shared" si="0"/>
        <v/>
      </c>
      <c r="E6" s="91"/>
      <c r="F6" s="13"/>
      <c r="G6" s="36" t="str">
        <f t="shared" ca="1" si="1"/>
        <v/>
      </c>
      <c r="H6" s="93"/>
      <c r="I6" s="91"/>
      <c r="J6" s="110"/>
      <c r="K6" s="36" t="str" cm="1">
        <f t="array" ca="1" aca="1" ref="K6">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6,$J6),CHAR(10))</f>
        <v/>
      </c>
      <c r="L6" s="93"/>
      <c r="M6" s="13"/>
      <c r="N6" s="13"/>
      <c r="O6" s="13" cm="1">
        <f t="array" ref="O6">CreateID($O$3,$O:$O,$A6&lt;&gt;"")</f>
        <v>3</v>
      </c>
      <c r="P6" s="13" cm="1">
        <f t="array" ref="P6">CreateTaskID($P$3,$P:$P,Tasks!$B$17,$N6)</f>
        <v>0</v>
      </c>
      <c r="Q6" s="13" t="b" cm="1">
        <f t="array" ref="Q6">IF($M6="",FALSE,CheckRelevance(SanitizeInput($M6),Questionnaire!$AA:$AA))</f>
        <v>0</v>
      </c>
      <c r="R6" s="23" cm="1">
        <f t="array" ref="R6">CreateID($R$3,$R:$R,AND($A6&lt;&gt;"",$D6&lt;&gt;""))</f>
        <v>0</v>
      </c>
    </row>
    <row r="7" spans="1:18" ht="36.75">
      <c r="A7" s="13" t="s">
        <v>1102</v>
      </c>
      <c r="B7" s="13" t="s">
        <v>1482</v>
      </c>
      <c r="C7" s="13">
        <v>6</v>
      </c>
      <c r="D7" s="112" t="str">
        <f t="shared" si="0"/>
        <v>x</v>
      </c>
      <c r="E7" s="91" t="str" cm="1">
        <f t="array" ca="1" aca="1" ref="E7">CELL("address",Definitions!$A$4)</f>
        <v>'[QuBA-libre.xlsx]Definitions'!$A$4</v>
      </c>
      <c r="F7" s="13">
        <f>ROWS(Definitions!$A$4:$A$5)</f>
        <v>2</v>
      </c>
      <c r="G7" s="36" t="str">
        <f t="shared" ca="1" si="1"/>
        <v>Yes
No</v>
      </c>
      <c r="H7" s="93" t="str">
        <f>Definitions!$A$4&amp;": Can you argue that the product does not film people?"&amp;CHAR(10)&amp;Definitions!$A$5&amp;":"</f>
        <v>Yes: Can you argue that the product does not film people?
No:</v>
      </c>
      <c r="I7" s="91" t="str" cm="1">
        <f t="array" ca="1" aca="1" ref="I7">Definitions!$A$4&amp;": "&amp;CELL("address",Definitions!$A$4)</f>
        <v>Yes: '[QuBA-libre.xlsx]Definitions'!$A$4</v>
      </c>
      <c r="J7" s="110" t="str">
        <f>Definitions!$A$4&amp;": "&amp;ROWS(Definitions!$A$4:$A$5)</f>
        <v>Yes: 2</v>
      </c>
      <c r="K7" s="36" t="str" cm="1">
        <f t="array" ca="1" aca="1" ref="K7">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7,$J7),CHAR(10))</f>
        <v>___Yes___
Yes
No</v>
      </c>
      <c r="L7" s="93" t="str" cm="1">
        <f t="array" ca="1" aca="1" ref="L7">LEFT(INDEX($K:$K,ROW()),FIND(CHAR(10),INDEX($K:$K,ROW())))&amp;Definitions!$A$4&amp;": Please provide a rationale:"&amp;CHAR(10)&amp;Definitions!$A$5&amp;":"</f>
        <v>___Yes___
Yes: Please provide a rationale:
No:</v>
      </c>
      <c r="M7" s="13"/>
      <c r="N7" s="13"/>
      <c r="O7" s="13" cm="1">
        <f t="array" ref="O7">CreateID($O$3,$O:$O,$A7&lt;&gt;"")</f>
        <v>4</v>
      </c>
      <c r="P7" s="13" cm="1">
        <f t="array" ref="P7">CreateTaskID($P$3,$P:$P,Tasks!$B$17,$N7)</f>
        <v>0</v>
      </c>
      <c r="Q7" s="13" t="b" cm="1">
        <f t="array" ref="Q7">IF($M7="",FALSE,CheckRelevance(SanitizeInput($M7),Questionnaire!$AA:$AA))</f>
        <v>0</v>
      </c>
      <c r="R7" s="23" cm="1">
        <f t="array" ref="R7">CreateID($R$3,$R:$R,AND($A7&lt;&gt;"",$D7&lt;&gt;""))</f>
        <v>1</v>
      </c>
    </row>
    <row r="8" spans="1:18" ht="120.75">
      <c r="A8" s="13" t="s">
        <v>1099</v>
      </c>
      <c r="B8" s="13" t="s">
        <v>1741</v>
      </c>
      <c r="C8" s="13">
        <v>6</v>
      </c>
      <c r="D8" s="112" t="str">
        <f t="shared" si="0"/>
        <v>x</v>
      </c>
      <c r="E8" s="91" t="str" cm="1">
        <f t="array" ca="1" aca="1" ref="E8">CELL("address",Definitions!$A$4)</f>
        <v>'[QuBA-libre.xlsx]Definitions'!$A$4</v>
      </c>
      <c r="F8" s="13">
        <f>ROWS(Definitions!$A$4:$A$5)</f>
        <v>2</v>
      </c>
      <c r="G8" s="36" t="str">
        <f t="shared" ca="1" si="1"/>
        <v>Yes
No</v>
      </c>
      <c r="H8" s="93" t="str">
        <f>Definitions!$A$4&amp;": What is the criticality of the processed data?"&amp;CHAR(10)&amp;Definitions!$A$5&amp;":"</f>
        <v>Yes: What is the criticality of the processed data?
No:</v>
      </c>
      <c r="I8" s="91" t="str" cm="1">
        <f t="array" ca="1" aca="1" ref="I8">Definitions!$A$4&amp;": "&amp;CELL("address",INDEX(Definitions!$H:$H,MATCH(Definitions!$E$4,Definitions!$G:$G,0)))</f>
        <v>Yes: '[QuBA-libre.xlsx]Definitions'!$H$4</v>
      </c>
      <c r="J8" s="110" t="str">
        <f ca="1">Definitions!$A$4&amp;": "&amp;COUNTIF(Definitions!$G:$G,Definitions!$E$4)</f>
        <v>Yes: 3</v>
      </c>
      <c r="K8" s="36" t="str" cm="1">
        <f t="array" ca="1" aca="1" ref="K8">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8,$J8),CHAR(10))</f>
        <v>___Yes___
Personal data (low)
Personal data (significant)
Personal data (ruinous)</v>
      </c>
      <c r="L8" s="93" t="str" cm="1">
        <f t="array" ca="1" aca="1" ref="L8">LEFT(INDEX($K:$K,ROW()),FIND(CHAR(10),INDEX($K:$K,ROW())))&amp;Definitions!$H$4&amp;": It is possible that the person affected will be negatively affected in his or her social status or economic situation (e.g., user name, business e-mail address, business phone number). Please list the affected data:"&amp;CHAR(10)&amp;Definitions!$H$5&amp;": The person affected can be significantly impaired in his or her social status or economic circumstances (e.g., home address, bank account number, credit card details, private phone number, work history). Please list the affected data:"&amp;CHAR(10)&amp;Definitions!$H$6&amp;": The person affected can be ruinously impaired in his social status and economic circumstances. "&amp;"The freedom of the person concerned is threatened (e.g., health data, biometric data, racial or ethnic origin, political opinions, religious beliefs). Please list the affected data:"</f>
        <v>___Yes___
Personal data (low): It is possible that the person affected will be negatively affected in his or her social status or economic situation (e.g., user name, business e-mail address, business phone number). Please list the affected data:
Personal data (significant): The person affected can be significantly impaired in his or her social status or economic circumstances (e.g., home address, bank account number, credit card details, private phone number, work history). Please list the affected data:
Personal data (ruinous): The person affected can be ruinously impaired in his social status and economic circumstances. The freedom of the person concerned is threatened (e.g., health data, biometric data, racial or ethnic origin, political opinions, religious beliefs). Please list the affected data:</v>
      </c>
      <c r="M8" s="13"/>
      <c r="N8" s="13"/>
      <c r="O8" s="13" cm="1">
        <f t="array" ref="O8">CreateID($O$3,$O:$O,$A8&lt;&gt;"")</f>
        <v>5</v>
      </c>
      <c r="P8" s="13" cm="1">
        <f t="array" ref="P8">CreateTaskID($P$3,$P:$P,Tasks!$B$17,$N8)</f>
        <v>0</v>
      </c>
      <c r="Q8" s="13" t="b" cm="1">
        <f t="array" ref="Q8">IF($M8="",FALSE,CheckRelevance(SanitizeInput($M8),Questionnaire!$AA:$AA))</f>
        <v>0</v>
      </c>
      <c r="R8" s="23" cm="1">
        <f t="array" ref="R8">CreateID($R$3,$R:$R,AND($A8&lt;&gt;"",$D8&lt;&gt;""))</f>
        <v>2</v>
      </c>
    </row>
    <row r="9" spans="1:18" ht="15">
      <c r="A9" s="13" t="s">
        <v>1180</v>
      </c>
      <c r="B9" s="13" t="s">
        <v>57</v>
      </c>
      <c r="C9" s="13">
        <v>3</v>
      </c>
      <c r="D9" s="112" t="str">
        <f t="shared" si="0"/>
        <v/>
      </c>
      <c r="E9" s="91"/>
      <c r="F9" s="13"/>
      <c r="G9" s="36" t="str">
        <f t="shared" ca="1" si="1"/>
        <v/>
      </c>
      <c r="H9" s="93"/>
      <c r="I9" s="91"/>
      <c r="J9" s="110"/>
      <c r="K9" s="36" t="str" cm="1">
        <f t="array" ca="1" aca="1" ref="K9">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9,$J9),CHAR(10))</f>
        <v/>
      </c>
      <c r="L9" s="93"/>
      <c r="M9" s="13"/>
      <c r="N9" s="13"/>
      <c r="O9" s="13" cm="1">
        <f t="array" ref="O9">CreateID($O$3,$O:$O,$A9&lt;&gt;"")</f>
        <v>6</v>
      </c>
      <c r="P9" s="13" cm="1">
        <f t="array" ref="P9">CreateTaskID($P$3,$P:$P,Tasks!$B$17,$N9)</f>
        <v>0</v>
      </c>
      <c r="Q9" s="13" t="b" cm="1">
        <f t="array" ref="Q9">IF($M9="",FALSE,CheckRelevance(SanitizeInput($M9),Questionnaire!$AA:$AA))</f>
        <v>0</v>
      </c>
      <c r="R9" s="23" cm="1">
        <f t="array" ref="R9">CreateID($R$3,$R:$R,AND($A9&lt;&gt;"",$D9&lt;&gt;""))</f>
        <v>2</v>
      </c>
    </row>
    <row r="10" spans="1:18" ht="105">
      <c r="A10" s="13" t="s">
        <v>1097</v>
      </c>
      <c r="B10" s="13" t="str">
        <f>"Does the product contain "&amp;Definitions!$C$4&amp;" intellectual property?
Note: Only IP which is part of / accessible by the firmware / software in the product is in scope of this question. Gaining access to optical and mechanical IP are not covered by this question (and the cybersecurity risk analysis)"</f>
        <v>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v>
      </c>
      <c r="C10" s="13">
        <v>6</v>
      </c>
      <c r="D10" s="112" t="str">
        <f t="shared" si="0"/>
        <v>x</v>
      </c>
      <c r="E10" s="91" t="str" cm="1">
        <f t="array" ca="1" aca="1" ref="E10">CELL("address",Definitions!$A$4)</f>
        <v>'[QuBA-libre.xlsx]Definitions'!$A$4</v>
      </c>
      <c r="F10" s="13">
        <f>ROWS(Definitions!$A$4:$A$5)</f>
        <v>2</v>
      </c>
      <c r="G10" s="36" t="str">
        <f t="shared" ca="1" si="1"/>
        <v>Yes
No</v>
      </c>
      <c r="H10" s="93" t="str">
        <f>Definitions!$A$4&amp;": What is the criticality of the intellectual property?"&amp;CHAR(10)&amp;Definitions!$A$5&amp;":"</f>
        <v>Yes: What is the criticality of the intellectual property?
No:</v>
      </c>
      <c r="I10" s="91" t="str" cm="1">
        <f t="array" ca="1" aca="1" ref="I10">Definitions!$A$4&amp;": "&amp;CELL("address",INDEX(Definitions!$H:$H,MATCH(Definitions!$E$5,Definitions!$G:$G,0)))</f>
        <v>Yes: '[QuBA-libre.xlsx]Definitions'!$H$7</v>
      </c>
      <c r="J10" s="110" t="str">
        <f ca="1">Definitions!$A$4&amp;": "&amp;COUNTIF(Definitions!$G:$G,Definitions!$E$5)</f>
        <v>Yes: 3</v>
      </c>
      <c r="K10" s="36" t="str" cm="1">
        <f t="array" ca="1" aca="1" ref="K10">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10,$J10),CHAR(10))</f>
        <v>___Yes___
IP (slightly innovative)
IP (moderately innovative)
IP (highly innovative)</v>
      </c>
      <c r="L10" s="93" t="str" cm="1">
        <f t="array" ca="1" aca="1" ref="L10">LEFT(INDEX($K:$K,ROW()),FIND(CHAR(10),INDEX($K:$K,ROW())))&amp;RemoveDelimiter(GetValuesIgnoreErrors(SUBSTITUTE($K10,CHAR(10),",")&amp;",",Definitions!$H:$I,": ",". Please list the affected data:"&amp;CHAR(10),TRUE),CHAR(10))</f>
        <v>___Yes___
IP (slightly innovative): Loss of general idea how product works or low impact on markets (little innovation / very small market). Please list the affected data:
IP (moderately innovative): Relevant aspects of system is comprehensible or moderate impact on markets (some innovation in the product / medium size market). Please list the affected data:
IP (highly innovative): Can be copied / technology available or high impact on markets (highly innovative product / high-volume market). Please list the affected data:</v>
      </c>
      <c r="M10" s="13"/>
      <c r="N10" s="13"/>
      <c r="O10" s="13" cm="1">
        <f t="array" ref="O10">CreateID($O$3,$O:$O,$A10&lt;&gt;"")</f>
        <v>7</v>
      </c>
      <c r="P10" s="13" cm="1">
        <f t="array" ref="P10">CreateTaskID($P$3,$P:$P,Tasks!$B$17,$N10)</f>
        <v>0</v>
      </c>
      <c r="Q10" s="13" t="b" cm="1">
        <f t="array" ref="Q10">IF($M10="",FALSE,CheckRelevance(SanitizeInput($M10),Questionnaire!$AA:$AA))</f>
        <v>0</v>
      </c>
      <c r="R10" s="23" cm="1">
        <f t="array" ref="R10">CreateID($R$3,$R:$R,AND($A10&lt;&gt;"",$D10&lt;&gt;""))</f>
        <v>3</v>
      </c>
    </row>
    <row r="11" spans="1:18" ht="15">
      <c r="A11" s="13" t="s">
        <v>1181</v>
      </c>
      <c r="B11" s="13" t="s">
        <v>58</v>
      </c>
      <c r="C11" s="13">
        <v>3</v>
      </c>
      <c r="D11" s="112" t="str">
        <f t="shared" si="0"/>
        <v/>
      </c>
      <c r="E11" s="91"/>
      <c r="F11" s="13"/>
      <c r="G11" s="36" t="str">
        <f t="shared" ca="1" si="1"/>
        <v/>
      </c>
      <c r="H11" s="93"/>
      <c r="I11" s="91"/>
      <c r="J11" s="110"/>
      <c r="K11" s="36" t="str" cm="1">
        <f t="array" ca="1" aca="1" ref="K11">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11,$J11),CHAR(10))</f>
        <v/>
      </c>
      <c r="L11" s="93"/>
      <c r="M11" s="13"/>
      <c r="N11" s="13"/>
      <c r="O11" s="13" cm="1">
        <f t="array" ref="O11">CreateID($O$3,$O:$O,$A11&lt;&gt;"")</f>
        <v>8</v>
      </c>
      <c r="P11" s="13" cm="1">
        <f t="array" ref="P11">CreateTaskID($P$3,$P:$P,Tasks!$B$17,$N11)</f>
        <v>0</v>
      </c>
      <c r="Q11" s="13" t="b" cm="1">
        <f t="array" ref="Q11">IF($M11="",FALSE,CheckRelevance(SanitizeInput($M11),Questionnaire!$AA:$AA))</f>
        <v>0</v>
      </c>
      <c r="R11" s="23" cm="1">
        <f t="array" ref="R11">CreateID($R$3,$R:$R,AND($A11&lt;&gt;"",$D11&lt;&gt;""))</f>
        <v>3</v>
      </c>
    </row>
    <row r="12" spans="1:18" ht="108.75">
      <c r="A12" s="13" t="s">
        <v>1095</v>
      </c>
      <c r="B12" s="13" t="str">
        <f>"Is "&amp;Definitions!$C$4&amp;" (typically) obliged to keep the processed / stored data (including third-party IP) confidential by contract or law? (Note that this concerns individual obligations, not the standard product warranty)."</f>
        <v>Is acontis techonlogies GmbH (typically) obliged to keep the processed / stored data (including third-party IP) confidential by contract or law? (Note that this concerns individual obligations, not the standard product warranty).</v>
      </c>
      <c r="C12" s="13">
        <v>6</v>
      </c>
      <c r="D12" s="112" t="str">
        <f t="shared" si="0"/>
        <v>x</v>
      </c>
      <c r="E12" s="91" t="str" cm="1">
        <f t="array" ca="1" aca="1" ref="E12">CELL("address",Definitions!$A$4)</f>
        <v>'[QuBA-libre.xlsx]Definitions'!$A$4</v>
      </c>
      <c r="F12" s="13">
        <f>ROWS(Definitions!$A$4:$A$5)</f>
        <v>2</v>
      </c>
      <c r="G12" s="36" t="str">
        <f t="shared" ca="1" si="1"/>
        <v>Yes
No</v>
      </c>
      <c r="H12" s="93" t="str">
        <f>Definitions!$A$4&amp;": What is the typical / expected value of direct loss, fines for infringements of laws, or violations of contracts?"&amp;CHAR(10)&amp;Definitions!$A$5&amp;":"</f>
        <v>Yes: What is the typical / expected value of direct loss, fines for infringements of laws, or violations of contracts?
No:</v>
      </c>
      <c r="I12" s="91" t="str" cm="1">
        <f t="array" ca="1" aca="1" ref="I12">Definitions!$A$4&amp;": "&amp;CELL("address",INDEX(Definitions!$H:$H,MATCH(Definitions!$E$6,Definitions!$G:$G,0)))</f>
        <v>Yes: '[QuBA-libre.xlsx]Definitions'!$H$10</v>
      </c>
      <c r="J12" s="110" t="str">
        <f ca="1">Definitions!$A$4&amp;": "&amp;COUNTIF(Definitions!$G:$G,Definitions!$E$6)</f>
        <v>Yes: 4</v>
      </c>
      <c r="K12" s="36" t="str" cm="1">
        <f t="array" ca="1" aca="1" ref="K12">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12,$J12),CHAR(10))</f>
        <v>___Yes___
Low financial damage
Medium financial damage
High financial damage
Critical financial damage</v>
      </c>
      <c r="L12" s="93" t="str" cm="1">
        <f t="array" ca="1" aca="1" ref="L12">LEFT(INDEX($K:$K,ROW()),FIND(CHAR(10),INDEX($K:$K,ROW())))&amp;RemoveDelimiter(GetValuesIgnoreErrors(SUBSTITUTE($K12,CHAR(10),",")&amp;",",Definitions!$H:$I,": ",". Please list the affected data:"&amp;CHAR(10),TRUE),CHAR(10))</f>
        <v>___Yes___
Low financial damage: Direct loss, fines for infringements of laws, or violations of contracts (low volume). Please list the affected data:
Medium financial damage: Direct loss, fines for infringements of laws, or violations of contracts (medium volume). Please list the affected data:
High financial damage: Direct loss, fines for infringements of laws, or violations of contracts (high volume). Please list the affected data:
Critical financial damage: Loss of freedom for employees, direct loss, fines for infringements of laws, or violations of contracts (critical volume). Please list the affected data:</v>
      </c>
      <c r="M12" s="13"/>
      <c r="N12" s="13"/>
      <c r="O12" s="13" cm="1">
        <f t="array" ref="O12">CreateID($O$3,$O:$O,$A12&lt;&gt;"")</f>
        <v>9</v>
      </c>
      <c r="P12" s="13" cm="1">
        <f t="array" ref="P12">CreateTaskID($P$3,$P:$P,Tasks!$B$17,$N12)</f>
        <v>0</v>
      </c>
      <c r="Q12" s="13" t="b" cm="1">
        <f t="array" ref="Q12">IF($M12="",FALSE,CheckRelevance(SanitizeInput($M12),Questionnaire!$AA:$AA))</f>
        <v>0</v>
      </c>
      <c r="R12" s="23" cm="1">
        <f t="array" ref="R12">CreateID($R$3,$R:$R,AND($A12&lt;&gt;"",$D12&lt;&gt;""))</f>
        <v>4</v>
      </c>
    </row>
    <row r="13" spans="1:18" ht="408.75">
      <c r="A13" s="13" t="s">
        <v>1093</v>
      </c>
      <c r="B13" s="13" t="s">
        <v>1389</v>
      </c>
      <c r="C13" s="13">
        <v>6</v>
      </c>
      <c r="D13" s="112" t="str">
        <f t="shared" si="0"/>
        <v>x</v>
      </c>
      <c r="E13" s="91" t="str" cm="1">
        <f t="array" ca="1" aca="1" ref="E13">CELL("address",Definitions!$A$4)</f>
        <v>'[QuBA-libre.xlsx]Definitions'!$A$4</v>
      </c>
      <c r="F13" s="13">
        <f>ROWS(Definitions!$A$4:$A$5)</f>
        <v>2</v>
      </c>
      <c r="G13" s="36" t="str">
        <f t="shared" ca="1" si="1"/>
        <v>Yes
No</v>
      </c>
      <c r="H13" s="93" t="str">
        <f>Definitions!$A$4&amp;": What is the worst-case criticality of the data that can be accessed with these credentials / cryptographic keys?"&amp;CHAR(10)&amp;Definitions!$A$5&amp;":"</f>
        <v>Yes: What is the worst-case criticality of the data that can be accessed with these credentials / cryptographic keys?
No:</v>
      </c>
      <c r="I13" s="91" t="str" cm="1">
        <f t="array" ca="1" aca="1" ref="I13">Definitions!$A$4&amp;": "&amp;CELL("address",Definitions!$H$4)</f>
        <v>Yes: '[QuBA-libre.xlsx]Definitions'!$H$4</v>
      </c>
      <c r="J13" s="110" t="str">
        <f ca="1">Definitions!$A$4&amp;": "&amp;COUNTA(Definitions!$K:$K)-1</f>
        <v>Yes: 20</v>
      </c>
      <c r="K13" s="36" t="str" cm="1">
        <f t="array" ca="1" aca="1" ref="K13">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13,$J13),CHAR(10))</f>
        <v>___Yes___
Personal data (low)
Personal data (significant)
Personal data (ruinous)
IP (slightly innovative)
IP (moderately innovative)
IP (highly innovative)
Low financial damage
Medium financial damage
High financial damage
Critical financial damage
Potentially dangerous situation
Light or moderate injury
Severe injury (survival probable)
Life-threatening injury
Disturbance
Service required
Major disturbance
Environmental damage
Critical disturbance (destruction)
Critical environmental damage</v>
      </c>
      <c r="L13" s="93" t="str" cm="1">
        <f t="array" ca="1" aca="1" ref="L13">LEFT(INDEX($K:$K,ROW()),FIND(CHAR(10),INDEX($K:$K,ROW())))&amp;RemoveDelimiter(GetValuesIgnoreErrors(SUBSTITUTE($K13,CHAR(10),",")&amp;",",Definitions!$H:$I,": ",". Please list the affected assets:"&amp;CHAR(10),TRUE),CHAR(10))</f>
        <v>___Yes___
Personal data (low): It is possible that the person affected will be negatively affected in his or her social status or economic situation. Please list the affected assets:
Personal data (significant): The person affected can be significantly impaired in his or her social status or economic circumstances. Please list the affected assets:
Personal data (ruinous): The person affected can be ruinously impaired in his social status and economic circumstances. The freedom of the person concerned is threatened. Please list the affected assets:
IP (slightly innovative): Loss of general idea how product works or low impact on markets (little innovation / very small market). Please list the affected assets:
IP (moderately innovative): Relevant aspects of system is comprehensible or moderate impact on markets (some innovation in the product / medium size market). Please list the affected assets:
IP (highly innovative): Can be copied / technology available or high impact on markets (highly innovative product / high-volume market). Please list the affected assets:
Low financial damage: Direct loss, fines for infringements of laws, or violations of contracts (low volume). Please list the affected assets:
Medium financial damage: Direct loss, fines for infringements of laws, or violations of contracts (medium volume). Please list the affected assets:
High financial damage: Direct loss, fines for infringements of laws, or violations of contracts (high volume). Please list the affected assets:
Critical financial damage: Loss of freedom for employees, direct loss, fines for infringements of laws, or violations of contracts (critical volume). Please list the affected assets:
Potentially dangerous situation: Potentially dangerous situation. Please list the affected assets:
Light or moderate injury: Light or moderate injury. Please list the affected assets:
Severe injury (survival probable): Severe injury (survival probable). Please list the affected assets:
Life-threatening injury: Life-threatening injury. Please list the affected assets:
Disturbance: Minor disturbance, customer can quickly fix issue himself (e.g. reset). Please list the affected assets:
Service required: Disturbance of function, service required. Please list the affected assets:
Major disturbance: Major disturbance of function. Please list the affected assets:
Environmental damage: Singular incident with limited environmental damage. Please list the affected assets:
Critical disturbance (destruction): Destruction of plant, severe damage to assets or operational environment, critical disturbance of function. Please list the affected assets:
Critical environmental damage: Environmental damages that accumulate to critical impact over time as well as critical damages that happen in a single incident. Please list the affected assets:</v>
      </c>
      <c r="M13" s="13"/>
      <c r="N13" s="13"/>
      <c r="O13" s="13" cm="1">
        <f t="array" ref="O13">CreateID($O$3,$O:$O,$A13&lt;&gt;"")</f>
        <v>10</v>
      </c>
      <c r="P13" s="13" cm="1">
        <f t="array" ref="P13">CreateTaskID($P$3,$P:$P,Tasks!$B$17,$N13)</f>
        <v>0</v>
      </c>
      <c r="Q13" s="13" t="b" cm="1">
        <f t="array" ref="Q13">IF($M13="",FALSE,CheckRelevance(SanitizeInput($M13),Questionnaire!$AA:$AA))</f>
        <v>0</v>
      </c>
      <c r="R13" s="23" cm="1">
        <f t="array" ref="R13">CreateID($R$3,$R:$R,AND($A13&lt;&gt;"",$D13&lt;&gt;""))</f>
        <v>5</v>
      </c>
    </row>
    <row r="14" spans="1:18" ht="15">
      <c r="A14" s="13" t="s">
        <v>1172</v>
      </c>
      <c r="B14" s="13" t="s">
        <v>5</v>
      </c>
      <c r="C14" s="13">
        <v>0</v>
      </c>
      <c r="D14" s="112" t="str">
        <f t="shared" si="0"/>
        <v/>
      </c>
      <c r="E14" s="91"/>
      <c r="F14" s="13"/>
      <c r="G14" s="36" t="str">
        <f t="shared" ca="1" si="1"/>
        <v/>
      </c>
      <c r="H14" s="93"/>
      <c r="I14" s="91"/>
      <c r="J14" s="110"/>
      <c r="K14" s="36" t="str" cm="1">
        <f t="array" ca="1" aca="1" ref="K14">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14,$J14),CHAR(10))</f>
        <v/>
      </c>
      <c r="L14" s="93"/>
      <c r="M14" s="13"/>
      <c r="N14" s="13"/>
      <c r="O14" s="13" cm="1">
        <f t="array" ref="O14">CreateID($O$3,$O:$O,$A14&lt;&gt;"")</f>
        <v>11</v>
      </c>
      <c r="P14" s="13" cm="1">
        <f t="array" ref="P14">CreateTaskID($P$3,$P:$P,Tasks!$B$17,$N14)</f>
        <v>0</v>
      </c>
      <c r="Q14" s="13" t="b" cm="1">
        <f t="array" ref="Q14">IF($M14="",FALSE,CheckRelevance(SanitizeInput($M14),Questionnaire!$AA:$AA))</f>
        <v>0</v>
      </c>
      <c r="R14" s="23" cm="1">
        <f t="array" ref="R14">CreateID($R$3,$R:$R,AND($A14&lt;&gt;"",$D14&lt;&gt;""))</f>
        <v>5</v>
      </c>
    </row>
    <row r="15" spans="1:18" ht="15">
      <c r="A15" s="13" t="s">
        <v>1182</v>
      </c>
      <c r="B15" s="13" t="s">
        <v>59</v>
      </c>
      <c r="C15" s="13">
        <v>3</v>
      </c>
      <c r="D15" s="112" t="str">
        <f t="shared" si="0"/>
        <v/>
      </c>
      <c r="E15" s="91"/>
      <c r="F15" s="13"/>
      <c r="G15" s="36" t="str">
        <f t="shared" ca="1" si="1"/>
        <v/>
      </c>
      <c r="H15" s="93"/>
      <c r="I15" s="91"/>
      <c r="J15" s="110"/>
      <c r="K15" s="36" t="str" cm="1">
        <f t="array" ca="1" aca="1" ref="K15">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15,$J15),CHAR(10))</f>
        <v/>
      </c>
      <c r="L15" s="93"/>
      <c r="M15" s="13"/>
      <c r="N15" s="13"/>
      <c r="O15" s="13" cm="1">
        <f t="array" ref="O15">CreateID($O$3,$O:$O,$A15&lt;&gt;"")</f>
        <v>12</v>
      </c>
      <c r="P15" s="13" cm="1">
        <f t="array" ref="P15">CreateTaskID($P$3,$P:$P,Tasks!$B$17,$N15)</f>
        <v>0</v>
      </c>
      <c r="Q15" s="13" t="b" cm="1">
        <f t="array" ref="Q15">IF($M15="",FALSE,CheckRelevance(SanitizeInput($M15),Questionnaire!$AA:$AA))</f>
        <v>0</v>
      </c>
      <c r="R15" s="23" cm="1">
        <f t="array" ref="R15">CreateID($R$3,$R:$R,AND($A15&lt;&gt;"",$D15&lt;&gt;""))</f>
        <v>5</v>
      </c>
    </row>
    <row r="16" spans="1:18" ht="60.75">
      <c r="A16" s="13" t="s">
        <v>1090</v>
      </c>
      <c r="B16" s="13" t="s">
        <v>1013</v>
      </c>
      <c r="C16" s="13">
        <v>6</v>
      </c>
      <c r="D16" s="112" t="str">
        <f t="shared" si="0"/>
        <v>x</v>
      </c>
      <c r="E16" s="91" t="str" cm="1">
        <f t="array" ca="1" aca="1" ref="E16">CELL("address",Definitions!$A$4)</f>
        <v>'[QuBA-libre.xlsx]Definitions'!$A$4</v>
      </c>
      <c r="F16" s="13">
        <f>ROWS(Definitions!$A$4:$A$5)</f>
        <v>2</v>
      </c>
      <c r="G16" s="36" t="str">
        <f t="shared" ca="1" si="1"/>
        <v>Yes
No</v>
      </c>
      <c r="H16" s="93" t="str">
        <f>Definitions!$A$4&amp;": What is the worst case severity of the injury for the intended use of the product?"&amp;CHAR(10)&amp;Definitions!$A$5&amp;":"</f>
        <v>Yes: What is the worst case severity of the injury for the intended use of the product?
No:</v>
      </c>
      <c r="I16" s="91" t="str" cm="1">
        <f t="array" ca="1" aca="1" ref="I16">Definitions!$A$4&amp;": "&amp;CELL("address",INDEX(Definitions!$H:$H,MATCH(Definitions!$E$7,Definitions!$G:$G,0)))</f>
        <v>Yes: '[QuBA-libre.xlsx]Definitions'!$H$14</v>
      </c>
      <c r="J16" s="110" t="str">
        <f ca="1">Definitions!$A$4&amp;": "&amp;COUNTIF(Definitions!$G:$G,Definitions!$E$7)</f>
        <v>Yes: 4</v>
      </c>
      <c r="K16" s="36" t="str" cm="1">
        <f t="array" ca="1" aca="1" ref="K16">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16,$J16),CHAR(10))</f>
        <v>___Yes___
Potentially dangerous situation
Light or moderate injury
Severe injury (survival probable)
Life-threatening injury</v>
      </c>
      <c r="L16" s="93" t="str" cm="1">
        <f t="array" ca="1" aca="1" ref="L16">LEFT(INDEX($K:$K,ROW()),FIND(CHAR(10),INDEX($K:$K,ROW())))&amp;RemoveDelimiter(GetValuesIgnoreErrors(SUBSTITUTE($K16,CHAR(10),",")&amp;",",Definitions!$H:$I,": ",". Please provide a rationale:"&amp;CHAR(10),TRUE),CHAR(10))</f>
        <v>___Yes___
Potentially dangerous situation: Potentially dangerous situation. Please provide a rationale:
Light or moderate injury: Light or moderate injury. Please provide a rationale:
Severe injury (survival probable): Severe injury (survival probable). Please provide a rationale:
Life-threatening injury: Life-threatening injury. Please provide a rationale:</v>
      </c>
      <c r="M16" s="13"/>
      <c r="N16" s="13"/>
      <c r="O16" s="13" cm="1">
        <f t="array" ref="O16">CreateID($O$3,$O:$O,$A16&lt;&gt;"")</f>
        <v>13</v>
      </c>
      <c r="P16" s="13" cm="1">
        <f t="array" ref="P16">CreateTaskID($P$3,$P:$P,Tasks!$B$17,$N16)</f>
        <v>0</v>
      </c>
      <c r="Q16" s="13" t="b" cm="1">
        <f t="array" ref="Q16">IF($M16="",FALSE,CheckRelevance(SanitizeInput($M16),Questionnaire!$AA:$AA))</f>
        <v>0</v>
      </c>
      <c r="R16" s="23" cm="1">
        <f t="array" ref="R16">CreateID($R$3,$R:$R,AND($A16&lt;&gt;"",$D16&lt;&gt;""))</f>
        <v>6</v>
      </c>
    </row>
    <row r="17" spans="1:18" ht="15">
      <c r="A17" s="13" t="s">
        <v>1183</v>
      </c>
      <c r="B17" s="13" t="s">
        <v>60</v>
      </c>
      <c r="C17" s="13">
        <v>3</v>
      </c>
      <c r="D17" s="112" t="str">
        <f t="shared" si="0"/>
        <v/>
      </c>
      <c r="E17" s="91"/>
      <c r="F17" s="13"/>
      <c r="G17" s="36" t="str">
        <f t="shared" ca="1" si="1"/>
        <v/>
      </c>
      <c r="H17" s="93"/>
      <c r="I17" s="91"/>
      <c r="J17" s="110"/>
      <c r="K17" s="36" t="str" cm="1">
        <f t="array" ca="1" aca="1" ref="K17">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17,$J17),CHAR(10))</f>
        <v/>
      </c>
      <c r="L17" s="93"/>
      <c r="M17" s="13"/>
      <c r="N17" s="13"/>
      <c r="O17" s="13" cm="1">
        <f t="array" ref="O17">CreateID($O$3,$O:$O,$A17&lt;&gt;"")</f>
        <v>14</v>
      </c>
      <c r="P17" s="13" cm="1">
        <f t="array" ref="P17">CreateTaskID($P$3,$P:$P,Tasks!$B$17,$N17)</f>
        <v>0</v>
      </c>
      <c r="Q17" s="13" t="b" cm="1">
        <f t="array" ref="Q17">IF($M17="",FALSE,CheckRelevance(SanitizeInput($M17),Questionnaire!$AA:$AA))</f>
        <v>0</v>
      </c>
      <c r="R17" s="23" cm="1">
        <f t="array" ref="R17">CreateID($R$3,$R:$R,AND($A17&lt;&gt;"",$D17&lt;&gt;""))</f>
        <v>6</v>
      </c>
    </row>
    <row r="18" spans="1:18" ht="132.75">
      <c r="A18" s="13" t="s">
        <v>1088</v>
      </c>
      <c r="B18" s="13" t="s">
        <v>721</v>
      </c>
      <c r="C18" s="13">
        <v>6</v>
      </c>
      <c r="D18" s="112" t="str">
        <f t="shared" si="0"/>
        <v>x</v>
      </c>
      <c r="E18" s="91" t="str" cm="1">
        <f t="array" ca="1" aca="1" ref="E18">CELL("address",Definitions!$A$4)</f>
        <v>'[QuBA-libre.xlsx]Definitions'!$A$4</v>
      </c>
      <c r="F18" s="13">
        <f>ROWS(Definitions!$A$4:$A$5)</f>
        <v>2</v>
      </c>
      <c r="G18" s="36" t="str">
        <f t="shared" ca="1" si="1"/>
        <v>Yes
No</v>
      </c>
      <c r="H18" s="93" t="str">
        <f>Definitions!$A$4&amp;": What is the worst case effect on the operational environment for the intended use of the product?"&amp;CHAR(10)&amp;Definitions!$A$5&amp;":"</f>
        <v>Yes: What is the worst case effect on the operational environment for the intended use of the product?
No:</v>
      </c>
      <c r="I18" s="91" t="str" cm="1">
        <f t="array" ca="1" aca="1" ref="I18">Definitions!$A$4&amp;": "&amp;CELL("address",INDEX(Definitions!$H:$H,MATCH(Definitions!$E$8,Definitions!$G:$G,0)))</f>
        <v>Yes: '[QuBA-libre.xlsx]Definitions'!$H$18</v>
      </c>
      <c r="J18" s="110" t="str">
        <f ca="1">Definitions!$A$4&amp;": "&amp;COUNTIF(Definitions!$G:$G,Definitions!$E$8)</f>
        <v>Yes: 6</v>
      </c>
      <c r="K18" s="36" t="str" cm="1">
        <f t="array" ca="1" aca="1" ref="K18">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18,$J18),CHAR(10))</f>
        <v>___Yes___
Disturbance
Service required
Major disturbance
Environmental damage
Critical disturbance (destruction)
Critical environmental damage</v>
      </c>
      <c r="L18" s="93" t="str" cm="1">
        <f t="array" ca="1" aca="1" ref="L18">LEFT(INDEX($K:$K,ROW()),FIND(CHAR(10),INDEX($K:$K,ROW())))&amp;RemoveDelimiter(GetValuesIgnoreErrors(SUBSTITUTE($K18,CHAR(10),",")&amp;",",Definitions!$H:$I,": ",". Please explain the expected effects:"&amp;CHAR(10),TRUE),CHAR(10))</f>
        <v>___Yes___
Disturbance: Minor disturbance, customer can quickly fix issue himself (e.g. reset). Please explain the expected effects:
Service required: Disturbance of function, service required. Please explain the expected effects:
Major disturbance: Major disturbance of function. Please explain the expected effects:
Environmental damage: Singular incident with limited environmental damage. Please explain the expected effects:
Critical disturbance (destruction): Destruction of plant, severe damage to assets or operational environment, critical disturbance of function. Please explain the expected effects:
Critical environmental damage: Environmental damages that accumulate to critical impact over time as well as critical damages that happen in a single incident. Please explain the expected effects:</v>
      </c>
      <c r="M18" s="13"/>
      <c r="N18" s="13"/>
      <c r="O18" s="13" cm="1">
        <f t="array" ref="O18">CreateID($O$3,$O:$O,$A18&lt;&gt;"")</f>
        <v>15</v>
      </c>
      <c r="P18" s="13" cm="1">
        <f t="array" ref="P18">CreateTaskID($P$3,$P:$P,Tasks!$B$17,$N18)</f>
        <v>0</v>
      </c>
      <c r="Q18" s="13" t="b" cm="1">
        <f t="array" ref="Q18">IF($M18="",FALSE,CheckRelevance(SanitizeInput($M18),Questionnaire!$AA:$AA))</f>
        <v>0</v>
      </c>
      <c r="R18" s="23" cm="1">
        <f t="array" ref="R18">CreateID($R$3,$R:$R,AND($A18&lt;&gt;"",$D18&lt;&gt;""))</f>
        <v>7</v>
      </c>
    </row>
    <row r="19" spans="1:18" ht="15">
      <c r="A19" s="13" t="s">
        <v>1184</v>
      </c>
      <c r="B19" s="13" t="s">
        <v>58</v>
      </c>
      <c r="C19" s="13">
        <v>3</v>
      </c>
      <c r="D19" s="112" t="str">
        <f t="shared" si="0"/>
        <v/>
      </c>
      <c r="E19" s="91"/>
      <c r="F19" s="13"/>
      <c r="G19" s="36" t="str">
        <f t="shared" ca="1" si="1"/>
        <v/>
      </c>
      <c r="H19" s="93"/>
      <c r="I19" s="91"/>
      <c r="J19" s="110"/>
      <c r="K19" s="36" t="str" cm="1">
        <f t="array" ca="1" aca="1" ref="K19">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19,$J19),CHAR(10))</f>
        <v/>
      </c>
      <c r="L19" s="93"/>
      <c r="M19" s="13"/>
      <c r="N19" s="13"/>
      <c r="O19" s="13" cm="1">
        <f t="array" ref="O19">CreateID($O$3,$O:$O,$A19&lt;&gt;"")</f>
        <v>16</v>
      </c>
      <c r="P19" s="13" cm="1">
        <f t="array" ref="P19">CreateTaskID($P$3,$P:$P,Tasks!$B$17,$N19)</f>
        <v>0</v>
      </c>
      <c r="Q19" s="13" t="b" cm="1">
        <f t="array" ref="Q19">IF($M19="",FALSE,CheckRelevance(SanitizeInput($M19),Questionnaire!$AA:$AA))</f>
        <v>0</v>
      </c>
      <c r="R19" s="23" cm="1">
        <f t="array" ref="R19">CreateID($R$3,$R:$R,AND($A19&lt;&gt;"",$D19&lt;&gt;""))</f>
        <v>7</v>
      </c>
    </row>
    <row r="20" spans="1:18" ht="108.75">
      <c r="A20" s="13" t="s">
        <v>1086</v>
      </c>
      <c r="B20" s="13" t="str">
        <f>"Can a loss of availability allow an attacker access to assets of the customer (including physical access not detected by the "&amp;Definitions!$C$4&amp;" product)? Example: The product is used for access control."</f>
        <v>Can a loss of availability allow an attacker access to assets of the customer (including physical access not detected by the acontis techonlogies GmbH product)? Example: The product is used for access control.</v>
      </c>
      <c r="C20" s="13">
        <v>6</v>
      </c>
      <c r="D20" s="112" t="str">
        <f t="shared" si="0"/>
        <v>x</v>
      </c>
      <c r="E20" s="91" t="str" cm="1">
        <f t="array" ca="1" aca="1" ref="E20">CELL("address",Definitions!$A$4)</f>
        <v>'[QuBA-libre.xlsx]Definitions'!$A$4</v>
      </c>
      <c r="F20" s="13">
        <f>ROWS(Definitions!$A$4:$A$5)</f>
        <v>2</v>
      </c>
      <c r="G20" s="36" t="str">
        <f t="shared" ca="1" si="1"/>
        <v>Yes
No</v>
      </c>
      <c r="H20" s="93" t="str">
        <f>Definitions!$A$4&amp;": What is the worst case value of these assets for the intended use of the product?"&amp;CHAR(10)&amp;Definitions!$A$5&amp;":"</f>
        <v>Yes: What is the worst case value of these assets for the intended use of the product?
No:</v>
      </c>
      <c r="I20" s="91" t="str" cm="1">
        <f t="array" ca="1" aca="1" ref="I20">Definitions!$A$4&amp;": "&amp;CELL("address",INDEX(Definitions!$H:$H,MATCH(Definitions!$E$6,Definitions!$G:$G,0)))</f>
        <v>Yes: '[QuBA-libre.xlsx]Definitions'!$H$10</v>
      </c>
      <c r="J20" s="110" t="str">
        <f ca="1">Definitions!$A$4&amp;": "&amp;COUNTIF(Definitions!$G:$G,Definitions!$E$6)</f>
        <v>Yes: 4</v>
      </c>
      <c r="K20" s="36" t="str" cm="1">
        <f t="array" ca="1" aca="1" ref="K20">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20,$J20),CHAR(10))</f>
        <v>___Yes___
Low financial damage
Medium financial damage
High financial damage
Critical financial damage</v>
      </c>
      <c r="L20" s="93" t="str" cm="1">
        <f t="array" ca="1" aca="1" ref="L20">LEFT(INDEX($K:$K,ROW()),FIND(CHAR(10),INDEX($K:$K,ROW())))&amp;RemoveDelimiter(GetValuesIgnoreErrors(SUBSTITUTE($K20,CHAR(10),",")&amp;",",Definitions!$H:$I,": ",". Please characterize the affected assets:"&amp;CHAR(10),TRUE),CHAR(10))</f>
        <v>___Yes___
Low financial damage: Direct loss, fines for infringements of laws, or violations of contracts (low volume). Please characterize the affected assets:
Medium financial damage: Direct loss, fines for infringements of laws, or violations of contracts (medium volume). Please characterize the affected assets:
High financial damage: Direct loss, fines for infringements of laws, or violations of contracts (high volume). Please characterize the affected assets:
Critical financial damage: Loss of freedom for employees, direct loss, fines for infringements of laws, or violations of contracts (critical volume). Please characterize the affected assets:</v>
      </c>
      <c r="M20" s="13"/>
      <c r="N20" s="13"/>
      <c r="O20" s="13" cm="1">
        <f t="array" ref="O20">CreateID($O$3,$O:$O,$A20&lt;&gt;"")</f>
        <v>17</v>
      </c>
      <c r="P20" s="13" cm="1">
        <f t="array" ref="P20">CreateTaskID($P$3,$P:$P,Tasks!$B$17,$N20)</f>
        <v>0</v>
      </c>
      <c r="Q20" s="13" t="b" cm="1">
        <f t="array" ref="Q20">IF($M20="",FALSE,CheckRelevance(SanitizeInput($M20),Questionnaire!$AA:$AA))</f>
        <v>0</v>
      </c>
      <c r="R20" s="23" cm="1">
        <f t="array" ref="R20">CreateID($R$3,$R:$R,AND($A20&lt;&gt;"",$D20&lt;&gt;""))</f>
        <v>8</v>
      </c>
    </row>
    <row r="21" spans="1:18" ht="108.75">
      <c r="A21" s="13" t="s">
        <v>1084</v>
      </c>
      <c r="B21" s="13" t="s">
        <v>599</v>
      </c>
      <c r="C21" s="13">
        <v>6</v>
      </c>
      <c r="D21" s="112" t="str">
        <f t="shared" si="0"/>
        <v>x</v>
      </c>
      <c r="E21" s="91" t="str" cm="1">
        <f t="array" ca="1" aca="1" ref="E21">CELL("address",Definitions!$A$4)</f>
        <v>'[QuBA-libre.xlsx]Definitions'!$A$4</v>
      </c>
      <c r="F21" s="13">
        <f>ROWS(Definitions!$A$4:$A$5)</f>
        <v>2</v>
      </c>
      <c r="G21" s="36" t="str">
        <f t="shared" ca="1" si="1"/>
        <v>Yes
No</v>
      </c>
      <c r="H21" s="93" t="str">
        <f>Definitions!$A$4&amp;": What is the typical / expected value of the fines for contract violation?"&amp;CHAR(10)&amp;Definitions!$A$5&amp;":"</f>
        <v>Yes: What is the typical / expected value of the fines for contract violation?
No:</v>
      </c>
      <c r="I21" s="91" t="str" cm="1">
        <f t="array" ca="1" aca="1" ref="I21">Definitions!$A$4&amp;": "&amp;CELL("address",INDEX(Definitions!$H:$H,MATCH(Definitions!$E$6,Definitions!$G:$G,0)))</f>
        <v>Yes: '[QuBA-libre.xlsx]Definitions'!$H$10</v>
      </c>
      <c r="J21" s="110" t="str">
        <f ca="1">Definitions!$A$4&amp;": "&amp;COUNTIF(Definitions!$G:$G,Definitions!$E$6)</f>
        <v>Yes: 4</v>
      </c>
      <c r="K21" s="36" t="str" cm="1">
        <f t="array" ca="1" aca="1" ref="K21">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21,$J21),CHAR(10))</f>
        <v>___Yes___
Low financial damage
Medium financial damage
High financial damage
Critical financial damage</v>
      </c>
      <c r="L21" s="93" t="str" cm="1">
        <f t="array" ca="1" aca="1" ref="L21">LEFT(INDEX($K:$K,ROW()),FIND(CHAR(10),INDEX($K:$K,ROW())))&amp;RemoveDelimiter(GetValuesIgnoreErrors(SUBSTITUTE($K21,CHAR(10),",")&amp;",",Definitions!$H:$I,": ",". Please describe the reason of the contract violation:"&amp;CHAR(10),TRUE),CHAR(10))</f>
        <v>___Yes___
Low financial damage: Direct loss, fines for infringements of laws, or violations of contracts (low volume). Please describe the reason of the contract violation:
Medium financial damage: Direct loss, fines for infringements of laws, or violations of contracts (medium volume). Please describe the reason of the contract violation:
High financial damage: Direct loss, fines for infringements of laws, or violations of contracts (high volume). Please describe the reason of the contract violation:
Critical financial damage: Loss of freedom for employees, direct loss, fines for infringements of laws, or violations of contracts (critical volume). Please describe the reason of the contract violation:</v>
      </c>
      <c r="M21" s="13"/>
      <c r="N21" s="13"/>
      <c r="O21" s="13" cm="1">
        <f t="array" ref="O21">CreateID($O$3,$O:$O,$A21&lt;&gt;"")</f>
        <v>18</v>
      </c>
      <c r="P21" s="13" cm="1">
        <f t="array" ref="P21">CreateTaskID($P$3,$P:$P,Tasks!$B$17,$N21)</f>
        <v>0</v>
      </c>
      <c r="Q21" s="13" t="b" cm="1">
        <f t="array" ref="Q21">IF($M21="",FALSE,CheckRelevance(SanitizeInput($M21),Questionnaire!$AA:$AA))</f>
        <v>0</v>
      </c>
      <c r="R21" s="23" cm="1">
        <f t="array" ref="R21">CreateID($R$3,$R:$R,AND($A21&lt;&gt;"",$D21&lt;&gt;""))</f>
        <v>9</v>
      </c>
    </row>
    <row r="22" spans="1:18" ht="15">
      <c r="A22" s="13" t="s">
        <v>1173</v>
      </c>
      <c r="B22" s="13" t="s">
        <v>6</v>
      </c>
      <c r="C22" s="13">
        <v>0</v>
      </c>
      <c r="D22" s="112" t="str">
        <f t="shared" si="0"/>
        <v/>
      </c>
      <c r="E22" s="91"/>
      <c r="F22" s="13"/>
      <c r="G22" s="36" t="str">
        <f t="shared" ca="1" si="1"/>
        <v/>
      </c>
      <c r="H22" s="93"/>
      <c r="I22" s="91"/>
      <c r="J22" s="110"/>
      <c r="K22" s="36" t="str" cm="1">
        <f t="array" ca="1" aca="1" ref="K22">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22,$J22),CHAR(10))</f>
        <v/>
      </c>
      <c r="L22" s="93"/>
      <c r="M22" s="13"/>
      <c r="N22" s="13"/>
      <c r="O22" s="13" cm="1">
        <f t="array" ref="O22">CreateID($O$3,$O:$O,$A22&lt;&gt;"")</f>
        <v>19</v>
      </c>
      <c r="P22" s="13" cm="1">
        <f t="array" ref="P22">CreateTaskID($P$3,$P:$P,Tasks!$B$17,$N22)</f>
        <v>0</v>
      </c>
      <c r="Q22" s="13" t="b" cm="1">
        <f t="array" ref="Q22">IF($M22="",FALSE,CheckRelevance(SanitizeInput($M22),Questionnaire!$AA:$AA))</f>
        <v>0</v>
      </c>
      <c r="R22" s="23" cm="1">
        <f t="array" ref="R22">CreateID($R$3,$R:$R,AND($A22&lt;&gt;"",$D22&lt;&gt;""))</f>
        <v>9</v>
      </c>
    </row>
    <row r="23" spans="1:18" ht="15">
      <c r="A23" s="13" t="s">
        <v>1185</v>
      </c>
      <c r="B23" s="13" t="s">
        <v>59</v>
      </c>
      <c r="C23" s="13">
        <v>3</v>
      </c>
      <c r="D23" s="112" t="str">
        <f t="shared" si="0"/>
        <v/>
      </c>
      <c r="E23" s="91"/>
      <c r="F23" s="13"/>
      <c r="G23" s="36" t="str">
        <f t="shared" ca="1" si="1"/>
        <v/>
      </c>
      <c r="H23" s="93"/>
      <c r="I23" s="91"/>
      <c r="J23" s="110"/>
      <c r="K23" s="36" t="str" cm="1">
        <f t="array" ca="1" aca="1" ref="K23">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23,$J23),CHAR(10))</f>
        <v/>
      </c>
      <c r="L23" s="93"/>
      <c r="M23" s="13"/>
      <c r="N23" s="13"/>
      <c r="O23" s="13" cm="1">
        <f t="array" ref="O23">CreateID($O$3,$O:$O,$A23&lt;&gt;"")</f>
        <v>20</v>
      </c>
      <c r="P23" s="13" cm="1">
        <f t="array" ref="P23">CreateTaskID($P$3,$P:$P,Tasks!$B$17,$N23)</f>
        <v>0</v>
      </c>
      <c r="Q23" s="13" t="b" cm="1">
        <f t="array" ref="Q23">IF($M23="",FALSE,CheckRelevance(SanitizeInput($M23),Questionnaire!$AA:$AA))</f>
        <v>0</v>
      </c>
      <c r="R23" s="23" cm="1">
        <f t="array" ref="R23">CreateID($R$3,$R:$R,AND($A23&lt;&gt;"",$D23&lt;&gt;""))</f>
        <v>9</v>
      </c>
    </row>
    <row r="24" spans="1:18" ht="60.75">
      <c r="A24" s="13" t="s">
        <v>1080</v>
      </c>
      <c r="B24" s="13" t="s">
        <v>65</v>
      </c>
      <c r="C24" s="13">
        <v>6</v>
      </c>
      <c r="D24" s="112" t="str">
        <f t="shared" si="0"/>
        <v>x</v>
      </c>
      <c r="E24" s="91" t="str" cm="1">
        <f t="array" ca="1" aca="1" ref="E24">CELL("address",Definitions!$A$4)</f>
        <v>'[QuBA-libre.xlsx]Definitions'!$A$4</v>
      </c>
      <c r="F24" s="13">
        <f>ROWS(Definitions!$A$4:$A$5)</f>
        <v>2</v>
      </c>
      <c r="G24" s="36" t="str">
        <f t="shared" ca="1" si="1"/>
        <v>Yes
No</v>
      </c>
      <c r="H24" s="93" t="str">
        <f>Definitions!$A$4&amp;": What is the worst case severity of the injury for the intended use of the product?"&amp;CHAR(10)&amp;Definitions!$A$5&amp;":"</f>
        <v>Yes: What is the worst case severity of the injury for the intended use of the product?
No:</v>
      </c>
      <c r="I24" s="91" t="str" cm="1">
        <f t="array" ca="1" aca="1" ref="I24">Definitions!$A$4&amp;": "&amp;CELL("address",INDEX(Definitions!$H:$H,MATCH(Definitions!$E$7,Definitions!$G:$G,0)))</f>
        <v>Yes: '[QuBA-libre.xlsx]Definitions'!$H$14</v>
      </c>
      <c r="J24" s="110" t="str">
        <f ca="1">Definitions!$A$4&amp;": "&amp;COUNTIF(Definitions!$G:$G,Definitions!$E$7)</f>
        <v>Yes: 4</v>
      </c>
      <c r="K24" s="36" t="str" cm="1">
        <f t="array" ca="1" aca="1" ref="K24">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24,$J24),CHAR(10))</f>
        <v>___Yes___
Potentially dangerous situation
Light or moderate injury
Severe injury (survival probable)
Life-threatening injury</v>
      </c>
      <c r="L24" s="93" t="str" cm="1">
        <f t="array" ca="1" aca="1" ref="L24">LEFT(INDEX($K:$K,ROW()),FIND(CHAR(10),INDEX($K:$K,ROW())))&amp;RemoveDelimiter(GetValuesIgnoreErrors(SUBSTITUTE($K24,CHAR(10),",")&amp;",",Definitions!$H:$I,": ",". Please provide a rationale:"&amp;CHAR(10),TRUE),CHAR(10))</f>
        <v>___Yes___
Potentially dangerous situation: Potentially dangerous situation. Please provide a rationale:
Light or moderate injury: Light or moderate injury. Please provide a rationale:
Severe injury (survival probable): Severe injury (survival probable). Please provide a rationale:
Life-threatening injury: Life-threatening injury. Please provide a rationale:</v>
      </c>
      <c r="M24" s="13"/>
      <c r="N24" s="13"/>
      <c r="O24" s="13" cm="1">
        <f t="array" ref="O24">CreateID($O$3,$O:$O,$A24&lt;&gt;"")</f>
        <v>21</v>
      </c>
      <c r="P24" s="13" cm="1">
        <f t="array" ref="P24">CreateTaskID($P$3,$P:$P,Tasks!$B$17,$N24)</f>
        <v>0</v>
      </c>
      <c r="Q24" s="13" t="b" cm="1">
        <f t="array" ref="Q24">IF($M24="",FALSE,CheckRelevance(SanitizeInput($M24),Questionnaire!$AA:$AA))</f>
        <v>0</v>
      </c>
      <c r="R24" s="23" cm="1">
        <f t="array" ref="R24">CreateID($R$3,$R:$R,AND($A24&lt;&gt;"",$D24&lt;&gt;""))</f>
        <v>10</v>
      </c>
    </row>
    <row r="25" spans="1:18" ht="15">
      <c r="A25" s="13" t="s">
        <v>1186</v>
      </c>
      <c r="B25" s="13" t="s">
        <v>61</v>
      </c>
      <c r="C25" s="13">
        <v>3</v>
      </c>
      <c r="D25" s="112" t="str">
        <f t="shared" si="0"/>
        <v/>
      </c>
      <c r="E25" s="91"/>
      <c r="F25" s="13"/>
      <c r="G25" s="36" t="str">
        <f t="shared" ca="1" si="1"/>
        <v/>
      </c>
      <c r="H25" s="93"/>
      <c r="I25" s="91"/>
      <c r="J25" s="110"/>
      <c r="K25" s="36" t="str" cm="1">
        <f t="array" ca="1" aca="1" ref="K25">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25,$J25),CHAR(10))</f>
        <v/>
      </c>
      <c r="L25" s="93"/>
      <c r="M25" s="13"/>
      <c r="N25" s="13"/>
      <c r="O25" s="13" cm="1">
        <f t="array" ref="O25">CreateID($O$3,$O:$O,$A25&lt;&gt;"")</f>
        <v>22</v>
      </c>
      <c r="P25" s="13" cm="1">
        <f t="array" ref="P25">CreateTaskID($P$3,$P:$P,Tasks!$B$17,$N25)</f>
        <v>0</v>
      </c>
      <c r="Q25" s="13" t="b" cm="1">
        <f t="array" ref="Q25">IF($M25="",FALSE,CheckRelevance(SanitizeInput($M25),Questionnaire!$AA:$AA))</f>
        <v>0</v>
      </c>
      <c r="R25" s="23" cm="1">
        <f t="array" ref="R25">CreateID($R$3,$R:$R,AND($A25&lt;&gt;"",$D25&lt;&gt;""))</f>
        <v>10</v>
      </c>
    </row>
    <row r="26" spans="1:18" ht="120.75">
      <c r="A26" s="13" t="s">
        <v>1079</v>
      </c>
      <c r="B26" s="13" t="s">
        <v>66</v>
      </c>
      <c r="C26" s="13">
        <v>6</v>
      </c>
      <c r="D26" s="112" t="str">
        <f t="shared" si="0"/>
        <v>x</v>
      </c>
      <c r="E26" s="91" t="str" cm="1">
        <f t="array" ca="1" aca="1" ref="E26">CELL("address",Definitions!$A$4)</f>
        <v>'[QuBA-libre.xlsx]Definitions'!$A$4</v>
      </c>
      <c r="F26" s="13">
        <f>ROWS(Definitions!$A$4:$A$5)</f>
        <v>2</v>
      </c>
      <c r="G26" s="36" t="str">
        <f t="shared" ca="1" si="1"/>
        <v>Yes
No</v>
      </c>
      <c r="H26" s="93" t="str">
        <f>Definitions!$A$4&amp;": What is the criticality of the disclosed data?"&amp;CHAR(10)&amp;Definitions!$A$5&amp;":"</f>
        <v>Yes: What is the criticality of the disclosed data?
No:</v>
      </c>
      <c r="I26" s="91" t="str" cm="1">
        <f t="array" ca="1" aca="1" ref="I26">Definitions!$A$4&amp;": "&amp;CELL("address",INDEX(Definitions!$H:$H,MATCH(Definitions!$E$4,Definitions!$G:$G,0)))</f>
        <v>Yes: '[QuBA-libre.xlsx]Definitions'!$H$4</v>
      </c>
      <c r="J26" s="110" t="str">
        <f ca="1">Definitions!$A$4&amp;": "&amp;COUNTIF(Definitions!$G:$G,Definitions!$E$4)</f>
        <v>Yes: 3</v>
      </c>
      <c r="K26" s="36" t="str" cm="1">
        <f t="array" ca="1" aca="1" ref="K26">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26,$J26),CHAR(10))</f>
        <v>___Yes___
Personal data (low)
Personal data (significant)
Personal data (ruinous)</v>
      </c>
      <c r="L26" s="93" t="str" cm="1">
        <f t="array" ca="1" aca="1" ref="L26">LEFT(INDEX($K:$K,ROW()),FIND(CHAR(10),INDEX($K:$K,ROW())))&amp;Definitions!$H$4&amp;": It is possible that the person affected will be negatively affected in his or her social status or economic situation (e.g., user name, business e-mail address, business phone number). Please list the affected data:"&amp;CHAR(10)&amp;Definitions!$H$5&amp;": The person affected can be significantly impaired in his or her social status or economic circumstances (e.g., home address, bank account number, credit card details, private phone number, work history). Please list the affected data:"&amp;CHAR(10)&amp;Definitions!$H$6&amp;": The person affected can be ruinously impaired in his social status and economic circumstances. "&amp;"The freedom of the person concerned is threatened (e.g., health data, biometric data, racial or ethnic origin, political opinions, religious beliefs). Please list the affected data:"</f>
        <v>___Yes___
Personal data (low): It is possible that the person affected will be negatively affected in his or her social status or economic situation (e.g., user name, business e-mail address, business phone number). Please list the affected data:
Personal data (significant): The person affected can be significantly impaired in his or her social status or economic circumstances (e.g., home address, bank account number, credit card details, private phone number, work history). Please list the affected data:
Personal data (ruinous): The person affected can be ruinously impaired in his social status and economic circumstances. The freedom of the person concerned is threatened (e.g., health data, biometric data, racial or ethnic origin, political opinions, religious beliefs). Please list the affected data:</v>
      </c>
      <c r="M26" s="13"/>
      <c r="N26" s="13"/>
      <c r="O26" s="13" cm="1">
        <f t="array" ref="O26">CreateID($O$3,$O:$O,$A26&lt;&gt;"")</f>
        <v>23</v>
      </c>
      <c r="P26" s="13" cm="1">
        <f t="array" ref="P26">CreateTaskID($P$3,$P:$P,Tasks!$B$17,$N26)</f>
        <v>0</v>
      </c>
      <c r="Q26" s="13" t="b" cm="1">
        <f t="array" ref="Q26">IF($M26="",FALSE,CheckRelevance(SanitizeInput($M26),Questionnaire!$AA:$AA))</f>
        <v>0</v>
      </c>
      <c r="R26" s="23" cm="1">
        <f t="array" ref="R26">CreateID($R$3,$R:$R,AND($A26&lt;&gt;"",$D26&lt;&gt;""))</f>
        <v>11</v>
      </c>
    </row>
    <row r="27" spans="1:18" ht="84.75">
      <c r="A27" s="13" t="s">
        <v>1078</v>
      </c>
      <c r="B27" s="13" t="s">
        <v>67</v>
      </c>
      <c r="C27" s="13">
        <v>6</v>
      </c>
      <c r="D27" s="112" t="str">
        <f t="shared" si="0"/>
        <v>x</v>
      </c>
      <c r="E27" s="91" t="str" cm="1">
        <f t="array" ca="1" aca="1" ref="E27">CELL("address",Definitions!$A$4)</f>
        <v>'[QuBA-libre.xlsx]Definitions'!$A$4</v>
      </c>
      <c r="F27" s="13">
        <f>ROWS(Definitions!$A$4:$A$5)</f>
        <v>2</v>
      </c>
      <c r="G27" s="36" t="str">
        <f t="shared" ca="1" si="1"/>
        <v>Yes
No</v>
      </c>
      <c r="H27" s="93" t="str">
        <f>Definitions!$A$4&amp;": What is the criticality of the disclosed data?"&amp;CHAR(10)&amp;Definitions!$A$5&amp;":"</f>
        <v>Yes: What is the criticality of the disclosed data?
No:</v>
      </c>
      <c r="I27" s="91" t="str" cm="1">
        <f t="array" ca="1" aca="1" ref="I27">Definitions!$A$4&amp;": "&amp;CELL("address",INDEX(Definitions!$H:$H,MATCH(Definitions!$E$5,Definitions!$G:$G,0)))</f>
        <v>Yes: '[QuBA-libre.xlsx]Definitions'!$H$7</v>
      </c>
      <c r="J27" s="110" t="str">
        <f ca="1">Definitions!$A$4&amp;": "&amp;COUNTIF(Definitions!$G:$G,Definitions!$E$5)</f>
        <v>Yes: 3</v>
      </c>
      <c r="K27" s="36" t="str" cm="1">
        <f t="array" ca="1" aca="1" ref="K27">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27,$J27),CHAR(10))</f>
        <v>___Yes___
IP (slightly innovative)
IP (moderately innovative)
IP (highly innovative)</v>
      </c>
      <c r="L27" s="93" t="str" cm="1">
        <f t="array" ca="1" aca="1" ref="L27">LEFT(INDEX($K:$K,ROW()),FIND(CHAR(10),INDEX($K:$K,ROW())))&amp;RemoveDelimiter(GetValuesIgnoreErrors(SUBSTITUTE($K27,CHAR(10),",")&amp;",",Definitions!$H:$I,": ",". Please list the affected data:"&amp;CHAR(10),TRUE),CHAR(10))</f>
        <v>___Yes___
IP (slightly innovative): Loss of general idea how product works or low impact on markets (little innovation / very small market). Please list the affected data:
IP (moderately innovative): Relevant aspects of system is comprehensible or moderate impact on markets (some innovation in the product / medium size market). Please list the affected data:
IP (highly innovative): Can be copied / technology available or high impact on markets (highly innovative product / high-volume market). Please list the affected data:</v>
      </c>
      <c r="M27" s="13"/>
      <c r="N27" s="13"/>
      <c r="O27" s="13" cm="1">
        <f t="array" ref="O27">CreateID($O$3,$O:$O,$A27&lt;&gt;"")</f>
        <v>24</v>
      </c>
      <c r="P27" s="13" cm="1">
        <f t="array" ref="P27">CreateTaskID($P$3,$P:$P,Tasks!$B$17,$N27)</f>
        <v>0</v>
      </c>
      <c r="Q27" s="13" t="b" cm="1">
        <f t="array" ref="Q27">IF($M27="",FALSE,CheckRelevance(SanitizeInput($M27),Questionnaire!$AA:$AA))</f>
        <v>0</v>
      </c>
      <c r="R27" s="23" cm="1">
        <f t="array" ref="R27">CreateID($R$3,$R:$R,AND($A27&lt;&gt;"",$D27&lt;&gt;""))</f>
        <v>12</v>
      </c>
    </row>
    <row r="28" spans="1:18" ht="396.75">
      <c r="A28" s="13" t="s">
        <v>1077</v>
      </c>
      <c r="B28" s="13" t="s">
        <v>1243</v>
      </c>
      <c r="C28" s="13">
        <v>6</v>
      </c>
      <c r="D28" s="112" t="str">
        <f t="shared" si="0"/>
        <v>x</v>
      </c>
      <c r="E28" s="91" t="str" cm="1">
        <f t="array" ca="1" aca="1" ref="E28">CELL("address",Definitions!$A$4)</f>
        <v>'[QuBA-libre.xlsx]Definitions'!$A$4</v>
      </c>
      <c r="F28" s="13">
        <f>ROWS(Definitions!$A$4:$A$5)</f>
        <v>2</v>
      </c>
      <c r="G28" s="36" t="str">
        <f t="shared" ca="1" si="1"/>
        <v>Yes
No</v>
      </c>
      <c r="H28" s="93" t="str">
        <f>Definitions!$A$4&amp;": What is the criticality of the disclosed data / what are the consequences of the malicious access?"&amp;CHAR(10)&amp;Definitions!$A$5&amp;":"</f>
        <v>Yes: What is the criticality of the disclosed data / what are the consequences of the malicious access?
No:</v>
      </c>
      <c r="I28" s="91" t="str" cm="1">
        <f t="array" ca="1" aca="1" ref="I28">Definitions!$A$4&amp;": "&amp;CELL("address",Definitions!$H$4)</f>
        <v>Yes: '[QuBA-libre.xlsx]Definitions'!$H$4</v>
      </c>
      <c r="J28" s="110" t="str">
        <f ca="1">Definitions!$A$4&amp;": "&amp;COUNTA(Definitions!$K:$K)-1</f>
        <v>Yes: 20</v>
      </c>
      <c r="K28" s="36" t="str" cm="1">
        <f t="array" ca="1" aca="1" ref="K28">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28,$J28),CHAR(10))</f>
        <v>___Yes___
Personal data (low)
Personal data (significant)
Personal data (ruinous)
IP (slightly innovative)
IP (moderately innovative)
IP (highly innovative)
Low financial damage
Medium financial damage
High financial damage
Critical financial damage
Potentially dangerous situation
Light or moderate injury
Severe injury (survival probable)
Life-threatening injury
Disturbance
Service required
Major disturbance
Environmental damage
Critical disturbance (destruction)
Critical environmental damage</v>
      </c>
      <c r="L28" s="93" t="str" cm="1">
        <f t="array" ca="1" aca="1" ref="L28">LEFT(INDEX($K:$K,ROW()),FIND(CHAR(10),INDEX($K:$K,ROW())))&amp;RemoveDelimiter(GetValuesIgnoreErrors(SUBSTITUTE($K28,CHAR(10),",")&amp;",",Definitions!$H:$I,": ",". Please list the affected data:"&amp;CHAR(10),TRUE),CHAR(10))</f>
        <v>___Yes___
Personal data (low): It is possible that the person affected will be negatively affected in his or her social status or economic situation. Please list the affected data:
Personal data (significant): The person affected can be significantly impaired in his or her social status or economic circumstances. Please list the affected data:
Personal data (ruinous): The person affected can be ruinously impaired in his social status and economic circumstances. The freedom of the person concerned is threatened. Please list the affected data:
IP (slightly innovative): Loss of general idea how product works or low impact on markets (little innovation / very small market). Please list the affected data:
IP (moderately innovative): Relevant aspects of system is comprehensible or moderate impact on markets (some innovation in the product / medium size market). Please list the affected data:
IP (highly innovative): Can be copied / technology available or high impact on markets (highly innovative product / high-volume market). Please list the affected data:
Low financial damage: Direct loss, fines for infringements of laws, or violations of contracts (low volume). Please list the affected data:
Medium financial damage: Direct loss, fines for infringements of laws, or violations of contracts (medium volume). Please list the affected data:
High financial damage: Direct loss, fines for infringements of laws, or violations of contracts (high volume). Please list the affected data:
Critical financial damage: Loss of freedom for employees, direct loss, fines for infringements of laws, or violations of contracts (critical volume). Please list the affected data:
Potentially dangerous situation: Potentially dangerous situation. Please list the affected data:
Light or moderate injury: Light or moderate injury. Please list the affected data:
Severe injury (survival probable): Severe injury (survival probable). Please list the affected data:
Life-threatening injury: Life-threatening injury. Please list the affected data:
Disturbance: Minor disturbance, customer can quickly fix issue himself (e.g. reset). Please list the affected data:
Service required: Disturbance of function, service required. Please list the affected data:
Major disturbance: Major disturbance of function. Please list the affected data:
Environmental damage: Singular incident with limited environmental damage. Please list the affected data:
Critical disturbance (destruction): Destruction of plant, severe damage to assets or operational environment, critical disturbance of function. Please list the affected data:
Critical environmental damage: Environmental damages that accumulate to critical impact over time as well as critical damages that happen in a single incident. Please list the affected data:</v>
      </c>
      <c r="M28" s="13"/>
      <c r="N28" s="13"/>
      <c r="O28" s="13" cm="1">
        <f t="array" ref="O28">CreateID($O$3,$O:$O,$A28&lt;&gt;"")</f>
        <v>25</v>
      </c>
      <c r="P28" s="13" cm="1">
        <f t="array" ref="P28">CreateTaskID($P$3,$P:$P,Tasks!$B$17,$N28)</f>
        <v>0</v>
      </c>
      <c r="Q28" s="13" t="b" cm="1">
        <f t="array" ref="Q28">IF($M28="",FALSE,CheckRelevance(SanitizeInput($M28),Questionnaire!$AA:$AA))</f>
        <v>0</v>
      </c>
      <c r="R28" s="23" cm="1">
        <f t="array" ref="R28">CreateID($R$3,$R:$R,AND($A28&lt;&gt;"",$D28&lt;&gt;""))</f>
        <v>13</v>
      </c>
    </row>
    <row r="29" spans="1:18" ht="15">
      <c r="A29" s="13" t="s">
        <v>1187</v>
      </c>
      <c r="B29" s="13" t="s">
        <v>60</v>
      </c>
      <c r="C29" s="13">
        <v>3</v>
      </c>
      <c r="D29" s="112" t="str">
        <f t="shared" si="0"/>
        <v/>
      </c>
      <c r="E29" s="91"/>
      <c r="F29" s="13"/>
      <c r="G29" s="36" t="str">
        <f t="shared" ca="1" si="1"/>
        <v/>
      </c>
      <c r="H29" s="93"/>
      <c r="I29" s="91"/>
      <c r="J29" s="110"/>
      <c r="K29" s="36" t="str" cm="1">
        <f t="array" ca="1" aca="1" ref="K29">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29,$J29),CHAR(10))</f>
        <v/>
      </c>
      <c r="L29" s="93"/>
      <c r="M29" s="13"/>
      <c r="N29" s="13"/>
      <c r="O29" s="13" cm="1">
        <f t="array" ref="O29">CreateID($O$3,$O:$O,$A29&lt;&gt;"")</f>
        <v>26</v>
      </c>
      <c r="P29" s="13" cm="1">
        <f t="array" ref="P29">CreateTaskID($P$3,$P:$P,Tasks!$B$17,$N29)</f>
        <v>0</v>
      </c>
      <c r="Q29" s="13" t="b" cm="1">
        <f t="array" ref="Q29">IF($M29="",FALSE,CheckRelevance(SanitizeInput($M29),Questionnaire!$AA:$AA))</f>
        <v>0</v>
      </c>
      <c r="R29" s="23" cm="1">
        <f t="array" ref="R29">CreateID($R$3,$R:$R,AND($A29&lt;&gt;"",$D29&lt;&gt;""))</f>
        <v>13</v>
      </c>
    </row>
    <row r="30" spans="1:18" ht="132.75">
      <c r="A30" s="13" t="s">
        <v>1075</v>
      </c>
      <c r="B30" s="13" t="s">
        <v>722</v>
      </c>
      <c r="C30" s="13">
        <v>6</v>
      </c>
      <c r="D30" s="112" t="str">
        <f t="shared" si="0"/>
        <v>x</v>
      </c>
      <c r="E30" s="91" t="str" cm="1">
        <f t="array" ca="1" aca="1" ref="E30">CELL("address",Definitions!$A$4)</f>
        <v>'[QuBA-libre.xlsx]Definitions'!$A$4</v>
      </c>
      <c r="F30" s="13">
        <f>ROWS(Definitions!$A$4:$A$5)</f>
        <v>2</v>
      </c>
      <c r="G30" s="36" t="str">
        <f t="shared" ca="1" si="1"/>
        <v>Yes
No</v>
      </c>
      <c r="H30" s="93" t="str">
        <f>Definitions!$A$4&amp;": What is the worst case effect on the operational environment for the intended use of the product?"&amp;CHAR(10)&amp;Definitions!$A$5&amp;":"</f>
        <v>Yes: What is the worst case effect on the operational environment for the intended use of the product?
No:</v>
      </c>
      <c r="I30" s="91" t="str" cm="1">
        <f t="array" ca="1" aca="1" ref="I30">Definitions!$A$4&amp;": "&amp;CELL("address",INDEX(Definitions!$H:$H,MATCH(Definitions!$E$8,Definitions!$G:$G,0)))</f>
        <v>Yes: '[QuBA-libre.xlsx]Definitions'!$H$18</v>
      </c>
      <c r="J30" s="110" t="str">
        <f ca="1">Definitions!$A$4&amp;": "&amp;COUNTIF(Definitions!$G:$G,Definitions!$E$8)</f>
        <v>Yes: 6</v>
      </c>
      <c r="K30" s="36" t="str" cm="1">
        <f t="array" ca="1" aca="1" ref="K30">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30,$J30),CHAR(10))</f>
        <v>___Yes___
Disturbance
Service required
Major disturbance
Environmental damage
Critical disturbance (destruction)
Critical environmental damage</v>
      </c>
      <c r="L30" s="93" t="str" cm="1">
        <f t="array" ca="1" aca="1" ref="L30">LEFT(INDEX($K:$K,ROW()),FIND(CHAR(10),INDEX($K:$K,ROW())))&amp;RemoveDelimiter(GetValuesIgnoreErrors(SUBSTITUTE($K30,CHAR(10),",")&amp;",",Definitions!$H:$I,": ",". Please explain the expected effects:"&amp;CHAR(10),TRUE),CHAR(10))</f>
        <v>___Yes___
Disturbance: Minor disturbance, customer can quickly fix issue himself (e.g. reset). Please explain the expected effects:
Service required: Disturbance of function, service required. Please explain the expected effects:
Major disturbance: Major disturbance of function. Please explain the expected effects:
Environmental damage: Singular incident with limited environmental damage. Please explain the expected effects:
Critical disturbance (destruction): Destruction of plant, severe damage to assets or operational environment, critical disturbance of function. Please explain the expected effects:
Critical environmental damage: Environmental damages that accumulate to critical impact over time as well as critical damages that happen in a single incident. Please explain the expected effects:</v>
      </c>
      <c r="M30" s="13"/>
      <c r="N30" s="13"/>
      <c r="O30" s="13" cm="1">
        <f t="array" ref="O30">CreateID($O$3,$O:$O,$A30&lt;&gt;"")</f>
        <v>27</v>
      </c>
      <c r="P30" s="13" cm="1">
        <f t="array" ref="P30">CreateTaskID($P$3,$P:$P,Tasks!$B$17,$N30)</f>
        <v>0</v>
      </c>
      <c r="Q30" s="13" t="b" cm="1">
        <f t="array" ref="Q30">IF($M30="",FALSE,CheckRelevance(SanitizeInput($M30),Questionnaire!$AA:$AA))</f>
        <v>0</v>
      </c>
      <c r="R30" s="23" cm="1">
        <f t="array" ref="R30">CreateID($R$3,$R:$R,AND($A30&lt;&gt;"",$D30&lt;&gt;""))</f>
        <v>14</v>
      </c>
    </row>
    <row r="31" spans="1:18" ht="15">
      <c r="A31" s="13" t="s">
        <v>1188</v>
      </c>
      <c r="B31" s="13" t="s">
        <v>58</v>
      </c>
      <c r="C31" s="13">
        <v>3</v>
      </c>
      <c r="D31" s="112" t="str">
        <f t="shared" si="0"/>
        <v/>
      </c>
      <c r="E31" s="91"/>
      <c r="F31" s="13"/>
      <c r="G31" s="36" t="str">
        <f t="shared" ca="1" si="1"/>
        <v/>
      </c>
      <c r="H31" s="93"/>
      <c r="I31" s="91"/>
      <c r="J31" s="110"/>
      <c r="K31" s="36" t="str" cm="1">
        <f t="array" ca="1" aca="1" ref="K31">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31,$J31),CHAR(10))</f>
        <v/>
      </c>
      <c r="L31" s="93"/>
      <c r="M31" s="13"/>
      <c r="N31" s="13"/>
      <c r="O31" s="13" cm="1">
        <f t="array" ref="O31">CreateID($O$3,$O:$O,$A31&lt;&gt;"")</f>
        <v>28</v>
      </c>
      <c r="P31" s="13" cm="1">
        <f t="array" ref="P31">CreateTaskID($P$3,$P:$P,Tasks!$B$17,$N31)</f>
        <v>0</v>
      </c>
      <c r="Q31" s="13" t="b" cm="1">
        <f t="array" ref="Q31">IF($M31="",FALSE,CheckRelevance(SanitizeInput($M31),Questionnaire!$AA:$AA))</f>
        <v>0</v>
      </c>
      <c r="R31" s="23" cm="1">
        <f t="array" ref="R31">CreateID($R$3,$R:$R,AND($A31&lt;&gt;"",$D31&lt;&gt;""))</f>
        <v>14</v>
      </c>
    </row>
    <row r="32" spans="1:18" ht="228.75">
      <c r="A32" s="13" t="s">
        <v>1074</v>
      </c>
      <c r="B32" s="13" t="s">
        <v>68</v>
      </c>
      <c r="C32" s="13">
        <v>6</v>
      </c>
      <c r="D32" s="112" t="str">
        <f t="shared" si="0"/>
        <v>x</v>
      </c>
      <c r="E32" s="91" t="str" cm="1">
        <f t="array" ca="1" aca="1" ref="E32">CELL("address",Definitions!$A$4)</f>
        <v>'[QuBA-libre.xlsx]Definitions'!$A$4</v>
      </c>
      <c r="F32" s="13">
        <f>ROWS(Definitions!$A$4:$A$5)</f>
        <v>2</v>
      </c>
      <c r="G32" s="36" t="str">
        <f t="shared" ca="1" si="1"/>
        <v>Yes
No</v>
      </c>
      <c r="H32" s="93" t="str">
        <f>Definitions!$A$4&amp;": What is the worst case damage caused by the manipulation for the intended use of the product?"&amp;CHAR(10)&amp;Definitions!$A$5&amp;":"</f>
        <v>Yes: What is the worst case damage caused by the manipulation for the intended use of the product?
No:</v>
      </c>
      <c r="I32" s="91" t="str" cm="1">
        <f t="array" ca="1" aca="1" ref="I32">Definitions!$A$4&amp;": "&amp;CELL("address",Helper!$D$2)</f>
        <v>Yes: '[QuBA-libre.xlsx]Helper'!$D$2</v>
      </c>
      <c r="J32" s="110" t="str">
        <f ca="1">Definitions!$A$4&amp;": "&amp;COUNTA(Helper!$D:$D)-1</f>
        <v>Yes: 10</v>
      </c>
      <c r="K32" s="36" t="str" cm="1">
        <f t="array" ca="1" aca="1" ref="K32">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32,$J32),CHAR(10))</f>
        <v>___Yes___
Low financial damage
Medium financial damage
High financial damage
Critical financial damage
Disturbance
Service required
Major disturbance
Environmental damage
Critical disturbance (destruction)
Critical environmental damage</v>
      </c>
      <c r="L32" s="93" t="str" cm="1">
        <f t="array" ca="1" aca="1" ref="L32">LEFT(INDEX($K:$K,ROW()),FIND(CHAR(10),INDEX($K:$K,ROW())))&amp;RemoveDelimiter(GetValuesIgnoreErrors(SUBSTITUTE($K32,CHAR(10),",")&amp;",",Definitions!$H:$I,": ",". Please characterize the affected assets:"&amp;CHAR(10),TRUE),CHAR(10))</f>
        <v>___Yes___
Low financial damage: Direct loss, fines for infringements of laws, or violations of contracts (low volume). Please characterize the affected assets:
Medium financial damage: Direct loss, fines for infringements of laws, or violations of contracts (medium volume). Please characterize the affected assets:
High financial damage: Direct loss, fines for infringements of laws, or violations of contracts (high volume). Please characterize the affected assets:
Critical financial damage: Loss of freedom for employees, direct loss, fines for infringements of laws, or violations of contracts (critical volume). Please characterize the affected assets:
Disturbance: Minor disturbance, customer can quickly fix issue himself (e.g. reset). Please characterize the affected assets:
Service required: Disturbance of function, service required. Please characterize the affected assets:
Major disturbance: Major disturbance of function. Please characterize the affected assets:
Environmental damage: Singular incident with limited environmental damage. Please characterize the affected assets:
Critical disturbance (destruction): Destruction of plant, severe damage to assets or operational environment, critical disturbance of function. Please characterize the affected assets:
Critical environmental damage: Environmental damages that accumulate to critical impact over time as well as critical damages that happen in a single incident. Please characterize the affected assets:</v>
      </c>
      <c r="M32" s="13"/>
      <c r="N32" s="13"/>
      <c r="O32" s="13" cm="1">
        <f t="array" ref="O32">CreateID($O$3,$O:$O,$A32&lt;&gt;"")</f>
        <v>29</v>
      </c>
      <c r="P32" s="13" cm="1">
        <f t="array" ref="P32">CreateTaskID($P$3,$P:$P,Tasks!$B$17,$N32)</f>
        <v>0</v>
      </c>
      <c r="Q32" s="13" t="b" cm="1">
        <f t="array" ref="Q32">IF($M32="",FALSE,CheckRelevance(SanitizeInput($M32),Questionnaire!$AA:$AA))</f>
        <v>0</v>
      </c>
      <c r="R32" s="23" cm="1">
        <f t="array" ref="R32">CreateID($R$3,$R:$R,AND($A32&lt;&gt;"",$D32&lt;&gt;""))</f>
        <v>15</v>
      </c>
    </row>
    <row r="33" spans="1:18" ht="108.75">
      <c r="A33" s="13" t="s">
        <v>1072</v>
      </c>
      <c r="B33" s="13" t="s">
        <v>1659</v>
      </c>
      <c r="C33" s="13">
        <v>6</v>
      </c>
      <c r="D33" s="112" t="str">
        <f t="shared" si="0"/>
        <v>x</v>
      </c>
      <c r="E33" s="91" t="str" cm="1">
        <f t="array" ca="1" aca="1" ref="E33">CELL("address",Definitions!$A$4)</f>
        <v>'[QuBA-libre.xlsx]Definitions'!$A$4</v>
      </c>
      <c r="F33" s="13">
        <f>ROWS(Definitions!$A$4:$A$5)</f>
        <v>2</v>
      </c>
      <c r="G33" s="36" t="str">
        <f t="shared" ca="1" si="1"/>
        <v>Yes
No</v>
      </c>
      <c r="H33" s="93" t="str">
        <f>Definitions!$A$4&amp;": What is the typical / expected value of the fines for contract / legal violation?"&amp;CHAR(10)&amp;Definitions!$A$5&amp;":"</f>
        <v>Yes: What is the typical / expected value of the fines for contract / legal violation?
No:</v>
      </c>
      <c r="I33" s="91" t="str" cm="1">
        <f t="array" ca="1" aca="1" ref="I33">Definitions!$A$4&amp;": "&amp;CELL("address",INDEX(Definitions!$H:$H,MATCH(Definitions!$E$6,Definitions!$G:$G,0)))</f>
        <v>Yes: '[QuBA-libre.xlsx]Definitions'!$H$10</v>
      </c>
      <c r="J33" s="110" t="str">
        <f ca="1">Definitions!$A$4&amp;": "&amp;COUNTIF(Definitions!$G:$G,Definitions!$E$6)</f>
        <v>Yes: 4</v>
      </c>
      <c r="K33" s="36" t="str" cm="1">
        <f t="array" ca="1" aca="1" ref="K33">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33,$J33),CHAR(10))</f>
        <v>___Yes___
Low financial damage
Medium financial damage
High financial damage
Critical financial damage</v>
      </c>
      <c r="L33" s="93" t="str" cm="1">
        <f t="array" ca="1" aca="1" ref="L33">LEFT(INDEX($K:$K,ROW()),FIND(CHAR(10),INDEX($K:$K,ROW())))&amp;RemoveDelimiter(GetValuesIgnoreErrors(SUBSTITUTE($K33,CHAR(10),",")&amp;",",Definitions!$H:$I,": ",". Please describe the reason of the contract violation:"&amp;CHAR(10),TRUE),CHAR(10))</f>
        <v>___Yes___
Low financial damage: Direct loss, fines for infringements of laws, or violations of contracts (low volume). Please describe the reason of the contract violation:
Medium financial damage: Direct loss, fines for infringements of laws, or violations of contracts (medium volume). Please describe the reason of the contract violation:
High financial damage: Direct loss, fines for infringements of laws, or violations of contracts (high volume). Please describe the reason of the contract violation:
Critical financial damage: Loss of freedom for employees, direct loss, fines for infringements of laws, or violations of contracts (critical volume). Please describe the reason of the contract violation:</v>
      </c>
      <c r="M33" s="13"/>
      <c r="N33" s="13"/>
      <c r="O33" s="13" cm="1">
        <f t="array" ref="O33">CreateID($O$3,$O:$O,$A33&lt;&gt;"")</f>
        <v>30</v>
      </c>
      <c r="P33" s="13" cm="1">
        <f t="array" ref="P33">CreateTaskID($P$3,$P:$P,Tasks!$B$17,$N33)</f>
        <v>0</v>
      </c>
      <c r="Q33" s="13" t="b" cm="1">
        <f t="array" ref="Q33">IF($M33="",FALSE,CheckRelevance(SanitizeInput($M33),Questionnaire!$AA:$AA))</f>
        <v>0</v>
      </c>
      <c r="R33" s="23" cm="1">
        <f t="array" ref="R33">CreateID($R$3,$R:$R,AND($A33&lt;&gt;"",$D33&lt;&gt;""))</f>
        <v>16</v>
      </c>
    </row>
    <row r="34" spans="1:18" ht="15">
      <c r="A34" s="13" t="s">
        <v>1174</v>
      </c>
      <c r="B34" s="13" t="s">
        <v>1</v>
      </c>
      <c r="C34" s="13">
        <v>0</v>
      </c>
      <c r="D34" s="112" t="str">
        <f t="shared" si="0"/>
        <v/>
      </c>
      <c r="E34" s="91"/>
      <c r="F34" s="13"/>
      <c r="G34" s="36" t="str">
        <f t="shared" ca="1" si="1"/>
        <v/>
      </c>
      <c r="H34" s="93"/>
      <c r="I34" s="91"/>
      <c r="J34" s="110"/>
      <c r="K34" s="36" t="str" cm="1">
        <f t="array" ca="1" aca="1" ref="K34">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34,$J34),CHAR(10))</f>
        <v/>
      </c>
      <c r="L34" s="93"/>
      <c r="M34" s="13"/>
      <c r="N34" s="13"/>
      <c r="O34" s="13" cm="1">
        <f t="array" ref="O34">CreateID($O$3,$O:$O,$A34&lt;&gt;"")</f>
        <v>31</v>
      </c>
      <c r="P34" s="13" cm="1">
        <f t="array" ref="P34">CreateTaskID($P$3,$P:$P,Tasks!$B$17,$N34)</f>
        <v>0</v>
      </c>
      <c r="Q34" s="13" t="b" cm="1">
        <f t="array" ref="Q34">IF($M34="",FALSE,CheckRelevance(SanitizeInput($M34),Questionnaire!$AA:$AA))</f>
        <v>0</v>
      </c>
      <c r="R34" s="23" cm="1">
        <f t="array" ref="R34">CreateID($R$3,$R:$R,AND($A34&lt;&gt;"",$D34&lt;&gt;""))</f>
        <v>16</v>
      </c>
    </row>
    <row r="35" spans="1:18" ht="24.75">
      <c r="A35" s="13" t="s">
        <v>1038</v>
      </c>
      <c r="B35" s="13" t="s">
        <v>51</v>
      </c>
      <c r="C35" s="13">
        <v>0</v>
      </c>
      <c r="D35" s="112" t="str">
        <f t="shared" si="0"/>
        <v>x</v>
      </c>
      <c r="E35" s="91" t="str" cm="1">
        <f t="array" ca="1" aca="1" ref="E35">CELL("address",Definitions!$A$4)</f>
        <v>'[QuBA-libre.xlsx]Definitions'!$A$4</v>
      </c>
      <c r="F35" s="13">
        <f>ROWS(Definitions!$A$4:$A$5)</f>
        <v>2</v>
      </c>
      <c r="G35" s="36" t="str">
        <f t="shared" ca="1" si="1"/>
        <v>Yes
No</v>
      </c>
      <c r="H35" s="93" t="str">
        <f>Definitions!$A$4&amp;":"&amp;CHAR(10)&amp;Definitions!$A$5&amp;":"</f>
        <v>Yes:
No:</v>
      </c>
      <c r="I35" s="91"/>
      <c r="J35" s="110"/>
      <c r="K35" s="36" t="str" cm="1">
        <f t="array" ca="1" aca="1" ref="K35">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35,$J35),CHAR(10))</f>
        <v/>
      </c>
      <c r="L35" s="93"/>
      <c r="M35" s="13"/>
      <c r="N35" s="13"/>
      <c r="O35" s="13" cm="1">
        <f t="array" ref="O35">CreateID($O$3,$O:$O,$A35&lt;&gt;"")</f>
        <v>32</v>
      </c>
      <c r="P35" s="13" cm="1">
        <f t="array" ref="P35">CreateTaskID($P$3,$P:$P,Tasks!$B$17,$N35)</f>
        <v>0</v>
      </c>
      <c r="Q35" s="13" t="b" cm="1">
        <f t="array" ref="Q35">IF($M35="",FALSE,CheckRelevance(SanitizeInput($M35),Questionnaire!$AA:$AA))</f>
        <v>0</v>
      </c>
      <c r="R35" s="23" cm="1">
        <f t="array" ref="R35">CreateID($R$3,$R:$R,AND($A35&lt;&gt;"",$D35&lt;&gt;""))</f>
        <v>17</v>
      </c>
    </row>
    <row r="36" spans="1:18" ht="36.75">
      <c r="A36" s="13" t="s">
        <v>1041</v>
      </c>
      <c r="B36" s="13" t="s">
        <v>1698</v>
      </c>
      <c r="C36" s="13">
        <v>0</v>
      </c>
      <c r="D36" s="112" t="str">
        <f t="shared" si="2" ref="D36:D58">IF($A36="","",IF(LEFT($A36,1)="Q","x",""))</f>
        <v>x</v>
      </c>
      <c r="E36" s="91" t="str" cm="1">
        <f t="array" ca="1" aca="1" ref="E36">CELL("address",Definitions!$A$4)</f>
        <v>'[QuBA-libre.xlsx]Definitions'!$A$4</v>
      </c>
      <c r="F36" s="13">
        <f>ROWS(Definitions!$A$4:$A$5)</f>
        <v>2</v>
      </c>
      <c r="G36" s="36" t="str">
        <f ca="1" t="shared" si="3" ref="G36:G58">IF($E36="","",_xlfn.TEXTJOIN(CHAR(10),TRUE,OFFSET(INDIRECT($E36),0,0,$F36,1)))</f>
        <v>Yes
No</v>
      </c>
      <c r="H36" s="93" t="str">
        <f>Definitions!$A$4&amp;": Please select the kind of connectivity:"&amp;CHAR(10)&amp;Definitions!$A$5&amp;":"</f>
        <v>Yes: Please select the kind of connectivity:
No:</v>
      </c>
      <c r="I36" s="91" t="str" cm="1">
        <f t="array" ca="1" aca="1" ref="I36">Definitions!$A$4&amp;": "&amp;CELL("address",Definitions!$O$4)</f>
        <v>Yes: '[QuBA-libre.xlsx]Definitions'!$O$4</v>
      </c>
      <c r="J36" s="110" t="str">
        <f>Definitions!$A$4&amp;": "&amp;ROWS(Definitions!$O$4:$O$5)</f>
        <v>Yes: 2</v>
      </c>
      <c r="K36" s="36" t="str" cm="1">
        <f t="array" ca="1" aca="1" ref="K36">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36,$J36),CHAR(10))</f>
        <v>___Yes___
Local network gateway
Internet-facing gateway</v>
      </c>
      <c r="L36" s="93" t="str" cm="1">
        <f t="array" ca="1" aca="1" ref="L36">LEFT(INDEX($K:$K,ROW()),FIND(CHAR(10),INDEX($K:$K,ROW())))&amp;Definitions!$O$4&amp;":"&amp;CHAR(10)&amp;Definitions!$O$5&amp;":"</f>
        <v>___Yes___
Local network gateway:
Internet-facing gateway:</v>
      </c>
      <c r="M36" s="13" t="s">
        <v>1197</v>
      </c>
      <c r="N36" s="13"/>
      <c r="O36" s="13" cm="1">
        <f t="array" ref="O36">CreateID($O$3,$O:$O,$A36&lt;&gt;"")</f>
        <v>33</v>
      </c>
      <c r="P36" s="13" cm="1">
        <f t="array" ref="P36">CreateTaskID($P$3,$P:$P,Tasks!$B$17,$N36)</f>
        <v>0</v>
      </c>
      <c r="Q36" s="13" t="b" cm="1">
        <f t="array" ca="1" aca="1" ref="Q36">IF($M36="",FALSE,CheckRelevance(SanitizeInput($M36),Questionnaire!$AA:$AA))</f>
        <v>0</v>
      </c>
      <c r="R36" s="23" cm="1">
        <f t="array" ref="R36">CreateID($R$3,$R:$R,AND($A36&lt;&gt;"",$D36&lt;&gt;""))</f>
        <v>18</v>
      </c>
    </row>
    <row r="37" spans="1:18" ht="15">
      <c r="A37" s="13" t="s">
        <v>1175</v>
      </c>
      <c r="B37" s="13" t="s">
        <v>7</v>
      </c>
      <c r="C37" s="13">
        <v>0</v>
      </c>
      <c r="D37" s="112" t="str">
        <f t="shared" si="2"/>
        <v/>
      </c>
      <c r="E37" s="91"/>
      <c r="F37" s="13"/>
      <c r="G37" s="36" t="str">
        <f t="shared" ca="1" si="3"/>
        <v/>
      </c>
      <c r="H37" s="93"/>
      <c r="I37" s="91"/>
      <c r="J37" s="110"/>
      <c r="K37" s="36" t="str" cm="1">
        <f t="array" ca="1" aca="1" ref="K37">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37,$J37),CHAR(10))</f>
        <v/>
      </c>
      <c r="L37" s="93"/>
      <c r="M37" s="13" t="s">
        <v>1197</v>
      </c>
      <c r="N37" s="13"/>
      <c r="O37" s="13" cm="1">
        <f t="array" ref="O37">CreateID($O$3,$O:$O,$A37&lt;&gt;"")</f>
        <v>34</v>
      </c>
      <c r="P37" s="13" cm="1">
        <f t="array" ref="P37">CreateTaskID($P$3,$P:$P,Tasks!$B$17,$N37)</f>
        <v>0</v>
      </c>
      <c r="Q37" s="13" t="b" cm="1">
        <f t="array" ca="1" aca="1" ref="Q37">IF($M37="",FALSE,CheckRelevance(SanitizeInput($M37),Questionnaire!$AA:$AA))</f>
        <v>0</v>
      </c>
      <c r="R37" s="23" cm="1">
        <f t="array" ref="R37">CreateID($R$3,$R:$R,AND($A37&lt;&gt;"",$D37&lt;&gt;""))</f>
        <v>18</v>
      </c>
    </row>
    <row r="38" spans="1:18" ht="36.75">
      <c r="A38" s="13" t="s">
        <v>1043</v>
      </c>
      <c r="B38" s="13" t="s">
        <v>69</v>
      </c>
      <c r="C38" s="13">
        <v>3</v>
      </c>
      <c r="D38" s="112" t="str">
        <f t="shared" si="2"/>
        <v>x</v>
      </c>
      <c r="E38" s="91" t="str" cm="1">
        <f t="array" ca="1" aca="1" ref="E38">CELL("address",Definitions!$A$4)</f>
        <v>'[QuBA-libre.xlsx]Definitions'!$A$4</v>
      </c>
      <c r="F38" s="13">
        <f>ROWS(Definitions!$A$4:$A$5)</f>
        <v>2</v>
      </c>
      <c r="G38" s="36" t="str">
        <f t="shared" ca="1" si="3"/>
        <v>Yes
No</v>
      </c>
      <c r="H38" s="93" t="str">
        <f>Definitions!$A$4&amp;": Is the connected device typically considered as trustworthy?"&amp;CHAR(10)&amp;Definitions!$A$5&amp;":"</f>
        <v>Yes: Is the connected device typically considered as trustworthy?
No:</v>
      </c>
      <c r="I38" s="91" t="str" cm="1">
        <f t="array" ca="1" aca="1" ref="I38">Definitions!$A$4&amp;": "&amp;CELL("address",Definitions!$A$4)</f>
        <v>Yes: '[QuBA-libre.xlsx]Definitions'!$A$4</v>
      </c>
      <c r="J38" s="110" t="str">
        <f>Definitions!$A$4&amp;": "&amp;ROWS(Definitions!$A$4:$A$5)</f>
        <v>Yes: 2</v>
      </c>
      <c r="K38" s="36" t="str" cm="1">
        <f t="array" ca="1" aca="1" ref="K38">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38,$J38),CHAR(10))</f>
        <v>___Yes___
Yes
No</v>
      </c>
      <c r="L38" s="93" t="str" cm="1">
        <f t="array" ca="1" aca="1" ref="L38">LEFT(INDEX($K:$K,ROW()),FIND(CHAR(10),INDEX($K:$K,ROW())))&amp;Definitions!$A$4&amp;": Please name the party responsible for the trusted device:"&amp;CHAR(10)&amp;Definitions!$A$5&amp;":"</f>
        <v>___Yes___
Yes: Please name the party responsible for the trusted device:
No:</v>
      </c>
      <c r="M38" s="13" t="s">
        <v>1197</v>
      </c>
      <c r="N38" s="13"/>
      <c r="O38" s="13" cm="1">
        <f t="array" ref="O38">CreateID($O$3,$O:$O,$A38&lt;&gt;"")</f>
        <v>35</v>
      </c>
      <c r="P38" s="13" cm="1">
        <f t="array" ref="P38">CreateTaskID($P$3,$P:$P,Tasks!$B$17,$N38)</f>
        <v>0</v>
      </c>
      <c r="Q38" s="13" t="b" cm="1">
        <f t="array" ca="1" aca="1" ref="Q38">IF($M38="",FALSE,CheckRelevance(SanitizeInput($M38),Questionnaire!$AA:$AA))</f>
        <v>0</v>
      </c>
      <c r="R38" s="23" cm="1">
        <f t="array" ref="R38">CreateID($R$3,$R:$R,AND($A38&lt;&gt;"",$D38&lt;&gt;""))</f>
        <v>19</v>
      </c>
    </row>
    <row r="39" spans="1:18" ht="48.75">
      <c r="A39" s="13" t="s">
        <v>1045</v>
      </c>
      <c r="B39" s="13" t="s">
        <v>70</v>
      </c>
      <c r="C39" s="13">
        <v>3</v>
      </c>
      <c r="D39" s="112" t="str">
        <f t="shared" si="2"/>
        <v>x</v>
      </c>
      <c r="E39" s="91" t="str" cm="1">
        <f t="array" ca="1" aca="1" ref="E39">CELL("address",Definitions!$A$4)</f>
        <v>'[QuBA-libre.xlsx]Definitions'!$A$4</v>
      </c>
      <c r="F39" s="13">
        <f>ROWS(Definitions!$A$4:$A$5)</f>
        <v>2</v>
      </c>
      <c r="G39" s="36" t="str">
        <f t="shared" ca="1" si="3"/>
        <v>Yes
No</v>
      </c>
      <c r="H39" s="93" t="str">
        <f>Definitions!$A$4&amp;": Are the devices in the local network considered as trustworthy according to the intended use of the product?"&amp;CHAR(10)&amp;Definitions!$A$5&amp;":"</f>
        <v>Yes: Are the devices in the local network considered as trustworthy according to the intended use of the product?
No:</v>
      </c>
      <c r="I39" s="91" t="str" cm="1">
        <f t="array" ca="1" aca="1" ref="I39">Definitions!$A$4&amp;": "&amp;CELL("address",Definitions!$A$4)</f>
        <v>Yes: '[QuBA-libre.xlsx]Definitions'!$A$4</v>
      </c>
      <c r="J39" s="110" t="str">
        <f>Definitions!$A$4&amp;": "&amp;ROWS(Definitions!$A$4:$A$5)</f>
        <v>Yes: 2</v>
      </c>
      <c r="K39" s="36" t="str" cm="1">
        <f t="array" ca="1" aca="1" ref="K39">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39,$J39),CHAR(10))</f>
        <v>___Yes___
Yes
No</v>
      </c>
      <c r="L39" s="93" t="str" cm="1">
        <f t="array" ca="1" aca="1" ref="L39">LEFT(INDEX($K:$K,ROW()),FIND(CHAR(10),INDEX($K:$K,ROW())))&amp;Definitions!$A$4&amp;": Please name the party responsible for the trusted network:"&amp;CHAR(10)&amp;Definitions!$A$5&amp;":"</f>
        <v>___Yes___
Yes: Please name the party responsible for the trusted network:
No:</v>
      </c>
      <c r="M39" s="13" t="s">
        <v>1197</v>
      </c>
      <c r="N39" s="13"/>
      <c r="O39" s="13" cm="1">
        <f t="array" ref="O39">CreateID($O$3,$O:$O,$A39&lt;&gt;"")</f>
        <v>36</v>
      </c>
      <c r="P39" s="13" cm="1">
        <f t="array" ref="P39">CreateTaskID($P$3,$P:$P,Tasks!$B$17,$N39)</f>
        <v>0</v>
      </c>
      <c r="Q39" s="13" t="b" cm="1">
        <f t="array" ca="1" aca="1" ref="Q39">IF($M39="",FALSE,CheckRelevance(SanitizeInput($M39),Questionnaire!$AA:$AA))</f>
        <v>0</v>
      </c>
      <c r="R39" s="23" cm="1">
        <f t="array" ref="R39">CreateID($R$3,$R:$R,AND($A39&lt;&gt;"",$D39&lt;&gt;""))</f>
        <v>20</v>
      </c>
    </row>
    <row r="40" spans="1:18" ht="48.75">
      <c r="A40" s="13" t="s">
        <v>1047</v>
      </c>
      <c r="B40" s="13" t="s">
        <v>71</v>
      </c>
      <c r="C40" s="13">
        <v>3</v>
      </c>
      <c r="D40" s="112" t="str">
        <f t="shared" si="2"/>
        <v>x</v>
      </c>
      <c r="E40" s="91" t="str" cm="1">
        <f t="array" ca="1" aca="1" ref="E40">CELL("address",Definitions!$A$4)</f>
        <v>'[QuBA-libre.xlsx]Definitions'!$A$4</v>
      </c>
      <c r="F40" s="13">
        <f>ROWS(Definitions!$A$4:$A$5)</f>
        <v>2</v>
      </c>
      <c r="G40" s="36" t="str">
        <f t="shared" ca="1" si="3"/>
        <v>Yes
No</v>
      </c>
      <c r="H40" s="93" t="str">
        <f>Definitions!$A$4&amp;": Is the access to the network restricted and are the devices in the network considered as trustworthy?"&amp;CHAR(10)&amp;Definitions!$A$5&amp;":"</f>
        <v>Yes: Is the access to the network restricted and are the devices in the network considered as trustworthy?
No:</v>
      </c>
      <c r="I40" s="91" t="str" cm="1">
        <f t="array" ca="1" aca="1" ref="I40">Definitions!$A$4&amp;": "&amp;CELL("address",Definitions!$A$4)</f>
        <v>Yes: '[QuBA-libre.xlsx]Definitions'!$A$4</v>
      </c>
      <c r="J40" s="110" t="str">
        <f>Definitions!$A$4&amp;": "&amp;ROWS(Definitions!$A$4:$A$5)</f>
        <v>Yes: 2</v>
      </c>
      <c r="K40" s="36" t="str" cm="1">
        <f t="array" ca="1" aca="1" ref="K40">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40,$J40),CHAR(10))</f>
        <v>___Yes___
Yes
No</v>
      </c>
      <c r="L40" s="93" t="str" cm="1">
        <f t="array" ca="1" aca="1" ref="L40">LEFT(INDEX($K:$K,ROW()),FIND(CHAR(10),INDEX($K:$K,ROW())))&amp;Definitions!$A$4&amp;": Please describe the wireless technologies and the device's role in the network (client / access point / …)  as well as the party responsible for the trusted network:"&amp;CHAR(10)&amp;Definitions!$A$5&amp;": Please describe the wireless technologies and the device's role in the network (client / access point / …):"</f>
        <v>___Yes___
Yes: Please describe the wireless technologies and the device's role in the network (client / access point / …)  as well as the party responsible for the trusted network:
No: Please describe the wireless technologies and the device's role in the network (client / access point / …):</v>
      </c>
      <c r="M40" s="13" t="s">
        <v>1197</v>
      </c>
      <c r="N40" s="13"/>
      <c r="O40" s="13" cm="1">
        <f t="array" ref="O40">CreateID($O$3,$O:$O,$A40&lt;&gt;"")</f>
        <v>37</v>
      </c>
      <c r="P40" s="13" cm="1">
        <f t="array" ref="P40">CreateTaskID($P$3,$P:$P,Tasks!$B$17,$N40)</f>
        <v>0</v>
      </c>
      <c r="Q40" s="13" t="b" cm="1">
        <f t="array" ca="1" aca="1" ref="Q40">IF($M40="",FALSE,CheckRelevance(SanitizeInput($M40),Questionnaire!$AA:$AA))</f>
        <v>0</v>
      </c>
      <c r="R40" s="23" cm="1">
        <f t="array" ref="R40">CreateID($R$3,$R:$R,AND($A40&lt;&gt;"",$D40&lt;&gt;""))</f>
        <v>21</v>
      </c>
    </row>
    <row r="41" spans="1:18" ht="30">
      <c r="A41" s="13" t="s">
        <v>1048</v>
      </c>
      <c r="B41" s="13" t="s">
        <v>72</v>
      </c>
      <c r="C41" s="13">
        <v>3</v>
      </c>
      <c r="D41" s="112" t="str">
        <f t="shared" si="2"/>
        <v>x</v>
      </c>
      <c r="E41" s="91" t="str" cm="1">
        <f t="array" ca="1" aca="1" ref="E41">CELL("address",Definitions!$A$4)</f>
        <v>'[QuBA-libre.xlsx]Definitions'!$A$4</v>
      </c>
      <c r="F41" s="13">
        <f>ROWS(Definitions!$A$4:$A$5)</f>
        <v>2</v>
      </c>
      <c r="G41" s="36" t="str">
        <f t="shared" ca="1" si="3"/>
        <v>Yes
No</v>
      </c>
      <c r="H41" s="93" t="str">
        <f>Definitions!$A$4&amp;":"&amp;CHAR(10)&amp;Definitions!$A$5&amp;":"</f>
        <v>Yes:
No:</v>
      </c>
      <c r="I41" s="91" t="str">
        <f>Definitions!$A$4&amp;":"</f>
        <v>Yes:</v>
      </c>
      <c r="J41" s="110" t="str">
        <f>Definitions!$A$4&amp;": 0"</f>
        <v>Yes: 0</v>
      </c>
      <c r="K41" s="36" t="str" cm="1">
        <f t="array" ca="1" aca="1" ref="K41">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41,$J41),CHAR(10))</f>
        <v>___Yes___</v>
      </c>
      <c r="L41" s="93" t="str" cm="1">
        <f t="array" ca="1" aca="1" ref="L41">LEFT(INDEX($K:$K,ROW()),FIND(CHAR(10),INDEX($K:$K,ROW())&amp;CHAR(10)))&amp;"
*: Please describe the network technologies in use:"</f>
        <v>___Yes___
*: Please describe the network technologies in use:</v>
      </c>
      <c r="M41" s="13" t="s">
        <v>1197</v>
      </c>
      <c r="N41" s="13"/>
      <c r="O41" s="13" cm="1">
        <f t="array" ref="O41">CreateID($O$3,$O:$O,$A41&lt;&gt;"")</f>
        <v>38</v>
      </c>
      <c r="P41" s="13" cm="1">
        <f t="array" ref="P41">CreateTaskID($P$3,$P:$P,Tasks!$B$17,$N41)</f>
        <v>0</v>
      </c>
      <c r="Q41" s="13" t="b" cm="1">
        <f t="array" ca="1" aca="1" ref="Q41">IF($M41="",FALSE,CheckRelevance(SanitizeInput($M41),Questionnaire!$AA:$AA))</f>
        <v>0</v>
      </c>
      <c r="R41" s="23" cm="1">
        <f t="array" ref="R41">CreateID($R$3,$R:$R,AND($A41&lt;&gt;"",$D41&lt;&gt;""))</f>
        <v>22</v>
      </c>
    </row>
    <row r="42" spans="1:18" ht="15">
      <c r="A42" s="13" t="s">
        <v>1176</v>
      </c>
      <c r="B42" s="13" t="s">
        <v>8</v>
      </c>
      <c r="C42" s="13">
        <v>0</v>
      </c>
      <c r="D42" s="112" t="str">
        <f t="shared" si="2"/>
        <v/>
      </c>
      <c r="E42" s="91"/>
      <c r="F42" s="13"/>
      <c r="G42" s="36" t="str">
        <f t="shared" ca="1" si="3"/>
        <v/>
      </c>
      <c r="H42" s="93"/>
      <c r="I42" s="91"/>
      <c r="J42" s="110"/>
      <c r="K42" s="36" t="str" cm="1">
        <f t="array" ca="1" aca="1" ref="K42">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42,$J42),CHAR(10))</f>
        <v/>
      </c>
      <c r="L42" s="93"/>
      <c r="M42" s="13" t="s">
        <v>1197</v>
      </c>
      <c r="N42" s="13"/>
      <c r="O42" s="13" cm="1">
        <f t="array" ref="O42">CreateID($O$3,$O:$O,$A42&lt;&gt;"")</f>
        <v>39</v>
      </c>
      <c r="P42" s="13" cm="1">
        <f t="array" ref="P42">CreateTaskID($P$3,$P:$P,Tasks!$B$17,$N42)</f>
        <v>0</v>
      </c>
      <c r="Q42" s="13" t="b" cm="1">
        <f t="array" ca="1" aca="1" ref="Q42">IF($M42="",FALSE,CheckRelevance(SanitizeInput($M42),Questionnaire!$AA:$AA))</f>
        <v>0</v>
      </c>
      <c r="R42" s="23" cm="1">
        <f t="array" ref="R42">CreateID($R$3,$R:$R,AND($A42&lt;&gt;"",$D42&lt;&gt;""))</f>
        <v>22</v>
      </c>
    </row>
    <row r="43" spans="1:18" ht="30">
      <c r="A43" s="13" t="s">
        <v>1049</v>
      </c>
      <c r="B43" s="13" t="s">
        <v>73</v>
      </c>
      <c r="C43" s="13">
        <v>3</v>
      </c>
      <c r="D43" s="112" t="str">
        <f t="shared" si="2"/>
        <v>x</v>
      </c>
      <c r="E43" s="91" t="str" cm="1">
        <f t="array" ca="1" aca="1" ref="E43">CELL("address",Definitions!$A$4)</f>
        <v>'[QuBA-libre.xlsx]Definitions'!$A$4</v>
      </c>
      <c r="F43" s="13">
        <f>ROWS(Definitions!$A$4:$A$5)</f>
        <v>2</v>
      </c>
      <c r="G43" s="36" t="str">
        <f t="shared" ca="1" si="3"/>
        <v>Yes
No</v>
      </c>
      <c r="H43" s="93" t="str">
        <f>Definitions!$A$4&amp;":"&amp;CHAR(10)&amp;Definitions!$A$5&amp;":"</f>
        <v>Yes:
No:</v>
      </c>
      <c r="I43" s="91"/>
      <c r="J43" s="110"/>
      <c r="K43" s="36" t="str" cm="1">
        <f t="array" ca="1" aca="1" ref="K43">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43,$J43),CHAR(10))</f>
        <v/>
      </c>
      <c r="L43" s="93"/>
      <c r="M43" s="13" t="s">
        <v>1197</v>
      </c>
      <c r="N43" s="13"/>
      <c r="O43" s="13" cm="1">
        <f t="array" ref="O43">CreateID($O$3,$O:$O,$A43&lt;&gt;"")</f>
        <v>40</v>
      </c>
      <c r="P43" s="13" cm="1">
        <f t="array" ref="P43">CreateTaskID($P$3,$P:$P,Tasks!$B$17,$N43)</f>
        <v>0</v>
      </c>
      <c r="Q43" s="13" t="b" cm="1">
        <f t="array" ca="1" aca="1" ref="Q43">IF($M43="",FALSE,CheckRelevance(SanitizeInput($M43),Questionnaire!$AA:$AA))</f>
        <v>0</v>
      </c>
      <c r="R43" s="23" cm="1">
        <f t="array" ref="R43">CreateID($R$3,$R:$R,AND($A43&lt;&gt;"",$D43&lt;&gt;""))</f>
        <v>23</v>
      </c>
    </row>
    <row r="44" spans="1:18" ht="36.75">
      <c r="A44" s="13" t="s">
        <v>1052</v>
      </c>
      <c r="B44" s="13" t="s">
        <v>74</v>
      </c>
      <c r="C44" s="13">
        <v>6</v>
      </c>
      <c r="D44" s="112" t="str">
        <f t="shared" si="2"/>
        <v>x</v>
      </c>
      <c r="E44" s="91" t="str" cm="1">
        <f t="array" ca="1" aca="1" ref="E44">CELL("address",Definitions!$A$4)</f>
        <v>'[QuBA-libre.xlsx]Definitions'!$A$4</v>
      </c>
      <c r="F44" s="13">
        <f>ROWS(Definitions!$A$4:$A$5)</f>
        <v>2</v>
      </c>
      <c r="G44" s="36" t="str">
        <f t="shared" ca="1" si="3"/>
        <v>Yes
No</v>
      </c>
      <c r="H44" s="93" t="str">
        <f>Definitions!$A$4&amp;": Is the configuration interface protected against unwanted write access?"&amp;CHAR(10)&amp;Definitions!$A$5&amp;":"</f>
        <v>Yes: Is the configuration interface protected against unwanted write access?
No:</v>
      </c>
      <c r="I44" s="91" t="str" cm="1">
        <f t="array" ca="1" aca="1" ref="I44">Definitions!$A$4&amp;": "&amp;CELL("address",Definitions!$A$4)</f>
        <v>Yes: '[QuBA-libre.xlsx]Definitions'!$A$4</v>
      </c>
      <c r="J44" s="110" t="str">
        <f>Definitions!$A$4&amp;": "&amp;ROWS(Definitions!$A$4:$A$5)</f>
        <v>Yes: 2</v>
      </c>
      <c r="K44" s="36" t="str" cm="1">
        <f t="array" ca="1" aca="1" ref="K44">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44,$J44),CHAR(10))</f>
        <v>___Yes___
Yes
No</v>
      </c>
      <c r="L44" s="93" t="str" cm="1">
        <f t="array" ca="1" aca="1" ref="L44">LEFT(INDEX($K:$K,ROW()),FIND(CHAR(10),INDEX($K:$K,ROW())&amp;CHAR(10)))&amp;Definitions!$A$4&amp;": Please describe the kind of protection and the parties allowed to access the configuration interface:"&amp;CHAR(10)&amp;Definitions!$A$5&amp;":"</f>
        <v>___Yes___
Yes: Please describe the kind of protection and the parties allowed to access the configuration interface:
No:</v>
      </c>
      <c r="M44" s="13" t="s">
        <v>1197</v>
      </c>
      <c r="N44" s="13"/>
      <c r="O44" s="13" cm="1">
        <f t="array" ref="O44">CreateID($O$3,$O:$O,$A44&lt;&gt;"")</f>
        <v>41</v>
      </c>
      <c r="P44" s="13" cm="1">
        <f t="array" ref="P44">CreateTaskID($P$3,$P:$P,Tasks!$B$17,$N44)</f>
        <v>0</v>
      </c>
      <c r="Q44" s="13" t="b" cm="1">
        <f t="array" ca="1" aca="1" ref="Q44">IF($M44="",FALSE,CheckRelevance(SanitizeInput($M44),Questionnaire!$AA:$AA))</f>
        <v>0</v>
      </c>
      <c r="R44" s="23" cm="1">
        <f t="array" ref="R44">CreateID($R$3,$R:$R,AND($A44&lt;&gt;"",$D44&lt;&gt;""))</f>
        <v>24</v>
      </c>
    </row>
    <row r="45" spans="1:18" ht="30">
      <c r="A45" s="13" t="s">
        <v>1054</v>
      </c>
      <c r="B45" s="13" t="s">
        <v>75</v>
      </c>
      <c r="C45" s="13">
        <v>6</v>
      </c>
      <c r="D45" s="112" t="str">
        <f t="shared" si="2"/>
        <v>x</v>
      </c>
      <c r="E45" s="91" t="str" cm="1">
        <f t="array" ca="1" aca="1" ref="E45">CELL("address",Definitions!$A$4)</f>
        <v>'[QuBA-libre.xlsx]Definitions'!$A$4</v>
      </c>
      <c r="F45" s="13">
        <f>ROWS(Definitions!$A$4:$A$5)</f>
        <v>2</v>
      </c>
      <c r="G45" s="36" t="str">
        <f t="shared" ca="1" si="3"/>
        <v>Yes
No</v>
      </c>
      <c r="H45" s="93" t="str">
        <f>Definitions!$A$4&amp;":"&amp;CHAR(10)&amp;Definitions!$A$5&amp;":"</f>
        <v>Yes:
No:</v>
      </c>
      <c r="I45" s="91" t="str">
        <f>Definitions!$A$4&amp;":"</f>
        <v>Yes:</v>
      </c>
      <c r="J45" s="110" t="str">
        <f>Definitions!$A$4&amp;": 0"</f>
        <v>Yes: 0</v>
      </c>
      <c r="K45" s="36" t="str" cm="1">
        <f t="array" ca="1" aca="1" ref="K45">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45,$J45),CHAR(10))</f>
        <v>___Yes___</v>
      </c>
      <c r="L45" s="93" t="str" cm="1">
        <f t="array" ca="1" aca="1" ref="L45">LEFT(INDEX($K:$K,ROW()),FIND(CHAR(10),INDEX($K:$K,ROW())&amp;CHAR(10)))&amp;"
*: Please name the supported protocols:"</f>
        <v>___Yes___
*: Please name the supported protocols:</v>
      </c>
      <c r="M45" s="13" t="s">
        <v>1200</v>
      </c>
      <c r="N45" s="13"/>
      <c r="O45" s="13" cm="1">
        <f t="array" ref="O45">CreateID($O$3,$O:$O,$A45&lt;&gt;"")</f>
        <v>42</v>
      </c>
      <c r="P45" s="13" cm="1">
        <f t="array" ref="P45">CreateTaskID($P$3,$P:$P,Tasks!$B$17,$N45)</f>
        <v>0</v>
      </c>
      <c r="Q45" s="13" t="b" cm="1">
        <f t="array" ca="1" aca="1" ref="Q45">IF($M45="",FALSE,CheckRelevance(SanitizeInput($M45),Questionnaire!$AA:$AA))</f>
        <v>0</v>
      </c>
      <c r="R45" s="23" cm="1">
        <f t="array" ref="R45">CreateID($R$3,$R:$R,AND($A45&lt;&gt;"",$D45&lt;&gt;""))</f>
        <v>25</v>
      </c>
    </row>
    <row r="46" spans="1:18" ht="45">
      <c r="A46" s="13" t="s">
        <v>1244</v>
      </c>
      <c r="B46" s="13" t="s">
        <v>1246</v>
      </c>
      <c r="C46" s="13">
        <v>6</v>
      </c>
      <c r="D46" s="112" t="str">
        <f t="shared" si="2"/>
        <v>x</v>
      </c>
      <c r="E46" s="91" t="str" cm="1">
        <f t="array" ca="1" aca="1" ref="E46">CELL("address",Definitions!$A$4)</f>
        <v>'[QuBA-libre.xlsx]Definitions'!$A$4</v>
      </c>
      <c r="F46" s="13">
        <f>ROWS(Definitions!$A$4:$A$5)</f>
        <v>2</v>
      </c>
      <c r="G46" s="36" t="str">
        <f t="shared" ca="1" si="3"/>
        <v>Yes
No</v>
      </c>
      <c r="H46" s="93" t="str">
        <f>Definitions!$A$4&amp;": Is the external system considered as trustworthy? In case of several systems, consider the worst case."&amp;CHAR(10)&amp;Definitions!$A$5&amp;":"</f>
        <v>Yes: Is the external system considered as trustworthy? In case of several systems, consider the worst case.
No:</v>
      </c>
      <c r="I46" s="91" t="str" cm="1">
        <f t="array" ca="1" aca="1" ref="I46">Definitions!$A$4&amp;": "&amp;CELL("address",Definitions!$A$4)</f>
        <v>Yes: '[QuBA-libre.xlsx]Definitions'!$A$4</v>
      </c>
      <c r="J46" s="110" t="str">
        <f>Definitions!$A$4&amp;": "&amp;ROWS(Definitions!$A$4:$A$5)</f>
        <v>Yes: 2</v>
      </c>
      <c r="K46" s="36" t="str" cm="1">
        <f t="array" ca="1" aca="1" ref="K46">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46,$J46),CHAR(10))</f>
        <v>___Yes___
Yes
No</v>
      </c>
      <c r="L46" s="93" t="str" cm="1">
        <f t="array" ca="1" aca="1" ref="L46">LEFT(INDEX($K:$K,ROW()),FIND(CHAR(10),INDEX($K:$K,ROW())&amp;CHAR(10)))&amp;Definitions!$A$4&amp;": Please describe the interactions and the exchanged data:"&amp;CHAR(10)&amp;Definitions!$A$5&amp;": Please describe the interactions and the exchanged data:"</f>
        <v>___Yes___
Yes: Please describe the interactions and the exchanged data:
No: Please describe the interactions and the exchanged data:</v>
      </c>
      <c r="M46" s="13" t="s">
        <v>1197</v>
      </c>
      <c r="N46" s="13"/>
      <c r="O46" s="13" cm="1">
        <f t="array" ref="O46">CreateID($O$3,$O:$O,$A46&lt;&gt;"")</f>
        <v>43</v>
      </c>
      <c r="P46" s="13" cm="1">
        <f t="array" ref="P46">CreateTaskID($P$3,$P:$P,Tasks!$B$17,$N46)</f>
        <v>0</v>
      </c>
      <c r="Q46" s="13" t="b" cm="1">
        <f t="array" ca="1" aca="1" ref="Q46">IF($M46="",FALSE,CheckRelevance(SanitizeInput($M46),Questionnaire!$AA:$AA))</f>
        <v>0</v>
      </c>
      <c r="R46" s="23" cm="1">
        <f t="array" ref="R46">CreateID($R$3,$R:$R,AND($A46&lt;&gt;"",$D46&lt;&gt;""))</f>
        <v>26</v>
      </c>
    </row>
    <row r="47" spans="1:18" ht="75">
      <c r="A47" s="13" t="s">
        <v>1245</v>
      </c>
      <c r="B47" s="13" t="str">
        <f>"Does the product communicate with an external system on the Internet (e.g., an untrusted 3rd party backend, a "&amp;Definitions!$C$4&amp;" cloud service, a "&amp;Definitions!$C$4&amp;" server system)?"</f>
        <v>Does the product communicate with an external system on the Internet (e.g., an untrusted 3rd party backend, a acontis techonlogies GmbH cloud service, a acontis techonlogies GmbH server system)?</v>
      </c>
      <c r="C47" s="13">
        <v>6</v>
      </c>
      <c r="D47" s="111" t="str">
        <f>IF($A47="","",IF(LEFT($A47,1)="Q","x",""))</f>
        <v>x</v>
      </c>
      <c r="E47" s="91" t="str" cm="1">
        <f t="array" ca="1" aca="1" ref="E47">CELL("address",Definitions!$A$4)</f>
        <v>'[QuBA-libre.xlsx]Definitions'!$A$4</v>
      </c>
      <c r="F47" s="13">
        <f>ROWS(Definitions!$A$4:$A$5)</f>
        <v>2</v>
      </c>
      <c r="G47" s="37" t="str">
        <f ca="1">IF($E47="","",_xlfn.TEXTJOIN(CHAR(10),TRUE,OFFSET(INDIRECT($E47),0,0,$F47,1)))</f>
        <v>Yes
No</v>
      </c>
      <c r="H47" s="93" t="str">
        <f>Definitions!$A$4&amp;": Is the external system considered as trustworthy? In case of several systems, consider the worst case."&amp;CHAR(10)&amp;Definitions!$A$5&amp;":"</f>
        <v>Yes: Is the external system considered as trustworthy? In case of several systems, consider the worst case.
No:</v>
      </c>
      <c r="I47" s="91" t="str" cm="1">
        <f t="array" ca="1" aca="1" ref="I47">Definitions!$A$4&amp;": "&amp;CELL("address",Definitions!$A$4)</f>
        <v>Yes: '[QuBA-libre.xlsx]Definitions'!$A$4</v>
      </c>
      <c r="J47" s="110" t="str">
        <f>Definitions!$A$4&amp;": "&amp;ROWS(Definitions!$A$4:$A$5)</f>
        <v>Yes: 2</v>
      </c>
      <c r="K47" s="37" t="str" cm="1">
        <f t="array" ca="1" aca="1" ref="K47">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47,$J47),CHAR(10))</f>
        <v>___Yes___
Yes
No</v>
      </c>
      <c r="L47" s="93" t="str" cm="1">
        <f t="array" ca="1" aca="1" ref="L47">LEFT(INDEX($K:$K,ROW()),FIND(CHAR(10),INDEX($K:$K,ROW())&amp;CHAR(10)))&amp;Definitions!$A$4&amp;": Please describe the interactions and the exchanged data:"&amp;CHAR(10)&amp;Definitions!$A$5&amp;": Please describe the interactions and the exchanged data:"</f>
        <v>___Yes___
Yes: Please describe the interactions and the exchanged data:
No: Please describe the interactions and the exchanged data:</v>
      </c>
      <c r="M47" s="13" t="s">
        <v>1197</v>
      </c>
      <c r="N47" s="13"/>
      <c r="O47" s="23" cm="1">
        <f t="array" ref="O47">CreateID($O$3,$O:$O,$A47&lt;&gt;"")</f>
        <v>44</v>
      </c>
      <c r="P47" s="23" cm="1">
        <f t="array" ref="P47">CreateTaskID($P$3,$P:$P,Tasks!$B$17,$N47)</f>
        <v>0</v>
      </c>
      <c r="Q47" s="23" t="b" cm="1">
        <f t="array" ca="1" aca="1" ref="Q47">IF($M47="",FALSE,CheckRelevance(SanitizeInput($M47),Questionnaire!$AA:$AA))</f>
        <v>0</v>
      </c>
      <c r="R47" s="23" cm="1">
        <f t="array" ref="R47">CreateID($R$3,$R:$R,AND($A47&lt;&gt;"",$D47&lt;&gt;""))</f>
        <v>27</v>
      </c>
    </row>
    <row r="48" spans="1:18" ht="48.75">
      <c r="A48" s="13" t="s">
        <v>1377</v>
      </c>
      <c r="B48" s="13" t="s">
        <v>76</v>
      </c>
      <c r="C48" s="13">
        <v>6</v>
      </c>
      <c r="D48" s="112" t="str">
        <f t="shared" si="2"/>
        <v>x</v>
      </c>
      <c r="E48" s="91" t="str" cm="1">
        <f t="array" ca="1" aca="1" ref="E48">CELL("address",Definitions!$A$4)</f>
        <v>'[QuBA-libre.xlsx]Definitions'!$A$4</v>
      </c>
      <c r="F48" s="13">
        <f>ROWS(Definitions!$A$4:$A$5)</f>
        <v>2</v>
      </c>
      <c r="G48" s="36" t="str">
        <f t="shared" ca="1" si="3"/>
        <v>Yes
No</v>
      </c>
      <c r="H48" s="93" t="str">
        <f>Definitions!$A$4&amp;": Does the software originate from a trustworthy source (e.g., the "&amp;Definitions!$C$4&amp;" backend, potentially over multiple communication media)?"&amp;CHAR(10)&amp;Definitions!$A$5&amp;":"</f>
        <v>Yes: Does the software originate from a trustworthy source (e.g., the acontis techonlogies GmbH backend, potentially over multiple communication media)?
No:</v>
      </c>
      <c r="I48" s="91" t="str" cm="1">
        <f t="array" ca="1" aca="1" ref="I48">Definitions!$A$4&amp;": "&amp;CELL("address",Definitions!$A$4)</f>
        <v>Yes: '[QuBA-libre.xlsx]Definitions'!$A$4</v>
      </c>
      <c r="J48" s="110" t="str">
        <f>Definitions!$A$4&amp;": "&amp;ROWS(Definitions!$A$4:$A$5)</f>
        <v>Yes: 2</v>
      </c>
      <c r="K48" s="36" t="str" cm="1">
        <f t="array" ca="1" aca="1" ref="K48">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48,$J48),CHAR(10))</f>
        <v>___Yes___
Yes
No</v>
      </c>
      <c r="L48" s="93" t="str" cm="1">
        <f t="array" ca="1" aca="1" ref="L48">LEFT(INDEX($K:$K,ROW()),FIND(CHAR(10),INDEX($K:$K,ROW())&amp;CHAR(10)))&amp;Definitions!$A$4&amp;": Who is the trustworthy party creating and providing the updates?"&amp;CHAR(10)&amp;Definitions!$A$5&amp;":"</f>
        <v>___Yes___
Yes: Who is the trustworthy party creating and providing the updates?
No:</v>
      </c>
      <c r="M48" s="13" t="s">
        <v>1197</v>
      </c>
      <c r="N48" s="13"/>
      <c r="O48" s="13" cm="1">
        <f t="array" ref="O48">CreateID($O$3,$O:$O,$A48&lt;&gt;"")</f>
        <v>45</v>
      </c>
      <c r="P48" s="13" cm="1">
        <f t="array" ref="P48">CreateTaskID($P$3,$P:$P,Tasks!$B$17,$N48)</f>
        <v>0</v>
      </c>
      <c r="Q48" s="13" t="b" cm="1">
        <f t="array" ca="1" aca="1" ref="Q48">IF($M48="",FALSE,CheckRelevance(SanitizeInput($M48),Questionnaire!$AA:$AA))</f>
        <v>0</v>
      </c>
      <c r="R48" s="23" cm="1">
        <f t="array" ref="R48">CreateID($R$3,$R:$R,AND($A48&lt;&gt;"",$D48&lt;&gt;""))</f>
        <v>28</v>
      </c>
    </row>
    <row r="49" spans="1:18" ht="36.75">
      <c r="A49" s="13" t="s">
        <v>1378</v>
      </c>
      <c r="B49" s="13" t="s">
        <v>1379</v>
      </c>
      <c r="C49" s="13">
        <v>6</v>
      </c>
      <c r="D49" s="111" t="str">
        <f>IF($A49="","",IF(LEFT($A49,1)="Q","x",""))</f>
        <v>x</v>
      </c>
      <c r="E49" s="91" t="str" cm="1">
        <f t="array" ca="1" aca="1" ref="E49">CELL("address",Definitions!$A$4)</f>
        <v>'[QuBA-libre.xlsx]Definitions'!$A$4</v>
      </c>
      <c r="F49" s="13">
        <f>ROWS(Definitions!$A$4:$A$5)</f>
        <v>2</v>
      </c>
      <c r="G49" s="37" t="str">
        <f ca="1">IF($E49="","",_xlfn.TEXTJOIN(CHAR(10),TRUE,OFFSET(INDIRECT($E49),0,0,$F49,1)))</f>
        <v>Yes
No</v>
      </c>
      <c r="H49" s="93" t="str">
        <f>Definitions!$A$4&amp;":"&amp;CHAR(10)&amp;Definitions!$A$5&amp;": Will the product be exchanged to handle vulnerabilities or security incidents?"</f>
        <v>Yes:
No: Will the product be exchanged to handle vulnerabilities or security incidents?</v>
      </c>
      <c r="I49" s="91" t="str" cm="1">
        <f t="array" ca="1" aca="1" ref="I49">Definitions!$A$5&amp;": "&amp;CELL("address",Definitions!$A$4)</f>
        <v>No: '[QuBA-libre.xlsx]Definitions'!$A$4</v>
      </c>
      <c r="J49" s="110" t="str">
        <f>Definitions!$A$5&amp;": "&amp;ROWS(Definitions!$A$4:$A$5)</f>
        <v>No: 2</v>
      </c>
      <c r="K49" s="37" t="str" cm="1">
        <f t="array" ca="1" aca="1" ref="K49">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49,$J49),CHAR(10))</f>
        <v>___No___
Yes
No</v>
      </c>
      <c r="L49" s="93" t="str" cm="1">
        <f t="array" ca="1" aca="1" ref="L49">LEFT(INDEX($K:$K,ROW()),FIND(CHAR(10),INDEX($K:$K,ROW())&amp;CHAR(10)))&amp;Definitions!$A$4&amp;":"&amp;CHAR(10)&amp;Definitions!$A$5&amp;":"</f>
        <v>___No___
Yes:
No:</v>
      </c>
      <c r="M49" s="13" t="s">
        <v>1197</v>
      </c>
      <c r="N49" s="13"/>
      <c r="O49" s="23" cm="1">
        <f t="array" ref="O49">CreateID($O$3,$O:$O,$A49&lt;&gt;"")</f>
        <v>46</v>
      </c>
      <c r="P49" s="23" cm="1">
        <f t="array" ref="P49">CreateTaskID($P$3,$P:$P,Tasks!$B$17,$N49)</f>
        <v>0</v>
      </c>
      <c r="Q49" s="23" t="b" cm="1">
        <f t="array" ca="1" aca="1" ref="Q49">IF($M49="",FALSE,CheckRelevance(SanitizeInput($M49),Questionnaire!$AA:$AA))</f>
        <v>0</v>
      </c>
      <c r="R49" s="23" cm="1">
        <f t="array" ref="R49">CreateID($R$3,$R:$R,AND($A49&lt;&gt;"",$D49&lt;&gt;""))</f>
        <v>29</v>
      </c>
    </row>
    <row r="50" spans="1:18" ht="36.75">
      <c r="A50" s="13" t="s">
        <v>1056</v>
      </c>
      <c r="B50" s="13" t="s">
        <v>658</v>
      </c>
      <c r="C50" s="13">
        <v>3</v>
      </c>
      <c r="D50" s="112" t="str">
        <f t="shared" si="2"/>
        <v>x</v>
      </c>
      <c r="E50" s="91" t="str" cm="1">
        <f t="array" ca="1" aca="1" ref="E50">CELL("address",Definitions!$A$4)</f>
        <v>'[QuBA-libre.xlsx]Definitions'!$A$4</v>
      </c>
      <c r="F50" s="13">
        <f>ROWS(Definitions!$A$4:$A$5)</f>
        <v>2</v>
      </c>
      <c r="G50" s="36" t="str">
        <f t="shared" ca="1" si="3"/>
        <v>Yes
No</v>
      </c>
      <c r="H50" s="93" t="str">
        <f>Definitions!$A$4&amp;": Are the local network and the gateway considered as trustworthy?"&amp;CHAR(10)&amp;Definitions!$A$5&amp;":"</f>
        <v>Yes: Are the local network and the gateway considered as trustworthy?
No:</v>
      </c>
      <c r="I50" s="91" t="str" cm="1">
        <f t="array" ca="1" aca="1" ref="I50">Definitions!$A$4&amp;": "&amp;CELL("address",Definitions!$A$4)</f>
        <v>Yes: '[QuBA-libre.xlsx]Definitions'!$A$4</v>
      </c>
      <c r="J50" s="110" t="str">
        <f>Definitions!$A$4&amp;": "&amp;ROWS(Definitions!$A$4:$A$5)</f>
        <v>Yes: 2</v>
      </c>
      <c r="K50" s="36" t="str" cm="1">
        <f t="array" ca="1" aca="1" ref="K50">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50,$J50),CHAR(10))</f>
        <v>___Yes___
Yes
No</v>
      </c>
      <c r="L50" s="93" t="str" cm="1">
        <f t="array" ca="1" aca="1" ref="L50">LEFT(INDEX($K:$K,ROW()),FIND(CHAR(10),INDEX($K:$K,ROW())&amp;CHAR(10)))&amp;Definitions!$A$4&amp;": Who is responsible for the secure operation of the network?"&amp;CHAR(10)&amp;Definitions!$A$5&amp;":"</f>
        <v>___Yes___
Yes: Who is responsible for the secure operation of the network?
No:</v>
      </c>
      <c r="M50" s="13" t="s">
        <v>1197</v>
      </c>
      <c r="N50" s="13"/>
      <c r="O50" s="13" cm="1">
        <f t="array" ref="O50">CreateID($O$3,$O:$O,$A50&lt;&gt;"")</f>
        <v>47</v>
      </c>
      <c r="P50" s="13" cm="1">
        <f t="array" ref="P50">CreateTaskID($P$3,$P:$P,Tasks!$B$17,$N50)</f>
        <v>0</v>
      </c>
      <c r="Q50" s="13" t="b" cm="1">
        <f t="array" ca="1" aca="1" ref="Q50">IF($M50="",FALSE,CheckRelevance(SanitizeInput($M50),Questionnaire!$AA:$AA))</f>
        <v>0</v>
      </c>
      <c r="R50" s="23" cm="1">
        <f t="array" ref="R50">CreateID($R$3,$R:$R,AND($A50&lt;&gt;"",$D50&lt;&gt;""))</f>
        <v>30</v>
      </c>
    </row>
    <row r="51" spans="1:18" ht="36.75">
      <c r="A51" s="13" t="s">
        <v>1059</v>
      </c>
      <c r="B51" s="13" t="s">
        <v>659</v>
      </c>
      <c r="C51" s="13">
        <v>3</v>
      </c>
      <c r="D51" s="112" t="str">
        <f t="shared" si="2"/>
        <v>x</v>
      </c>
      <c r="E51" s="91" t="str" cm="1">
        <f t="array" ca="1" aca="1" ref="E51">CELL("address",Definitions!$A$4)</f>
        <v>'[QuBA-libre.xlsx]Definitions'!$A$4</v>
      </c>
      <c r="F51" s="13">
        <f>ROWS(Definitions!$A$4:$A$5)</f>
        <v>2</v>
      </c>
      <c r="G51" s="36" t="str">
        <f t="shared" ca="1" si="3"/>
        <v>Yes
No</v>
      </c>
      <c r="H51" s="93" t="str">
        <f>Definitions!$A$4&amp;": Are the wireless network and the gateway considered as trustworthy?"&amp;CHAR(10)&amp;Definitions!$A$5&amp;":"</f>
        <v>Yes: Are the wireless network and the gateway considered as trustworthy?
No:</v>
      </c>
      <c r="I51" s="91" t="str" cm="1">
        <f t="array" ca="1" aca="1" ref="I51">Definitions!$A$4&amp;": "&amp;CELL("address",Definitions!$A$4)</f>
        <v>Yes: '[QuBA-libre.xlsx]Definitions'!$A$4</v>
      </c>
      <c r="J51" s="110" t="str">
        <f>Definitions!$A$4&amp;": "&amp;ROWS(Definitions!$A$4:$A$5)</f>
        <v>Yes: 2</v>
      </c>
      <c r="K51" s="36" t="str" cm="1">
        <f t="array" ca="1" aca="1" ref="K51">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51,$J51),CHAR(10))</f>
        <v>___Yes___
Yes
No</v>
      </c>
      <c r="L51" s="93" t="str" cm="1">
        <f t="array" ca="1" aca="1" ref="L51">LEFT(INDEX($K:$K,ROW()),FIND(CHAR(10),INDEX($K:$K,ROW())&amp;CHAR(10)))&amp;Definitions!$A$4&amp;": Who is responsible for the secure operation of the network?"&amp;CHAR(10)&amp;Definitions!$A$5&amp;":"</f>
        <v>___Yes___
Yes: Who is responsible for the secure operation of the network?
No:</v>
      </c>
      <c r="M51" s="13" t="s">
        <v>1197</v>
      </c>
      <c r="N51" s="13"/>
      <c r="O51" s="13" cm="1">
        <f t="array" ref="O51">CreateID($O$3,$O:$O,$A51&lt;&gt;"")</f>
        <v>48</v>
      </c>
      <c r="P51" s="13" cm="1">
        <f t="array" ref="P51">CreateTaskID($P$3,$P:$P,Tasks!$B$17,$N51)</f>
        <v>0</v>
      </c>
      <c r="Q51" s="13" t="b" cm="1">
        <f t="array" ca="1" aca="1" ref="Q51">IF($M51="",FALSE,CheckRelevance(SanitizeInput($M51),Questionnaire!$AA:$AA))</f>
        <v>0</v>
      </c>
      <c r="R51" s="23" cm="1">
        <f t="array" ref="R51">CreateID($R$3,$R:$R,AND($A51&lt;&gt;"",$D51&lt;&gt;""))</f>
        <v>31</v>
      </c>
    </row>
    <row r="52" spans="1:18" ht="15">
      <c r="A52" s="13" t="s">
        <v>1177</v>
      </c>
      <c r="B52" s="13" t="s">
        <v>9</v>
      </c>
      <c r="C52" s="13">
        <v>0</v>
      </c>
      <c r="D52" s="112" t="str">
        <f t="shared" si="2"/>
        <v/>
      </c>
      <c r="E52" s="91"/>
      <c r="F52" s="13"/>
      <c r="G52" s="36" t="str">
        <f t="shared" ca="1" si="3"/>
        <v/>
      </c>
      <c r="H52" s="93"/>
      <c r="I52" s="91"/>
      <c r="J52" s="110"/>
      <c r="K52" s="36" t="str" cm="1">
        <f t="array" ca="1" aca="1" ref="K52">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52,$J52),CHAR(10))</f>
        <v/>
      </c>
      <c r="L52" s="93"/>
      <c r="M52" s="13"/>
      <c r="N52" s="13"/>
      <c r="O52" s="13" cm="1">
        <f t="array" ref="O52">CreateID($O$3,$O:$O,$A52&lt;&gt;"")</f>
        <v>49</v>
      </c>
      <c r="P52" s="13" cm="1">
        <f t="array" ref="P52">CreateTaskID($P$3,$P:$P,Tasks!$B$17,$N52)</f>
        <v>0</v>
      </c>
      <c r="Q52" s="13" t="b" cm="1">
        <f t="array" ref="Q52">IF($M52="",FALSE,CheckRelevance(SanitizeInput($M52),Questionnaire!$AA:$AA))</f>
        <v>0</v>
      </c>
      <c r="R52" s="23" cm="1">
        <f t="array" ref="R52">CreateID($R$3,$R:$R,AND($A52&lt;&gt;"",$D52&lt;&gt;""))</f>
        <v>31</v>
      </c>
    </row>
    <row r="53" spans="1:18" ht="30">
      <c r="A53" s="13" t="s">
        <v>1063</v>
      </c>
      <c r="B53" s="13" t="s">
        <v>63</v>
      </c>
      <c r="C53" s="13">
        <v>3</v>
      </c>
      <c r="D53" s="112" t="str">
        <f t="shared" si="2"/>
        <v>x</v>
      </c>
      <c r="E53" s="91" t="str" cm="1">
        <f t="array" ca="1" aca="1" ref="E53">CELL("address",Definitions!$A$4)</f>
        <v>'[QuBA-libre.xlsx]Definitions'!$A$4</v>
      </c>
      <c r="F53" s="13">
        <f>ROWS(Definitions!$A$4:$A$5)</f>
        <v>2</v>
      </c>
      <c r="G53" s="36" t="str">
        <f t="shared" ca="1" si="3"/>
        <v>Yes
No</v>
      </c>
      <c r="H53" s="93" t="str">
        <f>Definitions!$A$4&amp;":"&amp;CHAR(10)&amp;Definitions!$A$5&amp;":"</f>
        <v>Yes:
No:</v>
      </c>
      <c r="I53" s="91" t="str">
        <f>Definitions!$A$5&amp;":"</f>
        <v>No:</v>
      </c>
      <c r="J53" s="110" t="str">
        <f>Definitions!$A$5&amp;": 0"</f>
        <v>No: 0</v>
      </c>
      <c r="K53" s="36" t="str" cm="1">
        <f t="array" ca="1" aca="1" ref="K53">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53,$J53),CHAR(10))</f>
        <v>___No___</v>
      </c>
      <c r="L53" s="93" t="str" cm="1">
        <f t="array" ca="1" aca="1" ref="L53">LEFT(INDEX($K:$K,ROW()),FIND(CHAR(10),INDEX($K:$K,ROW())&amp;CHAR(10)))&amp;"
*: Please describe how the product is protected from physical access:"</f>
        <v>___No___
*: Please describe how the product is protected from physical access:</v>
      </c>
      <c r="M53" s="13"/>
      <c r="N53" s="13"/>
      <c r="O53" s="13" cm="1">
        <f t="array" ref="O53">CreateID($O$3,$O:$O,$A53&lt;&gt;"")</f>
        <v>50</v>
      </c>
      <c r="P53" s="13" cm="1">
        <f t="array" ref="P53">CreateTaskID($P$3,$P:$P,Tasks!$B$17,$N53)</f>
        <v>0</v>
      </c>
      <c r="Q53" s="13" t="b" cm="1">
        <f t="array" ref="Q53">IF($M53="",FALSE,CheckRelevance(SanitizeInput($M53),Questionnaire!$AA:$AA))</f>
        <v>0</v>
      </c>
      <c r="R53" s="23" cm="1">
        <f t="array" ref="R53">CreateID($R$3,$R:$R,AND($A53&lt;&gt;"",$D53&lt;&gt;""))</f>
        <v>32</v>
      </c>
    </row>
    <row r="54" spans="1:18" ht="60.75">
      <c r="A54" s="13" t="s">
        <v>1065</v>
      </c>
      <c r="B54" s="13" t="s">
        <v>1710</v>
      </c>
      <c r="C54" s="13">
        <v>3</v>
      </c>
      <c r="D54" s="112" t="str">
        <f t="shared" si="2"/>
        <v>x</v>
      </c>
      <c r="E54" s="91" t="str" cm="1">
        <f t="array" ca="1" aca="1" ref="E54">CELL("address",Definitions!$A$4)</f>
        <v>'[QuBA-libre.xlsx]Definitions'!$A$4</v>
      </c>
      <c r="F54" s="13">
        <f>ROWS(Definitions!$A$4:$A$5)</f>
        <v>2</v>
      </c>
      <c r="G54" s="36" t="str">
        <f t="shared" ca="1" si="3"/>
        <v>Yes
No</v>
      </c>
      <c r="H54" s="93" t="str">
        <f>Definitions!$A$4&amp;": Can an attacker plausibly tamper with the hardware without being detected?"&amp;CHAR(10)&amp;Definitions!$A$5&amp;":"</f>
        <v>Yes: Can an attacker plausibly tamper with the hardware without being detected?
No:</v>
      </c>
      <c r="I54" s="91" t="str" cm="1">
        <f t="array" ca="1" aca="1" ref="I54">Definitions!$A$4&amp;": "&amp;CELL("address",Definitions!$A$4)&amp;CHAR(10)&amp;Definitions!$A$5&amp;":"</f>
        <v>Yes: '[QuBA-libre.xlsx]Definitions'!$A$4
No:</v>
      </c>
      <c r="J54" s="110" t="str">
        <f>Definitions!$A$4&amp;": "&amp;ROWS(Definitions!$A$4:$A$5)&amp;CHAR(10)&amp;Definitions!$A$5&amp;": 0"</f>
        <v>Yes: 2
No: 0</v>
      </c>
      <c r="K54" s="36" t="str" cm="1">
        <f t="array" ca="1" aca="1" ref="K54">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54,$J54),CHAR(10))</f>
        <v>___Yes___
Yes
No
___No___</v>
      </c>
      <c r="L54" s="93" t="str" cm="1">
        <f t="array" ca="1" aca="1" ref="L54">LEFT(INDEX($K:$K,ROW()),FIND(CHAR(10),INDEX($K:$K,ROW())&amp;CHAR(10)))&amp;Definitions!$A$4&amp;":"&amp;CHAR(10)&amp;Definitions!$A$5&amp;": Please explain why this is not plausible:"&amp;CHAR(10)&amp;"___"&amp;Definitions!$A$5&amp;"___"&amp;CHAR(10)&amp;"*: Please name the parties with access:"</f>
        <v>___Yes___
Yes:
No: Please explain why this is not plausible:
___No___
*: Please name the parties with access:</v>
      </c>
      <c r="M54" s="13"/>
      <c r="N54" s="13"/>
      <c r="O54" s="13" cm="1">
        <f t="array" ref="O54">CreateID($O$3,$O:$O,$A54&lt;&gt;"")</f>
        <v>51</v>
      </c>
      <c r="P54" s="13" cm="1">
        <f t="array" ref="P54">CreateTaskID($P$3,$P:$P,Tasks!$B$17,$N54)</f>
        <v>0</v>
      </c>
      <c r="Q54" s="13" t="b" cm="1">
        <f t="array" ref="Q54">IF($M54="",FALSE,CheckRelevance(SanitizeInput($M54),Questionnaire!$AA:$AA))</f>
        <v>0</v>
      </c>
      <c r="R54" s="23" cm="1">
        <f t="array" ref="R54">CreateID($R$3,$R:$R,AND($A54&lt;&gt;"",$D54&lt;&gt;""))</f>
        <v>33</v>
      </c>
    </row>
    <row r="55" spans="1:18" ht="45">
      <c r="A55" s="13" t="s">
        <v>1068</v>
      </c>
      <c r="B55" s="13" t="s">
        <v>1128</v>
      </c>
      <c r="C55" s="13">
        <v>3</v>
      </c>
      <c r="D55" s="112" t="str">
        <f t="shared" si="2"/>
        <v>x</v>
      </c>
      <c r="E55" s="91" t="str" cm="1">
        <f t="array" ca="1" aca="1" ref="E55">CELL("address",Definitions!$A$4)</f>
        <v>'[QuBA-libre.xlsx]Definitions'!$A$4</v>
      </c>
      <c r="F55" s="13">
        <f>ROWS(Definitions!$A$4:$A$5)</f>
        <v>2</v>
      </c>
      <c r="G55" s="36" t="str">
        <f t="shared" ca="1" si="3"/>
        <v>Yes
No</v>
      </c>
      <c r="H55" s="93" t="str">
        <f>Definitions!$A$4&amp;":"&amp;CHAR(10)&amp;Definitions!$A$5&amp;":"</f>
        <v>Yes:
No:</v>
      </c>
      <c r="I55" s="91" t="str">
        <f>Definitions!$A$5&amp;":"</f>
        <v>No:</v>
      </c>
      <c r="J55" s="110" t="str">
        <f>Definitions!$A$5&amp;": 0"</f>
        <v>No: 0</v>
      </c>
      <c r="K55" s="36" t="str" cm="1">
        <f t="array" ca="1" aca="1" ref="K55">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55,$J55),CHAR(10))</f>
        <v>___No___</v>
      </c>
      <c r="L55" s="93" t="str" cm="1">
        <f t="array" ca="1" aca="1" ref="L55">LEFT(INDEX($K:$K,ROW()),FIND(CHAR(10),INDEX($K:$K,ROW())&amp;CHAR(10)))&amp;"
*: Please name the parties with access:"</f>
        <v>___No___
*: Please name the parties with access:</v>
      </c>
      <c r="M55" s="13"/>
      <c r="N55" s="13"/>
      <c r="O55" s="13" cm="1">
        <f t="array" ref="O55">CreateID($O$3,$O:$O,$A55&lt;&gt;"")</f>
        <v>52</v>
      </c>
      <c r="P55" s="13" cm="1">
        <f t="array" ref="P55">CreateTaskID($P$3,$P:$P,Tasks!$B$17,$N55)</f>
        <v>0</v>
      </c>
      <c r="Q55" s="13" t="b" cm="1">
        <f t="array" ref="Q55">IF($M55="",FALSE,CheckRelevance(SanitizeInput($M55),Questionnaire!$AA:$AA))</f>
        <v>0</v>
      </c>
      <c r="R55" s="23" cm="1">
        <f t="array" ref="R55">CreateID($R$3,$R:$R,AND($A55&lt;&gt;"",$D55&lt;&gt;""))</f>
        <v>34</v>
      </c>
    </row>
    <row r="56" spans="1:18" ht="36.75">
      <c r="A56" s="13" t="s">
        <v>1071</v>
      </c>
      <c r="B56" s="13" t="s">
        <v>1251</v>
      </c>
      <c r="C56" s="13">
        <v>0</v>
      </c>
      <c r="D56" s="112" t="str">
        <f t="shared" si="2"/>
        <v>x</v>
      </c>
      <c r="E56" s="91" t="str" cm="1">
        <f t="array" ca="1" aca="1" ref="E56">CELL("address",Definitions!$A$4)</f>
        <v>'[QuBA-libre.xlsx]Definitions'!$A$4</v>
      </c>
      <c r="F56" s="13">
        <f>ROWS(Definitions!$A$4:$A$5)</f>
        <v>2</v>
      </c>
      <c r="G56" s="36" t="str">
        <f t="shared" ca="1" si="3"/>
        <v>Yes
No</v>
      </c>
      <c r="H56" s="93" t="str">
        <f>Definitions!$A$4&amp;": Is network access to the debug interface(s) possible?"&amp;CHAR(10)&amp;Definitions!$A$5&amp;":"</f>
        <v>Yes: Is network access to the debug interface(s) possible?
No:</v>
      </c>
      <c r="I56" s="91" t="str" cm="1">
        <f t="array" ca="1" aca="1" ref="I56">Definitions!$A$4&amp;": "&amp;CELL("address",Definitions!$A$4)</f>
        <v>Yes: '[QuBA-libre.xlsx]Definitions'!$A$4</v>
      </c>
      <c r="J56" s="110" t="str">
        <f>Definitions!$A$4&amp;": "&amp;ROWS(Definitions!$A$4:$A$5)</f>
        <v>Yes: 2</v>
      </c>
      <c r="K56" s="36" t="str" cm="1">
        <f t="array" ca="1" aca="1" ref="K56">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56,$J56),CHAR(10))</f>
        <v>___Yes___
Yes
No</v>
      </c>
      <c r="L56" s="93" t="str" cm="1">
        <f t="array" ca="1" aca="1" ref="L56">LEFT(INDEX($K:$K,ROW()),FIND(CHAR(10),INDEX($K:$K,ROW())&amp;CHAR(10)))&amp;Definitions!$A$4&amp;":"&amp;CHAR(10)&amp;Definitions!$A$5&amp;":"</f>
        <v>___Yes___
Yes:
No:</v>
      </c>
      <c r="M56" s="13"/>
      <c r="N56" s="13"/>
      <c r="O56" s="13" cm="1">
        <f t="array" ref="O56">CreateID($O$3,$O:$O,$A56&lt;&gt;"")</f>
        <v>53</v>
      </c>
      <c r="P56" s="13" cm="1">
        <f t="array" ref="P56">CreateTaskID($P$3,$P:$P,Tasks!$B$17,$N56)</f>
        <v>0</v>
      </c>
      <c r="Q56" s="13" t="b" cm="1">
        <f t="array" ref="Q56">IF($M56="",FALSE,CheckRelevance(SanitizeInput($M56),Questionnaire!$AA:$AA))</f>
        <v>0</v>
      </c>
      <c r="R56" s="23" cm="1">
        <f t="array" ref="R56">CreateID($R$3,$R:$R,AND($A56&lt;&gt;"",$D56&lt;&gt;""))</f>
        <v>35</v>
      </c>
    </row>
    <row r="57" spans="1:18" ht="24.75">
      <c r="A57" s="13" t="s">
        <v>1140</v>
      </c>
      <c r="B57" s="13" t="s">
        <v>1142</v>
      </c>
      <c r="C57" s="13">
        <v>0</v>
      </c>
      <c r="D57" s="112" t="str">
        <f t="shared" si="2"/>
        <v>x</v>
      </c>
      <c r="E57" s="91" t="str" cm="1">
        <f t="array" ca="1" aca="1" ref="E57">CELL("address",Definitions!$A$4)</f>
        <v>'[QuBA-libre.xlsx]Definitions'!$A$4</v>
      </c>
      <c r="F57" s="13">
        <f>ROWS(Definitions!$A$4:$A$5)</f>
        <v>2</v>
      </c>
      <c r="G57" s="36" t="str">
        <f t="shared" ca="1" si="3"/>
        <v>Yes
No</v>
      </c>
      <c r="H57" s="93" t="str">
        <f>Definitions!$A$4&amp;":"&amp;CHAR(10)&amp;Definitions!$A$5&amp;":"</f>
        <v>Yes:
No:</v>
      </c>
      <c r="I57" s="91" t="str">
        <f>Definitions!$A$4&amp;":"</f>
        <v>Yes:</v>
      </c>
      <c r="J57" s="110" t="str">
        <f>Definitions!$A$4&amp;": 0"</f>
        <v>Yes: 0</v>
      </c>
      <c r="K57" s="36" t="str" cm="1">
        <f t="array" ca="1" aca="1" ref="K57">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57,$J57),CHAR(10))</f>
        <v>___Yes___</v>
      </c>
      <c r="L57" s="93" t="str" cm="1">
        <f t="array" ca="1" aca="1" ref="L57">LEFT(INDEX($K:$K,ROW()),FIND(CHAR(10),INDEX($K:$K,ROW())&amp;CHAR(10)))&amp;"
*: Please provide details on the secure production environment:"</f>
        <v>___Yes___
*: Please provide details on the secure production environment:</v>
      </c>
      <c r="M57" s="13"/>
      <c r="N57" s="13"/>
      <c r="O57" s="13" cm="1">
        <f t="array" ref="O57">CreateID($O$3,$O:$O,$A57&lt;&gt;"")</f>
        <v>54</v>
      </c>
      <c r="P57" s="13" cm="1">
        <f t="array" ref="P57">CreateTaskID($P$3,$P:$P,Tasks!$B$17,$N57)</f>
        <v>0</v>
      </c>
      <c r="Q57" s="13" t="b" cm="1">
        <f t="array" ref="Q57">IF($M57="",FALSE,CheckRelevance(SanitizeInput($M57),Questionnaire!$AA:$AA))</f>
        <v>0</v>
      </c>
      <c r="R57" s="23" cm="1">
        <f t="array" ref="R57">CreateID($R$3,$R:$R,AND($A57&lt;&gt;"",$D57&lt;&gt;""))</f>
        <v>36</v>
      </c>
    </row>
    <row r="58" spans="1:18" ht="48.75">
      <c r="A58" s="13" t="s">
        <v>1141</v>
      </c>
      <c r="B58" s="13" t="s">
        <v>1258</v>
      </c>
      <c r="C58" s="13">
        <v>0</v>
      </c>
      <c r="D58" s="112" t="str">
        <f t="shared" si="2"/>
        <v>x</v>
      </c>
      <c r="E58" s="91" t="str" cm="1">
        <f t="array" ca="1" aca="1" ref="E58">CELL("address",Definitions!$BF$4)</f>
        <v>'[QuBA-libre.xlsx]Definitions'!$BF$4</v>
      </c>
      <c r="F58" s="13">
        <f ca="1">COUNTA(Definitions!$BF:$BF)-3</f>
        <v>3</v>
      </c>
      <c r="G58" s="36" t="str">
        <f t="shared" ca="1" si="3"/>
        <v>Yes
No
N/A</v>
      </c>
      <c r="H58" s="93" t="str">
        <f>Definitions!$BF$4&amp;": Will the supplier provide regular updates for the product?"&amp;CHAR(10)&amp;Definitions!$BF$5&amp;":"&amp;CHAR(10)&amp;Definitions!$BF$6&amp;":"</f>
        <v>Yes: Will the supplier provide regular updates for the product?
No:
N/A:</v>
      </c>
      <c r="I58" s="91" t="str" cm="1">
        <f t="array" ca="1" aca="1" ref="I58">Definitions!$A$4&amp;": "&amp;CELL("address",Definitions!$A$4)</f>
        <v>Yes: '[QuBA-libre.xlsx]Definitions'!$A$4</v>
      </c>
      <c r="J58" s="110" t="str">
        <f>Definitions!$A$4&amp;": "&amp;ROWS(Definitions!$A$4:$A$5)</f>
        <v>Yes: 2</v>
      </c>
      <c r="K58" s="36" t="str" cm="1">
        <f t="array" ca="1" aca="1" ref="K58">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58,$J58),CHAR(10))</f>
        <v>___Yes___
Yes
No</v>
      </c>
      <c r="L58" s="93" t="str" cm="1">
        <f t="array" ca="1" aca="1" ref="L58">LEFT(INDEX($K:$K,ROW()),FIND(CHAR(10),INDEX($K:$K,ROW())&amp;CHAR(10)))&amp;Definitions!$A$4&amp;": Please provide details on the trustworthy supplier:"&amp;CHAR(10)&amp;Definitions!$A$5&amp;": Please provide details on the trustworthy supplier:"</f>
        <v>___Yes___
Yes: Please provide details on the trustworthy supplier:
No: Please provide details on the trustworthy supplier:</v>
      </c>
      <c r="M58" s="13"/>
      <c r="N58" s="13"/>
      <c r="O58" s="13" cm="1">
        <f t="array" ref="O58">CreateID($O$3,$O:$O,$A58&lt;&gt;"")</f>
        <v>55</v>
      </c>
      <c r="P58" s="13" cm="1">
        <f t="array" ref="P58">CreateTaskID($P$3,$P:$P,Tasks!$B$17,$N58)</f>
        <v>0</v>
      </c>
      <c r="Q58" s="13" t="b" cm="1">
        <f t="array" ref="Q58">IF($M58="",FALSE,CheckRelevance(SanitizeInput($M58),Questionnaire!$AA:$AA))</f>
        <v>0</v>
      </c>
      <c r="R58" s="23" cm="1">
        <f t="array" ref="R58">CreateID($R$3,$R:$R,AND($A58&lt;&gt;"",$D58&lt;&gt;""))</f>
        <v>37</v>
      </c>
    </row>
    <row r="59" spans="1:18" ht="48.75">
      <c r="A59" s="13" t="s">
        <v>1272</v>
      </c>
      <c r="B59" s="13" t="s">
        <v>1274</v>
      </c>
      <c r="C59" s="13">
        <v>0</v>
      </c>
      <c r="D59" s="111" t="str">
        <f>IF($A59="","",IF(LEFT($A59,1)="Q","x",""))</f>
        <v>x</v>
      </c>
      <c r="E59" s="110" t="str" cm="1">
        <f t="array" ca="1" aca="1" ref="E59">CELL("address",Definitions!$AW$4)</f>
        <v>'[QuBA-libre.xlsx]Definitions'!$AW$4</v>
      </c>
      <c r="F59" s="13">
        <f>ROWS(Definitions!AW4:AW7)</f>
        <v>4</v>
      </c>
      <c r="G59" s="37" t="str">
        <f ca="1">IF($E59="","",_xlfn.TEXTJOIN(CHAR(10),TRUE,OFFSET(INDIRECT($E59),0,0,$F59,1)))</f>
        <v>0 - 5 years
5 - 10 years
10 - 20 years
20+ years</v>
      </c>
      <c r="H59" s="93" t="s">
        <v>1281</v>
      </c>
      <c r="I59" s="91"/>
      <c r="J59" s="110"/>
      <c r="K59" s="37" t="str" cm="1">
        <f t="array" ca="1" aca="1" ref="K59">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59,$J59),CHAR(10))</f>
        <v/>
      </c>
      <c r="L59" s="93"/>
      <c r="M59" s="13"/>
      <c r="N59" s="13"/>
      <c r="O59" s="23" cm="1">
        <f t="array" ref="O59">CreateID($O$3,$O:$O,$A59&lt;&gt;"")</f>
        <v>56</v>
      </c>
      <c r="P59" s="23" cm="1">
        <f t="array" ref="P59">CreateTaskID($P$3,$P:$P,Tasks!$B$17,$N59)</f>
        <v>0</v>
      </c>
      <c r="Q59" s="23" t="b" cm="1">
        <f t="array" ref="Q59">IF($M59="",FALSE,CheckRelevance(SanitizeInput($M59),Questionnaire!$AA:$AA))</f>
        <v>0</v>
      </c>
      <c r="R59" s="23" cm="1">
        <f t="array" ref="R59">CreateID($R$3,$R:$R,AND($A59&lt;&gt;"",$D59&lt;&gt;""))</f>
        <v>38</v>
      </c>
    </row>
    <row r="60" spans="1:18" ht="48.75">
      <c r="A60" s="13" t="s">
        <v>1273</v>
      </c>
      <c r="B60" s="13" t="s">
        <v>1275</v>
      </c>
      <c r="C60" s="13">
        <v>0</v>
      </c>
      <c r="D60" s="111" t="str">
        <f>IF($A60="","",IF(LEFT($A60,1)="Q","x",""))</f>
        <v>x</v>
      </c>
      <c r="E60" s="91" t="str" cm="1">
        <f t="array" ca="1" aca="1" ref="E60">CELL("address",Definitions!$AW$4)</f>
        <v>'[QuBA-libre.xlsx]Definitions'!$AW$4</v>
      </c>
      <c r="F60" s="13">
        <f>ROWS(Definitions!AW4:AW7)</f>
        <v>4</v>
      </c>
      <c r="G60" s="37" t="str">
        <f ca="1">IF($E60="","",_xlfn.TEXTJOIN(CHAR(10),TRUE,OFFSET(INDIRECT($E60),0,0,$F60,1)))</f>
        <v>0 - 5 years
5 - 10 years
10 - 20 years
20+ years</v>
      </c>
      <c r="H60" s="93" t="s">
        <v>1281</v>
      </c>
      <c r="I60" s="91"/>
      <c r="J60" s="110"/>
      <c r="K60" s="37" t="str" cm="1">
        <f t="array" ca="1" aca="1" ref="K60">RemoveDelimiter(_xlfn.LAMBDA(_xlpm._optionsRanges,_xlpm._optionsHeights,IF(_xlpm._optionsRanges="","",_xlfn.LET(_xlpm._endOfFirstElement,FIND(CHAR(10),_xlpm._optionsRanges&amp;CHAR(10)),_xlpm._optionsRangeWithPrefix,SUBSTITUTE(LEFT(_xlpm._optionsRanges,_xlpm._endOfFirstElement-1)," ",""),_xlpm._colPos,FIND(":",_xlpm._optionsRangeWithPrefix),_xlpm._prefix,LEFT(_xlpm._optionsRangeWithPrefix,_xlpm._colPos-1),_xlpm._optionsRange,RIGHT(_xlpm._optionsRangeWithPrefix,LEN(_xlpm._optionsRangeWithPrefix)-_xlpm._colPos),_xlpm._endOfFirstElementH,FIND(CHAR(10),_xlpm._optionsHeights&amp;CHAR(10)),_xlpm._optionsHeightWithPrefix,SUBSTITUTE(LEFT(_xlpm._optionsHeights,_xlpm._endOfFirstElementH-1)," ",""),_xlpm._colPosH,FIND(":",_xlpm._optionsHeightWithPrefix),_xlpm._prefixH,LEFT(_xlpm._optionsHeightWithPrefix,_xlpm._colPosH-1),_xlpm._optionsHeight,VALUE(RIGHT(_xlpm._optionsHeightWithPrefix,LEN(_xlpm._optionsHeightWithPrefix)-_xlpm._colPosH)),IF(_xlpm._prefix&lt;&gt;_xlpm._prefixH,"ERROR: Prefix list is inconsistent.","___"&amp;_xlpm._prefix&amp;"___"&amp;CHAR(10)&amp;IF(_xlpm._optionsHeight=0,"",IFERROR(_xlfn.TEXTJOIN(CHAR(10),TRUE,OFFSET(INDIRECT(_xlpm._optionsRange),0,0,_xlpm._optionsHeight,1)),"ERROR: Check the README for the correct input format")))&amp;IF(LEN(_xlpm._optionsRanges)&lt;=_xlpm._endOfFirstElement,"",CHAR(10)&amp;ShowResultingOptions(RIGHT(_xlpm._optionsRanges,LEN(_xlpm._optionsRanges)-_xlpm._endOfFirstElement),RIGHT(_xlpm._optionsHeights,LEN(_xlpm._optionsHeights)-_xlpm._endOfFirstElementH))))))($I60,$J60),CHAR(10))</f>
        <v/>
      </c>
      <c r="L60" s="93"/>
      <c r="M60" s="13"/>
      <c r="N60" s="13"/>
      <c r="O60" s="23" cm="1">
        <f t="array" ref="O60">CreateID($O$3,$O:$O,$A60&lt;&gt;"")</f>
        <v>57</v>
      </c>
      <c r="P60" s="23" cm="1">
        <f t="array" ref="P60">CreateTaskID($P$3,$P:$P,Tasks!$B$17,$N60)</f>
        <v>0</v>
      </c>
      <c r="Q60" s="23" t="b" cm="1">
        <f t="array" ref="Q60">IF($M60="",FALSE,CheckRelevance(SanitizeInput($M60),Questionnaire!$AA:$AA))</f>
        <v>0</v>
      </c>
      <c r="R60" s="23" cm="1">
        <f t="array" ref="R60">CreateID($R$3,$R:$R,AND($A60&lt;&gt;"",$D60&lt;&gt;""))</f>
        <v>39</v>
      </c>
    </row>
  </sheetData>
  <sheetProtection password="EA93" sheet="1" objects="1" scenarios="1"/>
  <mergeCells count="2">
    <mergeCell ref="E2:H2"/>
    <mergeCell ref="I2:L2"/>
  </mergeCells>
  <conditionalFormatting sqref="N1:N1048576">
    <cfRule type="expression" priority="1" dxfId="685">
      <formula>IFERROR(FIND(Tasks!$B$17,N1)&gt;0,FALSE)</formula>
    </cfRule>
  </conditionalFormatting>
  <pageMargins left="0.7" right="0.7" top="0.75" bottom="0.75" header="0.3" footer="0.3"/>
  <pageSetup orientation="portrait" paperSize="9" r:id="rId2"/>
  <ignoredErrors>
    <ignoredError sqref="I54:J54 I57:J57 I49:J49 I45:J45" formula="1"/>
  </ignoredErrors>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34F2FB-817A-44C4-A643-5AAC7432DEAF}">
  <sheetPr>
    <tabColor theme="6"/>
  </sheetPr>
  <dimension ref="A1:V21"/>
  <sheetViews>
    <sheetView windowProtection="1" workbookViewId="0" topLeftCell="A1">
      <pane xSplit="3" ySplit="2" topLeftCell="D3" activePane="bottomRight" state="frozen"/>
      <selection pane="topLeft" activeCell="A1" sqref="A1"/>
      <selection pane="bottomLeft" activeCell="A2" sqref="A2"/>
      <selection pane="topRight" activeCell="D1" sqref="D1"/>
      <selection pane="bottomRight" activeCell="A3" sqref="A3"/>
    </sheetView>
  </sheetViews>
  <sheetFormatPr defaultColWidth="9.14428571428571" defaultRowHeight="15" outlineLevelCol="1"/>
  <cols>
    <col min="1" max="2" width="9.14285714285714" style="2" customWidth="1"/>
    <col min="3" max="3" width="45.7142857142857" style="2" customWidth="1"/>
    <col min="4" max="4" width="15.7142857142857" style="2" customWidth="1" outlineLevel="1"/>
    <col min="5" max="5" width="25.7142857142857" style="2" customWidth="1" outlineLevel="1"/>
    <col min="6" max="6" width="18.7142857142857" style="4" bestFit="1" customWidth="1" outlineLevel="1"/>
    <col min="7" max="7" width="25.7142857142857" style="4" customWidth="1" outlineLevel="1"/>
    <col min="8" max="8" width="15.7142857142857" style="4" customWidth="1"/>
    <col min="9" max="9" width="25.7142857142857" style="4" customWidth="1"/>
    <col min="10" max="10" width="30.7142857142857" style="8" customWidth="1"/>
    <col min="11" max="11" width="26" style="8" customWidth="1" outlineLevel="1"/>
    <col min="12" max="12" width="18.8571428571429" style="8" bestFit="1" customWidth="1"/>
    <col min="13" max="13" width="15.7142857142857" style="8" customWidth="1"/>
    <col min="14" max="14" width="45.7142857142857" style="8" customWidth="1" outlineLevel="1"/>
    <col min="15" max="15" width="60.7142857142857" style="8" customWidth="1"/>
    <col min="16" max="16" width="45.7142857142857" style="2" customWidth="1"/>
    <col min="17" max="17" width="15.4285714285714" style="2" hidden="1" customWidth="1"/>
    <col min="18" max="18" width="9.14285714285714" style="2" hidden="1" customWidth="1"/>
    <col min="19" max="19" width="21.5714285714286" style="2" hidden="1" customWidth="1"/>
    <col min="20" max="20" width="13.8571428571429" style="2" hidden="1" customWidth="1"/>
    <col min="21" max="21" width="16.1428571428571" style="2" hidden="1" customWidth="1"/>
    <col min="22" max="22" width="36.4285714285714" style="2" hidden="1" customWidth="1"/>
    <col min="23" max="16384" width="9.14285714285714" style="2"/>
  </cols>
  <sheetData>
    <row r="1" spans="1:16" s="115"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A$2,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B$2,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C$2,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D$2,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E$2,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F$2,README!$E:$E,README!$I$36,README!$B$36)</f>
        <v>◈</v>
      </c>
      <c r="G1" s="115"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G$2,README!$E:$E,README!$I$36,README!$B$36)</f>
        <v>◈</v>
      </c>
      <c r="H1" s="115" t="str" cm="1">
        <f t="array" ca="1" aca="1" ref="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H$2,README!$E:$E,README!$I$36,README!$B$36)</f>
        <v>◈</v>
      </c>
      <c r="I1" s="115" t="str" cm="1">
        <f t="array" ca="1" aca="1" ref="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I$2,README!$E:$E,README!$I$36,README!$B$36)</f>
        <v>◈</v>
      </c>
      <c r="J1" s="115" t="str" cm="1">
        <f t="array" ca="1" aca="1" ref="J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J$2,README!$E:$E,README!$I$36,README!$B$36)</f>
        <v>◈</v>
      </c>
      <c r="K1" s="115" t="str" cm="1">
        <f t="array" ca="1" aca="1" ref="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K$2,README!$E:$E,README!$I$36,README!$B$36)</f>
        <v>◈</v>
      </c>
      <c r="L1" s="115" t="str" cm="1">
        <f t="array" ca="1" aca="1" ref="L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L$2,README!$E:$E,README!$I$36,README!$B$36)</f>
        <v>◈</v>
      </c>
      <c r="M1" s="115"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M$2,README!$E:$E,README!$I$36,README!$B$36)</f>
        <v>◈</v>
      </c>
      <c r="N1" s="115" t="str" cm="1">
        <f t="array" ca="1" aca="1" ref="N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N$2,README!$E:$E,README!$I$36,README!$B$36)</f>
        <v>◈</v>
      </c>
      <c r="O1" s="115" t="str" cm="1">
        <f t="array" ca="1" aca="1" ref="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O$2,README!$E:$E,README!$I$36,README!$B$36)</f>
        <v>◈</v>
      </c>
      <c r="P1" s="115" t="str" cm="1">
        <f t="array" ca="1" aca="1" ref="P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$5,P$2,README!$E:$E,README!$I$36,README!$B$36)</f>
        <v>◈</v>
      </c>
    </row>
    <row r="2" spans="1:22" ht="45">
      <c r="A2" s="13" t="s">
        <v>53</v>
      </c>
      <c r="B2" s="13" t="s">
        <v>578</v>
      </c>
      <c r="C2" s="16" t="s">
        <v>55</v>
      </c>
      <c r="D2" s="13" t="s">
        <v>924</v>
      </c>
      <c r="E2" s="13" t="s">
        <v>580</v>
      </c>
      <c r="F2" s="13" t="s">
        <v>957</v>
      </c>
      <c r="G2" s="13" t="s">
        <v>581</v>
      </c>
      <c r="H2" s="16" t="s">
        <v>592</v>
      </c>
      <c r="I2" s="16" t="s">
        <v>593</v>
      </c>
      <c r="J2" s="16" t="s">
        <v>954</v>
      </c>
      <c r="K2" s="13" t="s">
        <v>959</v>
      </c>
      <c r="L2" s="16" t="s">
        <v>964</v>
      </c>
      <c r="M2" s="16" t="s">
        <v>187</v>
      </c>
      <c r="N2" s="13" t="s">
        <v>961</v>
      </c>
      <c r="O2" s="16" t="s">
        <v>440</v>
      </c>
      <c r="P2" s="13" t="s">
        <v>3</v>
      </c>
      <c r="Q2" s="10" t="s">
        <v>54</v>
      </c>
      <c r="R2" s="10" t="s">
        <v>230</v>
      </c>
      <c r="S2" s="10" t="s">
        <v>931</v>
      </c>
      <c r="T2" s="10" t="s">
        <v>923</v>
      </c>
      <c r="U2" s="10" t="s">
        <v>594</v>
      </c>
      <c r="V2" s="10" t="s">
        <v>1665</v>
      </c>
    </row>
    <row r="3" spans="1:22" ht="45">
      <c r="A3" s="13" t="s">
        <v>158</v>
      </c>
      <c r="B3" s="13" t="s">
        <v>1102</v>
      </c>
      <c r="C3" s="16" t="str" cm="1">
        <f t="array" ca="1" aca="1" ref="C3">IF($B3="","",IFERROR(SimpleLookup($B3,Questions!$A:$B),"Error: Unknown ID: "&amp;$B3))</f>
        <v>Does the product have cameras or other sensors that can potentially recognize people?</v>
      </c>
      <c r="D3" s="52" t="str">
        <f ca="1">_xlfn.LET(_xlpm._dsID,$A3,_xlpm._qID,$B3,_xlpm._dynamicReference,$F3,_xlpm._firstAnswer,$H3,_xlpm._secondAnswer,$I3,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3" s="13" t="str">
        <f>IF(Questionnaire!$C$6=Definitions!$A$4,"Disclosure of camera data","")</f>
        <v/>
      </c>
      <c r="F3" s="52"/>
      <c r="G3" s="13"/>
      <c r="H3" s="16" t="str" cm="1">
        <f t="array" ca="1" aca="1" ref="H3">IF($B3="","",_xlfn.LET(_xlpm._value,SimpleLookup($B3,Questionnaire!$A:$C),IF(_xlpm._value="","",_xlpm._value)))</f>
        <v>No</v>
      </c>
      <c r="I3" s="16" t="str" cm="1">
        <f t="array" ca="1" aca="1" ref="I3">IF($B3="","",_xlfn.LET(_xlpm._value,SimpleLookup($B3,Questionnaire!$A:$E),IF(_xlpm._value="","",_xlpm._value)))</f>
        <v/>
      </c>
      <c r="J3" s="16" t="str">
        <f t="shared" si="0" ref="J3:J20">_xlfn.LET(_xlpm._dynamicText,$I3,_xlpm._ds,$E3&amp;IF($F3="","",_xlpm._dynamicText)&amp;$G3,IF(_xlpm._ds="","",IF(AND($F3&lt;&gt;"",_xlpm._dynamicText=""),"",_xlpm._ds)))</f>
        <v/>
      </c>
      <c r="K3" s="13" t="s">
        <v>15</v>
      </c>
      <c r="L3" s="16" t="str">
        <f ca="1" t="shared" si="1" ref="L3:L21">IF($D3="x",IF($K3="",$I3,$K3),"")</f>
        <v/>
      </c>
      <c r="M3" s="16" t="str" cm="1">
        <f t="array" ca="1" aca="1" ref="M3">IF($L3="","",IFERROR(SimpleLookup($L3,Definitions!$H:$J),""))</f>
        <v/>
      </c>
      <c r="N3" s="13"/>
      <c r="O3" s="16" t="str" cm="1">
        <f t="array" ca="1" aca="1" ref="O3">IF($N3&lt;&gt;"",$N3,_xlfn.LET(_xlpm._qID,$B3,_xlpm._firstAnswer,$H3,_xlpm._secondAnswer,$I3,_xlpm._question,IFERROR(SimpleLookup(_xlpm._qID,Questions!$A:$B),""),_xlpm._secondQuestion,IFERROR(SimpleLookup(_xlpm._qID,Questionnaire!$A:$D),""),_xlpm._qID&amp;"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 Does the product have cameras or other sensors that can potentially recognize people?
» No</v>
      </c>
      <c r="P3" s="13"/>
      <c r="Q3" s="10" cm="1">
        <f t="array" ref="Q3">IF(ROW()=ROW($Q$2)+1,0,INDEX($Q:$Q,ROW()-1))+IF($A3="",0,1)</f>
        <v>1</v>
      </c>
      <c r="R3" s="24" cm="1">
        <f t="array" ref="R3">CreateTaskID($R$2,$R:$R,Tasks!$B$17,$P3)</f>
        <v>0</v>
      </c>
      <c r="S3" s="14" cm="1">
        <f t="array" ca="1" aca="1" ref="S3">CreateID($S$2,$S:$S,$D3="x")</f>
        <v>0</v>
      </c>
      <c r="T3" s="14" t="str">
        <f ca="1" t="shared" si="2" ref="T3:T20">IF($D3="","",$A3)</f>
        <v/>
      </c>
      <c r="U3" s="14" cm="1">
        <f t="array" ca="1" aca="1" ref="U3">IF($M3="",0,SimpleLookup($M3,Definitions!$Q:$R))</f>
        <v>0</v>
      </c>
      <c r="V3" s="20" t="str">
        <f t="shared" si="3" ref="V3:V21">IF($J3="","",$J3&amp;" ["&amp;$M3&amp;"]")</f>
        <v/>
      </c>
    </row>
    <row r="4" spans="1:22" ht="45">
      <c r="A4" s="13" t="s">
        <v>159</v>
      </c>
      <c r="B4" s="13" t="s">
        <v>1099</v>
      </c>
      <c r="C4" s="16" t="str" cm="1">
        <f t="array" ca="1" aca="1" ref="C4">IF($B4="","",IFERROR(SimpleLookup($B4,Questions!$A:$B),"Error: Unknown ID: "&amp;$B4))</f>
        <v>Does the product process personal data?
Examples: User ID, address labels</v>
      </c>
      <c r="D4" s="52" t="str">
        <f ca="1">_xlfn.LET(_xlpm._dsID,$A4,_xlpm._qID,$B4,_xlpm._dynamicReference,$F4,_xlpm._firstAnswer,$H4,_xlpm._secondAnswer,$I4,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4" s="13" t="s">
        <v>579</v>
      </c>
      <c r="F4" s="52" t="s">
        <v>582</v>
      </c>
      <c r="G4" s="13"/>
      <c r="H4" s="16" t="str" cm="1">
        <f t="array" ca="1" aca="1" ref="H4">IF($B4="","",_xlfn.LET(_xlpm._value,SimpleLookup($B4,Questionnaire!$A:$C),IF(_xlpm._value="","",_xlpm._value)))</f>
        <v>No</v>
      </c>
      <c r="I4" s="16" t="str" cm="1">
        <f t="array" ca="1" aca="1" ref="I4">IF($B4="","",_xlfn.LET(_xlpm._value,SimpleLookup($B4,Questionnaire!$A:$E),IF(_xlpm._value="","",_xlpm._value)))</f>
        <v/>
      </c>
      <c r="J4" s="16" t="str">
        <f t="shared" ca="1" si="0"/>
        <v/>
      </c>
      <c r="K4" s="13"/>
      <c r="L4" s="16" t="str">
        <f t="shared" ca="1" si="1"/>
        <v/>
      </c>
      <c r="M4" s="16" t="str" cm="1">
        <f t="array" ca="1" aca="1" ref="M4">IF($L4="","",IFERROR(SimpleLookup($L4,Definitions!$H:$J),""))</f>
        <v/>
      </c>
      <c r="N4" s="13"/>
      <c r="O4" s="16" t="str" cm="1">
        <f t="array" ca="1" aca="1" ref="O4">IF($N4&lt;&gt;"",$N4,_xlfn.LET(_xlpm._qID,$B4,_xlpm._firstAnswer,$H4,_xlpm._secondAnswer,$I4,_xlpm._question,IFERROR(SimpleLookup(_xlpm._qID,Questions!$A:$B),""),_xlpm._secondQuestion,IFERROR(SimpleLookup(_xlpm._qID,Questionnaire!$A:$D),""),_xlpm._qID&amp;"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QI2 Does the product process personal data?
Examples: User ID, address labels
» No</v>
      </c>
      <c r="P4" s="13"/>
      <c r="Q4" s="10" cm="1">
        <f t="array" ref="Q4">IF(ROW()=ROW($Q$2)+1,0,INDEX($Q:$Q,ROW()-1))+IF($A4="",0,1)</f>
        <v>2</v>
      </c>
      <c r="R4" s="24" cm="1">
        <f t="array" ref="R4">CreateTaskID($R$2,$R:$R,Tasks!$B$17,$P4)</f>
        <v>0</v>
      </c>
      <c r="S4" s="14" cm="1">
        <f t="array" ca="1" aca="1" ref="S4">CreateID($S$2,$S:$S,$D4="x")</f>
        <v>0</v>
      </c>
      <c r="T4" s="14" t="str">
        <f t="shared" ca="1" si="2"/>
        <v/>
      </c>
      <c r="U4" s="14" cm="1">
        <f t="array" ca="1" aca="1" ref="U4">IF($M4="",0,SimpleLookup($M4,Definitions!$Q:$R))</f>
        <v>0</v>
      </c>
      <c r="V4" s="20" t="str">
        <f t="shared" ca="1" si="3"/>
        <v/>
      </c>
    </row>
    <row r="5" spans="1:22" ht="135">
      <c r="A5" s="13" t="s">
        <v>160</v>
      </c>
      <c r="B5" s="13" t="s">
        <v>1097</v>
      </c>
      <c r="C5" s="16" t="str" cm="1">
        <f t="array" ca="1" aca="1" ref="C5">IF($B5="","",IFERROR(SimpleLookup($B5,Questions!$A:$B),"Error: Unknown ID: "&amp;$B5))</f>
        <v>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v>
      </c>
      <c r="D5" s="52" t="str">
        <f ca="1">_xlfn.LET(_xlpm._dsID,$A5,_xlpm._qID,$B5,_xlpm._dynamicReference,$F5,_xlpm._firstAnswer,$H5,_xlpm._secondAnswer,$I5,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5" s="13" t="str">
        <f>"Disclosure of "&amp;Definitions!$C$4&amp;" "</f>
        <v xml:space="preserve">Disclosure of acontis techonlogies GmbH </v>
      </c>
      <c r="F5" s="52" t="s">
        <v>582</v>
      </c>
      <c r="G5" s="13"/>
      <c r="H5" s="16" t="str" cm="1">
        <f t="array" ca="1" aca="1" ref="H5">IF($B5="","",_xlfn.LET(_xlpm._value,SimpleLookup($B5,Questionnaire!$A:$C),IF(_xlpm._value="","",_xlpm._value)))</f>
        <v>Yes</v>
      </c>
      <c r="I5" s="16" t="str" cm="1">
        <f t="array" ca="1" aca="1" ref="I5">IF($B5="","",_xlfn.LET(_xlpm._value,SimpleLookup($B5,Questionnaire!$A:$E),IF(_xlpm._value="","",_xlpm._value)))</f>
        <v>IP (moderately innovative)</v>
      </c>
      <c r="J5" s="16" t="str">
        <f t="shared" ca="1" si="0"/>
        <v>Disclosure of acontis techonlogies GmbH IP (moderately innovative)</v>
      </c>
      <c r="K5" s="13"/>
      <c r="L5" s="16" t="str">
        <f t="shared" ca="1" si="1"/>
        <v>IP (moderately innovative)</v>
      </c>
      <c r="M5" s="16" t="str" cm="1">
        <f t="array" ca="1" aca="1" ref="M5">IF($L5="","",IFERROR(SimpleLookup($L5,Definitions!$H:$J),""))</f>
        <v>Medium</v>
      </c>
      <c r="N5" s="13"/>
      <c r="O5" s="16" t="str" cm="1">
        <f t="array" ca="1" aca="1" ref="O5">IF($N5&lt;&gt;"",$N5,_xlfn.LET(_xlpm._qID,$B5,_xlpm._firstAnswer,$H5,_xlpm._secondAnswer,$I5,_xlpm._question,IFERROR(SimpleLookup(_xlpm._qID,Questions!$A:$B),""),_xlpm._secondQuestion,IFERROR(SimpleLookup(_xlpm._qID,Questionnaire!$A:$D),""),_xlpm._qID&amp;"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QI3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 Yes
What is the criticality of the intellectual property?
» IP (moderately innovative)</v>
      </c>
      <c r="P5" s="13"/>
      <c r="Q5" s="10" cm="1">
        <f t="array" ref="Q5">IF(ROW()=ROW($Q$2)+1,0,INDEX($Q:$Q,ROW()-1))+IF($A5="",0,1)</f>
        <v>3</v>
      </c>
      <c r="R5" s="24" cm="1">
        <f t="array" ref="R5">CreateTaskID($R$2,$R:$R,Tasks!$B$17,$P5)</f>
        <v>0</v>
      </c>
      <c r="S5" s="14" cm="1">
        <f t="array" ca="1" aca="1" ref="S5">CreateID($S$2,$S:$S,$D5="x")</f>
        <v>1</v>
      </c>
      <c r="T5" s="14" t="str">
        <f t="shared" ca="1" si="2"/>
        <v>DS3</v>
      </c>
      <c r="U5" s="14" cm="1">
        <f t="array" ca="1" aca="1" ref="U5">IF($M5="",0,SimpleLookup($M5,Definitions!$Q:$R))</f>
        <v>3</v>
      </c>
      <c r="V5" s="20" t="str">
        <f t="shared" ca="1" si="3"/>
        <v>Disclosure of acontis techonlogies GmbH IP (moderately innovative) [Medium]</v>
      </c>
    </row>
    <row r="6" spans="1:22" ht="75">
      <c r="A6" s="13" t="s">
        <v>161</v>
      </c>
      <c r="B6" s="13" t="s">
        <v>1095</v>
      </c>
      <c r="C6" s="16" t="str" cm="1">
        <f t="array" ca="1" aca="1" ref="C6">IF($B6="","",IFERROR(SimpleLookup($B6,Questions!$A:$B),"Error: Unknown ID: "&amp;$B6))</f>
        <v>Is acontis techonlogies GmbH (typically) obliged to keep the processed / stored data (including third-party IP) confidential by contract or law? (Note that this concerns individual obligations, not the standard product warranty).</v>
      </c>
      <c r="D6" s="52" t="str">
        <f ca="1">_xlfn.LET(_xlpm._dsID,$A6,_xlpm._qID,$B6,_xlpm._dynamicReference,$F6,_xlpm._firstAnswer,$H6,_xlpm._secondAnswer,$I6,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6" s="13" t="s">
        <v>595</v>
      </c>
      <c r="F6" s="52" t="s">
        <v>582</v>
      </c>
      <c r="G6" s="13" t="s">
        <v>583</v>
      </c>
      <c r="H6" s="16" t="str" cm="1">
        <f t="array" ca="1" aca="1" ref="H6">IF($B6="","",_xlfn.LET(_xlpm._value,SimpleLookup($B6,Questionnaire!$A:$C),IF(_xlpm._value="","",_xlpm._value)))</f>
        <v>No</v>
      </c>
      <c r="I6" s="16" t="str" cm="1">
        <f t="array" ca="1" aca="1" ref="I6">IF($B6="","",_xlfn.LET(_xlpm._value,SimpleLookup($B6,Questionnaire!$A:$E),IF(_xlpm._value="","",_xlpm._value)))</f>
        <v/>
      </c>
      <c r="J6" s="16" t="str">
        <f t="shared" ca="1" si="0"/>
        <v/>
      </c>
      <c r="K6" s="13"/>
      <c r="L6" s="16" t="str">
        <f t="shared" ca="1" si="1"/>
        <v/>
      </c>
      <c r="M6" s="16" t="str" cm="1">
        <f t="array" ca="1" aca="1" ref="M6">IF($L6="","",IFERROR(SimpleLookup($L6,Definitions!$H:$J),""))</f>
        <v/>
      </c>
      <c r="N6" s="13"/>
      <c r="O6" s="16" t="str" cm="1">
        <f t="array" ca="1" aca="1" ref="O6">IF($N6&lt;&gt;"",$N6,_xlfn.LET(_xlpm._qID,$B6,_xlpm._firstAnswer,$H6,_xlpm._secondAnswer,$I6,_xlpm._question,IFERROR(SimpleLookup(_xlpm._qID,Questions!$A:$B),""),_xlpm._secondQuestion,IFERROR(SimpleLookup(_xlpm._qID,Questionnaire!$A:$D),""),_xlpm._qID&amp;"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QI4 Is acontis techonlogies GmbH (typically) obliged to keep the processed / stored data (including third-party IP) confidential by contract or law? (Note that this concerns individual obligations, not the standard product warranty).
» No</v>
      </c>
      <c r="P6" s="13"/>
      <c r="Q6" s="10" cm="1">
        <f t="array" ref="Q6">IF(ROW()=ROW($Q$2)+1,0,INDEX($Q:$Q,ROW()-1))+IF($A6="",0,1)</f>
        <v>4</v>
      </c>
      <c r="R6" s="24" cm="1">
        <f t="array" ref="R6">CreateTaskID($R$2,$R:$R,Tasks!$B$17,$P6)</f>
        <v>0</v>
      </c>
      <c r="S6" s="14" cm="1">
        <f t="array" ca="1" aca="1" ref="S6">CreateID($S$2,$S:$S,$D6="x")</f>
        <v>1</v>
      </c>
      <c r="T6" s="14" t="str">
        <f t="shared" ca="1" si="2"/>
        <v/>
      </c>
      <c r="U6" s="14" cm="1">
        <f t="array" ca="1" aca="1" ref="U6">IF($M6="",0,SimpleLookup($M6,Definitions!$Q:$R))</f>
        <v>0</v>
      </c>
      <c r="V6" s="20" t="str">
        <f t="shared" ca="1" si="3"/>
        <v/>
      </c>
    </row>
    <row r="7" spans="1:22" ht="75">
      <c r="A7" s="13" t="s">
        <v>162</v>
      </c>
      <c r="B7" s="13" t="s">
        <v>1093</v>
      </c>
      <c r="C7" s="16" t="str" cm="1">
        <f t="array" ca="1" aca="1" ref="C7">IF($B7="","",IFERROR(SimpleLookup($B7,Questions!$A:$B),"Error: Unknown ID: "&amp;$B7))</f>
        <v>Does the product contain credentials / cryptographic keys that allow access to sensitive data or to systems in the product's operational environment? (Note: this includes cryptographic data introduced by the customer.)</v>
      </c>
      <c r="D7" s="52" t="str">
        <f ca="1">_xlfn.LET(_xlpm._dsID,$A7,_xlpm._qID,$B7,_xlpm._dynamicReference,$F7,_xlpm._firstAnswer,$H7,_xlpm._secondAnswer,$I7,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7" s="13" t="s">
        <v>584</v>
      </c>
      <c r="F7" s="52" t="s">
        <v>582</v>
      </c>
      <c r="G7" s="13"/>
      <c r="H7" s="16" t="str" cm="1">
        <f t="array" ca="1" aca="1" ref="H7">IF($B7="","",_xlfn.LET(_xlpm._value,SimpleLookup($B7,Questionnaire!$A:$C),IF(_xlpm._value="","",_xlpm._value)))</f>
        <v>No</v>
      </c>
      <c r="I7" s="16" t="str" cm="1">
        <f t="array" ca="1" aca="1" ref="I7">IF($B7="","",_xlfn.LET(_xlpm._value,SimpleLookup($B7,Questionnaire!$A:$E),IF(_xlpm._value="","",_xlpm._value)))</f>
        <v/>
      </c>
      <c r="J7" s="16" t="str">
        <f t="shared" ca="1" si="0"/>
        <v/>
      </c>
      <c r="K7" s="13"/>
      <c r="L7" s="16" t="str">
        <f t="shared" ca="1" si="1"/>
        <v/>
      </c>
      <c r="M7" s="16" t="str" cm="1">
        <f t="array" ca="1" aca="1" ref="M7">IF($L7="","",IFERROR(SimpleLookup($L7,Definitions!$H:$J),""))</f>
        <v/>
      </c>
      <c r="N7" s="13"/>
      <c r="O7" s="16" t="str" cm="1">
        <f t="array" ca="1" aca="1" ref="O7">IF($N7&lt;&gt;"",$N7,_xlfn.LET(_xlpm._qID,$B7,_xlpm._firstAnswer,$H7,_xlpm._secondAnswer,$I7,_xlpm._question,IFERROR(SimpleLookup(_xlpm._qID,Questions!$A:$B),""),_xlpm._secondQuestion,IFERROR(SimpleLookup(_xlpm._qID,Questionnaire!$A:$D),""),_xlpm._qID&amp;"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QI5 Does the product contain credentials / cryptographic keys that allow access to sensitive data or to systems in the product's operational environment? (Note: this includes cryptographic data introduced by the customer.)
» No</v>
      </c>
      <c r="P7" s="13"/>
      <c r="Q7" s="10" cm="1">
        <f t="array" ref="Q7">IF(ROW()=ROW($Q$2)+1,0,INDEX($Q:$Q,ROW()-1))+IF($A7="",0,1)</f>
        <v>5</v>
      </c>
      <c r="R7" s="24" cm="1">
        <f t="array" ref="R7">CreateTaskID($R$2,$R:$R,Tasks!$B$17,$P7)</f>
        <v>0</v>
      </c>
      <c r="S7" s="14" cm="1">
        <f t="array" ca="1" aca="1" ref="S7">CreateID($S$2,$S:$S,$D7="x")</f>
        <v>1</v>
      </c>
      <c r="T7" s="14" t="str">
        <f t="shared" ca="1" si="2"/>
        <v/>
      </c>
      <c r="U7" s="14" cm="1">
        <f t="array" ca="1" aca="1" ref="U7">IF($M7="",0,SimpleLookup($M7,Definitions!$Q:$R))</f>
        <v>0</v>
      </c>
      <c r="V7" s="20" t="str">
        <f t="shared" ca="1" si="3"/>
        <v/>
      </c>
    </row>
    <row r="8" spans="1:22" ht="120">
      <c r="A8" s="13" t="s">
        <v>163</v>
      </c>
      <c r="B8" s="13" t="s">
        <v>1090</v>
      </c>
      <c r="C8" s="16" t="str" cm="1">
        <f t="array" ca="1" aca="1" ref="C8">IF($B8="","",IFERROR(SimpleLookup($B8,Questions!$A:$B),"Error: Unknown ID: "&amp;$B8))</f>
        <v>Can a loss of availability of the product (or its communication) endanger the health of people?
(Consider how the operational environment reacts to a loss of availability of the product.)</v>
      </c>
      <c r="D8" s="52" t="str">
        <f ca="1">_xlfn.LET(_xlpm._dsID,$A8,_xlpm._qID,$B8,_xlpm._dynamicReference,$F8,_xlpm._firstAnswer,$H8,_xlpm._secondAnswer,$I8,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8" s="13"/>
      <c r="F8" s="52" t="s">
        <v>582</v>
      </c>
      <c r="G8" s="13" t="s">
        <v>585</v>
      </c>
      <c r="H8" s="16" t="str" cm="1">
        <f t="array" ca="1" aca="1" ref="H8">IF($B8="","",_xlfn.LET(_xlpm._value,SimpleLookup($B8,Questionnaire!$A:$C),IF(_xlpm._value="","",_xlpm._value)))</f>
        <v>Yes</v>
      </c>
      <c r="I8" s="16" t="str" cm="1">
        <f t="array" ca="1" aca="1" ref="I8">IF($B8="","",_xlfn.LET(_xlpm._value,SimpleLookup($B8,Questionnaire!$A:$E),IF(_xlpm._value="","",_xlpm._value)))</f>
        <v>Life-threatening injury</v>
      </c>
      <c r="J8" s="16" t="str">
        <f t="shared" ca="1" si="0"/>
        <v>Life-threatening injury caused by unavailable product</v>
      </c>
      <c r="K8" s="13"/>
      <c r="L8" s="16" t="str">
        <f t="shared" ca="1" si="1"/>
        <v>Life-threatening injury</v>
      </c>
      <c r="M8" s="16" t="str" cm="1">
        <f t="array" ca="1" aca="1" ref="M8">IF($L8="","",IFERROR(SimpleLookup($L8,Definitions!$H:$J),""))</f>
        <v>Critical</v>
      </c>
      <c r="N8" s="13"/>
      <c r="O8" s="16" t="str" cm="1">
        <f t="array" ca="1" aca="1" ref="O8">IF($N8&lt;&gt;"",$N8,_xlfn.LET(_xlpm._qID,$B8,_xlpm._firstAnswer,$H8,_xlpm._secondAnswer,$I8,_xlpm._question,IFERROR(SimpleLookup(_xlpm._qID,Questions!$A:$B),""),_xlpm._secondQuestion,IFERROR(SimpleLookup(_xlpm._qID,Questionnaire!$A:$D),""),_xlpm._qID&amp;"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QI6 Can a loss of availability of the product (or its communication) endanger the health of people?
(Consider how the operational environment reacts to a loss of availability of the product.)
» Yes
What is the worst case severity of the injury for the intended use of the product?
» Life-threatening injury</v>
      </c>
      <c r="P8" s="13"/>
      <c r="Q8" s="10" cm="1">
        <f t="array" ref="Q8">IF(ROW()=ROW($Q$2)+1,0,INDEX($Q:$Q,ROW()-1))+IF($A8="",0,1)</f>
        <v>6</v>
      </c>
      <c r="R8" s="24" cm="1">
        <f t="array" ref="R8">CreateTaskID($R$2,$R:$R,Tasks!$B$17,$P8)</f>
        <v>0</v>
      </c>
      <c r="S8" s="14" cm="1">
        <f t="array" ca="1" aca="1" ref="S8">CreateID($S$2,$S:$S,$D8="x")</f>
        <v>2</v>
      </c>
      <c r="T8" s="14" t="str">
        <f t="shared" ca="1" si="2"/>
        <v>DS6</v>
      </c>
      <c r="U8" s="14" cm="1">
        <f t="array" ca="1" aca="1" ref="U8">IF($M8="",0,SimpleLookup($M8,Definitions!$Q:$R))</f>
        <v>5</v>
      </c>
      <c r="V8" s="20" t="str">
        <f t="shared" ca="1" si="3"/>
        <v>Life-threatening injury caused by unavailable product [Critical]</v>
      </c>
    </row>
    <row r="9" spans="1:22" ht="90">
      <c r="A9" s="13" t="s">
        <v>164</v>
      </c>
      <c r="B9" s="13" t="s">
        <v>1088</v>
      </c>
      <c r="C9" s="16" t="str" cm="1">
        <f t="array" ca="1" aca="1" ref="C9">IF($B9="","",IFERROR(SimpleLookup($B9,Questions!$A:$B),"Error: Unknown ID: "&amp;$B9))</f>
        <v>Is the availability of the product relevant for its operational environment?</v>
      </c>
      <c r="D9" s="52" t="str">
        <f ca="1">_xlfn.LET(_xlpm._dsID,$A9,_xlpm._qID,$B9,_xlpm._dynamicReference,$F9,_xlpm._firstAnswer,$H9,_xlpm._secondAnswer,$I9,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9" s="13"/>
      <c r="F9" s="52" t="s">
        <v>582</v>
      </c>
      <c r="G9" s="13" t="s">
        <v>585</v>
      </c>
      <c r="H9" s="16" t="str" cm="1">
        <f t="array" ca="1" aca="1" ref="H9">IF($B9="","",_xlfn.LET(_xlpm._value,SimpleLookup($B9,Questionnaire!$A:$C),IF(_xlpm._value="","",_xlpm._value)))</f>
        <v>Yes</v>
      </c>
      <c r="I9" s="16" t="str" cm="1">
        <f t="array" ca="1" aca="1" ref="I9">IF($B9="","",_xlfn.LET(_xlpm._value,SimpleLookup($B9,Questionnaire!$A:$E),IF(_xlpm._value="","",_xlpm._value)))</f>
        <v>Critical environmental damage</v>
      </c>
      <c r="J9" s="16" t="str">
        <f t="shared" ca="1" si="0"/>
        <v>Critical environmental damage caused by unavailable product</v>
      </c>
      <c r="K9" s="13"/>
      <c r="L9" s="16" t="str">
        <f t="shared" ca="1" si="1"/>
        <v>Critical environmental damage</v>
      </c>
      <c r="M9" s="16" t="str" cm="1">
        <f t="array" ca="1" aca="1" ref="M9">IF($L9="","",IFERROR(SimpleLookup($L9,Definitions!$H:$J),""))</f>
        <v>Critical</v>
      </c>
      <c r="N9" s="13"/>
      <c r="O9" s="16" t="str" cm="1">
        <f t="array" ca="1" aca="1" ref="O9">IF($N9&lt;&gt;"",$N9,_xlfn.LET(_xlpm._qID,$B9,_xlpm._firstAnswer,$H9,_xlpm._secondAnswer,$I9,_xlpm._question,IFERROR(SimpleLookup(_xlpm._qID,Questions!$A:$B),""),_xlpm._secondQuestion,IFERROR(SimpleLookup(_xlpm._qID,Questionnaire!$A:$D),""),_xlpm._qID&amp;"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QI7 Is the availability of the product relevant for its operational environment?
» Yes
What is the worst case effect on the operational environment for the intended use of the product?
» Critical environmental damage</v>
      </c>
      <c r="P9" s="13"/>
      <c r="Q9" s="10" cm="1">
        <f t="array" ref="Q9">IF(ROW()=ROW($Q$2)+1,0,INDEX($Q:$Q,ROW()-1))+IF($A9="",0,1)</f>
        <v>7</v>
      </c>
      <c r="R9" s="24" cm="1">
        <f t="array" ref="R9">CreateTaskID($R$2,$R:$R,Tasks!$B$17,$P9)</f>
        <v>0</v>
      </c>
      <c r="S9" s="14" cm="1">
        <f t="array" ca="1" aca="1" ref="S9">CreateID($S$2,$S:$S,$D9="x")</f>
        <v>3</v>
      </c>
      <c r="T9" s="14" t="str">
        <f t="shared" ca="1" si="2"/>
        <v>DS7</v>
      </c>
      <c r="U9" s="14" cm="1">
        <f t="array" ca="1" aca="1" ref="U9">IF($M9="",0,SimpleLookup($M9,Definitions!$Q:$R))</f>
        <v>5</v>
      </c>
      <c r="V9" s="20" t="str">
        <f t="shared" ca="1" si="3"/>
        <v>Critical environmental damage caused by unavailable product [Critical]</v>
      </c>
    </row>
    <row r="10" spans="1:22" ht="120">
      <c r="A10" s="13" t="s">
        <v>165</v>
      </c>
      <c r="B10" s="13" t="s">
        <v>1086</v>
      </c>
      <c r="C10" s="16" t="str" cm="1">
        <f t="array" ca="1" aca="1" ref="C10">IF($B10="","",IFERROR(SimpleLookup($B10,Questions!$A:$B),"Error: Unknown ID: "&amp;$B10))</f>
        <v>Can a loss of availability allow an attacker access to assets of the customer (including physical access not detected by the acontis techonlogies GmbH product)? Example: The product is used for access control.</v>
      </c>
      <c r="D10" s="52" t="str">
        <f ca="1">_xlfn.LET(_xlpm._dsID,$A10,_xlpm._qID,$B10,_xlpm._dynamicReference,$F10,_xlpm._firstAnswer,$H10,_xlpm._secondAnswer,$I10,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0" s="13" t="s">
        <v>586</v>
      </c>
      <c r="F10" s="52" t="s">
        <v>582</v>
      </c>
      <c r="G10" s="13" t="s">
        <v>585</v>
      </c>
      <c r="H10" s="16" t="str" cm="1">
        <f t="array" ca="1" aca="1" ref="H10">IF($B10="","",_xlfn.LET(_xlpm._value,SimpleLookup($B10,Questionnaire!$A:$C),IF(_xlpm._value="","",_xlpm._value)))</f>
        <v>Yes</v>
      </c>
      <c r="I10" s="16" t="str" cm="1">
        <f t="array" ca="1" aca="1" ref="I10">IF($B10="","",_xlfn.LET(_xlpm._value,SimpleLookup($B10,Questionnaire!$A:$E),IF(_xlpm._value="","",_xlpm._value)))</f>
        <v>Critical financial damage</v>
      </c>
      <c r="J10" s="16" t="str">
        <f t="shared" ca="1" si="0"/>
        <v>Loss of Critical financial damage caused by unavailable product</v>
      </c>
      <c r="K10" s="13"/>
      <c r="L10" s="16" t="str">
        <f t="shared" ca="1" si="1"/>
        <v>Critical financial damage</v>
      </c>
      <c r="M10" s="16" t="str" cm="1">
        <f t="array" ca="1" aca="1" ref="M10">IF($L10="","",IFERROR(SimpleLookup($L10,Definitions!$H:$J),""))</f>
        <v>Critical</v>
      </c>
      <c r="N10" s="13"/>
      <c r="O10" s="16" t="str" cm="1">
        <f t="array" ca="1" aca="1" ref="O10">IF($N10&lt;&gt;"",$N10,_xlfn.LET(_xlpm._qID,$B10,_xlpm._firstAnswer,$H10,_xlpm._secondAnswer,$I10,_xlpm._question,IFERROR(SimpleLookup(_xlpm._qID,Questions!$A:$B),""),_xlpm._secondQuestion,IFERROR(SimpleLookup(_xlpm._qID,Questionnaire!$A:$D),""),_xlpm._qID&amp;"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QI8 Can a loss of availability allow an attacker access to assets of the customer (including physical access not detected by the acontis techonlogies GmbH product)? Example: The product is used for access control.
» Yes
What is the worst case value of these assets for the intended use of the product?
» Critical financial damage</v>
      </c>
      <c r="P10" s="13"/>
      <c r="Q10" s="10" cm="1">
        <f t="array" ref="Q10">IF(ROW()=ROW($Q$2)+1,0,INDEX($Q:$Q,ROW()-1))+IF($A10="",0,1)</f>
        <v>8</v>
      </c>
      <c r="R10" s="24" cm="1">
        <f t="array" ref="R10">CreateTaskID($R$2,$R:$R,Tasks!$B$17,$P10)</f>
        <v>0</v>
      </c>
      <c r="S10" s="14" cm="1">
        <f t="array" ca="1" aca="1" ref="S10">CreateID($S$2,$S:$S,$D10="x")</f>
        <v>4</v>
      </c>
      <c r="T10" s="14" t="str">
        <f t="shared" ca="1" si="2"/>
        <v>DS8</v>
      </c>
      <c r="U10" s="14" cm="1">
        <f t="array" ca="1" aca="1" ref="U10">IF($M10="",0,SimpleLookup($M10,Definitions!$Q:$R))</f>
        <v>5</v>
      </c>
      <c r="V10" s="20" t="str">
        <f t="shared" ca="1" si="3"/>
        <v>Loss of Critical financial damage caused by unavailable product [Critical]</v>
      </c>
    </row>
    <row r="11" spans="1:22" ht="45">
      <c r="A11" s="13" t="s">
        <v>166</v>
      </c>
      <c r="B11" s="13" t="s">
        <v>1084</v>
      </c>
      <c r="C11" s="16" t="str" cm="1">
        <f t="array" ca="1" aca="1" ref="C11">IF($B11="","",IFERROR(SimpleLookup($B11,Questions!$A:$B),"Error: Unknown ID: "&amp;$B11))</f>
        <v>Can a loss of availability cause contract-related fines (e.g., based on a service level agreement)?</v>
      </c>
      <c r="D11" s="52" t="str">
        <f ca="1">_xlfn.LET(_xlpm._dsID,$A11,_xlpm._qID,$B11,_xlpm._dynamicReference,$F11,_xlpm._firstAnswer,$H11,_xlpm._secondAnswer,$I11,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11" s="13" t="s">
        <v>587</v>
      </c>
      <c r="F11" s="52" t="s">
        <v>582</v>
      </c>
      <c r="G11" s="13" t="s">
        <v>585</v>
      </c>
      <c r="H11" s="16" t="str" cm="1">
        <f t="array" ca="1" aca="1" ref="H11">IF($B11="","",_xlfn.LET(_xlpm._value,SimpleLookup($B11,Questionnaire!$A:$C),IF(_xlpm._value="","",_xlpm._value)))</f>
        <v>No</v>
      </c>
      <c r="I11" s="16" t="str" cm="1">
        <f t="array" ca="1" aca="1" ref="I11">IF($B11="","",_xlfn.LET(_xlpm._value,SimpleLookup($B11,Questionnaire!$A:$E),IF(_xlpm._value="","",_xlpm._value)))</f>
        <v/>
      </c>
      <c r="J11" s="16" t="str">
        <f t="shared" ca="1" si="0"/>
        <v/>
      </c>
      <c r="K11" s="13"/>
      <c r="L11" s="16" t="str">
        <f t="shared" ca="1" si="1"/>
        <v/>
      </c>
      <c r="M11" s="16" t="str" cm="1">
        <f t="array" ca="1" aca="1" ref="M11">IF($L11="","",IFERROR(SimpleLookup($L11,Definitions!$H:$J),""))</f>
        <v/>
      </c>
      <c r="N11" s="13"/>
      <c r="O11" s="16" t="str" cm="1">
        <f t="array" ca="1" aca="1" ref="O11">IF($N11&lt;&gt;"",$N11,_xlfn.LET(_xlpm._qID,$B11,_xlpm._firstAnswer,$H11,_xlpm._secondAnswer,$I11,_xlpm._question,IFERROR(SimpleLookup(_xlpm._qID,Questions!$A:$B),""),_xlpm._secondQuestion,IFERROR(SimpleLookup(_xlpm._qID,Questionnaire!$A:$D),""),_xlpm._qID&amp;"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QI9 Can a loss of availability cause contract-related fines (e.g., based on a service level agreement)?
» No</v>
      </c>
      <c r="P11" s="13"/>
      <c r="Q11" s="10" cm="1">
        <f t="array" ref="Q11">IF(ROW()=ROW($Q$2)+1,0,INDEX($Q:$Q,ROW()-1))+IF($A11="",0,1)</f>
        <v>9</v>
      </c>
      <c r="R11" s="24" cm="1">
        <f t="array" ref="R11">CreateTaskID($R$2,$R:$R,Tasks!$B$17,$P11)</f>
        <v>0</v>
      </c>
      <c r="S11" s="14" cm="1">
        <f t="array" ca="1" aca="1" ref="S11">CreateID($S$2,$S:$S,$D11="x")</f>
        <v>4</v>
      </c>
      <c r="T11" s="14" t="str">
        <f t="shared" ca="1" si="2"/>
        <v/>
      </c>
      <c r="U11" s="14" cm="1">
        <f t="array" ca="1" aca="1" ref="U11">IF($M11="",0,SimpleLookup($M11,Definitions!$Q:$R))</f>
        <v>0</v>
      </c>
      <c r="V11" s="20" t="str">
        <f t="shared" ca="1" si="3"/>
        <v/>
      </c>
    </row>
    <row r="12" spans="1:22" ht="105">
      <c r="A12" s="13" t="s">
        <v>167</v>
      </c>
      <c r="B12" s="13" t="s">
        <v>1080</v>
      </c>
      <c r="C12" s="16" t="str" cm="1">
        <f t="array" ca="1" aca="1" ref="C12">IF($B12="","",IFERROR(SimpleLookup($B12,Questions!$A:$B),"Error: Unknown ID: "&amp;$B12))</f>
        <v>Can a manipulated product (or its communication) endanger the health of people? Also consider cases where the product is used against its intended use or misconfigured!</v>
      </c>
      <c r="D12" s="52" t="str">
        <f ca="1">_xlfn.LET(_xlpm._dsID,$A12,_xlpm._qID,$B12,_xlpm._dynamicReference,$F12,_xlpm._firstAnswer,$H12,_xlpm._secondAnswer,$I12,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2" s="13"/>
      <c r="F12" s="52" t="s">
        <v>582</v>
      </c>
      <c r="G12" s="13" t="s">
        <v>588</v>
      </c>
      <c r="H12" s="16" t="str" cm="1">
        <f t="array" ca="1" aca="1" ref="H12">IF($B12="","",_xlfn.LET(_xlpm._value,SimpleLookup($B12,Questionnaire!$A:$C),IF(_xlpm._value="","",_xlpm._value)))</f>
        <v>Yes</v>
      </c>
      <c r="I12" s="16" t="str" cm="1">
        <f t="array" ca="1" aca="1" ref="I12">IF($B12="","",_xlfn.LET(_xlpm._value,SimpleLookup($B12,Questionnaire!$A:$E),IF(_xlpm._value="","",_xlpm._value)))</f>
        <v>Life-threatening injury</v>
      </c>
      <c r="J12" s="16" t="str">
        <f t="shared" ca="1" si="0"/>
        <v>Life-threatening injury caused by manipulated product</v>
      </c>
      <c r="K12" s="13"/>
      <c r="L12" s="16" t="str">
        <f t="shared" ca="1" si="1"/>
        <v>Life-threatening injury</v>
      </c>
      <c r="M12" s="16" t="str" cm="1">
        <f t="array" ca="1" aca="1" ref="M12">IF($L12="","",IFERROR(SimpleLookup($L12,Definitions!$H:$J),""))</f>
        <v>Critical</v>
      </c>
      <c r="N12" s="13"/>
      <c r="O12" s="16" t="str" cm="1">
        <f t="array" ca="1" aca="1" ref="O12">IF($N12&lt;&gt;"",$N12,_xlfn.LET(_xlpm._qID,$B12,_xlpm._firstAnswer,$H12,_xlpm._secondAnswer,$I12,_xlpm._question,IFERROR(SimpleLookup(_xlpm._qID,Questions!$A:$B),""),_xlpm._secondQuestion,IFERROR(SimpleLookup(_xlpm._qID,Questionnaire!$A:$D),""),_xlpm._qID&amp;"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QI10 Can a manipulated product (or its communication) endanger the health of people? Also consider cases where the product is used against its intended use or misconfigured!
» Yes
What is the worst case severity of the injury for the intended use of the product?
» Life-threatening injury</v>
      </c>
      <c r="P12" s="13"/>
      <c r="Q12" s="10" cm="1">
        <f t="array" ref="Q12">IF(ROW()=ROW($Q$2)+1,0,INDEX($Q:$Q,ROW()-1))+IF($A12="",0,1)</f>
        <v>10</v>
      </c>
      <c r="R12" s="24" cm="1">
        <f t="array" ref="R12">CreateTaskID($R$2,$R:$R,Tasks!$B$17,$P12)</f>
        <v>0</v>
      </c>
      <c r="S12" s="14" cm="1">
        <f t="array" ca="1" aca="1" ref="S12">CreateID($S$2,$S:$S,$D12="x")</f>
        <v>5</v>
      </c>
      <c r="T12" s="14" t="str">
        <f t="shared" ca="1" si="2"/>
        <v>DS10</v>
      </c>
      <c r="U12" s="14" cm="1">
        <f t="array" ca="1" aca="1" ref="U12">IF($M12="",0,SimpleLookup($M12,Definitions!$Q:$R))</f>
        <v>5</v>
      </c>
      <c r="V12" s="20" t="str">
        <f t="shared" ca="1" si="3"/>
        <v>Life-threatening injury caused by manipulated product [Critical]</v>
      </c>
    </row>
    <row r="13" spans="1:22" ht="90">
      <c r="A13" s="13" t="s">
        <v>168</v>
      </c>
      <c r="B13" s="13" t="s">
        <v>1079</v>
      </c>
      <c r="C13" s="16" t="str" cm="1">
        <f t="array" ca="1" aca="1" ref="C13">IF($B13="","",IFERROR(SimpleLookup($B13,Questions!$A:$B),"Error: Unknown ID: "&amp;$B13))</f>
        <v>Can a manipulated product disclose personal data to an attacker? Also consider cases where the product is used against its intended use or misconfigured!</v>
      </c>
      <c r="D13" s="52" t="str">
        <f ca="1">_xlfn.LET(_xlpm._dsID,$A13,_xlpm._qID,$B13,_xlpm._dynamicReference,$F13,_xlpm._firstAnswer,$H13,_xlpm._secondAnswer,$I13,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3" s="13"/>
      <c r="F13" s="52" t="s">
        <v>582</v>
      </c>
      <c r="G13" s="13" t="s">
        <v>589</v>
      </c>
      <c r="H13" s="16" t="str" cm="1">
        <f t="array" ca="1" aca="1" ref="H13">IF($B13="","",_xlfn.LET(_xlpm._value,SimpleLookup($B13,Questionnaire!$A:$C),IF(_xlpm._value="","",_xlpm._value)))</f>
        <v>Yes</v>
      </c>
      <c r="I13" s="16" t="str" cm="1">
        <f t="array" ca="1" aca="1" ref="I13">IF($B13="","",_xlfn.LET(_xlpm._value,SimpleLookup($B13,Questionnaire!$A:$E),IF(_xlpm._value="","",_xlpm._value)))</f>
        <v>Personal data (ruinous)</v>
      </c>
      <c r="J13" s="16" t="str">
        <f t="shared" ca="1" si="0"/>
        <v>Personal data (ruinous) disclosed by manipulated product</v>
      </c>
      <c r="K13" s="13"/>
      <c r="L13" s="16" t="str">
        <f t="shared" ca="1" si="1"/>
        <v>Personal data (ruinous)</v>
      </c>
      <c r="M13" s="16" t="str" cm="1">
        <f t="array" ca="1" aca="1" ref="M13">IF($L13="","",IFERROR(SimpleLookup($L13,Definitions!$H:$J),""))</f>
        <v>Critical</v>
      </c>
      <c r="N13" s="13"/>
      <c r="O13" s="16" t="str" cm="1">
        <f t="array" ca="1" aca="1" ref="O13">IF($N13&lt;&gt;"",$N13,_xlfn.LET(_xlpm._qID,$B13,_xlpm._firstAnswer,$H13,_xlpm._secondAnswer,$I13,_xlpm._question,IFERROR(SimpleLookup(_xlpm._qID,Questions!$A:$B),""),_xlpm._secondQuestion,IFERROR(SimpleLookup(_xlpm._qID,Questionnaire!$A:$D),""),_xlpm._qID&amp;"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QI11 Can a manipulated product disclose personal data to an attacker? Also consider cases where the product is used against its intended use or misconfigured!
» Yes
What is the criticality of the disclosed data?
» Personal data (ruinous)</v>
      </c>
      <c r="P13" s="13"/>
      <c r="Q13" s="10" cm="1">
        <f t="array" ref="Q13">IF(ROW()=ROW($Q$2)+1,0,INDEX($Q:$Q,ROW()-1))+IF($A13="",0,1)</f>
        <v>11</v>
      </c>
      <c r="R13" s="24" cm="1">
        <f t="array" ref="R13">CreateTaskID($R$2,$R:$R,Tasks!$B$17,$P13)</f>
        <v>0</v>
      </c>
      <c r="S13" s="14" cm="1">
        <f t="array" ca="1" aca="1" ref="S13">CreateID($S$2,$S:$S,$D13="x")</f>
        <v>6</v>
      </c>
      <c r="T13" s="14" t="str">
        <f t="shared" ca="1" si="2"/>
        <v>DS11</v>
      </c>
      <c r="U13" s="14" cm="1">
        <f t="array" ca="1" aca="1" ref="U13">IF($M13="",0,SimpleLookup($M13,Definitions!$Q:$R))</f>
        <v>5</v>
      </c>
      <c r="V13" s="20" t="str">
        <f t="shared" ca="1" si="3"/>
        <v>Personal data (ruinous) disclosed by manipulated product [Critical]</v>
      </c>
    </row>
    <row r="14" spans="1:22" ht="90">
      <c r="A14" s="13" t="s">
        <v>169</v>
      </c>
      <c r="B14" s="13" t="s">
        <v>1078</v>
      </c>
      <c r="C14" s="16" t="str" cm="1">
        <f t="array" ca="1" aca="1" ref="C14">IF($B14="","",IFERROR(SimpleLookup($B14,Questions!$A:$B),"Error: Unknown ID: "&amp;$B14))</f>
        <v>Can a manipulated product disclose intellectual property to an attacker? Also consider cases where the product is used against its intended use or misconfigured!</v>
      </c>
      <c r="D14" s="52" t="str">
        <f ca="1">_xlfn.LET(_xlpm._dsID,$A14,_xlpm._qID,$B14,_xlpm._dynamicReference,$F14,_xlpm._firstAnswer,$H14,_xlpm._secondAnswer,$I14,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4" s="13"/>
      <c r="F14" s="52" t="s">
        <v>582</v>
      </c>
      <c r="G14" s="13" t="s">
        <v>589</v>
      </c>
      <c r="H14" s="16" t="str" cm="1">
        <f t="array" ca="1" aca="1" ref="H14">IF($B14="","",_xlfn.LET(_xlpm._value,SimpleLookup($B14,Questionnaire!$A:$C),IF(_xlpm._value="","",_xlpm._value)))</f>
        <v>Yes</v>
      </c>
      <c r="I14" s="16" t="str" cm="1">
        <f t="array" ca="1" aca="1" ref="I14">IF($B14="","",_xlfn.LET(_xlpm._value,SimpleLookup($B14,Questionnaire!$A:$E),IF(_xlpm._value="","",_xlpm._value)))</f>
        <v>IP (highly innovative)</v>
      </c>
      <c r="J14" s="16" t="str">
        <f t="shared" ca="1" si="0"/>
        <v>IP (highly innovative) disclosed by manipulated product</v>
      </c>
      <c r="K14" s="13"/>
      <c r="L14" s="16" t="str">
        <f t="shared" ca="1" si="1"/>
        <v>IP (highly innovative)</v>
      </c>
      <c r="M14" s="16" t="str" cm="1">
        <f t="array" ca="1" aca="1" ref="M14">IF($L14="","",IFERROR(SimpleLookup($L14,Definitions!$H:$J),""))</f>
        <v>High</v>
      </c>
      <c r="N14" s="13"/>
      <c r="O14" s="16" t="str" cm="1">
        <f t="array" ca="1" aca="1" ref="O14">IF($N14&lt;&gt;"",$N14,_xlfn.LET(_xlpm._qID,$B14,_xlpm._firstAnswer,$H14,_xlpm._secondAnswer,$I14,_xlpm._question,IFERROR(SimpleLookup(_xlpm._qID,Questions!$A:$B),""),_xlpm._secondQuestion,IFERROR(SimpleLookup(_xlpm._qID,Questionnaire!$A:$D),""),_xlpm._qID&amp;"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QI12 Can a manipulated product disclose intellectual property to an attacker? Also consider cases where the product is used against its intended use or misconfigured!
» Yes
What is the criticality of the disclosed data?
» IP (highly innovative)</v>
      </c>
      <c r="P14" s="13"/>
      <c r="Q14" s="10" cm="1">
        <f t="array" ref="Q14">IF(ROW()=ROW($Q$2)+1,0,INDEX($Q:$Q,ROW()-1))+IF($A14="",0,1)</f>
        <v>12</v>
      </c>
      <c r="R14" s="24" cm="1">
        <f t="array" ref="R14">CreateTaskID($R$2,$R:$R,Tasks!$B$17,$P14)</f>
        <v>0</v>
      </c>
      <c r="S14" s="14" cm="1">
        <f t="array" ca="1" aca="1" ref="S14">CreateID($S$2,$S:$S,$D14="x")</f>
        <v>7</v>
      </c>
      <c r="T14" s="14" t="str">
        <f t="shared" ca="1" si="2"/>
        <v>DS12</v>
      </c>
      <c r="U14" s="14" cm="1">
        <f t="array" ca="1" aca="1" ref="U14">IF($M14="",0,SimpleLookup($M14,Definitions!$Q:$R))</f>
        <v>4</v>
      </c>
      <c r="V14" s="20" t="str">
        <f t="shared" ca="1" si="3"/>
        <v>IP (highly innovative) disclosed by manipulated product [High]</v>
      </c>
    </row>
    <row r="15" spans="1:22" ht="135">
      <c r="A15" s="13" t="s">
        <v>170</v>
      </c>
      <c r="B15" s="13" t="s">
        <v>1077</v>
      </c>
      <c r="C15" s="16" t="str" cm="1">
        <f t="array" ca="1" aca="1" ref="C15">IF($B15="","",IFERROR(SimpleLookup($B15,Questions!$A:$B),"Error: Unknown ID: "&amp;$B15))</f>
        <v>Can a manipulated product disclose credentials / cryptographic material to an attacker? Also consider cases where the product does not disclose the material but misuses its access to other systems! (E.g., product contains access credentials to store data on a server.)</v>
      </c>
      <c r="D15" s="52" t="str">
        <f ca="1">_xlfn.LET(_xlpm._dsID,$A15,_xlpm._qID,$B15,_xlpm._dynamicReference,$F15,_xlpm._firstAnswer,$H15,_xlpm._secondAnswer,$I15,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5" s="13"/>
      <c r="F15" s="52" t="s">
        <v>582</v>
      </c>
      <c r="G15" s="13" t="s">
        <v>984</v>
      </c>
      <c r="H15" s="16" t="str" cm="1">
        <f t="array" ca="1" aca="1" ref="H15">IF($B15="","",_xlfn.LET(_xlpm._value,SimpleLookup($B15,Questionnaire!$A:$C),IF(_xlpm._value="","",_xlpm._value)))</f>
        <v>Yes</v>
      </c>
      <c r="I15" s="16" t="str" cm="1">
        <f t="array" ca="1" aca="1" ref="I15">IF($B15="","",_xlfn.LET(_xlpm._value,SimpleLookup($B15,Questionnaire!$A:$E),IF(_xlpm._value="","",_xlpm._value)))</f>
        <v>Critical environmental damage</v>
      </c>
      <c r="J15" s="16" t="str">
        <f t="shared" ca="1" si="0"/>
        <v>Critical environmental damage caused by a disclosure or misuse of cyptographic material by the manipulated product</v>
      </c>
      <c r="K15" s="13"/>
      <c r="L15" s="16" t="str">
        <f t="shared" ca="1" si="1"/>
        <v>Critical environmental damage</v>
      </c>
      <c r="M15" s="16" t="str" cm="1">
        <f t="array" ca="1" aca="1" ref="M15">IF($L15="","",IFERROR(SimpleLookup($L15,Definitions!$H:$J),""))</f>
        <v>Critical</v>
      </c>
      <c r="N15" s="13"/>
      <c r="O15" s="16" t="str" cm="1">
        <f t="array" ca="1" aca="1" ref="O15">IF($N15&lt;&gt;"",$N15,_xlfn.LET(_xlpm._qID,$B15,_xlpm._firstAnswer,$H15,_xlpm._secondAnswer,$I15,_xlpm._question,IFERROR(SimpleLookup(_xlpm._qID,Questions!$A:$B),""),_xlpm._secondQuestion,IFERROR(SimpleLookup(_xlpm._qID,Questionnaire!$A:$D),""),_xlpm._qID&amp;"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QI13 Can a manipulated product disclose credentials / cryptographic material to an attacker? Also consider cases where the product does not disclose the material but misuses its access to other systems! (E.g., product contains access credentials to store data on a server.)
» Yes
What is the criticality of the disclosed data / what are the consequences of the malicious access?
» Critical environmental damage</v>
      </c>
      <c r="P15" s="13"/>
      <c r="Q15" s="10" cm="1">
        <f t="array" ref="Q15">IF(ROW()=ROW($Q$2)+1,0,INDEX($Q:$Q,ROW()-1))+IF($A15="",0,1)</f>
        <v>13</v>
      </c>
      <c r="R15" s="24" cm="1">
        <f t="array" ref="R15">CreateTaskID($R$2,$R:$R,Tasks!$B$17,$P15)</f>
        <v>0</v>
      </c>
      <c r="S15" s="14" cm="1">
        <f t="array" ca="1" aca="1" ref="S15">CreateID($S$2,$S:$S,$D15="x")</f>
        <v>8</v>
      </c>
      <c r="T15" s="14" t="str">
        <f t="shared" ca="1" si="2"/>
        <v>DS13</v>
      </c>
      <c r="U15" s="14" cm="1">
        <f t="array" ca="1" aca="1" ref="U15">IF($M15="",0,SimpleLookup($M15,Definitions!$Q:$R))</f>
        <v>5</v>
      </c>
      <c r="V15" s="20" t="str">
        <f t="shared" ca="1" si="3"/>
        <v>Critical environmental damage caused by a disclosure or misuse of cyptographic material by the manipulated product [Critical]</v>
      </c>
    </row>
    <row r="16" spans="1:22" ht="90">
      <c r="A16" s="13" t="s">
        <v>171</v>
      </c>
      <c r="B16" s="13" t="s">
        <v>1075</v>
      </c>
      <c r="C16" s="16" t="str" cm="1">
        <f t="array" ca="1" aca="1" ref="C16">IF($B16="","",IFERROR(SimpleLookup($B16,Questions!$A:$B),"Error: Unknown ID: "&amp;$B16))</f>
        <v>Can a manipulated product affect the operation of its operational environment?</v>
      </c>
      <c r="D16" s="52" t="str">
        <f ca="1">_xlfn.LET(_xlpm._dsID,$A16,_xlpm._qID,$B16,_xlpm._dynamicReference,$F16,_xlpm._firstAnswer,$H16,_xlpm._secondAnswer,$I16,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6" s="13"/>
      <c r="F16" s="52" t="s">
        <v>582</v>
      </c>
      <c r="G16" s="13" t="s">
        <v>588</v>
      </c>
      <c r="H16" s="16" t="str" cm="1">
        <f t="array" ca="1" aca="1" ref="H16">IF($B16="","",_xlfn.LET(_xlpm._value,SimpleLookup($B16,Questionnaire!$A:$C),IF(_xlpm._value="","",_xlpm._value)))</f>
        <v>Yes</v>
      </c>
      <c r="I16" s="16" t="str" cm="1">
        <f t="array" ca="1" aca="1" ref="I16">IF($B16="","",_xlfn.LET(_xlpm._value,SimpleLookup($B16,Questionnaire!$A:$E),IF(_xlpm._value="","",_xlpm._value)))</f>
        <v>Critical environmental damage</v>
      </c>
      <c r="J16" s="16" t="str">
        <f t="shared" ca="1" si="0"/>
        <v>Critical environmental damage caused by manipulated product</v>
      </c>
      <c r="K16" s="13"/>
      <c r="L16" s="16" t="str">
        <f t="shared" ca="1" si="1"/>
        <v>Critical environmental damage</v>
      </c>
      <c r="M16" s="16" t="str" cm="1">
        <f t="array" ca="1" aca="1" ref="M16">IF($L16="","",IFERROR(SimpleLookup($L16,Definitions!$H:$J),""))</f>
        <v>Critical</v>
      </c>
      <c r="N16" s="13"/>
      <c r="O16" s="16" t="str" cm="1">
        <f t="array" ca="1" aca="1" ref="O16">IF($N16&lt;&gt;"",$N16,_xlfn.LET(_xlpm._qID,$B16,_xlpm._firstAnswer,$H16,_xlpm._secondAnswer,$I16,_xlpm._question,IFERROR(SimpleLookup(_xlpm._qID,Questions!$A:$B),""),_xlpm._secondQuestion,IFERROR(SimpleLookup(_xlpm._qID,Questionnaire!$A:$D),""),_xlpm._qID&amp;"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QI14 Can a manipulated product affect the operation of its operational environment?
» Yes
What is the worst case effect on the operational environment for the intended use of the product?
» Critical environmental damage</v>
      </c>
      <c r="P16" s="13"/>
      <c r="Q16" s="10" cm="1">
        <f t="array" ref="Q16">IF(ROW()=ROW($Q$2)+1,0,INDEX($Q:$Q,ROW()-1))+IF($A16="",0,1)</f>
        <v>14</v>
      </c>
      <c r="R16" s="24" cm="1">
        <f t="array" ref="R16">CreateTaskID($R$2,$R:$R,Tasks!$B$17,$P16)</f>
        <v>0</v>
      </c>
      <c r="S16" s="14" cm="1">
        <f t="array" ca="1" aca="1" ref="S16">CreateID($S$2,$S:$S,$D16="x")</f>
        <v>9</v>
      </c>
      <c r="T16" s="14" t="str">
        <f t="shared" ca="1" si="2"/>
        <v>DS14</v>
      </c>
      <c r="U16" s="14" cm="1">
        <f t="array" ca="1" aca="1" ref="U16">IF($M16="",0,SimpleLookup($M16,Definitions!$Q:$R))</f>
        <v>5</v>
      </c>
      <c r="V16" s="20" t="str">
        <f t="shared" ca="1" si="3"/>
        <v>Critical environmental damage caused by manipulated product [Critical]</v>
      </c>
    </row>
    <row r="17" spans="1:22" ht="105">
      <c r="A17" s="13" t="s">
        <v>172</v>
      </c>
      <c r="B17" s="13" t="s">
        <v>1074</v>
      </c>
      <c r="C17" s="16" t="str" cm="1">
        <f t="array" ca="1" aca="1" ref="C17">IF($B17="","",IFERROR(SimpleLookup($B17,Questions!$A:$B),"Error: Unknown ID: "&amp;$B17))</f>
        <v>Can a manipulated product allow an attacker access to assets of the customer or allow the attacker to attack the customer's network?</v>
      </c>
      <c r="D17" s="52" t="str">
        <f ca="1">_xlfn.LET(_xlpm._dsID,$A17,_xlpm._qID,$B17,_xlpm._dynamicReference,$F17,_xlpm._firstAnswer,$H17,_xlpm._secondAnswer,$I17,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x</v>
      </c>
      <c r="E17" s="13"/>
      <c r="F17" s="52" t="s">
        <v>582</v>
      </c>
      <c r="G17" s="13" t="s">
        <v>590</v>
      </c>
      <c r="H17" s="16" t="str" cm="1">
        <f t="array" ca="1" aca="1" ref="H17">IF($B17="","",_xlfn.LET(_xlpm._value,SimpleLookup($B17,Questionnaire!$A:$C),IF(_xlpm._value="","",_xlpm._value)))</f>
        <v>Yes</v>
      </c>
      <c r="I17" s="16" t="str" cm="1">
        <f t="array" ca="1" aca="1" ref="I17">IF($B17="","",_xlfn.LET(_xlpm._value,SimpleLookup($B17,Questionnaire!$A:$E),IF(_xlpm._value="","",_xlpm._value)))</f>
        <v>Critical environmental damage</v>
      </c>
      <c r="J17" s="16" t="str">
        <f t="shared" ca="1" si="0"/>
        <v>Critical environmental damage caused by attacks on customer's assets by manipulated product</v>
      </c>
      <c r="K17" s="13"/>
      <c r="L17" s="16" t="str">
        <f t="shared" ca="1" si="1"/>
        <v>Critical environmental damage</v>
      </c>
      <c r="M17" s="16" t="str" cm="1">
        <f t="array" ca="1" aca="1" ref="M17">IF($L17="","",IFERROR(SimpleLookup($L17,Definitions!$H:$J),""))</f>
        <v>Critical</v>
      </c>
      <c r="N17" s="13"/>
      <c r="O17" s="16" t="str" cm="1">
        <f t="array" ca="1" aca="1" ref="O17">IF($N17&lt;&gt;"",$N17,_xlfn.LET(_xlpm._qID,$B17,_xlpm._firstAnswer,$H17,_xlpm._secondAnswer,$I17,_xlpm._question,IFERROR(SimpleLookup(_xlpm._qID,Questions!$A:$B),""),_xlpm._secondQuestion,IFERROR(SimpleLookup(_xlpm._qID,Questionnaire!$A:$D),""),_xlpm._qID&amp;"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QI15 Can a manipulated product allow an attacker access to assets of the customer or allow the attacker to attack the customer's network?
» Yes
What is the worst case damage caused by the manipulation for the intended use of the product?
» Critical environmental damage</v>
      </c>
      <c r="P17" s="13"/>
      <c r="Q17" s="10" cm="1">
        <f t="array" ref="Q17">IF(ROW()=ROW($Q$2)+1,0,INDEX($Q:$Q,ROW()-1))+IF($A17="",0,1)</f>
        <v>15</v>
      </c>
      <c r="R17" s="24" cm="1">
        <f t="array" ref="R17">CreateTaskID($R$2,$R:$R,Tasks!$B$17,$P17)</f>
        <v>0</v>
      </c>
      <c r="S17" s="14" cm="1">
        <f t="array" ca="1" aca="1" ref="S17">CreateID($S$2,$S:$S,$D17="x")</f>
        <v>10</v>
      </c>
      <c r="T17" s="14" t="str">
        <f t="shared" ca="1" si="2"/>
        <v>DS15</v>
      </c>
      <c r="U17" s="14" cm="1">
        <f t="array" ca="1" aca="1" ref="U17">IF($M17="",0,SimpleLookup($M17,Definitions!$Q:$R))</f>
        <v>5</v>
      </c>
      <c r="V17" s="20" t="str">
        <f t="shared" ca="1" si="3"/>
        <v>Critical environmental damage caused by attacks on customer's assets by manipulated product [Critical]</v>
      </c>
    </row>
    <row r="18" spans="1:22" ht="60">
      <c r="A18" s="13" t="s">
        <v>173</v>
      </c>
      <c r="B18" s="13" t="s">
        <v>1072</v>
      </c>
      <c r="C18" s="16" t="str" cm="1">
        <f t="array" ca="1" aca="1" ref="C18">IF($B18="","",IFERROR(SimpleLookup($B18,Questions!$A:$B),"Error: Unknown ID: "&amp;$B18))</f>
        <v>Can a manipulated product cause contract-related / legal fines? (Note that this concerns individual obligations, not the standard product warranty).</v>
      </c>
      <c r="D18" s="52" t="str">
        <f ca="1">_xlfn.LET(_xlpm._dsID,$A18,_xlpm._qID,$B18,_xlpm._dynamicReference,$F18,_xlpm._firstAnswer,$H18,_xlpm._secondAnswer,$I18,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18" s="13" t="s">
        <v>591</v>
      </c>
      <c r="F18" s="52" t="s">
        <v>582</v>
      </c>
      <c r="G18" s="13" t="s">
        <v>588</v>
      </c>
      <c r="H18" s="16" t="str" cm="1">
        <f t="array" ca="1" aca="1" ref="H18">IF($B18="","",_xlfn.LET(_xlpm._value,SimpleLookup($B18,Questionnaire!$A:$C),IF(_xlpm._value="","",_xlpm._value)))</f>
        <v>No</v>
      </c>
      <c r="I18" s="16" t="str" cm="1">
        <f t="array" ca="1" aca="1" ref="I18">IF($B18="","",_xlfn.LET(_xlpm._value,SimpleLookup($B18,Questionnaire!$A:$E),IF(_xlpm._value="","",_xlpm._value)))</f>
        <v/>
      </c>
      <c r="J18" s="16" t="str">
        <f t="shared" ca="1" si="0"/>
        <v/>
      </c>
      <c r="K18" s="13"/>
      <c r="L18" s="16" t="str">
        <f t="shared" ca="1" si="1"/>
        <v/>
      </c>
      <c r="M18" s="16" t="str" cm="1">
        <f t="array" ca="1" aca="1" ref="M18">IF($L18="","",IFERROR(SimpleLookup($L18,Definitions!$H:$J),""))</f>
        <v/>
      </c>
      <c r="N18" s="13"/>
      <c r="O18" s="16" t="str" cm="1">
        <f t="array" ca="1" aca="1" ref="O18">IF($N18&lt;&gt;"",$N18,_xlfn.LET(_xlpm._qID,$B18,_xlpm._firstAnswer,$H18,_xlpm._secondAnswer,$I18,_xlpm._question,IFERROR(SimpleLookup(_xlpm._qID,Questions!$A:$B),""),_xlpm._secondQuestion,IFERROR(SimpleLookup(_xlpm._qID,Questionnaire!$A:$D),""),_xlpm._qID&amp;"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QI16 Can a manipulated product cause contract-related / legal fines? (Note that this concerns individual obligations, not the standard product warranty).
» No</v>
      </c>
      <c r="P18" s="13"/>
      <c r="Q18" s="10" cm="1">
        <f t="array" ref="Q18">IF(ROW()=ROW($Q$2)+1,0,INDEX($Q:$Q,ROW()-1))+IF($A18="",0,1)</f>
        <v>16</v>
      </c>
      <c r="R18" s="24" cm="1">
        <f t="array" ref="R18">CreateTaskID($R$2,$R:$R,Tasks!$B$17,$P18)</f>
        <v>0</v>
      </c>
      <c r="S18" s="14" cm="1">
        <f t="array" ca="1" aca="1" ref="S18">CreateID($S$2,$S:$S,$D18="x")</f>
        <v>10</v>
      </c>
      <c r="T18" s="14" t="str">
        <f t="shared" ca="1" si="2"/>
        <v/>
      </c>
      <c r="U18" s="14" cm="1">
        <f t="array" ca="1" aca="1" ref="U18">IF($M18="",0,SimpleLookup($M18,Definitions!$Q:$R))</f>
        <v>0</v>
      </c>
      <c r="V18" s="20" t="str">
        <f t="shared" ca="1" si="3"/>
        <v/>
      </c>
    </row>
    <row r="19" spans="1:22" ht="45">
      <c r="A19" s="13" t="s">
        <v>431</v>
      </c>
      <c r="B19" s="13"/>
      <c r="C19" s="33" t="str" cm="1">
        <f t="array" ref="C19">IF($B19="","",IFERROR(SimpleLookup($B19,Questions!$A:$B),"Error: Unknown ID: "&amp;$B19))</f>
        <v/>
      </c>
      <c r="D19" s="78" t="str">
        <f>_xlfn.LET(_xlpm._dsID,$A19,_xlpm._qID,$B19,_xlpm._dynamicReference,$F19,_xlpm._firstAnswer,$H19,_xlpm._secondAnswer,$I19,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19" s="13" t="s">
        <v>434</v>
      </c>
      <c r="F19" s="52"/>
      <c r="G19" s="13"/>
      <c r="H19" s="16" t="str" cm="1">
        <f t="array" ref="H19">IF($B19="","",_xlfn.LET(_xlpm._value,SimpleLookup($B19,Questionnaire!$A:$C),IF(_xlpm._value="","",_xlpm._value)))</f>
        <v/>
      </c>
      <c r="I19" s="16" t="str" cm="1">
        <f t="array" ref="I19">IF($B19="","",_xlfn.LET(_xlpm._value,SimpleLookup($B19,Questionnaire!$A:$E),IF(_xlpm._value="","",_xlpm._value)))</f>
        <v/>
      </c>
      <c r="J19" s="33" t="str">
        <f t="shared" si="0"/>
        <v>Disturbance of function until restore</v>
      </c>
      <c r="K19" s="23" t="s">
        <v>35</v>
      </c>
      <c r="L19" s="16" t="str">
        <f t="shared" si="1"/>
        <v/>
      </c>
      <c r="M19" s="33" t="str" cm="1">
        <f t="array" ref="M19">IF($L19="","",IFERROR(SimpleLookup($L19,Definitions!$H:$J),""))</f>
        <v/>
      </c>
      <c r="N19" s="23" t="s">
        <v>442</v>
      </c>
      <c r="O19" s="33" t="str" cm="1">
        <f t="array" ref="O19">IF($N19&lt;&gt;"",$N19,_xlfn.LET(_xlpm._qID,$B19,_xlpm._firstAnswer,$H19,_xlpm._secondAnswer,$I19,_xlpm._question,IFERROR(SimpleLookup(_xlpm._qID,Questions!$A:$B),""),_xlpm._secondQuestion,IFERROR(SimpleLookup(_xlpm._qID,Questionnaire!$A:$D),""),_xlpm._qID&amp;"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Damage scenario for damage transformation: Restoring a system from a backup takes some time, but prevents longer downtimes</v>
      </c>
      <c r="P19" s="13"/>
      <c r="Q19" s="10" cm="1">
        <f t="array" ref="Q19">IF(ROW()=ROW($Q$2)+1,0,INDEX($Q:$Q,ROW()-1))+IF($A19="",0,1)</f>
        <v>17</v>
      </c>
      <c r="R19" s="24" cm="1">
        <f t="array" ref="R19">CreateTaskID($R$2,$R:$R,Tasks!$B$17,$P19)</f>
        <v>0</v>
      </c>
      <c r="S19" s="14" cm="1">
        <f t="array" ca="1" aca="1" ref="S19">CreateID($S$2,$S:$S,$D19="x")</f>
        <v>10</v>
      </c>
      <c r="T19" s="14" t="str">
        <f t="shared" si="2"/>
        <v/>
      </c>
      <c r="U19" s="14" cm="1">
        <f t="array" ref="U19">IF($M19="",0,SimpleLookup($M19,Definitions!$Q:$R))</f>
        <v>0</v>
      </c>
      <c r="V19" s="20" t="str">
        <f t="shared" si="3"/>
        <v>Disturbance of function until restore []</v>
      </c>
    </row>
    <row r="20" spans="1:22" ht="45">
      <c r="A20" s="13" t="s">
        <v>432</v>
      </c>
      <c r="B20" s="13"/>
      <c r="C20" s="33" t="str" cm="1">
        <f t="array" ref="C20">IF($B20="","",IFERROR(SimpleLookup($B20,Questions!$A:$B),"Error: Unknown ID: "&amp;$B20))</f>
        <v/>
      </c>
      <c r="D20" s="78" t="str">
        <f>_xlfn.LET(_xlpm._dsID,$A20,_xlpm._qID,$B20,_xlpm._dynamicReference,$F20,_xlpm._firstAnswer,$H20,_xlpm._secondAnswer,$I20,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20" s="13" t="s">
        <v>444</v>
      </c>
      <c r="F20" s="52"/>
      <c r="G20" s="13"/>
      <c r="H20" s="16" t="str" cm="1">
        <f t="array" ref="H20">IF($B20="","",_xlfn.LET(_xlpm._value,SimpleLookup($B20,Questionnaire!$A:$C),IF(_xlpm._value="","",_xlpm._value)))</f>
        <v/>
      </c>
      <c r="I20" s="16" t="str" cm="1">
        <f t="array" ref="I20">IF($B20="","",_xlfn.LET(_xlpm._value,SimpleLookup($B20,Questionnaire!$A:$E),IF(_xlpm._value="","",_xlpm._value)))</f>
        <v/>
      </c>
      <c r="J20" s="33" t="str">
        <f t="shared" si="0"/>
        <v>Limited response of the product during DoS attack, recovery afterwards</v>
      </c>
      <c r="K20" s="23" t="s">
        <v>33</v>
      </c>
      <c r="L20" s="16" t="str">
        <f t="shared" si="1"/>
        <v/>
      </c>
      <c r="M20" s="33" t="str" cm="1">
        <f t="array" ref="M20">IF($L20="","",IFERROR(SimpleLookup($L20,Definitions!$H:$J),""))</f>
        <v/>
      </c>
      <c r="N20" s="23" t="s">
        <v>445</v>
      </c>
      <c r="O20" s="33" t="str" cm="1">
        <f t="array" ref="O20">IF($N20&lt;&gt;"",$N20,_xlfn.LET(_xlpm._qID,$B20,_xlpm._firstAnswer,$H20,_xlpm._secondAnswer,$I20,_xlpm._question,IFERROR(SimpleLookup(_xlpm._qID,Questions!$A:$B),""),_xlpm._secondQuestion,IFERROR(SimpleLookup(_xlpm._qID,Questionnaire!$A:$D),""),_xlpm._qID&amp;"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Damage scenario for damage transformation: The product is resistant against DoS attacks and recovers from the attack</v>
      </c>
      <c r="P20" s="13"/>
      <c r="Q20" s="10" cm="1">
        <f t="array" ref="Q20">IF(ROW()=ROW($Q$2)+1,0,INDEX($Q:$Q,ROW()-1))+IF($A20="",0,1)</f>
        <v>18</v>
      </c>
      <c r="R20" s="24" cm="1">
        <f t="array" ref="R20">CreateTaskID($R$2,$R:$R,Tasks!$B$17,$P20)</f>
        <v>0</v>
      </c>
      <c r="S20" s="14" cm="1">
        <f t="array" ca="1" aca="1" ref="S20">CreateID($S$2,$S:$S,$D20="x")</f>
        <v>10</v>
      </c>
      <c r="T20" s="14" t="str">
        <f t="shared" si="2"/>
        <v/>
      </c>
      <c r="U20" s="14" cm="1">
        <f t="array" ref="U20">IF($M20="",0,SimpleLookup($M20,Definitions!$Q:$R))</f>
        <v>0</v>
      </c>
      <c r="V20" s="20" t="str">
        <f t="shared" si="3"/>
        <v>Limited response of the product during DoS attack, recovery afterwards []</v>
      </c>
    </row>
    <row r="21" spans="1:22" ht="45">
      <c r="A21" s="13" t="s">
        <v>930</v>
      </c>
      <c r="B21" s="13"/>
      <c r="C21" s="33" t="str" cm="1">
        <f t="array" ref="C21">IF($B21="","",IFERROR(SimpleLookup($B21,Questions!$A:$B),"Error: Unknown ID: "&amp;$B21))</f>
        <v/>
      </c>
      <c r="D21" s="78" t="str">
        <f>_xlfn.LET(_xlpm._dsID,$A21,_xlpm._qID,$B21,_xlpm._dynamicReference,$F21,_xlpm._firstAnswer,$H21,_xlpm._secondAnswer,$I21,_xlpm._yes,Definitions!$A$4,_xlpm._no,Definitions!$A$5,_xlpm._checkmark,"x",_xlpm._isDamageTransformationTarget,OR(_xlpm._dsID=$A$19,_xlpm._dsID=$A$20,_xlpm._dsID=$A$21),IF(_xlpm._qID="",IF(_xlpm._isDamageTransformationTarget,IF(OR(IFERROR(_xlfn.XMATCH("*,"&amp;_xlpm._dsID&amp;",*",Assumptions!$AF:$AF,2)&gt;0,FALSE),IFERROR(_xlfn.XMATCH("*,"&amp;_xlpm._dsID&amp;",*",Countermeasures!$AH:$AH,2)&gt;0,FALSE)),_xlpm._checkmark,""),"Please define the criteria for the question in this formula!"),_xlfn.LET(_xlpm._questionCamera,Questionnaire!$A$6,_xlpm._dsIsActive,IF(_xlpm._dynamicReference="",IF(_xlpm._qID=_xlpm._questionCamera,AND(_xlpm._firstAnswer=_xlpm._yes,_xlpm._secondAnswer=_xlpm._no),""),_xlpm._secondAnswer&lt;&gt;""),IF(_xlpm._dsIsActive="","Please define the criteria for the question in this formula!",IF(_xlpm._dsIsActive,_xlpm._checkmark,"")))))</f>
        <v/>
      </c>
      <c r="E21" s="13" t="str">
        <f>Definitions!$C$4&amp;" can proof misuse of patented IP"</f>
        <v>acontis techonlogies GmbH can proof misuse of patented IP</v>
      </c>
      <c r="F21" s="52"/>
      <c r="G21" s="13"/>
      <c r="H21" s="33" t="str" cm="1">
        <f t="array" ref="H21">IF($B21="","",_xlfn.LET(_xlpm._value,SimpleLookup($B21,Questionnaire!$A:$C),IF(_xlpm._value="","",_xlpm._value)))</f>
        <v/>
      </c>
      <c r="I21" s="33" t="str" cm="1">
        <f t="array" ref="I21">IF($B21="","",_xlfn.LET(_xlpm._value,SimpleLookup($B21,Questionnaire!$A:$E),IF(_xlpm._value="","",_xlpm._value)))</f>
        <v/>
      </c>
      <c r="J21" s="33" t="str">
        <f>_xlfn.LET(_xlpm._dynamicText,$I21,_xlpm._ds,$E21&amp;IF($F21="","",_xlpm._dynamicText)&amp;$G21,IF(_xlpm._ds="","",IF(AND($F21&lt;&gt;"",_xlpm._dynamicText=""),"",_xlpm._ds)))</f>
        <v>acontis techonlogies GmbH can proof misuse of patented IP</v>
      </c>
      <c r="K21" s="23" t="s">
        <v>20</v>
      </c>
      <c r="L21" s="16" t="str">
        <f t="shared" si="1"/>
        <v/>
      </c>
      <c r="M21" s="33" t="str" cm="1">
        <f t="array" ref="M21">IF($L21="","",IFERROR(SimpleLookup($L21,Definitions!$H:$J),""))</f>
        <v/>
      </c>
      <c r="N21" s="23" t="s">
        <v>944</v>
      </c>
      <c r="O21" s="33" t="str" cm="1">
        <f t="array" ref="O21">IF($N21&lt;&gt;"",$N21,_xlfn.LET(_xlpm._qID,$B21,_xlpm._firstAnswer,$H21,_xlpm._secondAnswer,$I21,_xlpm._question,IFERROR(SimpleLookup(_xlpm._qID,Questions!$A:$B),""),_xlpm._secondQuestion,IFERROR(SimpleLookup(_xlpm._qID,Questionnaire!$A:$D),""),_xlpm._qID&amp;" "&amp;_xlpm._question&amp;CHAR(10)&amp;CHAR(187)&amp;" "&amp;_xlpm._firstAnswer&amp;IF(_xlpm._secondQuestion="","",CHAR(10)&amp;_xlpm._secondQuestion&amp;CHAR(10)&amp;CHAR(187)&amp;" "&amp;_xlpm._secondAnswer)))</f>
        <v>Damage scenario for damage transformation: Patents protect intellectual property</v>
      </c>
      <c r="P21" s="13"/>
      <c r="Q21" s="10" cm="1">
        <f t="array" ref="Q21">IF(ROW()=ROW($Q$2)+1,0,INDEX($Q:$Q,ROW()-1))+IF($A21="",0,1)</f>
        <v>19</v>
      </c>
      <c r="R21" s="77" cm="1">
        <f t="array" ref="R21">CreateTaskID($R$2,$R:$R,Tasks!$B$17,$P21)</f>
        <v>0</v>
      </c>
      <c r="S21" s="20" cm="1">
        <f t="array" ca="1" aca="1" ref="S21">CreateID($S$2,$S:$S,$D21="x")</f>
        <v>10</v>
      </c>
      <c r="T21" s="20" t="str">
        <f>IF($D21="","",$A21)</f>
        <v/>
      </c>
      <c r="U21" s="20" cm="1">
        <f t="array" ref="U21">IF($M21="",0,SimpleLookup($M21,Definitions!$Q:$R))</f>
        <v>0</v>
      </c>
      <c r="V21" s="20" t="str">
        <f t="shared" si="3"/>
        <v>acontis techonlogies GmbH can proof misuse of patented IP []</v>
      </c>
    </row>
  </sheetData>
  <sheetProtection password="E933" sheet="1" objects="1" scenarios="1"/>
  <conditionalFormatting sqref="A1:A1048576">
    <cfRule type="expression" priority="1" dxfId="65">
      <formula>MATCH(A1,$A:$A,0)&lt;ROW(A1)</formula>
    </cfRule>
  </conditionalFormatting>
  <conditionalFormatting sqref="P1:P1048576">
    <cfRule type="expression" priority="2" dxfId="685">
      <formula>IFERROR(FIND(Tasks!$B$17,P1)&gt;0,FALSE)</formula>
    </cfRule>
  </conditionalFormatting>
  <dataValidations count="1">
    <dataValidation type="list" allowBlank="1" showInputMessage="1" showErrorMessage="1" sqref="K3:K21">
      <formula1>Definitions!$H$4:$H$22</formula1>
    </dataValidation>
  </dataValidations>
  <pageMargins left="0.7" right="0.7" top="0.75" bottom="0.75" header="0.3" footer="0.3"/>
  <pageSetup orientation="portrait" paperSize="9" r:id="rId2"/>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3FB803-4B53-43FA-AFD7-5FF074FBD866}">
  <sheetPr>
    <tabColor theme="6"/>
  </sheetPr>
  <dimension ref="A1:AN43"/>
  <sheetViews>
    <sheetView windowProtection="1" workbookViewId="0" topLeftCell="A1">
      <pane xSplit="2" ySplit="2" topLeftCell="C3" activePane="bottomRight" state="frozen"/>
      <selection pane="topLeft" activeCell="A1" sqref="A1"/>
      <selection pane="bottomLeft" activeCell="A2" sqref="A2"/>
      <selection pane="topRight" activeCell="C1" sqref="C1"/>
      <selection pane="bottomRight" activeCell="A2" sqref="A2"/>
    </sheetView>
  </sheetViews>
  <sheetFormatPr defaultColWidth="9.14428571428571" defaultRowHeight="15" outlineLevelCol="1"/>
  <cols>
    <col min="1" max="1" width="9.14285714285714" style="2"/>
    <col min="2" max="2" width="60.7142857142857" style="2" customWidth="1"/>
    <col min="3" max="3" width="15.7142857142857" style="2" customWidth="1"/>
    <col min="4" max="4" width="60.7142857142857" style="9" customWidth="1"/>
    <col min="5" max="5" width="15.7142857142857" style="2" customWidth="1"/>
    <col min="6" max="6" width="60.7142857142857" style="9" customWidth="1"/>
    <col min="7" max="7" width="60.7142857142857" style="17" customWidth="1"/>
    <col min="8" max="12" width="25.7142857142857" style="2" customWidth="1" outlineLevel="1"/>
    <col min="13" max="13" width="15.7142857142857" style="2" customWidth="1" outlineLevel="1"/>
    <col min="14" max="14" width="36.7142857142857" style="2" bestFit="1" customWidth="1"/>
    <col min="15" max="15" width="30.1428571428571" style="2" bestFit="1" customWidth="1"/>
    <col min="16" max="16" width="60.7142857142857" style="2" customWidth="1"/>
    <col min="17" max="17" width="12.4285714285714" style="2" hidden="1" customWidth="1"/>
    <col min="18" max="18" width="27.1428571428571" style="2" hidden="1" customWidth="1"/>
    <col min="19" max="19" width="28.7142857142857" style="2" hidden="1" customWidth="1"/>
    <col min="20" max="20" width="11.5714285714286" style="2" hidden="1" customWidth="1"/>
    <col min="21" max="21" width="14" style="2" hidden="1" customWidth="1"/>
    <col min="22" max="22" width="15.5714285714286" style="2" hidden="1" customWidth="1"/>
    <col min="23" max="29" width="9.14285714285714" style="2" hidden="1" customWidth="1"/>
    <col min="30" max="30" width="9.42857142857143" style="2" hidden="1" customWidth="1"/>
    <col min="31" max="31" width="19.1428571428571" style="2" hidden="1" customWidth="1"/>
    <col min="32" max="32" width="29.4285714285714" style="2" hidden="1" customWidth="1"/>
    <col min="33" max="33" width="14.7142857142857" style="2" hidden="1" customWidth="1"/>
    <col min="34" max="34" width="20" style="2" hidden="1" customWidth="1"/>
    <col min="35" max="35" width="21.4285714285714" style="2" hidden="1" customWidth="1"/>
    <col min="36" max="40" width="9.14285714285714" style="2" customWidth="1"/>
    <col min="41" max="16384" width="9.14285714285714" style="2"/>
  </cols>
  <sheetData>
    <row r="1" spans="1:16" s="115"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A$2,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B$2,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C$2,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D$2,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E$2,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F$2,README!$E:$E,README!$I$36,README!$B$36)</f>
        <v>◈</v>
      </c>
      <c r="G1" s="115"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G$2,README!$E:$E,README!$I$36,README!$B$36)</f>
        <v>◈</v>
      </c>
      <c r="H1" s="115" t="str" cm="1">
        <f t="array" ca="1" aca="1" ref="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H$2,README!$E:$E,README!$I$36,README!$B$36)</f>
        <v>◈</v>
      </c>
      <c r="I1" s="115" t="str" cm="1">
        <f t="array" ca="1" aca="1" ref="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I$2,README!$E:$E,README!$I$36,README!$B$36)</f>
        <v>◈</v>
      </c>
      <c r="J1" s="115" t="str" cm="1">
        <f t="array" ca="1" aca="1" ref="J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J$2,README!$E:$E,README!$I$36,README!$B$36)</f>
        <v>◈</v>
      </c>
      <c r="K1" s="115" t="str" cm="1">
        <f t="array" ca="1" aca="1" ref="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K$2,README!$E:$E,README!$I$36,README!$B$36)</f>
        <v>◈</v>
      </c>
      <c r="L1" s="115" t="str" cm="1">
        <f t="array" ca="1" aca="1" ref="L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L$2,README!$E:$E,README!$I$36,README!$B$36)</f>
        <v>◈</v>
      </c>
      <c r="M1" s="115"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M$2,README!$E:$E,README!$I$36,README!$B$36)</f>
        <v>◈</v>
      </c>
      <c r="N1" s="115" t="str" cm="1">
        <f t="array" ca="1" aca="1" ref="N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N$2,README!$E:$E,README!$I$36,README!$B$36)</f>
        <v>◈</v>
      </c>
      <c r="O1" s="115" t="str" cm="1">
        <f t="array" ca="1" aca="1" ref="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O$2,README!$E:$E,README!$I$36,README!$B$36)</f>
        <v>◈</v>
      </c>
      <c r="P1" s="115" t="str" cm="1">
        <f t="array" ca="1" aca="1" ref="P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$6,P$2,README!$E:$E,README!$I$36,README!$B$36)</f>
        <v>◈</v>
      </c>
    </row>
    <row r="2" spans="1:35" ht="15">
      <c r="A2" s="10" t="s">
        <v>53</v>
      </c>
      <c r="B2" s="10" t="s">
        <v>107</v>
      </c>
      <c r="C2" s="10" t="s">
        <v>117</v>
      </c>
      <c r="D2" s="15" t="s">
        <v>345</v>
      </c>
      <c r="E2" s="10" t="s">
        <v>322</v>
      </c>
      <c r="F2" s="15" t="s">
        <v>573</v>
      </c>
      <c r="G2" s="15" t="s">
        <v>174</v>
      </c>
      <c r="H2" s="10" t="s">
        <v>131</v>
      </c>
      <c r="I2" s="10" t="s">
        <v>138</v>
      </c>
      <c r="J2" s="10" t="s">
        <v>143</v>
      </c>
      <c r="K2" s="10" t="s">
        <v>147</v>
      </c>
      <c r="L2" s="10" t="s">
        <v>152</v>
      </c>
      <c r="M2" s="129" t="s">
        <v>188</v>
      </c>
      <c r="N2" s="10" t="s">
        <v>347</v>
      </c>
      <c r="O2" s="10" t="s">
        <v>1630</v>
      </c>
      <c r="P2" s="10" t="s">
        <v>3</v>
      </c>
      <c r="Q2" s="10" t="s">
        <v>54</v>
      </c>
      <c r="R2" s="10" t="s">
        <v>346</v>
      </c>
      <c r="S2" s="10" t="s">
        <v>129</v>
      </c>
      <c r="T2" s="10" t="s">
        <v>175</v>
      </c>
      <c r="U2" s="10" t="s">
        <v>949</v>
      </c>
      <c r="V2" s="10" t="s">
        <v>177</v>
      </c>
      <c r="W2" s="10" t="s">
        <v>178</v>
      </c>
      <c r="X2" s="10" t="s">
        <v>44</v>
      </c>
      <c r="Y2" s="10" t="s">
        <v>45</v>
      </c>
      <c r="Z2" s="10" t="s">
        <v>46</v>
      </c>
      <c r="AA2" s="10" t="s">
        <v>47</v>
      </c>
      <c r="AB2" s="10" t="s">
        <v>48</v>
      </c>
      <c r="AC2" s="10" t="s">
        <v>78</v>
      </c>
      <c r="AD2" s="10" t="s">
        <v>230</v>
      </c>
      <c r="AE2" s="10" t="s">
        <v>282</v>
      </c>
      <c r="AF2" s="10" t="s">
        <v>936</v>
      </c>
      <c r="AG2" s="10" t="s">
        <v>363</v>
      </c>
      <c r="AH2" s="10" t="s">
        <v>950</v>
      </c>
      <c r="AI2" s="10" t="s">
        <v>951</v>
      </c>
    </row>
    <row r="3" spans="1:40" ht="30">
      <c r="A3" s="13" t="s">
        <v>106</v>
      </c>
      <c r="B3" s="13" t="s">
        <v>754</v>
      </c>
      <c r="C3" s="13"/>
      <c r="D3" s="19" t="str" cm="1">
        <f t="array" ref="D3">LookupNames(SanitizeInput($C3),$A:$B)</f>
        <v/>
      </c>
      <c r="E3" s="13"/>
      <c r="F3" s="19" t="str" cm="1">
        <f t="array" ref="F3">RemoveDelimiter(GetValues(SanitizeInput($E3),Questions!$A:$B,"   ",CHAR(10),TRUE),CHAR(10))</f>
        <v/>
      </c>
      <c r="G3" s="16" t="str" cm="1">
        <f t="array" ref="G3">LookupNames($T3,'Damage Scenarios'!$A:$J)</f>
        <v/>
      </c>
      <c r="H3" s="13"/>
      <c r="I3" s="13"/>
      <c r="J3" s="13"/>
      <c r="K3" s="13"/>
      <c r="L3" s="13"/>
      <c r="M3" s="130" t="str">
        <f ca="1">IF($A3="","",IFERROR(VLOOKUP($AC3,Definitions!$V:$W,COLUMNS(Definitions!$V:$W),TRUE),""))</f>
        <v>Basic</v>
      </c>
      <c r="N3" s="13" t="s">
        <v>1057</v>
      </c>
      <c r="O3" s="13"/>
      <c r="P3" s="13"/>
      <c r="Q3" s="10" cm="1">
        <f t="array" ref="Q3">IF(ROW()=ROW($Q$2)+1,0,INDEX($Q:$Q,ROW()-1))+IF($A3="",0,1)</f>
        <v>1</v>
      </c>
      <c r="R3" s="14" t="b">
        <f ca="1">OR(CheckRelevance(SanitizeInput(N3),Questionnaire!$I:$I),CheckRelevance(SanitizeInput(N3),Questionnaire!$J:$J))</f>
        <v>1</v>
      </c>
      <c r="S3" s="14" t="str" cm="1">
        <f t="array" ca="1" aca="1" ref="S3">IF(AND($N3&lt;&gt;"",$R3=FALSE),"",IF(AND($R3,$C3=""),$A3&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A:$S,$A3))</f>
        <v>AS1,§</v>
      </c>
      <c r="T3" s="14" t="str" cm="1">
        <f t="array" ref="T3">GetValues(SanitizeInput($E3),'Damage Scenarios'!$B:$T,"",",",FALSE)</f>
        <v/>
      </c>
      <c r="U3" s="14" t="b">
        <f ca="1" t="shared" si="0" ref="U3:U34">AND($S3&lt;&gt;"",$T3&lt;&gt;"")</f>
        <v>0</v>
      </c>
      <c r="V3" s="20" cm="1">
        <f t="array" ca="1" aca="1" ref="V3">CreateID($V$2,$V:$V,$U3)</f>
        <v>0</v>
      </c>
      <c r="W3" s="20">
        <f ca="1" t="shared" si="1" ref="W3:W35">IF($U3,LEN($S3)-LEN(SUBSTITUTE($S3,"§","")),0)</f>
        <v>0</v>
      </c>
      <c r="X3" s="20">
        <f>IF(H3="",0,VLOOKUP(H3,Definitions!$Z:$AA,COLUMNS(Definitions!$Z:$AA),FALSE))</f>
        <v>0</v>
      </c>
      <c r="Y3" s="20">
        <f>IF(I3="",0,VLOOKUP(I3,Definitions!$Z:$AA,COLUMNS(Definitions!$Z:$AA),FALSE))</f>
        <v>0</v>
      </c>
      <c r="Z3" s="20">
        <f>IF(J3="",0,VLOOKUP(J3,Definitions!$Z:$AA,COLUMNS(Definitions!$Z:$AA),FALSE))</f>
        <v>0</v>
      </c>
      <c r="AA3" s="20">
        <f>IF(K3="",0,VLOOKUP(K3,Definitions!$Z:$AA,COLUMNS(Definitions!$Z:$AA),FALSE))</f>
        <v>0</v>
      </c>
      <c r="AB3" s="20">
        <f>IF(L3="",0,VLOOKUP(L3,Definitions!$Z:$AA,COLUMNS(Definitions!$Z:$AA),FALSE))</f>
        <v>0</v>
      </c>
      <c r="AC3" s="20">
        <f ca="1" t="shared" si="2" ref="AC3:AC43">SUM(OFFSET($X3,0,0,1,COLUMNS($X:$AB)))</f>
        <v>0</v>
      </c>
      <c r="AD3" s="20" cm="1">
        <f t="array" ref="AD3">CreateTaskID($AD$2,$AD:$AD,Tasks!$B$17,$P3)</f>
        <v>0</v>
      </c>
      <c r="AE3" s="20" t="str" cm="1">
        <f t="array" ca="1" aca="1" ref="AE3">InverseLookup($A3,Countermeasures!$X$2,Countermeasures!$A$2,1,Helper!$B$4,",")</f>
        <v/>
      </c>
      <c r="AF3" s="20" t="str" cm="1">
        <f t="array" ca="1" aca="1" ref="AF3">InverseLookup($A3,Assumptions!$X$3,Assumptions!$A$3,1,Helper!$B$6,",")</f>
        <v>A12,</v>
      </c>
      <c r="AG3" s="20" t="str" cm="1">
        <f t="array" ca="1" aca="1" ref="AG3">InverseLookup($A3,Assumptions!$Y$3,Assumptions!$A$3,1,Helper!$B$6,",")</f>
        <v>A12,</v>
      </c>
      <c r="AH3" s="20" t="str" cm="1">
        <f t="array" ca="1" aca="1" ref="AH3">IF($U3,CreateSearchString(SUBSTITUTE($S3,"§","")),"")</f>
        <v/>
      </c>
      <c r="AI3" s="20" t="b">
        <f ca="1" t="shared" si="3" ref="AI3:AI42">IFERROR(_xlfn.XMATCH("*,"&amp;$A3&amp;",*",$AH:$AH,2)&gt;0,FALSE)</f>
        <v>1</v>
      </c>
      <c r="AJ3" s="81"/>
      <c r="AK3" s="81"/>
      <c r="AL3" s="81"/>
      <c r="AM3" s="81"/>
      <c r="AN3" s="81"/>
    </row>
    <row r="4" spans="1:40" ht="75">
      <c r="A4" s="13" t="s">
        <v>108</v>
      </c>
      <c r="B4" s="13" t="s">
        <v>990</v>
      </c>
      <c r="C4" s="13"/>
      <c r="D4" s="19" t="str" cm="1">
        <f t="array" ref="D4">LookupNames(SanitizeInput($C4),$A:$B)</f>
        <v/>
      </c>
      <c r="E4" s="13"/>
      <c r="F4" s="19" t="str" cm="1">
        <f t="array" ref="F4">RemoveDelimiter(GetValues(SanitizeInput($E4),Questions!$A:$B,"   ",CHAR(10),TRUE),CHAR(10))</f>
        <v/>
      </c>
      <c r="G4" s="16" t="str" cm="1">
        <f t="array" ref="G4">LookupNames($T4,'Damage Scenarios'!$A:$J)</f>
        <v/>
      </c>
      <c r="H4" s="13"/>
      <c r="I4" s="13" t="s">
        <v>140</v>
      </c>
      <c r="J4" s="13"/>
      <c r="K4" s="13" t="s">
        <v>149</v>
      </c>
      <c r="L4" s="13"/>
      <c r="M4" s="130" t="str">
        <f ca="1">IF($A4="","",IFERROR(VLOOKUP($AC4,Definitions!$V:$W,COLUMNS(Definitions!$V:$W),TRUE),""))</f>
        <v>Basic</v>
      </c>
      <c r="N4" s="13" t="s">
        <v>1058</v>
      </c>
      <c r="O4" s="13"/>
      <c r="P4" s="13" t="s">
        <v>200</v>
      </c>
      <c r="Q4" s="10" cm="1">
        <f t="array" ref="Q4">IF(ROW()=ROW($Q$2)+1,0,INDEX($Q:$Q,ROW()-1))+IF($A4="",0,1)</f>
        <v>2</v>
      </c>
      <c r="R4" s="14" t="b">
        <f ca="1">OR(CheckRelevance(SanitizeInput(N4),Questionnaire!$I:$I),CheckRelevance(SanitizeInput(N4),Questionnaire!$J:$J))</f>
        <v>1</v>
      </c>
      <c r="S4" s="14" t="str" cm="1">
        <f t="array" ca="1" aca="1" ref="S4">IF(AND($N4&lt;&gt;"",$R4=FALSE),"",IF(AND($R4,$C4=""),$A4&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4),$A:$S,$A4))</f>
        <v>AS2,§</v>
      </c>
      <c r="T4" s="14" t="str" cm="1">
        <f t="array" ref="T4">GetValues(SanitizeInput($E4),'Damage Scenarios'!$B:$T,"",",",FALSE)</f>
        <v/>
      </c>
      <c r="U4" s="14" t="b">
        <f t="shared" ca="1" si="0"/>
        <v>0</v>
      </c>
      <c r="V4" s="20" cm="1">
        <f t="array" ca="1" aca="1" ref="V4">CreateID($V$2,$V:$V,$U4)</f>
        <v>0</v>
      </c>
      <c r="W4" s="20">
        <f t="shared" ca="1" si="1"/>
        <v>0</v>
      </c>
      <c r="X4" s="20">
        <f>IF(H4="",0,VLOOKUP(H4,Definitions!$Z:$AA,COLUMNS(Definitions!$Z:$AA),FALSE))</f>
        <v>0</v>
      </c>
      <c r="Y4" s="20">
        <f>IF(I4="",0,VLOOKUP(I4,Definitions!$Z:$AA,COLUMNS(Definitions!$Z:$AA),FALSE))</f>
        <v>3</v>
      </c>
      <c r="Z4" s="20">
        <f>IF(J4="",0,VLOOKUP(J4,Definitions!$Z:$AA,COLUMNS(Definitions!$Z:$AA),FALSE))</f>
        <v>0</v>
      </c>
      <c r="AA4" s="20">
        <f>IF(K4="",0,VLOOKUP(K4,Definitions!$Z:$AA,COLUMNS(Definitions!$Z:$AA),FALSE))</f>
        <v>1</v>
      </c>
      <c r="AB4" s="20">
        <f>IF(L4="",0,VLOOKUP(L4,Definitions!$Z:$AA,COLUMNS(Definitions!$Z:$AA),FALSE))</f>
        <v>0</v>
      </c>
      <c r="AC4" s="20">
        <f t="shared" ca="1" si="2"/>
        <v>4</v>
      </c>
      <c r="AD4" s="20" cm="1">
        <f t="array" ref="AD4">CreateTaskID($AD$2,$AD:$AD,Tasks!$B$17,$P4)</f>
        <v>0</v>
      </c>
      <c r="AE4" s="20" t="str" cm="1">
        <f t="array" ca="1" aca="1" ref="AE4">InverseLookup($A4,Countermeasures!$X$2,Countermeasures!$A$2,1,Helper!$B$4,",")</f>
        <v>CM20,</v>
      </c>
      <c r="AF4" s="20" t="str" cm="1">
        <f t="array" ca="1" aca="1" ref="AF4">InverseLookup($A4,Assumptions!$X$3,Assumptions!$A$3,1,Helper!$B$6,",")</f>
        <v>A36,</v>
      </c>
      <c r="AG4" s="20" t="str" cm="1">
        <f t="array" ca="1" aca="1" ref="AG4">InverseLookup($A4,Assumptions!$Y$3,Assumptions!$A$3,1,Helper!$B$6,",")</f>
        <v>A36,</v>
      </c>
      <c r="AH4" s="20" t="str" cm="1">
        <f t="array" ca="1" aca="1" ref="AH4">IF($U4,CreateSearchString(SUBSTITUTE($S4,"§","")),"")</f>
        <v/>
      </c>
      <c r="AI4" s="20" t="b">
        <f t="shared" ca="1" si="3"/>
        <v>1</v>
      </c>
      <c r="AJ4" s="81"/>
      <c r="AK4" s="81"/>
      <c r="AL4" s="81"/>
      <c r="AM4" s="81"/>
      <c r="AN4" s="81"/>
    </row>
    <row r="5" spans="1:40" ht="203.25">
      <c r="A5" s="13" t="s">
        <v>109</v>
      </c>
      <c r="B5" s="13" t="s">
        <v>955</v>
      </c>
      <c r="C5" s="13" t="s">
        <v>1119</v>
      </c>
      <c r="D5" s="19" t="str" cm="1">
        <f t="array" ca="1" aca="1" ref="D5">LookupNames(SanitizeInput($C5),$A:$B)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AS17 Sending manipulated or malicious data to the product (from an untrusted source),
AS27 Getting physical access to the product's linked communication media (e.g., field buses),
AS28 Getting access to a trusted entity</v>
      </c>
      <c r="E5" s="13" t="s">
        <v>1103</v>
      </c>
      <c r="F5" s="19" t="str" cm="1">
        <f t="array" ca="1" aca="1" ref="F5">RemoveDelimiter(GetValues(SanitizeInput($E5),Questions!$A:$B,"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5" s="16" t="str" cm="1">
        <f t="array" ca="1" aca="1" ref="G5">LookupNames($T5,'Damage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5" s="13" t="s">
        <v>134</v>
      </c>
      <c r="I5" s="13" t="s">
        <v>141</v>
      </c>
      <c r="J5" s="13" t="s">
        <v>145</v>
      </c>
      <c r="K5" s="13"/>
      <c r="L5" s="13"/>
      <c r="M5" s="130" t="str">
        <f ca="1">IF($A5="","",IFERROR(VLOOKUP($AC5,Definitions!$V:$W,COLUMNS(Definitions!$V:$W),TRUE),""))</f>
        <v>Enhanced-Basic</v>
      </c>
      <c r="N5" s="13"/>
      <c r="O5" s="13" t="s">
        <v>645</v>
      </c>
      <c r="P5" s="13" t="s">
        <v>1016</v>
      </c>
      <c r="Q5" s="10" cm="1">
        <f t="array" ref="Q5">IF(ROW()=ROW($Q$2)+1,0,INDEX($Q:$Q,ROW()-1))+IF($A5="",0,1)</f>
        <v>3</v>
      </c>
      <c r="R5" s="14" t="b">
        <f>OR(CheckRelevance(SanitizeInput(N5),Questionnaire!$I:$I),CheckRelevance(SanitizeInput(N5),Questionnaire!$J:$J))</f>
        <v>0</v>
      </c>
      <c r="S5" s="14" t="str" cm="1">
        <f t="array" ca="1" aca="1" ref="S5">IF(AND($N5&lt;&gt;"",$R5=FALSE),"",IF(AND($R5,$C5=""),$A5&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5),$A:$S,$A5))</f>
        <v>AS1,AS3,§AS2,AS3,§</v>
      </c>
      <c r="T5" s="14" t="str" cm="1">
        <f t="array" ca="1" aca="1" ref="T5">GetValues(SanitizeInput($E5),'Damage Scenarios'!$B:$T,"",",",FALSE)</f>
        <v>DS10,DS11,DS12,DS13,DS14,DS15,</v>
      </c>
      <c r="U5" s="14" t="b">
        <f t="shared" ca="1" si="0"/>
        <v>1</v>
      </c>
      <c r="V5" s="20" cm="1">
        <f t="array" ca="1" aca="1" ref="V5">CreateID($V$2,$V:$V,$U5)</f>
        <v>1</v>
      </c>
      <c r="W5" s="20">
        <f t="shared" ca="1" si="1"/>
        <v>2</v>
      </c>
      <c r="X5" s="20">
        <f>IF(H5="",0,VLOOKUP(H5,Definitions!$Z:$AA,COLUMNS(Definitions!$Z:$AA),FALSE))</f>
        <v>4</v>
      </c>
      <c r="Y5" s="20">
        <f>IF(I5="",0,VLOOKUP(I5,Definitions!$Z:$AA,COLUMNS(Definitions!$Z:$AA),FALSE))</f>
        <v>6</v>
      </c>
      <c r="Z5" s="20">
        <f>IF(J5="",0,VLOOKUP(J5,Definitions!$Z:$AA,COLUMNS(Definitions!$Z:$AA),FALSE))</f>
        <v>3</v>
      </c>
      <c r="AA5" s="20">
        <f>IF(K5="",0,VLOOKUP(K5,Definitions!$Z:$AA,COLUMNS(Definitions!$Z:$AA),FALSE))</f>
        <v>0</v>
      </c>
      <c r="AB5" s="20">
        <f>IF(L5="",0,VLOOKUP(L5,Definitions!$Z:$AA,COLUMNS(Definitions!$Z:$AA),FALSE))</f>
        <v>0</v>
      </c>
      <c r="AC5" s="20">
        <f t="shared" ca="1" si="2"/>
        <v>13</v>
      </c>
      <c r="AD5" s="20" cm="1">
        <f t="array" ref="AD5">CreateTaskID($AD$2,$AD:$AD,Tasks!$B$17,$P5)</f>
        <v>0</v>
      </c>
      <c r="AE5" s="20" t="str" cm="1">
        <f t="array" ca="1" aca="1" ref="AE5">InverseLookup($A5,Countermeasures!$X$2,Countermeasures!$A$2,1,Helper!$B$4,",")</f>
        <v>CM2a,CM2b,CM21,CM22,</v>
      </c>
      <c r="AF5" s="20" t="str" cm="1">
        <f t="array" ca="1" aca="1" ref="AF5">InverseLookup($A5,Assumptions!$X$3,Assumptions!$A$3,1,Helper!$B$6,",")</f>
        <v/>
      </c>
      <c r="AG5" s="20" t="str" cm="1">
        <f t="array" ca="1" aca="1" ref="AG5">InverseLookup($A5,Assumptions!$Y$3,Assumptions!$A$3,1,Helper!$B$6,",")</f>
        <v/>
      </c>
      <c r="AH5" s="20" t="str" cm="1">
        <f t="array" ca="1" aca="1" ref="AH5">IF($U5,CreateSearchString(SUBSTITUTE($S5,"§","")),"")</f>
        <v>,AS1,AS3,AS2,AS3,</v>
      </c>
      <c r="AI5" s="20" t="b">
        <f t="shared" ca="1" si="3"/>
        <v>1</v>
      </c>
      <c r="AJ5" s="81"/>
      <c r="AK5" s="81"/>
      <c r="AL5" s="81"/>
      <c r="AM5" s="81"/>
      <c r="AN5" s="81"/>
    </row>
    <row r="6" spans="1:40" ht="113.25">
      <c r="A6" s="13" t="s">
        <v>110</v>
      </c>
      <c r="B6" s="13" t="s">
        <v>114</v>
      </c>
      <c r="C6" s="13" t="s">
        <v>1120</v>
      </c>
      <c r="D6" s="19" t="str" cm="1">
        <f t="array" ca="1" aca="1" ref="D6">LookupNames(SanitizeInput($C6),$A:$B)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6" s="13" t="s">
        <v>1091</v>
      </c>
      <c r="F6" s="19" t="str" cm="1">
        <f t="array" ca="1" aca="1" ref="F6">RemoveDelimiter(GetValues(SanitizeInput($E6),Questions!$A:$B,"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acontis techonlogies GmbH product)? Example: The product is used for access control.
QI9   Can a loss of availability cause contract-related fines (e.g., based on a service level agreement)?</v>
      </c>
      <c r="G6" s="16" t="str" cm="1">
        <f t="array" ca="1" aca="1" ref="G6">LookupNames($T6,'Damage Scenarios'!$A:$J)</f>
        <v>DS6 Life-threatening injury caused by unavailable product,
DS7 Critical environmental damage caused by unavailable product,
DS8 Loss of Critical financial damage caused by unavailable product</v>
      </c>
      <c r="H6" s="13"/>
      <c r="I6" s="13" t="s">
        <v>140</v>
      </c>
      <c r="J6" s="13"/>
      <c r="K6" s="13"/>
      <c r="L6" s="13"/>
      <c r="M6" s="130" t="str">
        <f ca="1">IF($A6="","",IFERROR(VLOOKUP($AC6,Definitions!$V:$W,COLUMNS(Definitions!$V:$W),TRUE),""))</f>
        <v>Basic</v>
      </c>
      <c r="N6" s="13"/>
      <c r="O6" s="13" t="s">
        <v>604</v>
      </c>
      <c r="P6" s="13" t="s">
        <v>196</v>
      </c>
      <c r="Q6" s="10" cm="1">
        <f t="array" ref="Q6">IF(ROW()=ROW($Q$2)+1,0,INDEX($Q:$Q,ROW()-1))+IF($A6="",0,1)</f>
        <v>4</v>
      </c>
      <c r="R6" s="14" t="b">
        <f>OR(CheckRelevance(SanitizeInput(N6),Questionnaire!$I:$I),CheckRelevance(SanitizeInput(N6),Questionnaire!$J:$J))</f>
        <v>0</v>
      </c>
      <c r="S6" s="14" t="str" cm="1">
        <f t="array" ca="1" aca="1" ref="S6">IF(AND($N6&lt;&gt;"",$R6=FALSE),"",IF(AND($R6,$C6=""),$A6&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6),$A:$S,$A6))</f>
        <v>AS1,AS4,§AS2,AS4,§</v>
      </c>
      <c r="T6" s="14" t="str" cm="1">
        <f t="array" ca="1" aca="1" ref="T6">GetValues(SanitizeInput($E6),'Damage Scenarios'!$B:$T,"",",",FALSE)</f>
        <v>DS6,DS7,DS8,</v>
      </c>
      <c r="U6" s="14" t="b">
        <f t="shared" ca="1" si="0"/>
        <v>1</v>
      </c>
      <c r="V6" s="20" cm="1">
        <f t="array" ca="1" aca="1" ref="V6">CreateID($V$2,$V:$V,$U6)</f>
        <v>2</v>
      </c>
      <c r="W6" s="20">
        <f t="shared" ca="1" si="1"/>
        <v>2</v>
      </c>
      <c r="X6" s="20">
        <f>IF(H6="",0,VLOOKUP(H6,Definitions!$Z:$AA,COLUMNS(Definitions!$Z:$AA),FALSE))</f>
        <v>0</v>
      </c>
      <c r="Y6" s="20">
        <f>IF(I6="",0,VLOOKUP(I6,Definitions!$Z:$AA,COLUMNS(Definitions!$Z:$AA),FALSE))</f>
        <v>3</v>
      </c>
      <c r="Z6" s="20">
        <f>IF(J6="",0,VLOOKUP(J6,Definitions!$Z:$AA,COLUMNS(Definitions!$Z:$AA),FALSE))</f>
        <v>0</v>
      </c>
      <c r="AA6" s="20">
        <f>IF(K6="",0,VLOOKUP(K6,Definitions!$Z:$AA,COLUMNS(Definitions!$Z:$AA),FALSE))</f>
        <v>0</v>
      </c>
      <c r="AB6" s="20">
        <f>IF(L6="",0,VLOOKUP(L6,Definitions!$Z:$AA,COLUMNS(Definitions!$Z:$AA),FALSE))</f>
        <v>0</v>
      </c>
      <c r="AC6" s="20">
        <f t="shared" ca="1" si="2"/>
        <v>3</v>
      </c>
      <c r="AD6" s="20" cm="1">
        <f t="array" ref="AD6">CreateTaskID($AD$2,$AD:$AD,Tasks!$B$17,$P6)</f>
        <v>0</v>
      </c>
      <c r="AE6" s="20" t="str" cm="1">
        <f t="array" ca="1" aca="1" ref="AE6">InverseLookup($A6,Countermeasures!$X$2,Countermeasures!$A$2,1,Helper!$B$4,",")</f>
        <v>C20,C21,</v>
      </c>
      <c r="AF6" s="20" t="str" cm="1">
        <f t="array" ca="1" aca="1" ref="AF6">InverseLookup($A6,Assumptions!$X$3,Assumptions!$A$3,1,Helper!$B$6,",")</f>
        <v/>
      </c>
      <c r="AG6" s="20" t="str" cm="1">
        <f t="array" ca="1" aca="1" ref="AG6">InverseLookup($A6,Assumptions!$Y$3,Assumptions!$A$3,1,Helper!$B$6,",")</f>
        <v/>
      </c>
      <c r="AH6" s="20" t="str" cm="1">
        <f t="array" ca="1" aca="1" ref="AH6">IF($U6,CreateSearchString(SUBSTITUTE($S6,"§","")),"")</f>
        <v>,AS1,AS4,AS2,AS4,</v>
      </c>
      <c r="AI6" s="20" t="b">
        <f t="shared" ca="1" si="3"/>
        <v>1</v>
      </c>
      <c r="AJ6" s="81"/>
      <c r="AK6" s="81"/>
      <c r="AL6" s="81"/>
      <c r="AM6" s="81"/>
      <c r="AN6" s="81"/>
    </row>
    <row r="7" spans="1:40" ht="113.25">
      <c r="A7" s="13" t="s">
        <v>111</v>
      </c>
      <c r="B7" s="13" t="s">
        <v>115</v>
      </c>
      <c r="C7" s="13" t="s">
        <v>1012</v>
      </c>
      <c r="D7" s="19" t="str" cm="1">
        <f t="array" ca="1" aca="1" ref="D7">LookupNames(SanitizeInput($C7),$A:$B)</f>
        <v>AS1 Getting access to a trusted operational environment,
AS2 Getting access to a wireless network,
AS12 Compromising an untrusted device that communicates directly with the product,
AS13 Attacking the product or its communication from an untrusted local network,
AS27 Getting physical access to the product's linked communication media (e.g., field buses),
AS34 Attacking the product's outgoing communication to an external communication partner over the Internet or a mobile network,
AS36 Attacking the product's incoming communication from the Internet or a mobile network</v>
      </c>
      <c r="E7" s="13" t="s">
        <v>1104</v>
      </c>
      <c r="F7" s="19" t="str" cm="1">
        <f t="array" ca="1" aca="1" ref="F7">RemoveDelimiter(GetValues(SanitizeInput($E7),Questions!$A:$B,"   ",CHAR(10),TRUE),CHAR(10))</f>
        <v>QI1   Does the product have cameras or other sensors that can potentially recognize people?
QI2   Does the product process personal data?
Examples: User ID, address labels
QI4   Is acontis techonlogies GmbH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7" s="16" t="str" cm="1">
        <f t="array" ca="1" aca="1" ref="G7">LookupNames($T7,'Damage Scenarios'!$A:$J)</f>
        <v/>
      </c>
      <c r="H7" s="13"/>
      <c r="I7" s="13" t="s">
        <v>140</v>
      </c>
      <c r="J7" s="13"/>
      <c r="K7" s="13"/>
      <c r="L7" s="13"/>
      <c r="M7" s="130" t="str">
        <f ca="1">IF($A7="","",IFERROR(VLOOKUP($AC7,Definitions!$V:$W,COLUMNS(Definitions!$V:$W),TRUE),""))</f>
        <v>Basic</v>
      </c>
      <c r="N7" s="13"/>
      <c r="O7" s="13" t="s">
        <v>605</v>
      </c>
      <c r="P7" s="13" t="s">
        <v>197</v>
      </c>
      <c r="Q7" s="10" cm="1">
        <f t="array" ref="Q7">IF(ROW()=ROW($Q$2)+1,0,INDEX($Q:$Q,ROW()-1))+IF($A7="",0,1)</f>
        <v>5</v>
      </c>
      <c r="R7" s="14" t="b">
        <f>OR(CheckRelevance(SanitizeInput(N7),Questionnaire!$I:$I),CheckRelevance(SanitizeInput(N7),Questionnaire!$J:$J))</f>
        <v>0</v>
      </c>
      <c r="S7" s="14" t="str" cm="1">
        <f t="array" ca="1" aca="1" ref="S7">IF(AND($N7&lt;&gt;"",$R7=FALSE),"",IF(AND($R7,$C7=""),$A7&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7),$A:$S,$A7))</f>
        <v>AS1,AS5,§AS2,AS5,§</v>
      </c>
      <c r="T7" s="14" t="str" cm="1">
        <f t="array" ca="1" aca="1" ref="T7">GetValues(SanitizeInput($E7),'Damage Scenarios'!$B:$T,"",",",FALSE)</f>
        <v/>
      </c>
      <c r="U7" s="14" t="b">
        <f t="shared" ca="1" si="0"/>
        <v>0</v>
      </c>
      <c r="V7" s="20" cm="1">
        <f t="array" ca="1" aca="1" ref="V7">CreateID($V$2,$V:$V,$U7)</f>
        <v>2</v>
      </c>
      <c r="W7" s="20">
        <f t="shared" ca="1" si="1"/>
        <v>0</v>
      </c>
      <c r="X7" s="20">
        <f>IF(H7="",0,VLOOKUP(H7,Definitions!$Z:$AA,COLUMNS(Definitions!$Z:$AA),FALSE))</f>
        <v>0</v>
      </c>
      <c r="Y7" s="20">
        <f>IF(I7="",0,VLOOKUP(I7,Definitions!$Z:$AA,COLUMNS(Definitions!$Z:$AA),FALSE))</f>
        <v>3</v>
      </c>
      <c r="Z7" s="20">
        <f>IF(J7="",0,VLOOKUP(J7,Definitions!$Z:$AA,COLUMNS(Definitions!$Z:$AA),FALSE))</f>
        <v>0</v>
      </c>
      <c r="AA7" s="20">
        <f>IF(K7="",0,VLOOKUP(K7,Definitions!$Z:$AA,COLUMNS(Definitions!$Z:$AA),FALSE))</f>
        <v>0</v>
      </c>
      <c r="AB7" s="20">
        <f>IF(L7="",0,VLOOKUP(L7,Definitions!$Z:$AA,COLUMNS(Definitions!$Z:$AA),FALSE))</f>
        <v>0</v>
      </c>
      <c r="AC7" s="20">
        <f t="shared" ca="1" si="2"/>
        <v>3</v>
      </c>
      <c r="AD7" s="20" cm="1">
        <f t="array" ref="AD7">CreateTaskID($AD$2,$AD:$AD,Tasks!$B$17,$P7)</f>
        <v>0</v>
      </c>
      <c r="AE7" s="20" t="str" cm="1">
        <f t="array" ca="1" aca="1" ref="AE7">InverseLookup($A7,Countermeasures!$X$2,Countermeasures!$A$2,1,Helper!$B$4,",")</f>
        <v>C29,</v>
      </c>
      <c r="AF7" s="20" t="str" cm="1">
        <f t="array" ca="1" aca="1" ref="AF7">InverseLookup($A7,Assumptions!$X$3,Assumptions!$A$3,1,Helper!$B$6,",")</f>
        <v/>
      </c>
      <c r="AG7" s="20" t="str" cm="1">
        <f t="array" ca="1" aca="1" ref="AG7">InverseLookup($A7,Assumptions!$Y$3,Assumptions!$A$3,1,Helper!$B$6,",")</f>
        <v>A28,A37,</v>
      </c>
      <c r="AH7" s="20" t="str" cm="1">
        <f t="array" ca="1" aca="1" ref="AH7">IF($U7,CreateSearchString(SUBSTITUTE($S7,"§","")),"")</f>
        <v/>
      </c>
      <c r="AI7" s="20" t="b">
        <f t="shared" ca="1" si="3"/>
        <v>1</v>
      </c>
      <c r="AJ7" s="81"/>
      <c r="AK7" s="81"/>
      <c r="AL7" s="81"/>
      <c r="AM7" s="81"/>
      <c r="AN7" s="81"/>
    </row>
    <row r="8" spans="1:40" ht="90.75">
      <c r="A8" s="13" t="s">
        <v>112</v>
      </c>
      <c r="B8" s="13" t="s">
        <v>123</v>
      </c>
      <c r="C8" s="13" t="s">
        <v>993</v>
      </c>
      <c r="D8" s="19" t="str" cm="1">
        <f t="array" ca="1" aca="1" ref="D8">LookupNames(SanitizeInput($C8),$A:$B)</f>
        <v>AS1 Getting access to a trusted operational environment,
AS2 Getting access to a wireless network,
AS13 Attacking the product or its communication from an untrusted local network,
AS27 Getting physical access to the product's linked communication media (e.g., field buses),
AS34 Attacking the product's outgoing communication to an external communication partner over the Internet or a mobile network</v>
      </c>
      <c r="E8" s="13" t="s">
        <v>1081</v>
      </c>
      <c r="F8" s="19" t="str" cm="1">
        <f t="array" ca="1" aca="1" ref="F8">RemoveDelimiter(GetValues(SanitizeInput($E8),Questions!$A:$B,"   ",CHAR(10),TRUE),CHAR(10))</f>
        <v>QI10   Can a manipulated product (or its communication) endanger the health of people? Also consider cases where the product is used against its intended use or misconfigured!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8" s="16" t="str" cm="1">
        <f t="array" ca="1" aca="1" ref="G8">LookupNames($T8,'Damage Scenarios'!$A:$J)</f>
        <v>DS10 Life-threatening injury caused by manipulated product,
DS14 Critical environmental damage caused by manipulated product,
DS15 Critical environmental damage caused by attacks on customer's assets by manipulated product</v>
      </c>
      <c r="H8" s="13" t="s">
        <v>133</v>
      </c>
      <c r="I8" s="13" t="s">
        <v>141</v>
      </c>
      <c r="J8" s="13" t="s">
        <v>145</v>
      </c>
      <c r="K8" s="13"/>
      <c r="L8" s="13"/>
      <c r="M8" s="130" t="str">
        <f ca="1">IF($A8="","",IFERROR(VLOOKUP($AC8,Definitions!$V:$W,COLUMNS(Definitions!$V:$W),TRUE),""))</f>
        <v>Enhanced-Basic</v>
      </c>
      <c r="N8" s="13"/>
      <c r="O8" s="13" t="s">
        <v>607</v>
      </c>
      <c r="P8" s="13" t="s">
        <v>1017</v>
      </c>
      <c r="Q8" s="10" cm="1">
        <f t="array" ref="Q8">IF(ROW()=ROW($Q$2)+1,0,INDEX($Q:$Q,ROW()-1))+IF($A8="",0,1)</f>
        <v>6</v>
      </c>
      <c r="R8" s="14" t="b">
        <f>OR(CheckRelevance(SanitizeInput(N8),Questionnaire!$I:$I),CheckRelevance(SanitizeInput(N8),Questionnaire!$J:$J))</f>
        <v>0</v>
      </c>
      <c r="S8" s="14" t="str" cm="1">
        <f t="array" ca="1" aca="1" ref="S8">IF(AND($N8&lt;&gt;"",$R8=FALSE),"",IF(AND($R8,$C8=""),$A8&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8),$A:$S,$A8))</f>
        <v>AS1,AS6,§AS2,AS6,§</v>
      </c>
      <c r="T8" s="14" t="str" cm="1">
        <f t="array" ca="1" aca="1" ref="T8">GetValues(SanitizeInput($E8),'Damage Scenarios'!$B:$T,"",",",FALSE)</f>
        <v>DS10,DS14,DS15,</v>
      </c>
      <c r="U8" s="14" t="b">
        <f t="shared" ca="1" si="0"/>
        <v>1</v>
      </c>
      <c r="V8" s="20" cm="1">
        <f t="array" ca="1" aca="1" ref="V8">CreateID($V$2,$V:$V,$U8)</f>
        <v>3</v>
      </c>
      <c r="W8" s="20">
        <f t="shared" ca="1" si="1"/>
        <v>2</v>
      </c>
      <c r="X8" s="20">
        <f>IF(H8="",0,VLOOKUP(H8,Definitions!$Z:$AA,COLUMNS(Definitions!$Z:$AA),FALSE))</f>
        <v>1</v>
      </c>
      <c r="Y8" s="20">
        <f>IF(I8="",0,VLOOKUP(I8,Definitions!$Z:$AA,COLUMNS(Definitions!$Z:$AA),FALSE))</f>
        <v>6</v>
      </c>
      <c r="Z8" s="20">
        <f>IF(J8="",0,VLOOKUP(J8,Definitions!$Z:$AA,COLUMNS(Definitions!$Z:$AA),FALSE))</f>
        <v>3</v>
      </c>
      <c r="AA8" s="20">
        <f>IF(K8="",0,VLOOKUP(K8,Definitions!$Z:$AA,COLUMNS(Definitions!$Z:$AA),FALSE))</f>
        <v>0</v>
      </c>
      <c r="AB8" s="20">
        <f>IF(L8="",0,VLOOKUP(L8,Definitions!$Z:$AA,COLUMNS(Definitions!$Z:$AA),FALSE))</f>
        <v>0</v>
      </c>
      <c r="AC8" s="20">
        <f t="shared" ca="1" si="2"/>
        <v>10</v>
      </c>
      <c r="AD8" s="20" cm="1">
        <f t="array" ref="AD8">CreateTaskID($AD$2,$AD:$AD,Tasks!$B$17,$P8)</f>
        <v>0</v>
      </c>
      <c r="AE8" s="20" t="str" cm="1">
        <f t="array" ca="1" aca="1" ref="AE8">InverseLookup($A8,Countermeasures!$X$2,Countermeasures!$A$2,1,Helper!$B$4,",")</f>
        <v>CM10,</v>
      </c>
      <c r="AF8" s="20" t="str" cm="1">
        <f t="array" ca="1" aca="1" ref="AF8">InverseLookup($A8,Assumptions!$X$3,Assumptions!$A$3,1,Helper!$B$6,",")</f>
        <v/>
      </c>
      <c r="AG8" s="20" t="str" cm="1">
        <f t="array" ca="1" aca="1" ref="AG8">InverseLookup($A8,Assumptions!$Y$3,Assumptions!$A$3,1,Helper!$B$6,",")</f>
        <v>A37,</v>
      </c>
      <c r="AH8" s="20" t="str" cm="1">
        <f t="array" ca="1" aca="1" ref="AH8">IF($U8,CreateSearchString(SUBSTITUTE($S8,"§","")),"")</f>
        <v>,AS1,AS6,AS2,AS6,</v>
      </c>
      <c r="AI8" s="20" t="b">
        <f t="shared" ca="1" si="3"/>
        <v>1</v>
      </c>
      <c r="AJ8" s="81"/>
      <c r="AK8" s="81"/>
      <c r="AL8" s="81"/>
      <c r="AM8" s="81"/>
      <c r="AN8" s="81"/>
    </row>
    <row r="9" spans="1:40" ht="180.75">
      <c r="A9" s="13" t="s">
        <v>113</v>
      </c>
      <c r="B9" s="13" t="s">
        <v>124</v>
      </c>
      <c r="C9" s="13" t="s">
        <v>1010</v>
      </c>
      <c r="D9" s="19" t="str" cm="1">
        <f t="array" ca="1" aca="1" ref="D9">LookupNames(SanitizeInput($C9),$A:$B)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AS27 Getting physical access to the product's linked communication media (e.g., field buses),
AS28 Getting access to a trusted entity,
AS36 Attacking the product's incoming communication from the Internet or a mobile network</v>
      </c>
      <c r="E9" s="13" t="s">
        <v>1082</v>
      </c>
      <c r="F9" s="19" t="str" cm="1">
        <f t="array" ca="1" aca="1" ref="F9">RemoveDelimiter(GetValues(SanitizeInput($E9),Questions!$A:$B,"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9" s="16" t="str" cm="1">
        <f t="array" ca="1" aca="1" ref="G9">LookupNames($T9,'Damage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9" s="13" t="s">
        <v>133</v>
      </c>
      <c r="I9" s="13" t="s">
        <v>141</v>
      </c>
      <c r="J9" s="13" t="s">
        <v>145</v>
      </c>
      <c r="K9" s="13"/>
      <c r="L9" s="13"/>
      <c r="M9" s="130" t="str">
        <f ca="1">IF($A9="","",IFERROR(VLOOKUP($AC9,Definitions!$V:$W,COLUMNS(Definitions!$V:$W),TRUE),""))</f>
        <v>Enhanced-Basic</v>
      </c>
      <c r="N9" s="13"/>
      <c r="O9" s="13" t="s">
        <v>607</v>
      </c>
      <c r="P9" s="13" t="s">
        <v>1018</v>
      </c>
      <c r="Q9" s="10" cm="1">
        <f t="array" ref="Q9">IF(ROW()=ROW($Q$2)+1,0,INDEX($Q:$Q,ROW()-1))+IF($A9="",0,1)</f>
        <v>7</v>
      </c>
      <c r="R9" s="14" t="b">
        <f>OR(CheckRelevance(SanitizeInput(N9),Questionnaire!$I:$I),CheckRelevance(SanitizeInput(N9),Questionnaire!$J:$J))</f>
        <v>0</v>
      </c>
      <c r="S9" s="14" t="str" cm="1">
        <f t="array" ca="1" aca="1" ref="S9">IF(AND($N9&lt;&gt;"",$R9=FALSE),"",IF(AND($R9,$C9=""),$A9&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9),$A:$S,$A9))</f>
        <v>AS1,AS7,§AS2,AS7,§</v>
      </c>
      <c r="T9" s="14" t="str" cm="1">
        <f t="array" ca="1" aca="1" ref="T9">GetValues(SanitizeInput($E9),'Damage Scenarios'!$B:$T,"",",",FALSE)</f>
        <v>DS10,DS11,DS12,DS13,DS14,DS15,</v>
      </c>
      <c r="U9" s="14" t="b">
        <f t="shared" ca="1" si="0"/>
        <v>1</v>
      </c>
      <c r="V9" s="20" cm="1">
        <f t="array" ca="1" aca="1" ref="V9">CreateID($V$2,$V:$V,$U9)</f>
        <v>4</v>
      </c>
      <c r="W9" s="20">
        <f t="shared" ca="1" si="1"/>
        <v>2</v>
      </c>
      <c r="X9" s="20">
        <f>IF(H9="",0,VLOOKUP(H9,Definitions!$Z:$AA,COLUMNS(Definitions!$Z:$AA),FALSE))</f>
        <v>1</v>
      </c>
      <c r="Y9" s="20">
        <f>IF(I9="",0,VLOOKUP(I9,Definitions!$Z:$AA,COLUMNS(Definitions!$Z:$AA),FALSE))</f>
        <v>6</v>
      </c>
      <c r="Z9" s="20">
        <f>IF(J9="",0,VLOOKUP(J9,Definitions!$Z:$AA,COLUMNS(Definitions!$Z:$AA),FALSE))</f>
        <v>3</v>
      </c>
      <c r="AA9" s="20">
        <f>IF(K9="",0,VLOOKUP(K9,Definitions!$Z:$AA,COLUMNS(Definitions!$Z:$AA),FALSE))</f>
        <v>0</v>
      </c>
      <c r="AB9" s="20">
        <f>IF(L9="",0,VLOOKUP(L9,Definitions!$Z:$AA,COLUMNS(Definitions!$Z:$AA),FALSE))</f>
        <v>0</v>
      </c>
      <c r="AC9" s="20">
        <f t="shared" ca="1" si="2"/>
        <v>10</v>
      </c>
      <c r="AD9" s="20" cm="1">
        <f t="array" ref="AD9">CreateTaskID($AD$2,$AD:$AD,Tasks!$B$17,$P9)</f>
        <v>0</v>
      </c>
      <c r="AE9" s="20" t="str" cm="1">
        <f t="array" ca="1" aca="1" ref="AE9">InverseLookup($A9,Countermeasures!$X$2,Countermeasures!$A$2,1,Helper!$B$4,",")</f>
        <v>CM11,</v>
      </c>
      <c r="AF9" s="20" t="str" cm="1">
        <f t="array" ca="1" aca="1" ref="AF9">InverseLookup($A9,Assumptions!$X$3,Assumptions!$A$3,1,Helper!$B$6,",")</f>
        <v/>
      </c>
      <c r="AG9" s="20" t="str" cm="1">
        <f t="array" ca="1" aca="1" ref="AG9">InverseLookup($A9,Assumptions!$Y$3,Assumptions!$A$3,1,Helper!$B$6,",")</f>
        <v/>
      </c>
      <c r="AH9" s="20" t="str" cm="1">
        <f t="array" ca="1" aca="1" ref="AH9">IF($U9,CreateSearchString(SUBSTITUTE($S9,"§","")),"")</f>
        <v>,AS1,AS7,AS2,AS7,</v>
      </c>
      <c r="AI9" s="20" t="b">
        <f t="shared" ca="1" si="3"/>
        <v>1</v>
      </c>
      <c r="AJ9" s="81"/>
      <c r="AK9" s="81"/>
      <c r="AL9" s="81"/>
      <c r="AM9" s="81"/>
      <c r="AN9" s="81"/>
    </row>
    <row r="10" spans="1:40" ht="113.25">
      <c r="A10" s="13" t="s">
        <v>118</v>
      </c>
      <c r="B10" s="13" t="s">
        <v>116</v>
      </c>
      <c r="C10" s="13"/>
      <c r="D10" s="19" t="str" cm="1">
        <f t="array" ref="D10">LookupNames(SanitizeInput($C10),$A:$B)</f>
        <v/>
      </c>
      <c r="E10" s="13" t="s">
        <v>1091</v>
      </c>
      <c r="F10" s="19" t="str" cm="1">
        <f t="array" ca="1" aca="1" ref="F10">RemoveDelimiter(GetValues(SanitizeInput($E10),Questions!$A:$B,"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acontis techonlogies GmbH product)? Example: The product is used for access control.
QI9   Can a loss of availability cause contract-related fines (e.g., based on a service level agreement)?</v>
      </c>
      <c r="G10" s="16" t="str" cm="1">
        <f t="array" ca="1" aca="1" ref="G10">LookupNames($T10,'Damage Scenarios'!$A:$J)</f>
        <v>DS6 Life-threatening injury caused by unavailable product,
DS7 Critical environmental damage caused by unavailable product,
DS8 Loss of Critical financial damage caused by unavailable product</v>
      </c>
      <c r="H10" s="13"/>
      <c r="I10" s="13"/>
      <c r="J10" s="13"/>
      <c r="K10" s="13"/>
      <c r="L10" s="13" t="s">
        <v>154</v>
      </c>
      <c r="M10" s="130" t="str">
        <f ca="1">IF($A10="","",IFERROR(VLOOKUP($AC10,Definitions!$V:$W,COLUMNS(Definitions!$V:$W),TRUE),""))</f>
        <v>Basic</v>
      </c>
      <c r="N10" s="13" t="s">
        <v>1046</v>
      </c>
      <c r="O10" s="13" t="s">
        <v>604</v>
      </c>
      <c r="P10" s="13" t="s">
        <v>199</v>
      </c>
      <c r="Q10" s="10" cm="1">
        <f t="array" ref="Q10">IF(ROW()=ROW($Q$2)+1,0,INDEX($Q:$Q,ROW()-1))+IF($A10="",0,1)</f>
        <v>8</v>
      </c>
      <c r="R10" s="14" t="b">
        <f ca="1">OR(CheckRelevance(SanitizeInput(N10),Questionnaire!$I:$I),CheckRelevance(SanitizeInput(N10),Questionnaire!$J:$J))</f>
        <v>0</v>
      </c>
      <c r="S10" s="14" t="str" cm="1">
        <f t="array" ca="1" aca="1" ref="S10">IF(AND($N10&lt;&gt;"",$R10=FALSE),"",IF(AND($R10,$C10=""),$A10&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10),$A:$S,$A10))</f>
        <v/>
      </c>
      <c r="T10" s="14" t="str" cm="1">
        <f t="array" ca="1" aca="1" ref="T10">GetValues(SanitizeInput($E10),'Damage Scenarios'!$B:$T,"",",",FALSE)</f>
        <v>DS6,DS7,DS8,</v>
      </c>
      <c r="U10" s="14" t="b">
        <f t="shared" ca="1" si="0"/>
        <v>0</v>
      </c>
      <c r="V10" s="20" cm="1">
        <f t="array" ca="1" aca="1" ref="V10">CreateID($V$2,$V:$V,$U10)</f>
        <v>4</v>
      </c>
      <c r="W10" s="20">
        <f t="shared" ca="1" si="1"/>
        <v>0</v>
      </c>
      <c r="X10" s="20">
        <f>IF(H10="",0,VLOOKUP(H10,Definitions!$Z:$AA,COLUMNS(Definitions!$Z:$AA),FALSE))</f>
        <v>0</v>
      </c>
      <c r="Y10" s="20">
        <f>IF(I10="",0,VLOOKUP(I10,Definitions!$Z:$AA,COLUMNS(Definitions!$Z:$AA),FALSE))</f>
        <v>0</v>
      </c>
      <c r="Z10" s="20">
        <f>IF(J10="",0,VLOOKUP(J10,Definitions!$Z:$AA,COLUMNS(Definitions!$Z:$AA),FALSE))</f>
        <v>0</v>
      </c>
      <c r="AA10" s="20">
        <f>IF(K10="",0,VLOOKUP(K10,Definitions!$Z:$AA,COLUMNS(Definitions!$Z:$AA),FALSE))</f>
        <v>0</v>
      </c>
      <c r="AB10" s="20">
        <f>IF(L10="",0,VLOOKUP(L10,Definitions!$Z:$AA,COLUMNS(Definitions!$Z:$AA),FALSE))</f>
        <v>4</v>
      </c>
      <c r="AC10" s="20">
        <f t="shared" ca="1" si="2"/>
        <v>4</v>
      </c>
      <c r="AD10" s="20" cm="1">
        <f t="array" ref="AD10">CreateTaskID($AD$2,$AD:$AD,Tasks!$B$17,$P10)</f>
        <v>0</v>
      </c>
      <c r="AE10" s="20" t="str" cm="1">
        <f t="array" ca="1" aca="1" ref="AE10">InverseLookup($A10,Countermeasures!$X$2,Countermeasures!$A$2,1,Helper!$B$4,",")</f>
        <v/>
      </c>
      <c r="AF10" s="20" t="str" cm="1">
        <f t="array" ca="1" aca="1" ref="AF10">InverseLookup($A10,Assumptions!$X$3,Assumptions!$A$3,1,Helper!$B$6,",")</f>
        <v/>
      </c>
      <c r="AG10" s="20" t="str" cm="1">
        <f t="array" ca="1" aca="1" ref="AG10">InverseLookup($A10,Assumptions!$Y$3,Assumptions!$A$3,1,Helper!$B$6,",")</f>
        <v>A29,</v>
      </c>
      <c r="AH10" s="20" t="str" cm="1">
        <f t="array" ca="1" aca="1" ref="AH10">IF($U10,CreateSearchString(SUBSTITUTE($S10,"§","")),"")</f>
        <v/>
      </c>
      <c r="AI10" s="20" t="b">
        <f t="shared" ca="1" si="3"/>
        <v>0</v>
      </c>
      <c r="AJ10" s="81"/>
      <c r="AK10" s="81"/>
      <c r="AL10" s="81"/>
      <c r="AM10" s="81"/>
      <c r="AN10" s="81"/>
    </row>
    <row r="11" spans="1:40" ht="75">
      <c r="A11" s="13" t="s">
        <v>121</v>
      </c>
      <c r="B11" s="13" t="s">
        <v>1403</v>
      </c>
      <c r="C11" s="13"/>
      <c r="D11" s="19" t="str" cm="1">
        <f t="array" ref="D11">LookupNames(SanitizeInput($C11),$A:$B)</f>
        <v/>
      </c>
      <c r="E11" s="13" t="s">
        <v>1074</v>
      </c>
      <c r="F11" s="19" t="str" cm="1">
        <f t="array" ca="1" aca="1" ref="F11">RemoveDelimiter(GetValues(SanitizeInput($E11),Questions!$A:$B,"   ",CHAR(10),TRUE),CHAR(10))</f>
        <v>QI15   Can a manipulated product allow an attacker access to assets of the customer or allow the attacker to attack the customer's network?</v>
      </c>
      <c r="G11" s="16" t="str" cm="1">
        <f t="array" ca="1" aca="1" ref="G11">LookupNames($T11,'Damage Scenarios'!$A:$J)</f>
        <v>DS15 Critical environmental damage caused by attacks on customer's assets by manipulated product</v>
      </c>
      <c r="H11" s="13" t="s">
        <v>132</v>
      </c>
      <c r="I11" s="13" t="s">
        <v>139</v>
      </c>
      <c r="J11" s="13" t="s">
        <v>144</v>
      </c>
      <c r="K11" s="13" t="s">
        <v>148</v>
      </c>
      <c r="L11" s="13" t="s">
        <v>153</v>
      </c>
      <c r="M11" s="130" t="str">
        <f ca="1">IF($A11="","",IFERROR(VLOOKUP($AC11,Definitions!$V:$W,COLUMNS(Definitions!$V:$W),TRUE),""))</f>
        <v>Basic</v>
      </c>
      <c r="N11" s="13" t="s">
        <v>1039</v>
      </c>
      <c r="O11" s="13"/>
      <c r="P11" s="13" t="s">
        <v>1019</v>
      </c>
      <c r="Q11" s="10" cm="1">
        <f t="array" ref="Q11">IF(ROW()=ROW($Q$2)+1,0,INDEX($Q:$Q,ROW()-1))+IF($A11="",0,1)</f>
        <v>9</v>
      </c>
      <c r="R11" s="14" t="b">
        <f ca="1">OR(CheckRelevance(SanitizeInput(N11),Questionnaire!$I:$I),CheckRelevance(SanitizeInput(N11),Questionnaire!$J:$J))</f>
        <v>0</v>
      </c>
      <c r="S11" s="14" t="str" cm="1">
        <f t="array" ca="1" aca="1" ref="S11">IF(AND($N11&lt;&gt;"",$R11=FALSE),"",IF(AND($R11,$C11=""),$A11&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11),$A:$S,$A11))</f>
        <v/>
      </c>
      <c r="T11" s="14" t="str" cm="1">
        <f t="array" ca="1" aca="1" ref="T11">GetValues(SanitizeInput($E11),'Damage Scenarios'!$B:$T,"",",",FALSE)</f>
        <v>DS15,</v>
      </c>
      <c r="U11" s="14" t="b">
        <f t="shared" ca="1" si="0"/>
        <v>0</v>
      </c>
      <c r="V11" s="20" cm="1">
        <f t="array" ca="1" aca="1" ref="V11">CreateID($V$2,$V:$V,$U11)</f>
        <v>4</v>
      </c>
      <c r="W11" s="20">
        <f t="shared" ca="1" si="1"/>
        <v>0</v>
      </c>
      <c r="X11" s="20">
        <f>IF(H11="",0,VLOOKUP(H11,Definitions!$Z:$AA,COLUMNS(Definitions!$Z:$AA),FALSE))</f>
        <v>0</v>
      </c>
      <c r="Y11" s="20">
        <f>IF(I11="",0,VLOOKUP(I11,Definitions!$Z:$AA,COLUMNS(Definitions!$Z:$AA),FALSE))</f>
        <v>0</v>
      </c>
      <c r="Z11" s="20">
        <f>IF(J11="",0,VLOOKUP(J11,Definitions!$Z:$AA,COLUMNS(Definitions!$Z:$AA),FALSE))</f>
        <v>0</v>
      </c>
      <c r="AA11" s="20">
        <f>IF(K11="",0,VLOOKUP(K11,Definitions!$Z:$AA,COLUMNS(Definitions!$Z:$AA),FALSE))</f>
        <v>0</v>
      </c>
      <c r="AB11" s="20">
        <f>IF(L11="",0,VLOOKUP(L11,Definitions!$Z:$AA,COLUMNS(Definitions!$Z:$AA),FALSE))</f>
        <v>0</v>
      </c>
      <c r="AC11" s="20">
        <f t="shared" ca="1" si="2"/>
        <v>0</v>
      </c>
      <c r="AD11" s="20" cm="1">
        <f t="array" ref="AD11">CreateTaskID($AD$2,$AD:$AD,Tasks!$B$17,$P11)</f>
        <v>0</v>
      </c>
      <c r="AE11" s="20" t="str" cm="1">
        <f t="array" ca="1" aca="1" ref="AE11">InverseLookup($A11,Countermeasures!$X$2,Countermeasures!$A$2,1,Helper!$B$4,",")</f>
        <v>CM1,</v>
      </c>
      <c r="AF11" s="20" t="str" cm="1">
        <f t="array" ca="1" aca="1" ref="AF11">InverseLookup($A11,Assumptions!$X$3,Assumptions!$A$3,1,Helper!$B$6,",")</f>
        <v/>
      </c>
      <c r="AG11" s="20" t="str" cm="1">
        <f t="array" ca="1" aca="1" ref="AG11">InverseLookup($A11,Assumptions!$Y$3,Assumptions!$A$3,1,Helper!$B$6,",")</f>
        <v/>
      </c>
      <c r="AH11" s="20" t="str" cm="1">
        <f t="array" ca="1" aca="1" ref="AH11">IF($U11,CreateSearchString(SUBSTITUTE($S11,"§","")),"")</f>
        <v/>
      </c>
      <c r="AI11" s="20" t="b">
        <f t="shared" ca="1" si="3"/>
        <v>0</v>
      </c>
      <c r="AJ11" s="81"/>
      <c r="AK11" s="81"/>
      <c r="AL11" s="81"/>
      <c r="AM11" s="81"/>
      <c r="AN11" s="81"/>
    </row>
    <row r="12" spans="1:40" ht="90.75">
      <c r="A12" s="13" t="s">
        <v>122</v>
      </c>
      <c r="B12" s="13" t="s">
        <v>125</v>
      </c>
      <c r="C12" s="13" t="s">
        <v>109</v>
      </c>
      <c r="D12" s="19" t="str" cm="1">
        <f t="array" ca="1" aca="1" ref="D12">LookupNames(SanitizeInput($C12),$A:$B)</f>
        <v>AS3 Compromising the product using a software vulnerability</v>
      </c>
      <c r="E12" s="13" t="s">
        <v>1081</v>
      </c>
      <c r="F12" s="19" t="str" cm="1">
        <f t="array" ca="1" aca="1" ref="F12">RemoveDelimiter(GetValues(SanitizeInput($E12),Questions!$A:$B,"   ",CHAR(10),TRUE),CHAR(10))</f>
        <v>QI10   Can a manipulated product (or its communication) endanger the health of people? Also consider cases where the product is used against its intended use or misconfigured!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12" s="16" t="str" cm="1">
        <f t="array" ca="1" aca="1" ref="G12">LookupNames($T12,'Damage Scenarios'!$A:$J)</f>
        <v>DS10 Life-threatening injury caused by manipulated product,
DS14 Critical environmental damage caused by manipulated product,
DS15 Critical environmental damage caused by attacks on customer's assets by manipulated product</v>
      </c>
      <c r="H12" s="13" t="s">
        <v>133</v>
      </c>
      <c r="I12" s="13" t="s">
        <v>141</v>
      </c>
      <c r="J12" s="13" t="s">
        <v>145</v>
      </c>
      <c r="K12" s="13"/>
      <c r="L12" s="13"/>
      <c r="M12" s="130" t="str">
        <f ca="1">IF($A12="","",IFERROR(VLOOKUP($AC12,Definitions!$V:$W,COLUMNS(Definitions!$V:$W),TRUE),""))</f>
        <v>Enhanced-Basic</v>
      </c>
      <c r="N12" s="13"/>
      <c r="O12" s="13" t="s">
        <v>646</v>
      </c>
      <c r="P12" s="13" t="s">
        <v>198</v>
      </c>
      <c r="Q12" s="10" cm="1">
        <f t="array" ref="Q12">IF(ROW()=ROW($Q$2)+1,0,INDEX($Q:$Q,ROW()-1))+IF($A12="",0,1)</f>
        <v>10</v>
      </c>
      <c r="R12" s="14" t="b">
        <f>OR(CheckRelevance(SanitizeInput(N12),Questionnaire!$I:$I),CheckRelevance(SanitizeInput(N12),Questionnaire!$J:$J))</f>
        <v>0</v>
      </c>
      <c r="S12" s="14" t="str" cm="1">
        <f t="array" ca="1" aca="1" ref="S12">IF(AND($N12&lt;&gt;"",$R12=FALSE),"",IF(AND($R12,$C12=""),$A12&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12),$A:$S,$A12))</f>
        <v>AS1,AS3,AS10,§AS2,AS3,AS10,§</v>
      </c>
      <c r="T12" s="14" t="str" cm="1">
        <f t="array" ca="1" aca="1" ref="T12">GetValues(SanitizeInput($E12),'Damage Scenarios'!$B:$T,"",",",FALSE)</f>
        <v>DS10,DS14,DS15,</v>
      </c>
      <c r="U12" s="14" t="b">
        <f t="shared" ca="1" si="0"/>
        <v>1</v>
      </c>
      <c r="V12" s="20" cm="1">
        <f t="array" ca="1" aca="1" ref="V12">CreateID($V$2,$V:$V,$U12)</f>
        <v>5</v>
      </c>
      <c r="W12" s="20">
        <f t="shared" ca="1" si="1"/>
        <v>2</v>
      </c>
      <c r="X12" s="20">
        <f>IF(H12="",0,VLOOKUP(H12,Definitions!$Z:$AA,COLUMNS(Definitions!$Z:$AA),FALSE))</f>
        <v>1</v>
      </c>
      <c r="Y12" s="20">
        <f>IF(I12="",0,VLOOKUP(I12,Definitions!$Z:$AA,COLUMNS(Definitions!$Z:$AA),FALSE))</f>
        <v>6</v>
      </c>
      <c r="Z12" s="20">
        <f>IF(J12="",0,VLOOKUP(J12,Definitions!$Z:$AA,COLUMNS(Definitions!$Z:$AA),FALSE))</f>
        <v>3</v>
      </c>
      <c r="AA12" s="20">
        <f>IF(K12="",0,VLOOKUP(K12,Definitions!$Z:$AA,COLUMNS(Definitions!$Z:$AA),FALSE))</f>
        <v>0</v>
      </c>
      <c r="AB12" s="20">
        <f>IF(L12="",0,VLOOKUP(L12,Definitions!$Z:$AA,COLUMNS(Definitions!$Z:$AA),FALSE))</f>
        <v>0</v>
      </c>
      <c r="AC12" s="20">
        <f t="shared" ca="1" si="2"/>
        <v>10</v>
      </c>
      <c r="AD12" s="20" cm="1">
        <f t="array" ref="AD12">CreateTaskID($AD$2,$AD:$AD,Tasks!$B$17,$P12)</f>
        <v>0</v>
      </c>
      <c r="AE12" s="20" t="str" cm="1">
        <f t="array" ca="1" aca="1" ref="AE12">InverseLookup($A12,Countermeasures!$X$2,Countermeasures!$A$2,1,Helper!$B$4,",")</f>
        <v/>
      </c>
      <c r="AF12" s="20" t="str" cm="1">
        <f t="array" ca="1" aca="1" ref="AF12">InverseLookup($A12,Assumptions!$X$3,Assumptions!$A$3,1,Helper!$B$6,",")</f>
        <v/>
      </c>
      <c r="AG12" s="20" t="str" cm="1">
        <f t="array" ca="1" aca="1" ref="AG12">InverseLookup($A12,Assumptions!$Y$3,Assumptions!$A$3,1,Helper!$B$6,",")</f>
        <v/>
      </c>
      <c r="AH12" s="20" t="str" cm="1">
        <f t="array" ca="1" aca="1" ref="AH12">IF($U12,CreateSearchString(SUBSTITUTE($S12,"§","")),"")</f>
        <v>,AS1,AS3,AS10,AS2,AS3,AS10,</v>
      </c>
      <c r="AI12" s="20" t="b">
        <f t="shared" ca="1" si="3"/>
        <v>1</v>
      </c>
      <c r="AJ12" s="81"/>
      <c r="AK12" s="81"/>
      <c r="AL12" s="81"/>
      <c r="AM12" s="81"/>
      <c r="AN12" s="81"/>
    </row>
    <row r="13" spans="1:40" ht="30">
      <c r="A13" s="13" t="s">
        <v>126</v>
      </c>
      <c r="B13" s="13" t="s">
        <v>127</v>
      </c>
      <c r="C13" s="13" t="s">
        <v>109</v>
      </c>
      <c r="D13" s="19" t="str" cm="1">
        <f t="array" ca="1" aca="1" ref="D13">LookupNames(SanitizeInput($C13),$A:$B)</f>
        <v>AS3 Compromising the product using a software vulnerability</v>
      </c>
      <c r="E13" s="13" t="s">
        <v>1075</v>
      </c>
      <c r="F13" s="19" t="str" cm="1">
        <f t="array" ca="1" aca="1" ref="F13">RemoveDelimiter(GetValues(SanitizeInput($E13),Questions!$A:$B,"   ",CHAR(10),TRUE),CHAR(10))</f>
        <v>QI14   Can a manipulated product affect the operation of its operational environment?</v>
      </c>
      <c r="G13" s="16" t="str" cm="1">
        <f t="array" ca="1" aca="1" ref="G13">LookupNames($T13,'Damage Scenarios'!$A:$J)</f>
        <v>DS14 Critical environmental damage caused by manipulated product</v>
      </c>
      <c r="H13" s="13"/>
      <c r="I13" s="13" t="s">
        <v>140</v>
      </c>
      <c r="J13" s="13"/>
      <c r="K13" s="13"/>
      <c r="L13" s="13"/>
      <c r="M13" s="130" t="str">
        <f ca="1">IF($A13="","",IFERROR(VLOOKUP($AC13,Definitions!$V:$W,COLUMNS(Definitions!$V:$W),TRUE),""))</f>
        <v>Basic</v>
      </c>
      <c r="N13" s="13"/>
      <c r="O13" s="13" t="s">
        <v>609</v>
      </c>
      <c r="P13" s="13" t="s">
        <v>196</v>
      </c>
      <c r="Q13" s="10" cm="1">
        <f t="array" ref="Q13">IF(ROW()=ROW($Q$2)+1,0,INDEX($Q:$Q,ROW()-1))+IF($A13="",0,1)</f>
        <v>11</v>
      </c>
      <c r="R13" s="14" t="b">
        <f>OR(CheckRelevance(SanitizeInput(N13),Questionnaire!$I:$I),CheckRelevance(SanitizeInput(N13),Questionnaire!$J:$J))</f>
        <v>0</v>
      </c>
      <c r="S13" s="14" t="str" cm="1">
        <f t="array" ca="1" aca="1" ref="S13">IF(AND($N13&lt;&gt;"",$R13=FALSE),"",IF(AND($R13,$C13=""),$A13&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13),$A:$S,$A13))</f>
        <v>AS1,AS3,AS11,§AS2,AS3,AS11,§</v>
      </c>
      <c r="T13" s="14" t="str" cm="1">
        <f t="array" ca="1" aca="1" ref="T13">GetValues(SanitizeInput($E13),'Damage Scenarios'!$B:$T,"",",",FALSE)</f>
        <v>DS14,</v>
      </c>
      <c r="U13" s="14" t="b">
        <f t="shared" ca="1" si="0"/>
        <v>1</v>
      </c>
      <c r="V13" s="20" cm="1">
        <f t="array" ca="1" aca="1" ref="V13">CreateID($V$2,$V:$V,$U13)</f>
        <v>6</v>
      </c>
      <c r="W13" s="20">
        <f t="shared" ca="1" si="1"/>
        <v>2</v>
      </c>
      <c r="X13" s="20">
        <f>IF(H13="",0,VLOOKUP(H13,Definitions!$Z:$AA,COLUMNS(Definitions!$Z:$AA),FALSE))</f>
        <v>0</v>
      </c>
      <c r="Y13" s="20">
        <f>IF(I13="",0,VLOOKUP(I13,Definitions!$Z:$AA,COLUMNS(Definitions!$Z:$AA),FALSE))</f>
        <v>3</v>
      </c>
      <c r="Z13" s="20">
        <f>IF(J13="",0,VLOOKUP(J13,Definitions!$Z:$AA,COLUMNS(Definitions!$Z:$AA),FALSE))</f>
        <v>0</v>
      </c>
      <c r="AA13" s="20">
        <f>IF(K13="",0,VLOOKUP(K13,Definitions!$Z:$AA,COLUMNS(Definitions!$Z:$AA),FALSE))</f>
        <v>0</v>
      </c>
      <c r="AB13" s="20">
        <f>IF(L13="",0,VLOOKUP(L13,Definitions!$Z:$AA,COLUMNS(Definitions!$Z:$AA),FALSE))</f>
        <v>0</v>
      </c>
      <c r="AC13" s="20">
        <f t="shared" ca="1" si="2"/>
        <v>3</v>
      </c>
      <c r="AD13" s="20" cm="1">
        <f t="array" ref="AD13">CreateTaskID($AD$2,$AD:$AD,Tasks!$B$17,$P13)</f>
        <v>0</v>
      </c>
      <c r="AE13" s="20" t="str" cm="1">
        <f t="array" ca="1" aca="1" ref="AE13">InverseLookup($A13,Countermeasures!$X$2,Countermeasures!$A$2,1,Helper!$B$4,",")</f>
        <v/>
      </c>
      <c r="AF13" s="20" t="str" cm="1">
        <f t="array" ca="1" aca="1" ref="AF13">InverseLookup($A13,Assumptions!$X$3,Assumptions!$A$3,1,Helper!$B$6,",")</f>
        <v/>
      </c>
      <c r="AG13" s="20" t="str" cm="1">
        <f t="array" ca="1" aca="1" ref="AG13">InverseLookup($A13,Assumptions!$Y$3,Assumptions!$A$3,1,Helper!$B$6,",")</f>
        <v/>
      </c>
      <c r="AH13" s="20" t="str" cm="1">
        <f t="array" ca="1" aca="1" ref="AH13">IF($U13,CreateSearchString(SUBSTITUTE($S13,"§","")),"")</f>
        <v>,AS1,AS3,AS11,AS2,AS3,AS11,</v>
      </c>
      <c r="AI13" s="20" t="b">
        <f t="shared" ca="1" si="3"/>
        <v>1</v>
      </c>
      <c r="AJ13" s="81"/>
      <c r="AK13" s="81"/>
      <c r="AL13" s="81"/>
      <c r="AM13" s="81"/>
      <c r="AN13" s="81"/>
    </row>
    <row r="14" spans="1:40" ht="45">
      <c r="A14" s="13" t="s">
        <v>128</v>
      </c>
      <c r="B14" s="13" t="s">
        <v>956</v>
      </c>
      <c r="C14" s="13"/>
      <c r="D14" s="19" t="str" cm="1">
        <f t="array" ref="D14">LookupNames(SanitizeInput($C14),$A:$B)</f>
        <v/>
      </c>
      <c r="E14" s="13"/>
      <c r="F14" s="19" t="str" cm="1">
        <f t="array" ref="F14">RemoveDelimiter(GetValues(SanitizeInput($E14),Questions!$A:$B,"   ",CHAR(10),TRUE),CHAR(10))</f>
        <v/>
      </c>
      <c r="G14" s="16" t="str" cm="1">
        <f t="array" ref="G14">LookupNames($T14,'Damage Scenarios'!$A:$J)</f>
        <v/>
      </c>
      <c r="H14" s="13"/>
      <c r="I14" s="13" t="s">
        <v>140</v>
      </c>
      <c r="J14" s="13" t="s">
        <v>145</v>
      </c>
      <c r="K14" s="13"/>
      <c r="L14" s="13"/>
      <c r="M14" s="130" t="str">
        <f ca="1">IF($A14="","",IFERROR(VLOOKUP($AC14,Definitions!$V:$W,COLUMNS(Definitions!$V:$W),TRUE),""))</f>
        <v>Basic</v>
      </c>
      <c r="N14" s="13" t="s">
        <v>1042</v>
      </c>
      <c r="O14" s="13"/>
      <c r="P14" s="13" t="s">
        <v>1742</v>
      </c>
      <c r="Q14" s="10" cm="1">
        <f t="array" ref="Q14">IF(ROW()=ROW($Q$2)+1,0,INDEX($Q:$Q,ROW()-1))+IF($A14="",0,1)</f>
        <v>12</v>
      </c>
      <c r="R14" s="14" t="b">
        <f ca="1">OR(CheckRelevance(SanitizeInput(N14),Questionnaire!$I:$I),CheckRelevance(SanitizeInput(N14),Questionnaire!$J:$J))</f>
        <v>0</v>
      </c>
      <c r="S14" s="14" t="str" cm="1">
        <f t="array" ca="1" aca="1" ref="S14">IF(AND($N14&lt;&gt;"",$R14=FALSE),"",IF(AND($R14,$C14=""),$A14&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14),$A:$S,$A14))</f>
        <v/>
      </c>
      <c r="T14" s="14" t="str" cm="1">
        <f t="array" ref="T14">GetValues(SanitizeInput($E14),'Damage Scenarios'!$B:$T,"",",",FALSE)</f>
        <v/>
      </c>
      <c r="U14" s="14" t="b">
        <f t="shared" ca="1" si="0"/>
        <v>0</v>
      </c>
      <c r="V14" s="20" cm="1">
        <f t="array" ca="1" aca="1" ref="V14">CreateID($V$2,$V:$V,$U14)</f>
        <v>6</v>
      </c>
      <c r="W14" s="20">
        <f t="shared" ca="1" si="1"/>
        <v>0</v>
      </c>
      <c r="X14" s="20">
        <f>IF(H14="",0,VLOOKUP(H14,Definitions!$Z:$AA,COLUMNS(Definitions!$Z:$AA),FALSE))</f>
        <v>0</v>
      </c>
      <c r="Y14" s="20">
        <f>IF(I14="",0,VLOOKUP(I14,Definitions!$Z:$AA,COLUMNS(Definitions!$Z:$AA),FALSE))</f>
        <v>3</v>
      </c>
      <c r="Z14" s="20">
        <f>IF(J14="",0,VLOOKUP(J14,Definitions!$Z:$AA,COLUMNS(Definitions!$Z:$AA),FALSE))</f>
        <v>3</v>
      </c>
      <c r="AA14" s="20">
        <f>IF(K14="",0,VLOOKUP(K14,Definitions!$Z:$AA,COLUMNS(Definitions!$Z:$AA),FALSE))</f>
        <v>0</v>
      </c>
      <c r="AB14" s="20">
        <f>IF(L14="",0,VLOOKUP(L14,Definitions!$Z:$AA,COLUMNS(Definitions!$Z:$AA),FALSE))</f>
        <v>0</v>
      </c>
      <c r="AC14" s="20">
        <f t="shared" ca="1" si="2"/>
        <v>6</v>
      </c>
      <c r="AD14" s="20" cm="1">
        <f t="array" ref="AD14">CreateTaskID($AD$2,$AD:$AD,Tasks!$B$17,$P14)</f>
        <v>0</v>
      </c>
      <c r="AE14" s="20" t="str" cm="1">
        <f t="array" ca="1" aca="1" ref="AE14">InverseLookup($A14,Countermeasures!$X$2,Countermeasures!$A$2,1,Helper!$B$4,",")</f>
        <v>C15,</v>
      </c>
      <c r="AF14" s="20" t="str" cm="1">
        <f t="array" ca="1" aca="1" ref="AF14">InverseLookup($A14,Assumptions!$X$3,Assumptions!$A$3,1,Helper!$B$6,",")</f>
        <v/>
      </c>
      <c r="AG14" s="20" t="str" cm="1">
        <f t="array" ca="1" aca="1" ref="AG14">InverseLookup($A14,Assumptions!$Y$3,Assumptions!$A$3,1,Helper!$B$6,",")</f>
        <v/>
      </c>
      <c r="AH14" s="20" t="str" cm="1">
        <f t="array" ca="1" aca="1" ref="AH14">IF($U14,CreateSearchString(SUBSTITUTE($S14,"§","")),"")</f>
        <v/>
      </c>
      <c r="AI14" s="20" t="b">
        <f t="shared" ca="1" si="3"/>
        <v>0</v>
      </c>
      <c r="AJ14" s="81"/>
      <c r="AK14" s="81"/>
      <c r="AL14" s="81"/>
      <c r="AM14" s="81"/>
      <c r="AN14" s="81"/>
    </row>
    <row r="15" spans="1:40" ht="75">
      <c r="A15" s="13" t="s">
        <v>130</v>
      </c>
      <c r="B15" s="13" t="s">
        <v>994</v>
      </c>
      <c r="C15" s="13"/>
      <c r="D15" s="19" t="str" cm="1">
        <f t="array" ref="D15">LookupNames(SanitizeInput($C15),$A:$B)</f>
        <v/>
      </c>
      <c r="E15" s="13"/>
      <c r="F15" s="19" t="str" cm="1">
        <f t="array" ref="F15">RemoveDelimiter(GetValues(SanitizeInput($E15),Questions!$A:$B,"   ",CHAR(10),TRUE),CHAR(10))</f>
        <v/>
      </c>
      <c r="G15" s="16" t="str" cm="1">
        <f t="array" ref="G15">LookupNames($T15,'Damage Scenarios'!$A:$J)</f>
        <v/>
      </c>
      <c r="H15" s="13"/>
      <c r="I15" s="13" t="s">
        <v>140</v>
      </c>
      <c r="J15" s="13"/>
      <c r="K15" s="13" t="s">
        <v>149</v>
      </c>
      <c r="L15" s="13"/>
      <c r="M15" s="130" t="str">
        <f ca="1">IF($A15="","",IFERROR(VLOOKUP($AC15,Definitions!$V:$W,COLUMNS(Definitions!$V:$W),TRUE),""))</f>
        <v>Basic</v>
      </c>
      <c r="N15" s="13" t="s">
        <v>1055</v>
      </c>
      <c r="O15" s="13"/>
      <c r="P15" s="13" t="s">
        <v>200</v>
      </c>
      <c r="Q15" s="10" cm="1">
        <f t="array" ref="Q15">IF(ROW()=ROW($Q$2)+1,0,INDEX($Q:$Q,ROW()-1))+IF($A15="",0,1)</f>
        <v>13</v>
      </c>
      <c r="R15" s="14" t="b">
        <f ca="1">OR(CheckRelevance(SanitizeInput(N15),Questionnaire!$I:$I),CheckRelevance(SanitizeInput(N15),Questionnaire!$J:$J))</f>
        <v>0</v>
      </c>
      <c r="S15" s="14" t="str" cm="1">
        <f t="array" ca="1" aca="1" ref="S15">IF(AND($N15&lt;&gt;"",$R15=FALSE),"",IF(AND($R15,$C15=""),$A15&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15),$A:$S,$A15))</f>
        <v/>
      </c>
      <c r="T15" s="14" t="str" cm="1">
        <f t="array" ref="T15">GetValues(SanitizeInput($E15),'Damage Scenarios'!$B:$T,"",",",FALSE)</f>
        <v/>
      </c>
      <c r="U15" s="14" t="b">
        <f t="shared" ca="1" si="0"/>
        <v>0</v>
      </c>
      <c r="V15" s="20" cm="1">
        <f t="array" ca="1" aca="1" ref="V15">CreateID($V$2,$V:$V,$U15)</f>
        <v>6</v>
      </c>
      <c r="W15" s="20">
        <f t="shared" ca="1" si="1"/>
        <v>0</v>
      </c>
      <c r="X15" s="20">
        <f>IF(H15="",0,VLOOKUP(H15,Definitions!$Z:$AA,COLUMNS(Definitions!$Z:$AA),FALSE))</f>
        <v>0</v>
      </c>
      <c r="Y15" s="20">
        <f>IF(I15="",0,VLOOKUP(I15,Definitions!$Z:$AA,COLUMNS(Definitions!$Z:$AA),FALSE))</f>
        <v>3</v>
      </c>
      <c r="Z15" s="20">
        <f>IF(J15="",0,VLOOKUP(J15,Definitions!$Z:$AA,COLUMNS(Definitions!$Z:$AA),FALSE))</f>
        <v>0</v>
      </c>
      <c r="AA15" s="20">
        <f>IF(K15="",0,VLOOKUP(K15,Definitions!$Z:$AA,COLUMNS(Definitions!$Z:$AA),FALSE))</f>
        <v>1</v>
      </c>
      <c r="AB15" s="20">
        <f>IF(L15="",0,VLOOKUP(L15,Definitions!$Z:$AA,COLUMNS(Definitions!$Z:$AA),FALSE))</f>
        <v>0</v>
      </c>
      <c r="AC15" s="20">
        <f t="shared" ca="1" si="2"/>
        <v>4</v>
      </c>
      <c r="AD15" s="20" cm="1">
        <f t="array" ref="AD15">CreateTaskID($AD$2,$AD:$AD,Tasks!$B$17,$P15)</f>
        <v>0</v>
      </c>
      <c r="AE15" s="20" t="str" cm="1">
        <f t="array" ca="1" aca="1" ref="AE15">InverseLookup($A15,Countermeasures!$X$2,Countermeasures!$A$2,1,Helper!$B$4,",")</f>
        <v>C30,</v>
      </c>
      <c r="AF15" s="20" t="str" cm="1">
        <f t="array" ca="1" aca="1" ref="AF15">InverseLookup($A15,Assumptions!$X$3,Assumptions!$A$3,1,Helper!$B$6,",")</f>
        <v/>
      </c>
      <c r="AG15" s="20" t="str" cm="1">
        <f t="array" ca="1" aca="1" ref="AG15">InverseLookup($A15,Assumptions!$Y$3,Assumptions!$A$3,1,Helper!$B$6,",")</f>
        <v/>
      </c>
      <c r="AH15" s="20" t="str" cm="1">
        <f t="array" ca="1" aca="1" ref="AH15">IF($U15,CreateSearchString(SUBSTITUTE($S15,"§","")),"")</f>
        <v/>
      </c>
      <c r="AI15" s="20" t="b">
        <f t="shared" ca="1" si="3"/>
        <v>0</v>
      </c>
      <c r="AJ15" s="81"/>
      <c r="AK15" s="81"/>
      <c r="AL15" s="81"/>
      <c r="AM15" s="81"/>
      <c r="AN15" s="81"/>
    </row>
    <row r="16" spans="1:40" ht="113.25">
      <c r="A16" s="13" t="s">
        <v>201</v>
      </c>
      <c r="B16" s="13" t="s">
        <v>206</v>
      </c>
      <c r="C16" s="13" t="s">
        <v>999</v>
      </c>
      <c r="D16" s="19" t="str" cm="1">
        <f t="array" ca="1" aca="1" ref="D16">LookupNames(SanitizeInput($C16),$A:$B)</f>
        <v>AS1 Getting access to a trusted operational environment,
AS13 Attacking the product or its communication from an untrusted local network,
AS27 Getting physical access to the product's linked communication media (e.g., field buses)</v>
      </c>
      <c r="E16" s="13" t="s">
        <v>1091</v>
      </c>
      <c r="F16" s="19" t="str" cm="1">
        <f t="array" ca="1" aca="1" ref="F16">RemoveDelimiter(GetValues(SanitizeInput($E16),Questions!$A:$B,"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acontis techonlogies GmbH product)? Example: The product is used for access control.
QI9   Can a loss of availability cause contract-related fines (e.g., based on a service level agreement)?</v>
      </c>
      <c r="G16" s="16" t="str" cm="1">
        <f t="array" ca="1" aca="1" ref="G16">LookupNames($T16,'Damage Scenarios'!$A:$J)</f>
        <v>DS6 Life-threatening injury caused by unavailable product,
DS7 Critical environmental damage caused by unavailable product,
DS8 Loss of Critical financial damage caused by unavailable product</v>
      </c>
      <c r="H16" s="13"/>
      <c r="I16" s="13" t="s">
        <v>140</v>
      </c>
      <c r="J16" s="13"/>
      <c r="K16" s="13"/>
      <c r="L16" s="13"/>
      <c r="M16" s="130" t="str">
        <f ca="1">IF($A16="","",IFERROR(VLOOKUP($AC16,Definitions!$V:$W,COLUMNS(Definitions!$V:$W),TRUE),""))</f>
        <v>Basic</v>
      </c>
      <c r="N16" s="13"/>
      <c r="O16" s="13" t="s">
        <v>604</v>
      </c>
      <c r="P16" s="13" t="s">
        <v>196</v>
      </c>
      <c r="Q16" s="10" cm="1">
        <f t="array" ref="Q16">IF(ROW()=ROW($Q$2)+1,0,INDEX($Q:$Q,ROW()-1))+IF($A16="",0,1)</f>
        <v>14</v>
      </c>
      <c r="R16" s="14" t="b">
        <f>OR(CheckRelevance(SanitizeInput(N16),Questionnaire!$I:$I),CheckRelevance(SanitizeInput(N16),Questionnaire!$J:$J))</f>
        <v>0</v>
      </c>
      <c r="S16" s="14" t="str" cm="1">
        <f t="array" ca="1" aca="1" ref="S16">IF(AND($N16&lt;&gt;"",$R16=FALSE),"",IF(AND($R16,$C16=""),$A16&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16),$A:$S,$A16))</f>
        <v>AS1,AS14,§</v>
      </c>
      <c r="T16" s="14" t="str" cm="1">
        <f t="array" ca="1" aca="1" ref="T16">GetValues(SanitizeInput($E16),'Damage Scenarios'!$B:$T,"",",",FALSE)</f>
        <v>DS6,DS7,DS8,</v>
      </c>
      <c r="U16" s="14" t="b">
        <f t="shared" ca="1" si="0"/>
        <v>1</v>
      </c>
      <c r="V16" s="20" cm="1">
        <f t="array" ca="1" aca="1" ref="V16">CreateID($V$2,$V:$V,$U16)</f>
        <v>7</v>
      </c>
      <c r="W16" s="20">
        <f t="shared" ca="1" si="1"/>
        <v>1</v>
      </c>
      <c r="X16" s="20">
        <f>IF(H16="",0,VLOOKUP(H16,Definitions!$Z:$AA,COLUMNS(Definitions!$Z:$AA),FALSE))</f>
        <v>0</v>
      </c>
      <c r="Y16" s="20">
        <f>IF(I16="",0,VLOOKUP(I16,Definitions!$Z:$AA,COLUMNS(Definitions!$Z:$AA),FALSE))</f>
        <v>3</v>
      </c>
      <c r="Z16" s="20">
        <f>IF(J16="",0,VLOOKUP(J16,Definitions!$Z:$AA,COLUMNS(Definitions!$Z:$AA),FALSE))</f>
        <v>0</v>
      </c>
      <c r="AA16" s="20">
        <f>IF(K16="",0,VLOOKUP(K16,Definitions!$Z:$AA,COLUMNS(Definitions!$Z:$AA),FALSE))</f>
        <v>0</v>
      </c>
      <c r="AB16" s="20">
        <f>IF(L16="",0,VLOOKUP(L16,Definitions!$Z:$AA,COLUMNS(Definitions!$Z:$AA),FALSE))</f>
        <v>0</v>
      </c>
      <c r="AC16" s="20">
        <f t="shared" ca="1" si="2"/>
        <v>3</v>
      </c>
      <c r="AD16" s="20" cm="1">
        <f t="array" ref="AD16">CreateTaskID($AD$2,$AD:$AD,Tasks!$B$17,$P16)</f>
        <v>0</v>
      </c>
      <c r="AE16" s="20" t="str" cm="1">
        <f t="array" ca="1" aca="1" ref="AE16">InverseLookup($A16,Countermeasures!$X$2,Countermeasures!$A$2,1,Helper!$B$4,",")</f>
        <v/>
      </c>
      <c r="AF16" s="20" t="str" cm="1">
        <f t="array" ca="1" aca="1" ref="AF16">InverseLookup($A16,Assumptions!$X$3,Assumptions!$A$3,1,Helper!$B$6,",")</f>
        <v/>
      </c>
      <c r="AG16" s="20" t="str" cm="1">
        <f t="array" ca="1" aca="1" ref="AG16">InverseLookup($A16,Assumptions!$Y$3,Assumptions!$A$3,1,Helper!$B$6,",")</f>
        <v>A44,</v>
      </c>
      <c r="AH16" s="20" t="str" cm="1">
        <f t="array" ca="1" aca="1" ref="AH16">IF($U16,CreateSearchString(SUBSTITUTE($S16,"§","")),"")</f>
        <v>,AS1,AS14,</v>
      </c>
      <c r="AI16" s="20" t="b">
        <f t="shared" ca="1" si="3"/>
        <v>1</v>
      </c>
      <c r="AJ16" s="81"/>
      <c r="AK16" s="81"/>
      <c r="AL16" s="81"/>
      <c r="AM16" s="81"/>
      <c r="AN16" s="81"/>
    </row>
    <row r="17" spans="1:40" ht="45">
      <c r="A17" s="13" t="s">
        <v>202</v>
      </c>
      <c r="B17" s="13" t="s">
        <v>1006</v>
      </c>
      <c r="C17" s="13"/>
      <c r="D17" s="19" t="str" cm="1">
        <f t="array" ref="D17">LookupNames(SanitizeInput($C17),$A:$B)</f>
        <v/>
      </c>
      <c r="E17" s="13"/>
      <c r="F17" s="19" t="str" cm="1">
        <f t="array" ref="F17">RemoveDelimiter(GetValues(SanitizeInput($E17),Questions!$A:$B,"   ",CHAR(10),TRUE),CHAR(10))</f>
        <v/>
      </c>
      <c r="G17" s="16" t="str" cm="1">
        <f t="array" ref="G17">LookupNames($T17,'Damage Scenarios'!$A:$J)</f>
        <v/>
      </c>
      <c r="H17" s="13"/>
      <c r="I17" s="13" t="s">
        <v>140</v>
      </c>
      <c r="J17" s="13"/>
      <c r="K17" s="13" t="s">
        <v>148</v>
      </c>
      <c r="L17" s="13"/>
      <c r="M17" s="130" t="str">
        <f ca="1">IF($A17="","",IFERROR(VLOOKUP($AC17,Definitions!$V:$W,COLUMNS(Definitions!$V:$W),TRUE),""))</f>
        <v>Basic</v>
      </c>
      <c r="N17" s="13" t="s">
        <v>1247</v>
      </c>
      <c r="O17" s="13"/>
      <c r="P17" s="13" t="s">
        <v>207</v>
      </c>
      <c r="Q17" s="10" cm="1">
        <f t="array" ref="Q17">IF(ROW()=ROW($Q$2)+1,0,INDEX($Q:$Q,ROW()-1))+IF($A17="",0,1)</f>
        <v>15</v>
      </c>
      <c r="R17" s="14" t="b">
        <f ca="1">OR(CheckRelevance(SanitizeInput(N17),Questionnaire!$I:$I),CheckRelevance(SanitizeInput(N17),Questionnaire!$J:$J))</f>
        <v>0</v>
      </c>
      <c r="S17" s="14" t="str" cm="1">
        <f t="array" ca="1" aca="1" ref="S17">IF(AND($N17&lt;&gt;"",$R17=FALSE),"",IF(AND($R17,$C17=""),$A17&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17),$A:$S,$A17))</f>
        <v/>
      </c>
      <c r="T17" s="14" t="str" cm="1">
        <f t="array" ref="T17">GetValues(SanitizeInput($E17),'Damage Scenarios'!$B:$T,"",",",FALSE)</f>
        <v/>
      </c>
      <c r="U17" s="14" t="b">
        <f t="shared" ca="1" si="0"/>
        <v>0</v>
      </c>
      <c r="V17" s="20" cm="1">
        <f t="array" ca="1" aca="1" ref="V17">CreateID($V$2,$V:$V,$U17)</f>
        <v>7</v>
      </c>
      <c r="W17" s="20">
        <f t="shared" ca="1" si="1"/>
        <v>0</v>
      </c>
      <c r="X17" s="20">
        <f>IF(H17="",0,VLOOKUP(H17,Definitions!$Z:$AA,COLUMNS(Definitions!$Z:$AA),FALSE))</f>
        <v>0</v>
      </c>
      <c r="Y17" s="20">
        <f>IF(I17="",0,VLOOKUP(I17,Definitions!$Z:$AA,COLUMNS(Definitions!$Z:$AA),FALSE))</f>
        <v>3</v>
      </c>
      <c r="Z17" s="20">
        <f>IF(J17="",0,VLOOKUP(J17,Definitions!$Z:$AA,COLUMNS(Definitions!$Z:$AA),FALSE))</f>
        <v>0</v>
      </c>
      <c r="AA17" s="20">
        <f>IF(K17="",0,VLOOKUP(K17,Definitions!$Z:$AA,COLUMNS(Definitions!$Z:$AA),FALSE))</f>
        <v>0</v>
      </c>
      <c r="AB17" s="20">
        <f>IF(L17="",0,VLOOKUP(L17,Definitions!$Z:$AA,COLUMNS(Definitions!$Z:$AA),FALSE))</f>
        <v>0</v>
      </c>
      <c r="AC17" s="20">
        <f t="shared" ca="1" si="2"/>
        <v>3</v>
      </c>
      <c r="AD17" s="20" cm="1">
        <f t="array" ref="AD17">CreateTaskID($AD$2,$AD:$AD,Tasks!$B$17,$P17)</f>
        <v>0</v>
      </c>
      <c r="AE17" s="20" t="str" cm="1">
        <f t="array" ca="1" aca="1" ref="AE17">InverseLookup($A17,Countermeasures!$X$2,Countermeasures!$A$2,1,Helper!$B$4,",")</f>
        <v>CM1,</v>
      </c>
      <c r="AF17" s="20" t="str" cm="1">
        <f t="array" ca="1" aca="1" ref="AF17">InverseLookup($A17,Assumptions!$X$3,Assumptions!$A$3,1,Helper!$B$6,",")</f>
        <v/>
      </c>
      <c r="AG17" s="20" t="str" cm="1">
        <f t="array" ca="1" aca="1" ref="AG17">InverseLookup($A17,Assumptions!$Y$3,Assumptions!$A$3,1,Helper!$B$6,",")</f>
        <v/>
      </c>
      <c r="AH17" s="20" t="str" cm="1">
        <f t="array" ca="1" aca="1" ref="AH17">IF($U17,CreateSearchString(SUBSTITUTE($S17,"§","")),"")</f>
        <v/>
      </c>
      <c r="AI17" s="20" t="b">
        <f t="shared" ca="1" si="3"/>
        <v>0</v>
      </c>
      <c r="AJ17" s="81"/>
      <c r="AK17" s="81"/>
      <c r="AL17" s="81"/>
      <c r="AM17" s="81"/>
      <c r="AN17" s="81"/>
    </row>
    <row r="18" spans="1:40" ht="203.25">
      <c r="A18" s="13" t="s">
        <v>203</v>
      </c>
      <c r="B18" s="13" t="s">
        <v>1388</v>
      </c>
      <c r="C18" s="13" t="s">
        <v>1120</v>
      </c>
      <c r="D18" s="19" t="str" cm="1">
        <f t="array" ca="1" aca="1" ref="D18">LookupNames(SanitizeInput($C18),$A:$B)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18" s="13" t="s">
        <v>1103</v>
      </c>
      <c r="F18" s="19" t="str" cm="1">
        <f t="array" ca="1" aca="1" ref="F18">RemoveDelimiter(GetValues(SanitizeInput($E18),Questions!$A:$B,"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18" s="16" t="str" cm="1">
        <f t="array" ca="1" aca="1" ref="G18">LookupNames($T18,'Damage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18" s="13"/>
      <c r="I18" s="13" t="s">
        <v>140</v>
      </c>
      <c r="J18" s="13" t="s">
        <v>145</v>
      </c>
      <c r="K18" s="13"/>
      <c r="L18" s="13"/>
      <c r="M18" s="130" t="str">
        <f ca="1">IF($A18="","",IFERROR(VLOOKUP($AC18,Definitions!$V:$W,COLUMNS(Definitions!$V:$W),TRUE),""))</f>
        <v>Basic</v>
      </c>
      <c r="N18" s="13" t="s">
        <v>1050</v>
      </c>
      <c r="O18" s="13" t="s">
        <v>647</v>
      </c>
      <c r="P18" s="13" t="s">
        <v>1722</v>
      </c>
      <c r="Q18" s="10" cm="1">
        <f t="array" ref="Q18">IF(ROW()=ROW($Q$2)+1,0,INDEX($Q:$Q,ROW()-1))+IF($A18="",0,1)</f>
        <v>16</v>
      </c>
      <c r="R18" s="14" t="b">
        <f ca="1">OR(CheckRelevance(SanitizeInput(N18),Questionnaire!$I:$I),CheckRelevance(SanitizeInput(N18),Questionnaire!$J:$J))</f>
        <v>1</v>
      </c>
      <c r="S18" s="14" t="str" cm="1">
        <f t="array" ca="1" aca="1" ref="S18">IF(AND($N18&lt;&gt;"",$R18=FALSE),"",IF(AND($R18,$C18=""),$A18&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18),$A:$S,$A18))</f>
        <v>AS1,AS16,§AS2,AS16,§</v>
      </c>
      <c r="T18" s="14" t="str" cm="1">
        <f t="array" ca="1" aca="1" ref="T18">GetValues(SanitizeInput($E18),'Damage Scenarios'!$B:$T,"",",",FALSE)</f>
        <v>DS10,DS11,DS12,DS13,DS14,DS15,</v>
      </c>
      <c r="U18" s="14" t="b">
        <f t="shared" ca="1" si="0"/>
        <v>1</v>
      </c>
      <c r="V18" s="20" cm="1">
        <f t="array" ca="1" aca="1" ref="V18">CreateID($V$2,$V:$V,$U18)</f>
        <v>8</v>
      </c>
      <c r="W18" s="20">
        <f t="shared" ca="1" si="1"/>
        <v>2</v>
      </c>
      <c r="X18" s="20">
        <f>IF(H18="",0,VLOOKUP(H18,Definitions!$Z:$AA,COLUMNS(Definitions!$Z:$AA),FALSE))</f>
        <v>0</v>
      </c>
      <c r="Y18" s="20">
        <f>IF(I18="",0,VLOOKUP(I18,Definitions!$Z:$AA,COLUMNS(Definitions!$Z:$AA),FALSE))</f>
        <v>3</v>
      </c>
      <c r="Z18" s="20">
        <f>IF(J18="",0,VLOOKUP(J18,Definitions!$Z:$AA,COLUMNS(Definitions!$Z:$AA),FALSE))</f>
        <v>3</v>
      </c>
      <c r="AA18" s="20">
        <f>IF(K18="",0,VLOOKUP(K18,Definitions!$Z:$AA,COLUMNS(Definitions!$Z:$AA),FALSE))</f>
        <v>0</v>
      </c>
      <c r="AB18" s="20">
        <f>IF(L18="",0,VLOOKUP(L18,Definitions!$Z:$AA,COLUMNS(Definitions!$Z:$AA),FALSE))</f>
        <v>0</v>
      </c>
      <c r="AC18" s="20">
        <f t="shared" ca="1" si="2"/>
        <v>6</v>
      </c>
      <c r="AD18" s="20" cm="1">
        <f t="array" ref="AD18">CreateTaskID($AD$2,$AD:$AD,Tasks!$B$17,$P18)</f>
        <v>0</v>
      </c>
      <c r="AE18" s="20" t="str" cm="1">
        <f t="array" ca="1" aca="1" ref="AE18">InverseLookup($A18,Countermeasures!$X$2,Countermeasures!$A$2,1,Helper!$B$4,",")</f>
        <v>CM5,CM6,CM14,CM15,CM24,CM25,CM26,CM27,CM28,</v>
      </c>
      <c r="AF18" s="20" t="str" cm="1">
        <f t="array" ca="1" aca="1" ref="AF18">InverseLookup($A18,Assumptions!$X$3,Assumptions!$A$3,1,Helper!$B$6,",")</f>
        <v/>
      </c>
      <c r="AG18" s="20" t="str" cm="1">
        <f t="array" ca="1" aca="1" ref="AG18">InverseLookup($A18,Assumptions!$Y$3,Assumptions!$A$3,1,Helper!$B$6,",")</f>
        <v/>
      </c>
      <c r="AH18" s="20" t="str" cm="1">
        <f t="array" ca="1" aca="1" ref="AH18">IF($U18,CreateSearchString(SUBSTITUTE($S18,"§","")),"")</f>
        <v>,AS1,AS16,AS2,AS16,</v>
      </c>
      <c r="AI18" s="20" t="b">
        <f t="shared" ca="1" si="3"/>
        <v>1</v>
      </c>
      <c r="AJ18" s="81"/>
      <c r="AK18" s="81"/>
      <c r="AL18" s="81"/>
      <c r="AM18" s="81"/>
      <c r="AN18" s="81"/>
    </row>
    <row r="19" spans="1:40" ht="293.25">
      <c r="A19" s="13" t="s">
        <v>204</v>
      </c>
      <c r="B19" s="13" t="s">
        <v>323</v>
      </c>
      <c r="C19" s="13"/>
      <c r="D19" s="19" t="str" cm="1">
        <f t="array" ref="D19">LookupNames(SanitizeInput($C19),$A:$B)</f>
        <v/>
      </c>
      <c r="E19" s="13" t="s">
        <v>1092</v>
      </c>
      <c r="F19" s="19" t="str" cm="1">
        <f t="array" ca="1" aca="1" ref="F19">RemoveDelimiter(GetValues(SanitizeInput($E19),Questions!$A:$B,"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acontis techonlogies GmbH product)? Example: The product is used for access control.
QI9   Can a loss of availability cause contract-related fines (e.g., based on a service level agreement)?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19" s="16" t="str" cm="1">
        <f t="array" ca="1" aca="1" ref="G19">LookupNames($T19,'Damage Scenarios'!$A:$J)</f>
        <v>DS6 Life-threatening injury caused by unavailable product,
DS7 Critical environmental damage caused by unavailable product,
DS8 Loss of Critical financial damage caused by unavailable product,
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19" s="13" t="s">
        <v>133</v>
      </c>
      <c r="I19" s="13" t="s">
        <v>141</v>
      </c>
      <c r="J19" s="13" t="s">
        <v>145</v>
      </c>
      <c r="K19" s="13"/>
      <c r="L19" s="13"/>
      <c r="M19" s="130" t="str">
        <f ca="1">IF($A19="","",IFERROR(VLOOKUP($AC19,Definitions!$V:$W,COLUMNS(Definitions!$V:$W),TRUE),""))</f>
        <v>Enhanced-Basic</v>
      </c>
      <c r="N19" s="13" t="s">
        <v>1248</v>
      </c>
      <c r="O19" s="13" t="s">
        <v>607</v>
      </c>
      <c r="P19" s="13" t="s">
        <v>1020</v>
      </c>
      <c r="Q19" s="10" cm="1">
        <f t="array" ref="Q19">IF(ROW()=ROW($Q$2)+1,0,INDEX($Q:$Q,ROW()-1))+IF($A19="",0,1)</f>
        <v>17</v>
      </c>
      <c r="R19" s="14" t="b">
        <f ca="1">OR(CheckRelevance(SanitizeInput(N19),Questionnaire!$I:$I),CheckRelevance(SanitizeInput(N19),Questionnaire!$J:$J))</f>
        <v>0</v>
      </c>
      <c r="S19" s="14" t="str" cm="1">
        <f t="array" ca="1" aca="1" ref="S19">IF(AND($N19&lt;&gt;"",$R19=FALSE),"",IF(AND($R19,$C19=""),$A19&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19),$A:$S,$A19))</f>
        <v/>
      </c>
      <c r="T19" s="14" t="str" cm="1">
        <f t="array" ca="1" aca="1" ref="T19">GetValues(SanitizeInput($E19),'Damage Scenarios'!$B:$T,"",",",FALSE)</f>
        <v>DS6,DS7,DS8,DS10,DS11,DS12,DS13,DS14,DS15,</v>
      </c>
      <c r="U19" s="14" t="b">
        <f t="shared" ca="1" si="0"/>
        <v>0</v>
      </c>
      <c r="V19" s="20" cm="1">
        <f t="array" ca="1" aca="1" ref="V19">CreateID($V$2,$V:$V,$U19)</f>
        <v>8</v>
      </c>
      <c r="W19" s="20">
        <f t="shared" ca="1" si="1"/>
        <v>0</v>
      </c>
      <c r="X19" s="20">
        <f>IF(H19="",0,VLOOKUP(H19,Definitions!$Z:$AA,COLUMNS(Definitions!$Z:$AA),FALSE))</f>
        <v>1</v>
      </c>
      <c r="Y19" s="20">
        <f>IF(I19="",0,VLOOKUP(I19,Definitions!$Z:$AA,COLUMNS(Definitions!$Z:$AA),FALSE))</f>
        <v>6</v>
      </c>
      <c r="Z19" s="20">
        <f>IF(J19="",0,VLOOKUP(J19,Definitions!$Z:$AA,COLUMNS(Definitions!$Z:$AA),FALSE))</f>
        <v>3</v>
      </c>
      <c r="AA19" s="20">
        <f>IF(K19="",0,VLOOKUP(K19,Definitions!$Z:$AA,COLUMNS(Definitions!$Z:$AA),FALSE))</f>
        <v>0</v>
      </c>
      <c r="AB19" s="20">
        <f>IF(L19="",0,VLOOKUP(L19,Definitions!$Z:$AA,COLUMNS(Definitions!$Z:$AA),FALSE))</f>
        <v>0</v>
      </c>
      <c r="AC19" s="20">
        <f t="shared" ca="1" si="2"/>
        <v>10</v>
      </c>
      <c r="AD19" s="20" cm="1">
        <f t="array" ref="AD19">CreateTaskID($AD$2,$AD:$AD,Tasks!$B$17,$P19)</f>
        <v>0</v>
      </c>
      <c r="AE19" s="20" t="str" cm="1">
        <f t="array" ca="1" aca="1" ref="AE19">InverseLookup($A19,Countermeasures!$X$2,Countermeasures!$A$2,1,Helper!$B$4,",")</f>
        <v>C15,CM19,</v>
      </c>
      <c r="AF19" s="20" t="str" cm="1">
        <f t="array" ca="1" aca="1" ref="AF19">InverseLookup($A19,Assumptions!$X$3,Assumptions!$A$3,1,Helper!$B$6,",")</f>
        <v/>
      </c>
      <c r="AG19" s="20" t="str" cm="1">
        <f t="array" ca="1" aca="1" ref="AG19">InverseLookup($A19,Assumptions!$Y$3,Assumptions!$A$3,1,Helper!$B$6,",")</f>
        <v/>
      </c>
      <c r="AH19" s="20" t="str" cm="1">
        <f t="array" ca="1" aca="1" ref="AH19">IF($U19,CreateSearchString(SUBSTITUTE($S19,"§","")),"")</f>
        <v/>
      </c>
      <c r="AI19" s="20" t="b">
        <f t="shared" ca="1" si="3"/>
        <v>0</v>
      </c>
      <c r="AJ19" s="81"/>
      <c r="AK19" s="81"/>
      <c r="AL19" s="81"/>
      <c r="AM19" s="81"/>
      <c r="AN19" s="81"/>
    </row>
    <row r="20" spans="1:40" ht="180.75">
      <c r="A20" s="13" t="s">
        <v>205</v>
      </c>
      <c r="B20" s="13" t="s">
        <v>324</v>
      </c>
      <c r="C20" s="13" t="s">
        <v>328</v>
      </c>
      <c r="D20" s="19" t="str" cm="1">
        <f t="array" ca="1" aca="1" ref="D20">LookupNames(SanitizeInput($C20),$A:$B)</f>
        <v>AS19 Spoofing an entity sending a software update or manipulation of the update during transmission,
AS20 Providing a malicious software update from an untrusted source</v>
      </c>
      <c r="E20" s="13" t="s">
        <v>1082</v>
      </c>
      <c r="F20" s="19" t="str" cm="1">
        <f t="array" ca="1" aca="1" ref="F20">RemoveDelimiter(GetValues(SanitizeInput($E20),Questions!$A:$B,"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0" s="16" t="str" cm="1">
        <f t="array" ca="1" aca="1" ref="G20">LookupNames($T20,'Damage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20" s="13" t="s">
        <v>134</v>
      </c>
      <c r="I20" s="13" t="s">
        <v>141</v>
      </c>
      <c r="J20" s="13" t="s">
        <v>145</v>
      </c>
      <c r="K20" s="13"/>
      <c r="L20" s="13"/>
      <c r="M20" s="130" t="str">
        <f ca="1">IF($A20="","",IFERROR(VLOOKUP($AC20,Definitions!$V:$W,COLUMNS(Definitions!$V:$W),TRUE),""))</f>
        <v>Enhanced-Basic</v>
      </c>
      <c r="N20" s="13"/>
      <c r="O20" s="13" t="s">
        <v>647</v>
      </c>
      <c r="P20" s="13" t="s">
        <v>330</v>
      </c>
      <c r="Q20" s="10" cm="1">
        <f t="array" ref="Q20">IF(ROW()=ROW($Q$2)+1,0,INDEX($Q:$Q,ROW()-1))+IF($A20="",0,1)</f>
        <v>18</v>
      </c>
      <c r="R20" s="14" t="b">
        <f>OR(CheckRelevance(SanitizeInput(N20),Questionnaire!$I:$I),CheckRelevance(SanitizeInput(N20),Questionnaire!$J:$J))</f>
        <v>0</v>
      </c>
      <c r="S20" s="14" t="str" cm="1">
        <f t="array" ca="1" aca="1" ref="S20">IF(AND($N20&lt;&gt;"",$R20=FALSE),"",IF(AND($R20,$C20=""),$A20&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20),$A:$S,$A20))</f>
        <v/>
      </c>
      <c r="T20" s="14" t="str" cm="1">
        <f t="array" ca="1" aca="1" ref="T20">GetValues(SanitizeInput($E20),'Damage Scenarios'!$B:$T,"",",",FALSE)</f>
        <v>DS10,DS11,DS12,DS13,DS14,DS15,</v>
      </c>
      <c r="U20" s="14" t="b">
        <f t="shared" ca="1" si="0"/>
        <v>0</v>
      </c>
      <c r="V20" s="20" cm="1">
        <f t="array" ca="1" aca="1" ref="V20">CreateID($V$2,$V:$V,$U20)</f>
        <v>8</v>
      </c>
      <c r="W20" s="20">
        <f t="shared" ca="1" si="1"/>
        <v>0</v>
      </c>
      <c r="X20" s="20">
        <f>IF(H20="",0,VLOOKUP(H20,Definitions!$Z:$AA,COLUMNS(Definitions!$Z:$AA),FALSE))</f>
        <v>4</v>
      </c>
      <c r="Y20" s="20">
        <f>IF(I20="",0,VLOOKUP(I20,Definitions!$Z:$AA,COLUMNS(Definitions!$Z:$AA),FALSE))</f>
        <v>6</v>
      </c>
      <c r="Z20" s="20">
        <f>IF(J20="",0,VLOOKUP(J20,Definitions!$Z:$AA,COLUMNS(Definitions!$Z:$AA),FALSE))</f>
        <v>3</v>
      </c>
      <c r="AA20" s="20">
        <f>IF(K20="",0,VLOOKUP(K20,Definitions!$Z:$AA,COLUMNS(Definitions!$Z:$AA),FALSE))</f>
        <v>0</v>
      </c>
      <c r="AB20" s="20">
        <f>IF(L20="",0,VLOOKUP(L20,Definitions!$Z:$AA,COLUMNS(Definitions!$Z:$AA),FALSE))</f>
        <v>0</v>
      </c>
      <c r="AC20" s="20">
        <f t="shared" ca="1" si="2"/>
        <v>13</v>
      </c>
      <c r="AD20" s="20" cm="1">
        <f t="array" ref="AD20">CreateTaskID($AD$2,$AD:$AD,Tasks!$B$17,$P20)</f>
        <v>0</v>
      </c>
      <c r="AE20" s="20" t="str" cm="1">
        <f t="array" ca="1" aca="1" ref="AE20">InverseLookup($A20,Countermeasures!$X$2,Countermeasures!$A$2,1,Helper!$B$4,",")</f>
        <v>CM12,</v>
      </c>
      <c r="AF20" s="20" t="str" cm="1">
        <f t="array" ca="1" aca="1" ref="AF20">InverseLookup($A20,Assumptions!$X$3,Assumptions!$A$3,1,Helper!$B$6,",")</f>
        <v/>
      </c>
      <c r="AG20" s="20" t="str" cm="1">
        <f t="array" ca="1" aca="1" ref="AG20">InverseLookup($A20,Assumptions!$Y$3,Assumptions!$A$3,1,Helper!$B$6,",")</f>
        <v/>
      </c>
      <c r="AH20" s="20" t="str" cm="1">
        <f t="array" ca="1" aca="1" ref="AH20">IF($U20,CreateSearchString(SUBSTITUTE($S20,"§","")),"")</f>
        <v/>
      </c>
      <c r="AI20" s="20" t="b">
        <f t="shared" ca="1" si="3"/>
        <v>0</v>
      </c>
      <c r="AJ20" s="81"/>
      <c r="AK20" s="81"/>
      <c r="AL20" s="81"/>
      <c r="AM20" s="81"/>
      <c r="AN20" s="81"/>
    </row>
    <row r="21" spans="1:40" ht="30">
      <c r="A21" s="13" t="s">
        <v>325</v>
      </c>
      <c r="B21" s="13" t="s">
        <v>329</v>
      </c>
      <c r="C21" s="13" t="s">
        <v>113</v>
      </c>
      <c r="D21" s="19" t="str" cm="1">
        <f t="array" ca="1" aca="1" ref="D21">LookupNames(SanitizeInput($C21),$A:$B)</f>
        <v>AS7 Spoofing / tampering with the product's incoming communication</v>
      </c>
      <c r="E21" s="13"/>
      <c r="F21" s="34" t="str" cm="1">
        <f t="array" ref="F21">RemoveDelimiter(GetValues(SanitizeInput($E21),Questions!$A:$B,"   ",CHAR(10),TRUE),CHAR(10))</f>
        <v/>
      </c>
      <c r="G21" s="33" t="str" cm="1">
        <f t="array" ref="G21">LookupNames($T21,'Damage Scenarios'!$A:$J)</f>
        <v/>
      </c>
      <c r="H21" s="13"/>
      <c r="I21" s="13"/>
      <c r="J21" s="13"/>
      <c r="K21" s="13"/>
      <c r="L21" s="13"/>
      <c r="M21" s="130" t="str">
        <f ca="1">IF($A21="","",IFERROR(VLOOKUP($AC21,Definitions!$V:$W,COLUMNS(Definitions!$V:$W),TRUE),""))</f>
        <v>Basic</v>
      </c>
      <c r="N21" s="13" t="s">
        <v>1380</v>
      </c>
      <c r="O21" s="13"/>
      <c r="P21" s="13"/>
      <c r="Q21" s="10" cm="1">
        <f t="array" ref="Q21">IF(ROW()=ROW($Q$2)+1,0,INDEX($Q:$Q,ROW()-1))+IF($A21="",0,1)</f>
        <v>19</v>
      </c>
      <c r="R21" s="20" t="b">
        <f ca="1">OR(CheckRelevance(SanitizeInput(N21),Questionnaire!$I:$I),CheckRelevance(SanitizeInput(N21),Questionnaire!$J:$J))</f>
        <v>0</v>
      </c>
      <c r="S21" s="14" t="str" cm="1">
        <f t="array" ca="1" aca="1" ref="S21">IF(AND($N21&lt;&gt;"",$R21=FALSE),"",IF(AND($R21,$C21=""),$A21&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21),$A:$S,$A21))</f>
        <v/>
      </c>
      <c r="T21" s="20" t="str" cm="1">
        <f t="array" ref="T21">GetValues(SanitizeInput($E21),'Damage Scenarios'!$B:$T,"",",",FALSE)</f>
        <v/>
      </c>
      <c r="U21" s="20" t="b">
        <f t="shared" ca="1" si="0"/>
        <v>0</v>
      </c>
      <c r="V21" s="20" cm="1">
        <f t="array" ca="1" aca="1" ref="V21">CreateID($V$2,$V:$V,$U21)</f>
        <v>8</v>
      </c>
      <c r="W21" s="20">
        <f t="shared" ca="1" si="1"/>
        <v>0</v>
      </c>
      <c r="X21" s="20">
        <f>IF(H21="",0,VLOOKUP(H21,Definitions!$Z:$AA,COLUMNS(Definitions!$Z:$AA),FALSE))</f>
        <v>0</v>
      </c>
      <c r="Y21" s="20">
        <f>IF(I21="",0,VLOOKUP(I21,Definitions!$Z:$AA,COLUMNS(Definitions!$Z:$AA),FALSE))</f>
        <v>0</v>
      </c>
      <c r="Z21" s="20">
        <f>IF(J21="",0,VLOOKUP(J21,Definitions!$Z:$AA,COLUMNS(Definitions!$Z:$AA),FALSE))</f>
        <v>0</v>
      </c>
      <c r="AA21" s="20">
        <f>IF(K21="",0,VLOOKUP(K21,Definitions!$Z:$AA,COLUMNS(Definitions!$Z:$AA),FALSE))</f>
        <v>0</v>
      </c>
      <c r="AB21" s="20">
        <f>IF(L21="",0,VLOOKUP(L21,Definitions!$Z:$AA,COLUMNS(Definitions!$Z:$AA),FALSE))</f>
        <v>0</v>
      </c>
      <c r="AC21" s="20">
        <f t="shared" ca="1" si="2"/>
        <v>0</v>
      </c>
      <c r="AD21" s="20" cm="1">
        <f t="array" ref="AD21">CreateTaskID($AD$2,$AD:$AD,Tasks!$B$17,$P21)</f>
        <v>0</v>
      </c>
      <c r="AE21" s="20" t="str" cm="1">
        <f t="array" ca="1" aca="1" ref="AE21">InverseLookup($A21,Countermeasures!$X$2,Countermeasures!$A$2,1,Helper!$B$4,",")</f>
        <v>CM11,</v>
      </c>
      <c r="AF21" s="20" t="str" cm="1">
        <f t="array" ca="1" aca="1" ref="AF21">InverseLookup($A21,Assumptions!$X$3,Assumptions!$A$3,1,Helper!$B$6,",")</f>
        <v/>
      </c>
      <c r="AG21" s="20" t="str" cm="1">
        <f t="array" ca="1" aca="1" ref="AG21">InverseLookup($A21,Assumptions!$Y$3,Assumptions!$A$3,1,Helper!$B$6,",")</f>
        <v/>
      </c>
      <c r="AH21" s="20" t="str" cm="1">
        <f t="array" ca="1" aca="1" ref="AH21">IF($U21,CreateSearchString(SUBSTITUTE($S21,"§","")),"")</f>
        <v/>
      </c>
      <c r="AI21" s="20" t="b">
        <f t="shared" ca="1" si="3"/>
        <v>0</v>
      </c>
      <c r="AJ21" s="81"/>
      <c r="AK21" s="81"/>
      <c r="AL21" s="81"/>
      <c r="AM21" s="81"/>
      <c r="AN21" s="81"/>
    </row>
    <row r="22" spans="1:40" ht="15">
      <c r="A22" s="13" t="s">
        <v>326</v>
      </c>
      <c r="B22" s="13" t="s">
        <v>327</v>
      </c>
      <c r="C22" s="13"/>
      <c r="D22" s="19" t="str" cm="1">
        <f t="array" ref="D22">LookupNames(SanitizeInput($C22),$A:$B)</f>
        <v/>
      </c>
      <c r="E22" s="13"/>
      <c r="F22" s="34" t="str" cm="1">
        <f t="array" ref="F22">RemoveDelimiter(GetValues(SanitizeInput($E22),Questions!$A:$B,"   ",CHAR(10),TRUE),CHAR(10))</f>
        <v/>
      </c>
      <c r="G22" s="33" t="str" cm="1">
        <f t="array" ref="G22">LookupNames($T22,'Damage Scenarios'!$A:$J)</f>
        <v/>
      </c>
      <c r="H22" s="13"/>
      <c r="I22" s="13"/>
      <c r="J22" s="13"/>
      <c r="K22" s="13"/>
      <c r="L22" s="13"/>
      <c r="M22" s="130" t="str">
        <f ca="1">IF($A22="","",IFERROR(VLOOKUP($AC22,Definitions!$V:$W,COLUMNS(Definitions!$V:$W),TRUE),""))</f>
        <v>Basic</v>
      </c>
      <c r="N22" s="13" t="s">
        <v>1381</v>
      </c>
      <c r="O22" s="13"/>
      <c r="P22" s="13"/>
      <c r="Q22" s="10" cm="1">
        <f t="array" ref="Q22">IF(ROW()=ROW($Q$2)+1,0,INDEX($Q:$Q,ROW()-1))+IF($A22="",0,1)</f>
        <v>20</v>
      </c>
      <c r="R22" s="20" t="b">
        <f ca="1">OR(CheckRelevance(SanitizeInput(N22),Questionnaire!$I:$I),CheckRelevance(SanitizeInput(N22),Questionnaire!$J:$J))</f>
        <v>0</v>
      </c>
      <c r="S22" s="14" t="str" cm="1">
        <f t="array" ca="1" aca="1" ref="S22">IF(AND($N22&lt;&gt;"",$R22=FALSE),"",IF(AND($R22,$C22=""),$A22&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22),$A:$S,$A22))</f>
        <v/>
      </c>
      <c r="T22" s="20" t="str" cm="1">
        <f t="array" ref="T22">GetValues(SanitizeInput($E22),'Damage Scenarios'!$B:$T,"",",",FALSE)</f>
        <v/>
      </c>
      <c r="U22" s="20" t="b">
        <f t="shared" ca="1" si="0"/>
        <v>0</v>
      </c>
      <c r="V22" s="20" cm="1">
        <f t="array" ca="1" aca="1" ref="V22">CreateID($V$2,$V:$V,$U22)</f>
        <v>8</v>
      </c>
      <c r="W22" s="20">
        <f t="shared" ca="1" si="1"/>
        <v>0</v>
      </c>
      <c r="X22" s="20">
        <f>IF(H22="",0,VLOOKUP(H22,Definitions!$Z:$AA,COLUMNS(Definitions!$Z:$AA),FALSE))</f>
        <v>0</v>
      </c>
      <c r="Y22" s="20">
        <f>IF(I22="",0,VLOOKUP(I22,Definitions!$Z:$AA,COLUMNS(Definitions!$Z:$AA),FALSE))</f>
        <v>0</v>
      </c>
      <c r="Z22" s="20">
        <f>IF(J22="",0,VLOOKUP(J22,Definitions!$Z:$AA,COLUMNS(Definitions!$Z:$AA),FALSE))</f>
        <v>0</v>
      </c>
      <c r="AA22" s="20">
        <f>IF(K22="",0,VLOOKUP(K22,Definitions!$Z:$AA,COLUMNS(Definitions!$Z:$AA),FALSE))</f>
        <v>0</v>
      </c>
      <c r="AB22" s="20">
        <f>IF(L22="",0,VLOOKUP(L22,Definitions!$Z:$AA,COLUMNS(Definitions!$Z:$AA),FALSE))</f>
        <v>0</v>
      </c>
      <c r="AC22" s="20">
        <f t="shared" ca="1" si="2"/>
        <v>0</v>
      </c>
      <c r="AD22" s="20" cm="1">
        <f t="array" ref="AD22">CreateTaskID($AD$2,$AD:$AD,Tasks!$B$17,$P22)</f>
        <v>0</v>
      </c>
      <c r="AE22" s="20" t="str" cm="1">
        <f t="array" ca="1" aca="1" ref="AE22">InverseLookup($A22,Countermeasures!$X$2,Countermeasures!$A$2,1,Helper!$B$4,",")</f>
        <v/>
      </c>
      <c r="AF22" s="20" t="str" cm="1">
        <f t="array" ca="1" aca="1" ref="AF22">InverseLookup($A22,Assumptions!$X$3,Assumptions!$A$3,1,Helper!$B$6,",")</f>
        <v/>
      </c>
      <c r="AG22" s="20" t="str" cm="1">
        <f t="array" ca="1" aca="1" ref="AG22">InverseLookup($A22,Assumptions!$Y$3,Assumptions!$A$3,1,Helper!$B$6,",")</f>
        <v/>
      </c>
      <c r="AH22" s="20" t="str" cm="1">
        <f t="array" ca="1" aca="1" ref="AH22">IF($U22,CreateSearchString(SUBSTITUTE($S22,"§","")),"")</f>
        <v/>
      </c>
      <c r="AI22" s="20" t="b">
        <f t="shared" ca="1" si="3"/>
        <v>0</v>
      </c>
      <c r="AJ22" s="81"/>
      <c r="AK22" s="81"/>
      <c r="AL22" s="81"/>
      <c r="AM22" s="81"/>
      <c r="AN22" s="81"/>
    </row>
    <row r="23" spans="1:40" ht="15">
      <c r="A23" s="13" t="s">
        <v>331</v>
      </c>
      <c r="B23" s="13" t="s">
        <v>333</v>
      </c>
      <c r="C23" s="13"/>
      <c r="D23" s="19" t="str" cm="1">
        <f t="array" ref="D23">LookupNames(SanitizeInput($C23),$A:$B)</f>
        <v/>
      </c>
      <c r="E23" s="13"/>
      <c r="F23" s="34" t="str" cm="1">
        <f t="array" ref="F23">RemoveDelimiter(GetValues(SanitizeInput($E23),Questions!$A:$B,"   ",CHAR(10),TRUE),CHAR(10))</f>
        <v/>
      </c>
      <c r="G23" s="33" t="str" cm="1">
        <f t="array" ref="G23">LookupNames($T23,'Damage Scenarios'!$A:$J)</f>
        <v/>
      </c>
      <c r="H23" s="13"/>
      <c r="I23" s="13"/>
      <c r="J23" s="13"/>
      <c r="K23" s="13" t="s">
        <v>149</v>
      </c>
      <c r="L23" s="13"/>
      <c r="M23" s="130" t="str">
        <f ca="1">IF($A23="","",IFERROR(VLOOKUP($AC23,Definitions!$V:$W,COLUMNS(Definitions!$V:$W),TRUE),""))</f>
        <v>Basic</v>
      </c>
      <c r="N23" s="13" t="s">
        <v>1060</v>
      </c>
      <c r="O23" s="13"/>
      <c r="P23" s="13" t="s">
        <v>1723</v>
      </c>
      <c r="Q23" s="10" cm="1">
        <f t="array" ref="Q23">IF(ROW()=ROW($Q$2)+1,0,INDEX($Q:$Q,ROW()-1))+IF($A23="",0,1)</f>
        <v>21</v>
      </c>
      <c r="R23" s="20" t="b">
        <f ca="1">OR(CheckRelevance(SanitizeInput(N23),Questionnaire!$I:$I),CheckRelevance(SanitizeInput(N23),Questionnaire!$J:$J))</f>
        <v>1</v>
      </c>
      <c r="S23" s="14" t="str" cm="1">
        <f t="array" ca="1" aca="1" ref="S23">IF(AND($N23&lt;&gt;"",$R23=FALSE),"",IF(AND($R23,$C23=""),$A23&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23),$A:$S,$A23))</f>
        <v>AS21,§</v>
      </c>
      <c r="T23" s="20" t="str" cm="1">
        <f t="array" ref="T23">GetValues(SanitizeInput($E23),'Damage Scenarios'!$B:$T,"",",",FALSE)</f>
        <v/>
      </c>
      <c r="U23" s="20" t="b">
        <f t="shared" ca="1" si="0"/>
        <v>0</v>
      </c>
      <c r="V23" s="20" cm="1">
        <f t="array" ca="1" aca="1" ref="V23">CreateID($V$2,$V:$V,$U23)</f>
        <v>8</v>
      </c>
      <c r="W23" s="20">
        <f t="shared" ca="1" si="1"/>
        <v>0</v>
      </c>
      <c r="X23" s="20">
        <f>IF(H23="",0,VLOOKUP(H23,Definitions!$Z:$AA,COLUMNS(Definitions!$Z:$AA),FALSE))</f>
        <v>0</v>
      </c>
      <c r="Y23" s="20">
        <f>IF(I23="",0,VLOOKUP(I23,Definitions!$Z:$AA,COLUMNS(Definitions!$Z:$AA),FALSE))</f>
        <v>0</v>
      </c>
      <c r="Z23" s="20">
        <f>IF(J23="",0,VLOOKUP(J23,Definitions!$Z:$AA,COLUMNS(Definitions!$Z:$AA),FALSE))</f>
        <v>0</v>
      </c>
      <c r="AA23" s="20">
        <f>IF(K23="",0,VLOOKUP(K23,Definitions!$Z:$AA,COLUMNS(Definitions!$Z:$AA),FALSE))</f>
        <v>1</v>
      </c>
      <c r="AB23" s="20">
        <f>IF(L23="",0,VLOOKUP(L23,Definitions!$Z:$AA,COLUMNS(Definitions!$Z:$AA),FALSE))</f>
        <v>0</v>
      </c>
      <c r="AC23" s="20">
        <f t="shared" ca="1" si="2"/>
        <v>1</v>
      </c>
      <c r="AD23" s="20" cm="1">
        <f t="array" ref="AD23">CreateTaskID($AD$2,$AD:$AD,Tasks!$B$17,$P23)</f>
        <v>0</v>
      </c>
      <c r="AE23" s="20" t="str" cm="1">
        <f t="array" ca="1" aca="1" ref="AE23">InverseLookup($A23,Countermeasures!$X$2,Countermeasures!$A$2,1,Helper!$B$4,",")</f>
        <v/>
      </c>
      <c r="AF23" s="20" t="str" cm="1">
        <f t="array" ca="1" aca="1" ref="AF23">InverseLookup($A23,Assumptions!$X$3,Assumptions!$A$3,1,Helper!$B$6,",")</f>
        <v>A15,</v>
      </c>
      <c r="AG23" s="20" t="str" cm="1">
        <f t="array" ca="1" aca="1" ref="AG23">InverseLookup($A23,Assumptions!$Y$3,Assumptions!$A$3,1,Helper!$B$6,",")</f>
        <v>A14,A15,A45,</v>
      </c>
      <c r="AH23" s="20" t="str" cm="1">
        <f t="array" ca="1" aca="1" ref="AH23">IF($U23,CreateSearchString(SUBSTITUTE($S23,"§","")),"")</f>
        <v/>
      </c>
      <c r="AI23" s="20" t="b">
        <f t="shared" ca="1" si="3"/>
        <v>1</v>
      </c>
      <c r="AJ23" s="81"/>
      <c r="AK23" s="81"/>
      <c r="AL23" s="81"/>
      <c r="AM23" s="81"/>
      <c r="AN23" s="81"/>
    </row>
    <row r="24" spans="1:40" ht="30">
      <c r="A24" s="13" t="s">
        <v>332</v>
      </c>
      <c r="B24" s="13" t="s">
        <v>334</v>
      </c>
      <c r="C24" s="13"/>
      <c r="D24" s="19" t="str" cm="1">
        <f t="array" ref="D24">LookupNames(SanitizeInput($C24),$A:$B)</f>
        <v/>
      </c>
      <c r="E24" s="13"/>
      <c r="F24" s="34" t="str" cm="1">
        <f t="array" ref="F24">RemoveDelimiter(GetValues(SanitizeInput($E24),Questions!$A:$B,"   ",CHAR(10),TRUE),CHAR(10))</f>
        <v/>
      </c>
      <c r="G24" s="33" t="str" cm="1">
        <f t="array" ref="G24">LookupNames($T24,'Damage Scenarios'!$A:$J)</f>
        <v/>
      </c>
      <c r="H24" s="13"/>
      <c r="I24" s="13"/>
      <c r="J24" s="13"/>
      <c r="K24" s="13" t="s">
        <v>148</v>
      </c>
      <c r="L24" s="13"/>
      <c r="M24" s="130" t="str">
        <f ca="1">IF($A24="","",IFERROR(VLOOKUP($AC24,Definitions!$V:$W,COLUMNS(Definitions!$V:$W),TRUE),""))</f>
        <v>Basic</v>
      </c>
      <c r="N24" s="13" t="s">
        <v>1061</v>
      </c>
      <c r="O24" s="13"/>
      <c r="P24" s="13" t="s">
        <v>596</v>
      </c>
      <c r="Q24" s="10" cm="1">
        <f t="array" ref="Q24">IF(ROW()=ROW($Q$2)+1,0,INDEX($Q:$Q,ROW()-1))+IF($A24="",0,1)</f>
        <v>22</v>
      </c>
      <c r="R24" s="20" t="b">
        <f ca="1">OR(CheckRelevance(SanitizeInput(N24),Questionnaire!$I:$I),CheckRelevance(SanitizeInput(N24),Questionnaire!$J:$J))</f>
        <v>1</v>
      </c>
      <c r="S24" s="14" t="str" cm="1">
        <f t="array" ca="1" aca="1" ref="S24">IF(AND($N24&lt;&gt;"",$R24=FALSE),"",IF(AND($R24,$C24=""),$A24&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24),$A:$S,$A24))</f>
        <v>AS22,§</v>
      </c>
      <c r="T24" s="20" t="str" cm="1">
        <f t="array" ref="T24">GetValues(SanitizeInput($E24),'Damage Scenarios'!$B:$T,"",",",FALSE)</f>
        <v/>
      </c>
      <c r="U24" s="20" t="b">
        <f t="shared" ca="1" si="0"/>
        <v>0</v>
      </c>
      <c r="V24" s="20" cm="1">
        <f t="array" ca="1" aca="1" ref="V24">CreateID($V$2,$V:$V,$U24)</f>
        <v>8</v>
      </c>
      <c r="W24" s="20">
        <f t="shared" ca="1" si="1"/>
        <v>0</v>
      </c>
      <c r="X24" s="20">
        <f>IF(H24="",0,VLOOKUP(H24,Definitions!$Z:$AA,COLUMNS(Definitions!$Z:$AA),FALSE))</f>
        <v>0</v>
      </c>
      <c r="Y24" s="20">
        <f>IF(I24="",0,VLOOKUP(I24,Definitions!$Z:$AA,COLUMNS(Definitions!$Z:$AA),FALSE))</f>
        <v>0</v>
      </c>
      <c r="Z24" s="20">
        <f>IF(J24="",0,VLOOKUP(J24,Definitions!$Z:$AA,COLUMNS(Definitions!$Z:$AA),FALSE))</f>
        <v>0</v>
      </c>
      <c r="AA24" s="20">
        <f>IF(K24="",0,VLOOKUP(K24,Definitions!$Z:$AA,COLUMNS(Definitions!$Z:$AA),FALSE))</f>
        <v>0</v>
      </c>
      <c r="AB24" s="20">
        <f>IF(L24="",0,VLOOKUP(L24,Definitions!$Z:$AA,COLUMNS(Definitions!$Z:$AA),FALSE))</f>
        <v>0</v>
      </c>
      <c r="AC24" s="20">
        <f t="shared" ca="1" si="2"/>
        <v>0</v>
      </c>
      <c r="AD24" s="20" cm="1">
        <f t="array" ref="AD24">CreateTaskID($AD$2,$AD:$AD,Tasks!$B$17,$P24)</f>
        <v>0</v>
      </c>
      <c r="AE24" s="20" t="str" cm="1">
        <f t="array" ca="1" aca="1" ref="AE24">InverseLookup($A24,Countermeasures!$X$2,Countermeasures!$A$2,1,Helper!$B$4,",")</f>
        <v>C3,</v>
      </c>
      <c r="AF24" s="20" t="str" cm="1">
        <f t="array" ca="1" aca="1" ref="AF24">InverseLookup($A24,Assumptions!$X$3,Assumptions!$A$3,1,Helper!$B$6,",")</f>
        <v>A21,</v>
      </c>
      <c r="AG24" s="20" t="str" cm="1">
        <f t="array" ca="1" aca="1" ref="AG24">InverseLookup($A24,Assumptions!$Y$3,Assumptions!$A$3,1,Helper!$B$6,",")</f>
        <v>A21,A39,</v>
      </c>
      <c r="AH24" s="20" t="str" cm="1">
        <f t="array" ca="1" aca="1" ref="AH24">IF($U24,CreateSearchString(SUBSTITUTE($S24,"§","")),"")</f>
        <v/>
      </c>
      <c r="AI24" s="20" t="b">
        <f t="shared" ca="1" si="3"/>
        <v>1</v>
      </c>
      <c r="AJ24" s="81"/>
      <c r="AK24" s="81"/>
      <c r="AL24" s="81"/>
      <c r="AM24" s="81"/>
      <c r="AN24" s="81"/>
    </row>
    <row r="25" spans="1:40" ht="203.25">
      <c r="A25" s="13" t="s">
        <v>335</v>
      </c>
      <c r="B25" s="13" t="s">
        <v>1223</v>
      </c>
      <c r="C25" s="13" t="s">
        <v>336</v>
      </c>
      <c r="D25" s="19" t="str" cm="1">
        <f t="array" ca="1" aca="1" ref="D25">LookupNames(SanitizeInput($C25),$A:$B)</f>
        <v>AS21 Gaining physical access to the product (3rd party),
AS22 Gaining physical access to the product (customer)</v>
      </c>
      <c r="E25" s="13" t="s">
        <v>1103</v>
      </c>
      <c r="F25" s="34" t="str" cm="1">
        <f t="array" ca="1" aca="1" ref="F25">RemoveDelimiter(GetValues(SanitizeInput($E25),Questions!$A:$B,"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5" s="33" t="str" cm="1">
        <f t="array" ca="1" aca="1" ref="G25">LookupNames($T25,'Damage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25" s="13" t="s">
        <v>133</v>
      </c>
      <c r="I25" s="13" t="s">
        <v>141</v>
      </c>
      <c r="J25" s="13" t="s">
        <v>145</v>
      </c>
      <c r="K25" s="13"/>
      <c r="L25" s="13"/>
      <c r="M25" s="130" t="str">
        <f ca="1">IF($A25="","",IFERROR(VLOOKUP($AC25,Definitions!$V:$W,COLUMNS(Definitions!$V:$W),TRUE),""))</f>
        <v>Enhanced-Basic</v>
      </c>
      <c r="N25" s="13"/>
      <c r="O25" s="13" t="s">
        <v>607</v>
      </c>
      <c r="P25" s="13" t="s">
        <v>1022</v>
      </c>
      <c r="Q25" s="10" cm="1">
        <f t="array" ref="Q25">IF(ROW()=ROW($Q$2)+1,0,INDEX($Q:$Q,ROW()-1))+IF($A25="",0,1)</f>
        <v>23</v>
      </c>
      <c r="R25" s="20" t="b">
        <f>OR(CheckRelevance(SanitizeInput(N25),Questionnaire!$I:$I),CheckRelevance(SanitizeInput(N25),Questionnaire!$J:$J))</f>
        <v>0</v>
      </c>
      <c r="S25" s="14" t="str" cm="1">
        <f t="array" ca="1" aca="1" ref="S25">IF(AND($N25&lt;&gt;"",$R25=FALSE),"",IF(AND($R25,$C25=""),$A25&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25),$A:$S,$A25))</f>
        <v>AS21,AS23,§AS22,AS23,§</v>
      </c>
      <c r="T25" s="20" t="str" cm="1">
        <f t="array" ca="1" aca="1" ref="T25">GetValues(SanitizeInput($E25),'Damage Scenarios'!$B:$T,"",",",FALSE)</f>
        <v>DS10,DS11,DS12,DS13,DS14,DS15,</v>
      </c>
      <c r="U25" s="20" t="b">
        <f t="shared" ca="1" si="0"/>
        <v>1</v>
      </c>
      <c r="V25" s="20" cm="1">
        <f t="array" ca="1" aca="1" ref="V25">CreateID($V$2,$V:$V,$U25)</f>
        <v>9</v>
      </c>
      <c r="W25" s="20">
        <f t="shared" ca="1" si="1"/>
        <v>2</v>
      </c>
      <c r="X25" s="20">
        <f>IF(H25="",0,VLOOKUP(H25,Definitions!$Z:$AA,COLUMNS(Definitions!$Z:$AA),FALSE))</f>
        <v>1</v>
      </c>
      <c r="Y25" s="20">
        <f>IF(I25="",0,VLOOKUP(I25,Definitions!$Z:$AA,COLUMNS(Definitions!$Z:$AA),FALSE))</f>
        <v>6</v>
      </c>
      <c r="Z25" s="20">
        <f>IF(J25="",0,VLOOKUP(J25,Definitions!$Z:$AA,COLUMNS(Definitions!$Z:$AA),FALSE))</f>
        <v>3</v>
      </c>
      <c r="AA25" s="20">
        <f>IF(K25="",0,VLOOKUP(K25,Definitions!$Z:$AA,COLUMNS(Definitions!$Z:$AA),FALSE))</f>
        <v>0</v>
      </c>
      <c r="AB25" s="20">
        <f>IF(L25="",0,VLOOKUP(L25,Definitions!$Z:$AA,COLUMNS(Definitions!$Z:$AA),FALSE))</f>
        <v>0</v>
      </c>
      <c r="AC25" s="20">
        <f t="shared" ca="1" si="2"/>
        <v>10</v>
      </c>
      <c r="AD25" s="20" cm="1">
        <f t="array" ref="AD25">CreateTaskID($AD$2,$AD:$AD,Tasks!$B$17,$P25)</f>
        <v>0</v>
      </c>
      <c r="AE25" s="20" t="str" cm="1">
        <f t="array" ca="1" aca="1" ref="AE25">InverseLookup($A25,Countermeasures!$X$2,Countermeasures!$A$2,1,Helper!$B$4,",")</f>
        <v>C30,C35,CM7,</v>
      </c>
      <c r="AF25" s="20" t="str" cm="1">
        <f t="array" ca="1" aca="1" ref="AF25">InverseLookup($A25,Assumptions!$X$3,Assumptions!$A$3,1,Helper!$B$6,",")</f>
        <v/>
      </c>
      <c r="AG25" s="20" t="str" cm="1">
        <f t="array" ca="1" aca="1" ref="AG25">InverseLookup($A25,Assumptions!$Y$3,Assumptions!$A$3,1,Helper!$B$6,",")</f>
        <v/>
      </c>
      <c r="AH25" s="20" t="str" cm="1">
        <f t="array" ca="1" aca="1" ref="AH25">IF($U25,CreateSearchString(SUBSTITUTE($S25,"§","")),"")</f>
        <v>,AS21,AS23,AS22,AS23,</v>
      </c>
      <c r="AI25" s="20" t="b">
        <f t="shared" ca="1" si="3"/>
        <v>1</v>
      </c>
      <c r="AJ25" s="81"/>
      <c r="AK25" s="81"/>
      <c r="AL25" s="81"/>
      <c r="AM25" s="81"/>
      <c r="AN25" s="81"/>
    </row>
    <row r="26" spans="1:40" ht="90.75">
      <c r="A26" s="13" t="s">
        <v>337</v>
      </c>
      <c r="B26" s="13" t="s">
        <v>1224</v>
      </c>
      <c r="C26" s="13" t="s">
        <v>336</v>
      </c>
      <c r="D26" s="19" t="str" cm="1">
        <f t="array" ca="1" aca="1" ref="D26">LookupNames(SanitizeInput($C26),$A:$B)</f>
        <v>AS21 Gaining physical access to the product (3rd party),
AS22 Gaining physical access to the product (customer)</v>
      </c>
      <c r="E26" s="13" t="s">
        <v>1100</v>
      </c>
      <c r="F26" s="34" t="str" cm="1">
        <f t="array" ca="1" aca="1" ref="F26">RemoveDelimiter(GetValues(SanitizeInput($E26),Questions!$A:$B,"   ",CHAR(10),TRUE),CHAR(10))</f>
        <v>QI2   Does the product process personal data?
Examples: User ID, address labels
QI4   Is acontis techonlogies GmbH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26" s="33" t="str" cm="1">
        <f t="array" ca="1" aca="1" ref="G26">LookupNames($T26,'Damage Scenarios'!$A:$J)</f>
        <v/>
      </c>
      <c r="H26" s="13"/>
      <c r="I26" s="13" t="s">
        <v>141</v>
      </c>
      <c r="J26" s="13"/>
      <c r="K26" s="13"/>
      <c r="L26" s="13"/>
      <c r="M26" s="130" t="str">
        <f ca="1">IF($A26="","",IFERROR(VLOOKUP($AC26,Definitions!$V:$W,COLUMNS(Definitions!$V:$W),TRUE),""))</f>
        <v>Basic</v>
      </c>
      <c r="N26" s="13"/>
      <c r="O26" s="13" t="s">
        <v>605</v>
      </c>
      <c r="P26" s="13" t="s">
        <v>1021</v>
      </c>
      <c r="Q26" s="10" cm="1">
        <f t="array" ref="Q26">IF(ROW()=ROW($Q$2)+1,0,INDEX($Q:$Q,ROW()-1))+IF($A26="",0,1)</f>
        <v>24</v>
      </c>
      <c r="R26" s="20" t="b">
        <f>OR(CheckRelevance(SanitizeInput(N26),Questionnaire!$I:$I),CheckRelevance(SanitizeInput(N26),Questionnaire!$J:$J))</f>
        <v>0</v>
      </c>
      <c r="S26" s="14" t="str" cm="1">
        <f t="array" ca="1" aca="1" ref="S26">IF(AND($N26&lt;&gt;"",$R26=FALSE),"",IF(AND($R26,$C26=""),$A26&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26),$A:$S,$A26))</f>
        <v>AS21,AS24,§AS22,AS24,§</v>
      </c>
      <c r="T26" s="20" t="str" cm="1">
        <f t="array" ca="1" aca="1" ref="T26">GetValues(SanitizeInput($E26),'Damage Scenarios'!$B:$T,"",",",FALSE)</f>
        <v/>
      </c>
      <c r="U26" s="20" t="b">
        <f t="shared" ca="1" si="0"/>
        <v>0</v>
      </c>
      <c r="V26" s="20" cm="1">
        <f t="array" ca="1" aca="1" ref="V26">CreateID($V$2,$V:$V,$U26)</f>
        <v>9</v>
      </c>
      <c r="W26" s="20">
        <f t="shared" ca="1" si="1"/>
        <v>0</v>
      </c>
      <c r="X26" s="20">
        <f>IF(H26="",0,VLOOKUP(H26,Definitions!$Z:$AA,COLUMNS(Definitions!$Z:$AA),FALSE))</f>
        <v>0</v>
      </c>
      <c r="Y26" s="20">
        <f>IF(I26="",0,VLOOKUP(I26,Definitions!$Z:$AA,COLUMNS(Definitions!$Z:$AA),FALSE))</f>
        <v>6</v>
      </c>
      <c r="Z26" s="20">
        <f>IF(J26="",0,VLOOKUP(J26,Definitions!$Z:$AA,COLUMNS(Definitions!$Z:$AA),FALSE))</f>
        <v>0</v>
      </c>
      <c r="AA26" s="20">
        <f>IF(K26="",0,VLOOKUP(K26,Definitions!$Z:$AA,COLUMNS(Definitions!$Z:$AA),FALSE))</f>
        <v>0</v>
      </c>
      <c r="AB26" s="20">
        <f>IF(L26="",0,VLOOKUP(L26,Definitions!$Z:$AA,COLUMNS(Definitions!$Z:$AA),FALSE))</f>
        <v>0</v>
      </c>
      <c r="AC26" s="20">
        <f t="shared" ca="1" si="2"/>
        <v>6</v>
      </c>
      <c r="AD26" s="20" cm="1">
        <f t="array" ref="AD26">CreateTaskID($AD$2,$AD:$AD,Tasks!$B$17,$P26)</f>
        <v>0</v>
      </c>
      <c r="AE26" s="20" t="str" cm="1">
        <f t="array" ca="1" aca="1" ref="AE26">InverseLookup($A26,Countermeasures!$X$2,Countermeasures!$A$2,1,Helper!$B$4,",")</f>
        <v>CM4,</v>
      </c>
      <c r="AF26" s="20" t="str" cm="1">
        <f t="array" ca="1" aca="1" ref="AF26">InverseLookup($A26,Assumptions!$X$3,Assumptions!$A$3,1,Helper!$B$6,",")</f>
        <v/>
      </c>
      <c r="AG26" s="20" t="str" cm="1">
        <f t="array" ca="1" aca="1" ref="AG26">InverseLookup($A26,Assumptions!$Y$3,Assumptions!$A$3,1,Helper!$B$6,",")</f>
        <v/>
      </c>
      <c r="AH26" s="20" t="str" cm="1">
        <f t="array" ca="1" aca="1" ref="AH26">IF($U26,CreateSearchString(SUBSTITUTE($S26,"§","")),"")</f>
        <v/>
      </c>
      <c r="AI26" s="20" t="b">
        <f t="shared" ca="1" si="3"/>
        <v>1</v>
      </c>
      <c r="AJ26" s="81"/>
      <c r="AK26" s="81"/>
      <c r="AL26" s="81"/>
      <c r="AM26" s="81"/>
      <c r="AN26" s="81"/>
    </row>
    <row r="27" spans="1:40" ht="203.25">
      <c r="A27" s="13" t="s">
        <v>342</v>
      </c>
      <c r="B27" s="13" t="s">
        <v>343</v>
      </c>
      <c r="C27" s="13" t="s">
        <v>1120</v>
      </c>
      <c r="D27" s="19" t="str" cm="1">
        <f t="array" ca="1" aca="1" ref="D27">LookupNames(SanitizeInput($C27),$A:$B)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27" s="13" t="s">
        <v>1103</v>
      </c>
      <c r="F27" s="34" t="str" cm="1">
        <f t="array" ca="1" aca="1" ref="F27">RemoveDelimiter(GetValues(SanitizeInput($E27),Questions!$A:$B,"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7" s="33" t="str" cm="1">
        <f t="array" ca="1" aca="1" ref="G27">LookupNames($T27,'Damage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27" s="13"/>
      <c r="I27" s="13"/>
      <c r="J27" s="13"/>
      <c r="K27" s="13"/>
      <c r="L27" s="13"/>
      <c r="M27" s="130" t="str">
        <f ca="1">IF($A27="","",IFERROR(VLOOKUP($AC27,Definitions!$V:$W,COLUMNS(Definitions!$V:$W),TRUE),""))</f>
        <v>Basic</v>
      </c>
      <c r="N27" s="13" t="s">
        <v>1069</v>
      </c>
      <c r="O27" s="13" t="s">
        <v>647</v>
      </c>
      <c r="P27" s="13"/>
      <c r="Q27" s="10" cm="1">
        <f t="array" ref="Q27">IF(ROW()=ROW($Q$2)+1,0,INDEX($Q:$Q,ROW()-1))+IF($A27="",0,1)</f>
        <v>25</v>
      </c>
      <c r="R27" s="20" t="b">
        <f ca="1">OR(CheckRelevance(SanitizeInput(N27),Questionnaire!$I:$I),CheckRelevance(SanitizeInput(N27),Questionnaire!$J:$J))</f>
        <v>0</v>
      </c>
      <c r="S27" s="14" t="str" cm="1">
        <f t="array" ca="1" aca="1" ref="S27">IF(AND($N27&lt;&gt;"",$R27=FALSE),"",IF(AND($R27,$C27=""),$A27&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27),$A:$S,$A27))</f>
        <v/>
      </c>
      <c r="T27" s="20" t="str" cm="1">
        <f t="array" ca="1" aca="1" ref="T27">GetValues(SanitizeInput($E27),'Damage Scenarios'!$B:$T,"",",",FALSE)</f>
        <v>DS10,DS11,DS12,DS13,DS14,DS15,</v>
      </c>
      <c r="U27" s="20" t="b">
        <f t="shared" ca="1" si="0"/>
        <v>0</v>
      </c>
      <c r="V27" s="20" cm="1">
        <f t="array" ca="1" aca="1" ref="V27">CreateID($V$2,$V:$V,$U27)</f>
        <v>9</v>
      </c>
      <c r="W27" s="20">
        <f t="shared" ca="1" si="1"/>
        <v>0</v>
      </c>
      <c r="X27" s="20">
        <f>IF(H27="",0,VLOOKUP(H27,Definitions!$Z:$AA,COLUMNS(Definitions!$Z:$AA),FALSE))</f>
        <v>0</v>
      </c>
      <c r="Y27" s="20">
        <f>IF(I27="",0,VLOOKUP(I27,Definitions!$Z:$AA,COLUMNS(Definitions!$Z:$AA),FALSE))</f>
        <v>0</v>
      </c>
      <c r="Z27" s="20">
        <f>IF(J27="",0,VLOOKUP(J27,Definitions!$Z:$AA,COLUMNS(Definitions!$Z:$AA),FALSE))</f>
        <v>0</v>
      </c>
      <c r="AA27" s="20">
        <f>IF(K27="",0,VLOOKUP(K27,Definitions!$Z:$AA,COLUMNS(Definitions!$Z:$AA),FALSE))</f>
        <v>0</v>
      </c>
      <c r="AB27" s="20">
        <f>IF(L27="",0,VLOOKUP(L27,Definitions!$Z:$AA,COLUMNS(Definitions!$Z:$AA),FALSE))</f>
        <v>0</v>
      </c>
      <c r="AC27" s="20">
        <f t="shared" ca="1" si="2"/>
        <v>0</v>
      </c>
      <c r="AD27" s="20" cm="1">
        <f t="array" ref="AD27">CreateTaskID($AD$2,$AD:$AD,Tasks!$B$17,$P27)</f>
        <v>0</v>
      </c>
      <c r="AE27" s="20" t="str" cm="1">
        <f t="array" ca="1" aca="1" ref="AE27">InverseLookup($A27,Countermeasures!$X$2,Countermeasures!$A$2,1,Helper!$B$4,",")</f>
        <v>C30,CM8,CM16,CM17,</v>
      </c>
      <c r="AF27" s="20" t="str" cm="1">
        <f t="array" ca="1" aca="1" ref="AF27">InverseLookup($A27,Assumptions!$X$3,Assumptions!$A$3,1,Helper!$B$6,",")</f>
        <v/>
      </c>
      <c r="AG27" s="20" t="str" cm="1">
        <f t="array" ca="1" aca="1" ref="AG27">InverseLookup($A27,Assumptions!$Y$3,Assumptions!$A$3,1,Helper!$B$6,",")</f>
        <v/>
      </c>
      <c r="AH27" s="20" t="str" cm="1">
        <f t="array" ca="1" aca="1" ref="AH27">IF($U27,CreateSearchString(SUBSTITUTE($S27,"§","")),"")</f>
        <v/>
      </c>
      <c r="AI27" s="20" t="b">
        <f t="shared" ca="1" si="3"/>
        <v>0</v>
      </c>
      <c r="AJ27" s="81"/>
      <c r="AK27" s="81"/>
      <c r="AL27" s="81"/>
      <c r="AM27" s="81"/>
      <c r="AN27" s="81"/>
    </row>
    <row r="28" spans="1:40" ht="203.25">
      <c r="A28" s="13" t="s">
        <v>344</v>
      </c>
      <c r="B28" s="13" t="s">
        <v>348</v>
      </c>
      <c r="C28" s="13" t="s">
        <v>336</v>
      </c>
      <c r="D28" s="19" t="str" cm="1">
        <f t="array" ca="1" aca="1" ref="D28">LookupNames(SanitizeInput($C28),$A:$B)</f>
        <v>AS21 Gaining physical access to the product (3rd party),
AS22 Gaining physical access to the product (customer)</v>
      </c>
      <c r="E28" s="13" t="s">
        <v>1103</v>
      </c>
      <c r="F28" s="34" t="str" cm="1">
        <f t="array" ca="1" aca="1" ref="F28">RemoveDelimiter(GetValues(SanitizeInput($E28),Questions!$A:$B,"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8" s="33" t="str" cm="1">
        <f t="array" ca="1" aca="1" ref="G28">LookupNames($T28,'Damage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28" s="13"/>
      <c r="I28" s="13" t="s">
        <v>140</v>
      </c>
      <c r="J28" s="13" t="s">
        <v>145</v>
      </c>
      <c r="K28" s="13"/>
      <c r="L28" s="13" t="s">
        <v>154</v>
      </c>
      <c r="M28" s="130" t="str">
        <f ca="1">IF($A28="","",IFERROR(VLOOKUP($AC28,Definitions!$V:$W,COLUMNS(Definitions!$V:$W),TRUE),""))</f>
        <v>Enhanced-Basic</v>
      </c>
      <c r="N28" s="13" t="s">
        <v>1070</v>
      </c>
      <c r="O28" s="13" t="s">
        <v>647</v>
      </c>
      <c r="P28" s="13" t="s">
        <v>1660</v>
      </c>
      <c r="Q28" s="10" cm="1">
        <f t="array" ref="Q28">IF(ROW()=ROW($Q$2)+1,0,INDEX($Q:$Q,ROW()-1))+IF($A28="",0,1)</f>
        <v>26</v>
      </c>
      <c r="R28" s="20" t="b">
        <f ca="1">OR(CheckRelevance(SanitizeInput(N28),Questionnaire!$I:$I),CheckRelevance(SanitizeInput(N28),Questionnaire!$J:$J))</f>
        <v>0</v>
      </c>
      <c r="S28" s="14" t="str" cm="1">
        <f t="array" ca="1" aca="1" ref="S28">IF(AND($N28&lt;&gt;"",$R28=FALSE),"",IF(AND($R28,$C28=""),$A28&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28),$A:$S,$A28))</f>
        <v/>
      </c>
      <c r="T28" s="20" t="str" cm="1">
        <f t="array" ca="1" aca="1" ref="T28">GetValues(SanitizeInput($E28),'Damage Scenarios'!$B:$T,"",",",FALSE)</f>
        <v>DS10,DS11,DS12,DS13,DS14,DS15,</v>
      </c>
      <c r="U28" s="20" t="b">
        <f t="shared" ca="1" si="0"/>
        <v>0</v>
      </c>
      <c r="V28" s="20" cm="1">
        <f t="array" ca="1" aca="1" ref="V28">CreateID($V$2,$V:$V,$U28)</f>
        <v>9</v>
      </c>
      <c r="W28" s="20">
        <f t="shared" ca="1" si="1"/>
        <v>0</v>
      </c>
      <c r="X28" s="20">
        <f>IF(H28="",0,VLOOKUP(H28,Definitions!$Z:$AA,COLUMNS(Definitions!$Z:$AA),FALSE))</f>
        <v>0</v>
      </c>
      <c r="Y28" s="20">
        <f>IF(I28="",0,VLOOKUP(I28,Definitions!$Z:$AA,COLUMNS(Definitions!$Z:$AA),FALSE))</f>
        <v>3</v>
      </c>
      <c r="Z28" s="20">
        <f>IF(J28="",0,VLOOKUP(J28,Definitions!$Z:$AA,COLUMNS(Definitions!$Z:$AA),FALSE))</f>
        <v>3</v>
      </c>
      <c r="AA28" s="20">
        <f>IF(K28="",0,VLOOKUP(K28,Definitions!$Z:$AA,COLUMNS(Definitions!$Z:$AA),FALSE))</f>
        <v>0</v>
      </c>
      <c r="AB28" s="20">
        <f>IF(L28="",0,VLOOKUP(L28,Definitions!$Z:$AA,COLUMNS(Definitions!$Z:$AA),FALSE))</f>
        <v>4</v>
      </c>
      <c r="AC28" s="20">
        <f t="shared" ca="1" si="2"/>
        <v>10</v>
      </c>
      <c r="AD28" s="20" cm="1">
        <f t="array" ref="AD28">CreateTaskID($AD$2,$AD:$AD,Tasks!$B$17,$P28)</f>
        <v>0</v>
      </c>
      <c r="AE28" s="20" t="str" cm="1">
        <f t="array" ca="1" aca="1" ref="AE28">InverseLookup($A28,Countermeasures!$X$2,Countermeasures!$A$2,1,Helper!$B$4,",")</f>
        <v>CM8,CM16,CM17,</v>
      </c>
      <c r="AF28" s="20" t="str" cm="1">
        <f t="array" ca="1" aca="1" ref="AF28">InverseLookup($A28,Assumptions!$X$3,Assumptions!$A$3,1,Helper!$B$6,",")</f>
        <v/>
      </c>
      <c r="AG28" s="20" t="str" cm="1">
        <f t="array" ca="1" aca="1" ref="AG28">InverseLookup($A28,Assumptions!$Y$3,Assumptions!$A$3,1,Helper!$B$6,",")</f>
        <v/>
      </c>
      <c r="AH28" s="20" t="str" cm="1">
        <f t="array" ca="1" aca="1" ref="AH28">IF($U28,CreateSearchString(SUBSTITUTE($S28,"§","")),"")</f>
        <v/>
      </c>
      <c r="AI28" s="20" t="b">
        <f t="shared" ca="1" si="3"/>
        <v>0</v>
      </c>
      <c r="AJ28" s="81"/>
      <c r="AK28" s="81"/>
      <c r="AL28" s="81"/>
      <c r="AM28" s="81"/>
      <c r="AN28" s="81"/>
    </row>
    <row r="29" spans="1:40" ht="30">
      <c r="A29" s="13" t="s">
        <v>360</v>
      </c>
      <c r="B29" s="13" t="s">
        <v>361</v>
      </c>
      <c r="C29" s="13"/>
      <c r="D29" s="34" t="str" cm="1">
        <f t="array" ref="D29">LookupNames(SanitizeInput($C29),$A:$B)</f>
        <v/>
      </c>
      <c r="E29" s="13"/>
      <c r="F29" s="34" t="str" cm="1">
        <f t="array" ref="F29">RemoveDelimiter(GetValues(SanitizeInput($E29),Questions!$A:$B,"   ",CHAR(10),TRUE),CHAR(10))</f>
        <v/>
      </c>
      <c r="G29" s="33" t="str" cm="1">
        <f t="array" ref="G29">LookupNames($T29,'Damage Scenarios'!$A:$J)</f>
        <v/>
      </c>
      <c r="H29" s="13"/>
      <c r="I29" s="13"/>
      <c r="J29" s="13"/>
      <c r="K29" s="13" t="s">
        <v>149</v>
      </c>
      <c r="L29" s="13" t="s">
        <v>154</v>
      </c>
      <c r="M29" s="130" t="str">
        <f ca="1">IF($A29="","",IFERROR(VLOOKUP($AC29,Definitions!$V:$W,COLUMNS(Definitions!$V:$W),TRUE),""))</f>
        <v>Basic</v>
      </c>
      <c r="N29" s="13" t="s">
        <v>1044</v>
      </c>
      <c r="O29" s="13"/>
      <c r="P29" s="13" t="s">
        <v>362</v>
      </c>
      <c r="Q29" s="10" cm="1">
        <f t="array" ref="Q29">IF(ROW()=ROW($Q$2)+1,0,INDEX($Q:$Q,ROW()-1))+IF($A29="",0,1)</f>
        <v>27</v>
      </c>
      <c r="R29" s="20" t="b">
        <f ca="1">OR(CheckRelevance(SanitizeInput(N29),Questionnaire!$I:$I),CheckRelevance(SanitizeInput(N29),Questionnaire!$J:$J))</f>
        <v>0</v>
      </c>
      <c r="S29" s="14" t="str" cm="1">
        <f t="array" ca="1" aca="1" ref="S29">IF(AND($N29&lt;&gt;"",$R29=FALSE),"",IF(AND($R29,$C29=""),$A29&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29),$A:$S,$A29))</f>
        <v/>
      </c>
      <c r="T29" s="20" t="str" cm="1">
        <f t="array" ref="T29">GetValues(SanitizeInput($E29),'Damage Scenarios'!$B:$T,"",",",FALSE)</f>
        <v/>
      </c>
      <c r="U29" s="20" t="b">
        <f t="shared" ca="1" si="0"/>
        <v>0</v>
      </c>
      <c r="V29" s="20" cm="1">
        <f t="array" ca="1" aca="1" ref="V29">CreateID($V$2,$V:$V,$U29)</f>
        <v>9</v>
      </c>
      <c r="W29" s="20">
        <f t="shared" ca="1" si="1"/>
        <v>0</v>
      </c>
      <c r="X29" s="20">
        <f>IF(H29="",0,VLOOKUP(H29,Definitions!$Z:$AA,COLUMNS(Definitions!$Z:$AA),FALSE))</f>
        <v>0</v>
      </c>
      <c r="Y29" s="20">
        <f>IF(I29="",0,VLOOKUP(I29,Definitions!$Z:$AA,COLUMNS(Definitions!$Z:$AA),FALSE))</f>
        <v>0</v>
      </c>
      <c r="Z29" s="20">
        <f>IF(J29="",0,VLOOKUP(J29,Definitions!$Z:$AA,COLUMNS(Definitions!$Z:$AA),FALSE))</f>
        <v>0</v>
      </c>
      <c r="AA29" s="20">
        <f>IF(K29="",0,VLOOKUP(K29,Definitions!$Z:$AA,COLUMNS(Definitions!$Z:$AA),FALSE))</f>
        <v>1</v>
      </c>
      <c r="AB29" s="20">
        <f>IF(L29="",0,VLOOKUP(L29,Definitions!$Z:$AA,COLUMNS(Definitions!$Z:$AA),FALSE))</f>
        <v>4</v>
      </c>
      <c r="AC29" s="20">
        <f t="shared" ca="1" si="2"/>
        <v>5</v>
      </c>
      <c r="AD29" s="20" cm="1">
        <f t="array" ref="AD29">CreateTaskID($AD$2,$AD:$AD,Tasks!$B$17,$P29)</f>
        <v>0</v>
      </c>
      <c r="AE29" s="20" t="str" cm="1">
        <f t="array" ca="1" aca="1" ref="AE29">InverseLookup($A29,Countermeasures!$X$2,Countermeasures!$A$2,1,Helper!$B$4,",")</f>
        <v/>
      </c>
      <c r="AF29" s="20" t="str" cm="1">
        <f t="array" ca="1" aca="1" ref="AF29">InverseLookup($A29,Assumptions!$X$3,Assumptions!$A$3,1,Helper!$B$6,",")</f>
        <v>A16,</v>
      </c>
      <c r="AG29" s="20" t="str" cm="1">
        <f t="array" ca="1" aca="1" ref="AG29">InverseLookup($A29,Assumptions!$Y$3,Assumptions!$A$3,1,Helper!$B$6,",")</f>
        <v>A16,</v>
      </c>
      <c r="AH29" s="20" t="str" cm="1">
        <f t="array" ca="1" aca="1" ref="AH29">IF($U29,CreateSearchString(SUBSTITUTE($S29,"§","")),"")</f>
        <v/>
      </c>
      <c r="AI29" s="20" t="b">
        <f t="shared" ca="1" si="3"/>
        <v>0</v>
      </c>
      <c r="AJ29" s="81"/>
      <c r="AK29" s="81"/>
      <c r="AL29" s="81"/>
      <c r="AM29" s="81"/>
      <c r="AN29" s="81"/>
    </row>
    <row r="30" spans="1:40" ht="75" customHeight="1">
      <c r="A30" s="13" t="s">
        <v>365</v>
      </c>
      <c r="B30" s="13" t="s">
        <v>366</v>
      </c>
      <c r="C30" s="13"/>
      <c r="D30" s="34" t="str" cm="1">
        <f t="array" ref="D30">LookupNames(SanitizeInput($C30),$A:$B)</f>
        <v/>
      </c>
      <c r="E30" s="13"/>
      <c r="F30" s="34" t="str" cm="1">
        <f t="array" ref="F30">RemoveDelimiter(GetValues(SanitizeInput($E30),Questions!$A:$B,"   ",CHAR(10),TRUE),CHAR(10))</f>
        <v/>
      </c>
      <c r="G30" s="33" t="str" cm="1">
        <f t="array" ref="G30">LookupNames($T30,'Damage Scenarios'!$A:$J)</f>
        <v/>
      </c>
      <c r="H30" s="13"/>
      <c r="I30" s="13"/>
      <c r="J30" s="13"/>
      <c r="K30" s="13"/>
      <c r="L30" s="13"/>
      <c r="M30" s="130" t="str">
        <f ca="1">IF($A30="","",IFERROR(VLOOKUP($AC30,Definitions!$V:$W,COLUMNS(Definitions!$V:$W),TRUE),""))</f>
        <v>Basic</v>
      </c>
      <c r="N30" s="13" t="s">
        <v>1249</v>
      </c>
      <c r="O30" s="13"/>
      <c r="P30" s="13" t="str">
        <f>"Trusted entities encompass all entities considered as trustworthy and sufficiently protected against compromise by an attacker. Note the this attack step only becomes active if answers in the questionnaire match. This also activates assumption "&amp;Assumptions!A16&amp;" "&amp;Assumptions!B16&amp;"."</f>
        <v>Trusted entities encompass all entities considered as trustworthy and sufficiently protected against compromise by an attacker. Note the this attack step only becomes active if answers in the questionnaire match. This also activates assumption A13 SDR 1.11 – Trustworthy communication partner.</v>
      </c>
      <c r="Q30" s="10" cm="1">
        <f t="array" ref="Q30">IF(ROW()=ROW($Q$2)+1,0,INDEX($Q:$Q,ROW()-1))+IF($A30="",0,1)</f>
        <v>28</v>
      </c>
      <c r="R30" s="20" t="b">
        <f ca="1">OR(CheckRelevance(SanitizeInput(N30),Questionnaire!$I:$I),CheckRelevance(SanitizeInput(N30),Questionnaire!$J:$J))</f>
        <v>0</v>
      </c>
      <c r="S30" s="14" t="str" cm="1">
        <f t="array" ca="1" aca="1" ref="S30">IF(AND($N30&lt;&gt;"",$R30=FALSE),"",IF(AND($R30,$C30=""),$A30&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30),$A:$S,$A30))</f>
        <v/>
      </c>
      <c r="T30" s="20" t="str" cm="1">
        <f t="array" ref="T30">GetValues(SanitizeInput($E30),'Damage Scenarios'!$B:$T,"",",",FALSE)</f>
        <v/>
      </c>
      <c r="U30" s="20" t="b">
        <f t="shared" ca="1" si="0"/>
        <v>0</v>
      </c>
      <c r="V30" s="20" cm="1">
        <f t="array" ca="1" aca="1" ref="V30">CreateID($V$2,$V:$V,$U30)</f>
        <v>9</v>
      </c>
      <c r="W30" s="20">
        <f t="shared" ca="1" si="1"/>
        <v>0</v>
      </c>
      <c r="X30" s="20">
        <f>IF(H30="",0,VLOOKUP(H30,Definitions!$Z:$AA,COLUMNS(Definitions!$Z:$AA),FALSE))</f>
        <v>0</v>
      </c>
      <c r="Y30" s="20">
        <f>IF(I30="",0,VLOOKUP(I30,Definitions!$Z:$AA,COLUMNS(Definitions!$Z:$AA),FALSE))</f>
        <v>0</v>
      </c>
      <c r="Z30" s="20">
        <f>IF(J30="",0,VLOOKUP(J30,Definitions!$Z:$AA,COLUMNS(Definitions!$Z:$AA),FALSE))</f>
        <v>0</v>
      </c>
      <c r="AA30" s="20">
        <f>IF(K30="",0,VLOOKUP(K30,Definitions!$Z:$AA,COLUMNS(Definitions!$Z:$AA),FALSE))</f>
        <v>0</v>
      </c>
      <c r="AB30" s="20">
        <f>IF(L30="",0,VLOOKUP(L30,Definitions!$Z:$AA,COLUMNS(Definitions!$Z:$AA),FALSE))</f>
        <v>0</v>
      </c>
      <c r="AC30" s="20">
        <f t="shared" ca="1" si="2"/>
        <v>0</v>
      </c>
      <c r="AD30" s="20" cm="1">
        <f t="array" ref="AD30">CreateTaskID($AD$2,$AD:$AD,Tasks!$B$17,$P30)</f>
        <v>0</v>
      </c>
      <c r="AE30" s="20" t="str" cm="1">
        <f t="array" ca="1" aca="1" ref="AE30">InverseLookup($A30,Countermeasures!$X$2,Countermeasures!$A$2,1,Helper!$B$4,",")</f>
        <v/>
      </c>
      <c r="AF30" s="20" t="str" cm="1">
        <f t="array" ca="1" aca="1" ref="AF30">InverseLookup($A30,Assumptions!$X$3,Assumptions!$A$3,1,Helper!$B$6,",")</f>
        <v/>
      </c>
      <c r="AG30" s="20" t="str" cm="1">
        <f t="array" ca="1" aca="1" ref="AG30">InverseLookup($A30,Assumptions!$Y$3,Assumptions!$A$3,1,Helper!$B$6,",")</f>
        <v>A13,</v>
      </c>
      <c r="AH30" s="20" t="str" cm="1">
        <f t="array" ca="1" aca="1" ref="AH30">IF($U30,CreateSearchString(SUBSTITUTE($S30,"§","")),"")</f>
        <v/>
      </c>
      <c r="AI30" s="20" t="b">
        <f t="shared" ca="1" si="3"/>
        <v>0</v>
      </c>
      <c r="AJ30" s="81"/>
      <c r="AK30" s="81"/>
      <c r="AL30" s="81"/>
      <c r="AM30" s="81"/>
      <c r="AN30" s="81"/>
    </row>
    <row r="31" spans="1:40" ht="203.25">
      <c r="A31" s="13" t="s">
        <v>610</v>
      </c>
      <c r="B31" s="13" t="s">
        <v>611</v>
      </c>
      <c r="C31" s="13" t="s">
        <v>1120</v>
      </c>
      <c r="D31" s="34" t="str" cm="1">
        <f t="array" ca="1" aca="1" ref="D31">LookupNames(SanitizeInput($C31),$A:$B)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31" s="13" t="s">
        <v>1103</v>
      </c>
      <c r="F31" s="34" t="str" cm="1">
        <f t="array" ca="1" aca="1" ref="F31">RemoveDelimiter(GetValues(SanitizeInput($E31),Questions!$A:$B,"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31" s="33" t="str" cm="1">
        <f t="array" ca="1" aca="1" ref="G31">LookupNames($T31,'Damage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31" s="13"/>
      <c r="I31" s="13"/>
      <c r="J31" s="13"/>
      <c r="K31" s="13"/>
      <c r="L31" s="13"/>
      <c r="M31" s="130" t="str">
        <f ca="1">IF($A31="","",IFERROR(VLOOKUP($AC31,Definitions!$V:$W,COLUMNS(Definitions!$V:$W),TRUE),""))</f>
        <v>Basic</v>
      </c>
      <c r="N31" s="13" t="s">
        <v>1053</v>
      </c>
      <c r="O31" s="13" t="s">
        <v>600</v>
      </c>
      <c r="P31" s="13"/>
      <c r="Q31" s="10" cm="1">
        <f t="array" ref="Q31">IF(ROW()=ROW($Q$2)+1,0,INDEX($Q:$Q,ROW()-1))+IF($A31="",0,1)</f>
        <v>29</v>
      </c>
      <c r="R31" s="20" t="b">
        <f ca="1">OR(CheckRelevance(SanitizeInput(N31),Questionnaire!$I:$I),CheckRelevance(SanitizeInput(N31),Questionnaire!$J:$J))</f>
        <v>1</v>
      </c>
      <c r="S31" s="14" t="str" cm="1">
        <f t="array" ca="1" aca="1" ref="S31">IF(AND($N31&lt;&gt;"",$R31=FALSE),"",IF(AND($R31,$C31=""),$A31&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31),$A:$S,$A31))</f>
        <v>AS1,AS29,§AS2,AS29,§</v>
      </c>
      <c r="T31" s="20" t="str" cm="1">
        <f t="array" ca="1" aca="1" ref="T31">GetValues(SanitizeInput($E31),'Damage Scenarios'!$B:$T,"",",",FALSE)</f>
        <v>DS10,DS11,DS12,DS13,DS14,DS15,</v>
      </c>
      <c r="U31" s="20" t="b">
        <f t="shared" ca="1" si="0"/>
        <v>1</v>
      </c>
      <c r="V31" s="20" cm="1">
        <f t="array" ca="1" aca="1" ref="V31">CreateID($V$2,$V:$V,$U31)</f>
        <v>10</v>
      </c>
      <c r="W31" s="20">
        <f t="shared" ca="1" si="1"/>
        <v>2</v>
      </c>
      <c r="X31" s="20">
        <f>IF(H31="",0,VLOOKUP(H31,Definitions!$Z:$AA,COLUMNS(Definitions!$Z:$AA),FALSE))</f>
        <v>0</v>
      </c>
      <c r="Y31" s="20">
        <f>IF(I31="",0,VLOOKUP(I31,Definitions!$Z:$AA,COLUMNS(Definitions!$Z:$AA),FALSE))</f>
        <v>0</v>
      </c>
      <c r="Z31" s="20">
        <f>IF(J31="",0,VLOOKUP(J31,Definitions!$Z:$AA,COLUMNS(Definitions!$Z:$AA),FALSE))</f>
        <v>0</v>
      </c>
      <c r="AA31" s="20">
        <f>IF(K31="",0,VLOOKUP(K31,Definitions!$Z:$AA,COLUMNS(Definitions!$Z:$AA),FALSE))</f>
        <v>0</v>
      </c>
      <c r="AB31" s="20">
        <f>IF(L31="",0,VLOOKUP(L31,Definitions!$Z:$AA,COLUMNS(Definitions!$Z:$AA),FALSE))</f>
        <v>0</v>
      </c>
      <c r="AC31" s="20">
        <f t="shared" ca="1" si="2"/>
        <v>0</v>
      </c>
      <c r="AD31" s="20" cm="1">
        <f t="array" ref="AD31">CreateTaskID($AD$2,$AD:$AD,Tasks!$B$17,$P31)</f>
        <v>0</v>
      </c>
      <c r="AE31" s="20" t="str" cm="1">
        <f t="array" ca="1" aca="1" ref="AE31">InverseLookup($A31,Countermeasures!$X$2,Countermeasures!$A$2,1,Helper!$B$4,",")</f>
        <v>C32,</v>
      </c>
      <c r="AF31" s="20" t="str" cm="1">
        <f t="array" ca="1" aca="1" ref="AF31">InverseLookup($A31,Assumptions!$X$3,Assumptions!$A$3,1,Helper!$B$6,",")</f>
        <v/>
      </c>
      <c r="AG31" s="20" t="str" cm="1">
        <f t="array" ca="1" aca="1" ref="AG31">InverseLookup($A31,Assumptions!$Y$3,Assumptions!$A$3,1,Helper!$B$6,",")</f>
        <v>A22,</v>
      </c>
      <c r="AH31" s="20" t="str" cm="1">
        <f t="array" ca="1" aca="1" ref="AH31">IF($U31,CreateSearchString(SUBSTITUTE($S31,"§","")),"")</f>
        <v>,AS1,AS29,AS2,AS29,</v>
      </c>
      <c r="AI31" s="20" t="b">
        <f t="shared" ca="1" si="3"/>
        <v>1</v>
      </c>
      <c r="AJ31" s="81"/>
      <c r="AK31" s="81"/>
      <c r="AL31" s="81"/>
      <c r="AM31" s="81"/>
      <c r="AN31" s="81"/>
    </row>
    <row r="32" spans="1:40" ht="90.75">
      <c r="A32" s="13" t="s">
        <v>653</v>
      </c>
      <c r="B32" s="13" t="s">
        <v>1667</v>
      </c>
      <c r="C32" s="13"/>
      <c r="D32" s="34" t="str" cm="1">
        <f t="array" ref="D32">LookupNames(SanitizeInput($C32),$A:$B)</f>
        <v/>
      </c>
      <c r="E32" s="13" t="s">
        <v>1100</v>
      </c>
      <c r="F32" s="34" t="str" cm="1">
        <f t="array" ca="1" aca="1" ref="F32">RemoveDelimiter(GetValues(SanitizeInput($E32),Questions!$A:$B,"   ",CHAR(10),TRUE),CHAR(10))</f>
        <v>QI2   Does the product process personal data?
Examples: User ID, address labels
QI4   Is acontis techonlogies GmbH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32" s="33" t="str" cm="1">
        <f t="array" ca="1" aca="1" ref="G32">LookupNames($T32,'Damage Scenarios'!$A:$J)</f>
        <v/>
      </c>
      <c r="H32" s="13"/>
      <c r="I32" s="13" t="s">
        <v>140</v>
      </c>
      <c r="J32" s="13"/>
      <c r="K32" s="13" t="s">
        <v>81</v>
      </c>
      <c r="L32" s="13"/>
      <c r="M32" s="130" t="str">
        <f ca="1">IF($A32="","",IFERROR(VLOOKUP($AC32,Definitions!$V:$W,COLUMNS(Definitions!$V:$W),TRUE),""))</f>
        <v>Basic</v>
      </c>
      <c r="N32" s="13" t="s">
        <v>1101</v>
      </c>
      <c r="O32" s="13" t="s">
        <v>608</v>
      </c>
      <c r="P32" s="13" t="s">
        <v>1743</v>
      </c>
      <c r="Q32" s="10" cm="1">
        <f t="array" ref="Q32">IF(ROW()=ROW($Q$2)+1,0,INDEX($Q:$Q,ROW()-1))+IF($A32="",0,1)</f>
        <v>30</v>
      </c>
      <c r="R32" s="20" t="b">
        <f ca="1">OR(CheckRelevance(SanitizeInput(N32),Questionnaire!$I:$I),CheckRelevance(SanitizeInput(N32),Questionnaire!$J:$J))</f>
        <v>0</v>
      </c>
      <c r="S32" s="14" t="str" cm="1">
        <f t="array" ca="1" aca="1" ref="S32">IF(AND($N32&lt;&gt;"",$R32=FALSE),"",IF(AND($R32,$C32=""),$A32&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32),$A:$S,$A32))</f>
        <v/>
      </c>
      <c r="T32" s="20" t="str" cm="1">
        <f t="array" ca="1" aca="1" ref="T32">GetValues(SanitizeInput($E32),'Damage Scenarios'!$B:$T,"",",",FALSE)</f>
        <v/>
      </c>
      <c r="U32" s="20" t="b">
        <f t="shared" ca="1" si="0"/>
        <v>0</v>
      </c>
      <c r="V32" s="20" cm="1">
        <f t="array" ca="1" aca="1" ref="V32">CreateID($V$2,$V:$V,$U32)</f>
        <v>10</v>
      </c>
      <c r="W32" s="20">
        <f t="shared" ca="1" si="1"/>
        <v>0</v>
      </c>
      <c r="X32" s="20">
        <f>IF(H32="",0,VLOOKUP(H32,Definitions!$Z:$AA,COLUMNS(Definitions!$Z:$AA),FALSE))</f>
        <v>0</v>
      </c>
      <c r="Y32" s="20">
        <f>IF(I32="",0,VLOOKUP(I32,Definitions!$Z:$AA,COLUMNS(Definitions!$Z:$AA),FALSE))</f>
        <v>3</v>
      </c>
      <c r="Z32" s="20">
        <f>IF(J32="",0,VLOOKUP(J32,Definitions!$Z:$AA,COLUMNS(Definitions!$Z:$AA),FALSE))</f>
        <v>0</v>
      </c>
      <c r="AA32" s="20">
        <f>IF(K32="",0,VLOOKUP(K32,Definitions!$Z:$AA,COLUMNS(Definitions!$Z:$AA),FALSE))</f>
        <v>4</v>
      </c>
      <c r="AB32" s="20">
        <f>IF(L32="",0,VLOOKUP(L32,Definitions!$Z:$AA,COLUMNS(Definitions!$Z:$AA),FALSE))</f>
        <v>0</v>
      </c>
      <c r="AC32" s="20">
        <f t="shared" ca="1" si="2"/>
        <v>7</v>
      </c>
      <c r="AD32" s="20" cm="1">
        <f t="array" ref="AD32">CreateTaskID($AD$2,$AD:$AD,Tasks!$B$17,$P32)</f>
        <v>0</v>
      </c>
      <c r="AE32" s="20" t="str" cm="1">
        <f t="array" ca="1" aca="1" ref="AE32">InverseLookup($A32,Countermeasures!$X$2,Countermeasures!$A$2,1,Helper!$B$4,",")</f>
        <v>C17,CM4,</v>
      </c>
      <c r="AF32" s="20" t="str" cm="1">
        <f t="array" ca="1" aca="1" ref="AF32">InverseLookup($A32,Assumptions!$X$3,Assumptions!$A$3,1,Helper!$B$6,",")</f>
        <v/>
      </c>
      <c r="AG32" s="20" t="str" cm="1">
        <f t="array" ca="1" aca="1" ref="AG32">InverseLookup($A32,Assumptions!$Y$3,Assumptions!$A$3,1,Helper!$B$6,",")</f>
        <v/>
      </c>
      <c r="AH32" s="20" t="str" cm="1">
        <f t="array" ca="1" aca="1" ref="AH32">IF($U32,CreateSearchString(SUBSTITUTE($S32,"§","")),"")</f>
        <v/>
      </c>
      <c r="AI32" s="20" t="b">
        <f t="shared" ca="1" si="3"/>
        <v>0</v>
      </c>
      <c r="AJ32" s="81"/>
      <c r="AK32" s="81"/>
      <c r="AL32" s="81"/>
      <c r="AM32" s="81"/>
      <c r="AN32" s="81"/>
    </row>
    <row r="33" spans="1:40" ht="90">
      <c r="A33" s="13" t="s">
        <v>768</v>
      </c>
      <c r="B33" s="13" t="s">
        <v>1404</v>
      </c>
      <c r="C33" s="13"/>
      <c r="D33" s="34" t="str" cm="1">
        <f t="array" ref="D33">LookupNames(SanitizeInput($C33),$A:$B)</f>
        <v/>
      </c>
      <c r="E33" s="13" t="s">
        <v>1074</v>
      </c>
      <c r="F33" s="34" t="str" cm="1">
        <f t="array" ca="1" aca="1" ref="F33">RemoveDelimiter(GetValues(SanitizeInput($E33),Questions!$A:$B,"   ",CHAR(10),TRUE),CHAR(10))</f>
        <v>QI15   Can a manipulated product allow an attacker access to assets of the customer or allow the attacker to attack the customer's network?</v>
      </c>
      <c r="G33" s="33" t="str" cm="1">
        <f t="array" ca="1" aca="1" ref="G33">LookupNames($T33,'Damage Scenarios'!$A:$J)</f>
        <v>DS15 Critical environmental damage caused by attacks on customer's assets by manipulated product</v>
      </c>
      <c r="H33" s="13" t="s">
        <v>132</v>
      </c>
      <c r="I33" s="13" t="s">
        <v>140</v>
      </c>
      <c r="J33" s="13" t="s">
        <v>145</v>
      </c>
      <c r="K33" s="13" t="s">
        <v>149</v>
      </c>
      <c r="L33" s="13" t="s">
        <v>153</v>
      </c>
      <c r="M33" s="130" t="str">
        <f ca="1">IF($A33="","",IFERROR(VLOOKUP($AC33,Definitions!$V:$W,COLUMNS(Definitions!$V:$W),TRUE),""))</f>
        <v>Basic</v>
      </c>
      <c r="N33" s="13" t="s">
        <v>1040</v>
      </c>
      <c r="O33" s="13"/>
      <c r="P33" s="13" t="s">
        <v>769</v>
      </c>
      <c r="Q33" s="10" cm="1">
        <f t="array" ref="Q33">IF(ROW()=ROW($Q$2)+1,0,INDEX($Q:$Q,ROW()-1))+IF($A33="",0,1)</f>
        <v>31</v>
      </c>
      <c r="R33" s="20" t="b">
        <f ca="1">OR(CheckRelevance(SanitizeInput(N33),Questionnaire!$I:$I),CheckRelevance(SanitizeInput(N33),Questionnaire!$J:$J))</f>
        <v>1</v>
      </c>
      <c r="S33" s="14" t="str" cm="1">
        <f t="array" ca="1" aca="1" ref="S33">IF(AND($N33&lt;&gt;"",$R33=FALSE),"",IF(AND($R33,$C33=""),$A33&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33),$A:$S,$A33))</f>
        <v>AS31,§</v>
      </c>
      <c r="T33" s="20" t="str" cm="1">
        <f t="array" ca="1" aca="1" ref="T33">GetValues(SanitizeInput($E33),'Damage Scenarios'!$B:$T,"",",",FALSE)</f>
        <v>DS15,</v>
      </c>
      <c r="U33" s="20" t="b">
        <f t="shared" ca="1" si="0"/>
        <v>1</v>
      </c>
      <c r="V33" s="20" cm="1">
        <f t="array" ca="1" aca="1" ref="V33">CreateID($V$2,$V:$V,$U33)</f>
        <v>11</v>
      </c>
      <c r="W33" s="20">
        <f t="shared" ca="1" si="1"/>
        <v>1</v>
      </c>
      <c r="X33" s="20">
        <f>IF(H33="",0,VLOOKUP(H33,Definitions!$Z:$AA,COLUMNS(Definitions!$Z:$AA),FALSE))</f>
        <v>0</v>
      </c>
      <c r="Y33" s="20">
        <f>IF(I33="",0,VLOOKUP(I33,Definitions!$Z:$AA,COLUMNS(Definitions!$Z:$AA),FALSE))</f>
        <v>3</v>
      </c>
      <c r="Z33" s="20">
        <f>IF(J33="",0,VLOOKUP(J33,Definitions!$Z:$AA,COLUMNS(Definitions!$Z:$AA),FALSE))</f>
        <v>3</v>
      </c>
      <c r="AA33" s="20">
        <f>IF(K33="",0,VLOOKUP(K33,Definitions!$Z:$AA,COLUMNS(Definitions!$Z:$AA),FALSE))</f>
        <v>1</v>
      </c>
      <c r="AB33" s="20">
        <f>IF(L33="",0,VLOOKUP(L33,Definitions!$Z:$AA,COLUMNS(Definitions!$Z:$AA),FALSE))</f>
        <v>0</v>
      </c>
      <c r="AC33" s="20">
        <f t="shared" ca="1" si="2"/>
        <v>7</v>
      </c>
      <c r="AD33" s="20" cm="1">
        <f t="array" ref="AD33">CreateTaskID($AD$2,$AD:$AD,Tasks!$B$17,$P33)</f>
        <v>0</v>
      </c>
      <c r="AE33" s="20" t="str" cm="1">
        <f t="array" ca="1" aca="1" ref="AE33">InverseLookup($A33,Countermeasures!$X$2,Countermeasures!$A$2,1,Helper!$B$4,",")</f>
        <v>CM1,</v>
      </c>
      <c r="AF33" s="20" t="str" cm="1">
        <f t="array" ca="1" aca="1" ref="AF33">InverseLookup($A33,Assumptions!$X$3,Assumptions!$A$3,1,Helper!$B$6,",")</f>
        <v/>
      </c>
      <c r="AG33" s="20" t="str" cm="1">
        <f t="array" ca="1" aca="1" ref="AG33">InverseLookup($A33,Assumptions!$Y$3,Assumptions!$A$3,1,Helper!$B$6,",")</f>
        <v/>
      </c>
      <c r="AH33" s="20" t="str" cm="1">
        <f t="array" ca="1" aca="1" ref="AH33">IF($U33,CreateSearchString(SUBSTITUTE($S33,"§","")),"")</f>
        <v>,AS31,</v>
      </c>
      <c r="AI33" s="20" t="b">
        <f t="shared" ca="1" si="3"/>
        <v>1</v>
      </c>
      <c r="AJ33" s="81"/>
      <c r="AK33" s="81"/>
      <c r="AL33" s="81"/>
      <c r="AM33" s="81"/>
      <c r="AN33" s="81"/>
    </row>
    <row r="34" spans="1:40" ht="113.25">
      <c r="A34" s="13" t="s">
        <v>948</v>
      </c>
      <c r="B34" s="13" t="str">
        <f>"Extracting or misusing "&amp;Definitions!$C$4&amp;" IP"</f>
        <v>Extracting or misusing acontis techonlogies GmbH IP</v>
      </c>
      <c r="C34" s="13" t="s">
        <v>1000</v>
      </c>
      <c r="D34" s="34" t="str" cm="1">
        <f t="array" ca="1" aca="1" ref="D34">LookupNames(SanitizeInput($C34),$A:$B)</f>
        <v>AS3 Compromising the product using a software vulnerability,
AS5 Eavesdropping on the product's communication,
AS7 Spoofing / tampering with the product's incoming communication,
AS16 Manipulating the product's configuration via its configuration interface,
AS18 Abusing the software update functionality to manipulate the product,
AS23 Compromising the product with direct access to its persistent memory,
AS24 Data extraction from the product's persistent memory,
AS25 Accessing the product's debug interfaces remotely,
AS26 Accessing the product's physical debug interfaces,
AS29 Brute-forcing the authentication mechanism over IP</v>
      </c>
      <c r="E34" s="13" t="s">
        <v>1098</v>
      </c>
      <c r="F34" s="34" t="str" cm="1">
        <f t="array" ca="1" aca="1" ref="F34">RemoveDelimiter(GetValues(SanitizeInput($E34),Questions!$A:$B,"   ",CHAR(10),TRUE),CHAR(10))</f>
        <v>QI3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QI12   Can a manipulated product disclose intellectual property to an attacker? Also consider cases where the product is used against its intended use or misconfigured!</v>
      </c>
      <c r="G34" s="33" t="str" cm="1">
        <f t="array" ca="1" aca="1" ref="G34">LookupNames($T34,'Damage Scenarios'!$A:$J)</f>
        <v>DS3 Disclosure of acontis techonlogies GmbH IP (moderately innovative),
DS12 IP (highly innovative) disclosed by manipulated product</v>
      </c>
      <c r="H34" s="13"/>
      <c r="I34" s="13"/>
      <c r="J34" s="13"/>
      <c r="K34" s="13"/>
      <c r="L34" s="13"/>
      <c r="M34" s="130" t="str">
        <f ca="1">IF($A34="","",IFERROR(VLOOKUP($AC34,Definitions!$V:$W,COLUMNS(Definitions!$V:$W),TRUE),""))</f>
        <v>Basic</v>
      </c>
      <c r="N34" s="13"/>
      <c r="O34" s="13"/>
      <c r="P34" s="13"/>
      <c r="Q34" s="10" cm="1">
        <f t="array" ref="Q34">IF(ROW()=ROW($Q$2)+1,0,INDEX($Q:$Q,ROW()-1))+IF($A34="",0,1)</f>
        <v>32</v>
      </c>
      <c r="R34" s="20" t="b">
        <f>OR(CheckRelevance(SanitizeInput(N34),Questionnaire!$I:$I),CheckRelevance(SanitizeInput(N34),Questionnaire!$J:$J))</f>
        <v>0</v>
      </c>
      <c r="S34" s="14" t="str" cm="1">
        <f t="array" ca="1" aca="1" ref="S34">IF(AND($N34&lt;&gt;"",$R34=FALSE),"",IF(AND($R34,$C34=""),$A34&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34),$A:$S,$A34))</f>
        <v>AS1,AS3,AS32,§AS2,AS3,AS32,§AS1,AS5,AS32,§AS2,AS5,AS32,§AS1,AS7,AS32,§AS2,AS7,AS32,§AS1,AS16,AS32,§AS2,AS16,AS32,§AS21,AS23,AS32,§AS22,AS23,AS32,§AS21,AS24,AS32,§AS22,AS24,AS32,§AS1,AS29,AS32,§AS2,AS29,AS32,§</v>
      </c>
      <c r="T34" s="20" t="str" cm="1">
        <f t="array" ca="1" aca="1" ref="T34">GetValues(SanitizeInput($E34),'Damage Scenarios'!$B:$T,"",",",FALSE)</f>
        <v>DS3,DS12,</v>
      </c>
      <c r="U34" s="20" t="b">
        <f t="shared" ca="1" si="0"/>
        <v>1</v>
      </c>
      <c r="V34" s="20" cm="1">
        <f t="array" ca="1" aca="1" ref="V34">CreateID($V$2,$V:$V,$U34)</f>
        <v>12</v>
      </c>
      <c r="W34" s="20">
        <f t="shared" ca="1" si="1"/>
        <v>14</v>
      </c>
      <c r="X34" s="20">
        <f>IF(H34="",0,VLOOKUP(H34,Definitions!$Z:$AA,COLUMNS(Definitions!$Z:$AA),FALSE))</f>
        <v>0</v>
      </c>
      <c r="Y34" s="20">
        <f>IF(I34="",0,VLOOKUP(I34,Definitions!$Z:$AA,COLUMNS(Definitions!$Z:$AA),FALSE))</f>
        <v>0</v>
      </c>
      <c r="Z34" s="20">
        <f>IF(J34="",0,VLOOKUP(J34,Definitions!$Z:$AA,COLUMNS(Definitions!$Z:$AA),FALSE))</f>
        <v>0</v>
      </c>
      <c r="AA34" s="20">
        <f>IF(K34="",0,VLOOKUP(K34,Definitions!$Z:$AA,COLUMNS(Definitions!$Z:$AA),FALSE))</f>
        <v>0</v>
      </c>
      <c r="AB34" s="20">
        <f>IF(L34="",0,VLOOKUP(L34,Definitions!$Z:$AA,COLUMNS(Definitions!$Z:$AA),FALSE))</f>
        <v>0</v>
      </c>
      <c r="AC34" s="20">
        <f t="shared" ca="1" si="2"/>
        <v>0</v>
      </c>
      <c r="AD34" s="20" cm="1">
        <f t="array" ref="AD34">CreateTaskID($AD$2,$AD:$AD,Tasks!$B$17,$P34)</f>
        <v>0</v>
      </c>
      <c r="AE34" s="20" t="str" cm="1">
        <f t="array" ca="1" aca="1" ref="AE34">InverseLookup($A34,Countermeasures!$X$2,Countermeasures!$A$2,1,Helper!$B$4,",")</f>
        <v>CM3,CM18,</v>
      </c>
      <c r="AF34" s="20" t="str" cm="1">
        <f t="array" ca="1" aca="1" ref="AF34">InverseLookup($A34,Assumptions!$X$3,Assumptions!$A$3,1,Helper!$B$6,",")</f>
        <v/>
      </c>
      <c r="AG34" s="20" t="str" cm="1">
        <f t="array" ca="1" aca="1" ref="AG34">InverseLookup($A34,Assumptions!$Y$3,Assumptions!$A$3,1,Helper!$B$6,",")</f>
        <v/>
      </c>
      <c r="AH34" s="20" t="str" cm="1">
        <f t="array" ca="1" aca="1" ref="AH34">IF($U34,CreateSearchString(SUBSTITUTE($S34,"§","")),"")</f>
        <v>,AS1,AS3,AS32,AS2,AS3,AS32,AS1,AS5,AS32,AS2,AS5,AS32,AS1,AS7,AS32,AS2,AS7,AS32,AS1,AS16,AS32,AS2,AS16,AS32,AS21,AS23,AS32,AS22,AS23,AS32,AS21,AS24,AS32,AS22,AS24,AS32,AS1,AS29,AS32,AS2,AS29,AS32,</v>
      </c>
      <c r="AI34" s="20" t="b">
        <f t="shared" ca="1" si="3"/>
        <v>1</v>
      </c>
      <c r="AJ34" s="81"/>
      <c r="AK34" s="81"/>
      <c r="AL34" s="81"/>
      <c r="AM34" s="81"/>
      <c r="AN34" s="81"/>
    </row>
    <row r="35" spans="1:38" ht="158.25">
      <c r="A35" s="13" t="s">
        <v>971</v>
      </c>
      <c r="B35" s="13" t="s">
        <v>972</v>
      </c>
      <c r="C35" s="13"/>
      <c r="D35" s="34" t="str" cm="1">
        <f t="array" ref="D35">LookupNames(SanitizeInput($C35),$A:$B)</f>
        <v/>
      </c>
      <c r="E35" s="13" t="s">
        <v>1105</v>
      </c>
      <c r="F35" s="34" t="str" cm="1">
        <f t="array" ca="1" aca="1" ref="F35">RemoveDelimiter(GetValues(SanitizeInput($E35),Questions!$A:$B,"   ",CHAR(10),TRUE),CHAR(10))</f>
        <v>QI1   Does the product have cameras or other sensors that can potentially recognize people?
QI2   Does the product process personal data?
Examples: User ID, address labels
QI3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QI4   Is acontis techonlogies GmbH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35" s="33" t="str" cm="1">
        <f t="array" ca="1" aca="1" ref="G35">LookupNames($T35,'Damage Scenarios'!$A:$J)</f>
        <v>DS3 Disclosure of acontis techonlogies GmbH IP (moderately innovative)</v>
      </c>
      <c r="H35" s="13"/>
      <c r="I35" s="13"/>
      <c r="J35" s="13"/>
      <c r="K35" s="13"/>
      <c r="L35" s="13"/>
      <c r="M35" s="130" t="str">
        <f ca="1">IF($A35="","",IFERROR(VLOOKUP($AC35,Definitions!$V:$W,COLUMNS(Definitions!$V:$W),TRUE),""))</f>
        <v>Basic</v>
      </c>
      <c r="N35" s="13" t="s">
        <v>1248</v>
      </c>
      <c r="O35" s="13" t="s">
        <v>608</v>
      </c>
      <c r="P35" s="13"/>
      <c r="Q35" s="10" cm="1">
        <f t="array" ref="Q35">IF(ROW()=ROW($Q$2)+1,0,INDEX($Q:$Q,ROW()-1))+IF($A35="",0,1)</f>
        <v>33</v>
      </c>
      <c r="R35" s="20" t="b">
        <f ca="1">OR(CheckRelevance(SanitizeInput(N35),Questionnaire!$I:$I),CheckRelevance(SanitizeInput(N35),Questionnaire!$J:$J))</f>
        <v>0</v>
      </c>
      <c r="S35" s="14" t="str" cm="1">
        <f t="array" ca="1" aca="1" ref="S35">IF(AND($N35&lt;&gt;"",$R35=FALSE),"",IF(AND($R35,$C35=""),$A35&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35),$A:$S,$A35))</f>
        <v/>
      </c>
      <c r="T35" s="20" t="str" cm="1">
        <f t="array" ca="1" aca="1" ref="T35">GetValues(SanitizeInput($E35),'Damage Scenarios'!$B:$T,"",",",FALSE)</f>
        <v>DS3,</v>
      </c>
      <c r="U35" s="20" t="b">
        <f ca="1" t="shared" si="4" ref="U35:U40">AND($S35&lt;&gt;"",$T35&lt;&gt;"")</f>
        <v>0</v>
      </c>
      <c r="V35" s="20" cm="1">
        <f t="array" ca="1" aca="1" ref="V35">CreateID($V$2,$V:$V,$U35)</f>
        <v>12</v>
      </c>
      <c r="W35" s="20">
        <f t="shared" ca="1" si="1"/>
        <v>0</v>
      </c>
      <c r="X35" s="20">
        <f>IF(H35="",0,VLOOKUP(H35,Definitions!$Z:$AA,COLUMNS(Definitions!$Z:$AA),FALSE))</f>
        <v>0</v>
      </c>
      <c r="Y35" s="20">
        <f>IF(I35="",0,VLOOKUP(I35,Definitions!$Z:$AA,COLUMNS(Definitions!$Z:$AA),FALSE))</f>
        <v>0</v>
      </c>
      <c r="Z35" s="20">
        <f>IF(J35="",0,VLOOKUP(J35,Definitions!$Z:$AA,COLUMNS(Definitions!$Z:$AA),FALSE))</f>
        <v>0</v>
      </c>
      <c r="AA35" s="20">
        <f>IF(K35="",0,VLOOKUP(K35,Definitions!$Z:$AA,COLUMNS(Definitions!$Z:$AA),FALSE))</f>
        <v>0</v>
      </c>
      <c r="AB35" s="20">
        <f>IF(L35="",0,VLOOKUP(L35,Definitions!$Z:$AA,COLUMNS(Definitions!$Z:$AA),FALSE))</f>
        <v>0</v>
      </c>
      <c r="AC35" s="20">
        <f t="shared" ca="1" si="2"/>
        <v>0</v>
      </c>
      <c r="AD35" s="20" cm="1">
        <f t="array" ref="AD35">CreateTaskID($AD$2,$AD:$AD,Tasks!$B$17,$P35)</f>
        <v>0</v>
      </c>
      <c r="AE35" s="20" t="str" cm="1">
        <f t="array" ca="1" aca="1" ref="AE35">InverseLookup($A35,Countermeasures!$X$2,Countermeasures!$A$2,1,Helper!$B$4,",")</f>
        <v/>
      </c>
      <c r="AF35" s="20" t="str" cm="1">
        <f t="array" ca="1" aca="1" ref="AF35">InverseLookup($A35,Assumptions!$X$3,Assumptions!$A$3,1,Helper!$B$6,",")</f>
        <v/>
      </c>
      <c r="AG35" s="20" t="str" cm="1">
        <f t="array" ca="1" aca="1" ref="AG35">InverseLookup($A35,Assumptions!$Y$3,Assumptions!$A$3,1,Helper!$B$6,",")</f>
        <v>A25,</v>
      </c>
      <c r="AH35" s="20" t="str" cm="1">
        <f t="array" ca="1" aca="1" ref="AH35">IF($U35,CreateSearchString(SUBSTITUTE($S35,"§","")),"")</f>
        <v/>
      </c>
      <c r="AI35" s="20" t="b">
        <f t="shared" ca="1" si="3"/>
        <v>0</v>
      </c>
      <c r="AL35" s="81"/>
    </row>
    <row r="36" spans="1:35" ht="75">
      <c r="A36" s="13" t="s">
        <v>985</v>
      </c>
      <c r="B36" s="13" t="s">
        <v>986</v>
      </c>
      <c r="C36" s="13"/>
      <c r="D36" s="34" t="str" cm="1">
        <f t="array" ref="D36">LookupNames(SanitizeInput($C36),$A:$B)</f>
        <v/>
      </c>
      <c r="E36" s="13"/>
      <c r="F36" s="34" t="str" cm="1">
        <f t="array" ref="F36">RemoveDelimiter(GetValues(SanitizeInput($E36),Questions!$A:$B,"   ",CHAR(10),TRUE),CHAR(10))</f>
        <v/>
      </c>
      <c r="G36" s="33" t="str" cm="1">
        <f t="array" ref="G36">LookupNames($T36,'Damage Scenarios'!$A:$J)</f>
        <v/>
      </c>
      <c r="H36" s="13"/>
      <c r="I36" s="13" t="s">
        <v>140</v>
      </c>
      <c r="J36" s="13"/>
      <c r="K36" s="13" t="s">
        <v>148</v>
      </c>
      <c r="L36" s="13"/>
      <c r="M36" s="130" t="str">
        <f ca="1">IF($A36="","",IFERROR(VLOOKUP($AC36,Definitions!$V:$W,COLUMNS(Definitions!$V:$W),TRUE),""))</f>
        <v>Basic</v>
      </c>
      <c r="N36" s="13" t="s">
        <v>1250</v>
      </c>
      <c r="O36" s="13"/>
      <c r="P36" s="13" t="s">
        <v>1023</v>
      </c>
      <c r="Q36" s="10" cm="1">
        <f t="array" ref="Q36">IF(ROW()=ROW($Q$2)+1,0,INDEX($Q:$Q,ROW()-1))+IF($A36="",0,1)</f>
        <v>34</v>
      </c>
      <c r="R36" s="20" t="b">
        <f ca="1">OR(CheckRelevance(SanitizeInput(N36),Questionnaire!$I:$I),CheckRelevance(SanitizeInput(N36),Questionnaire!$J:$J))</f>
        <v>0</v>
      </c>
      <c r="S36" s="14" t="str" cm="1">
        <f t="array" ca="1" aca="1" ref="S36">IF(AND($N36&lt;&gt;"",$R36=FALSE),"",IF(AND($R36,$C36=""),$A36&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36),$A:$S,$A36))</f>
        <v/>
      </c>
      <c r="T36" s="20" t="str" cm="1">
        <f t="array" ref="T36">GetValues(SanitizeInput($E36),'Damage Scenarios'!$B:$T,"",",",FALSE)</f>
        <v/>
      </c>
      <c r="U36" s="20" t="b">
        <f t="shared" ca="1" si="4"/>
        <v>0</v>
      </c>
      <c r="V36" s="20" cm="1">
        <f t="array" ca="1" aca="1" ref="V36">CreateID($V$2,$V:$V,$U36)</f>
        <v>12</v>
      </c>
      <c r="W36" s="20">
        <f ca="1" t="shared" si="5" ref="W36:W41">IF($U36,LEN($S36)-LEN(SUBSTITUTE($S36,"§","")),0)</f>
        <v>0</v>
      </c>
      <c r="X36" s="20">
        <f>IF(H36="",0,VLOOKUP(H36,Definitions!$Z:$AA,COLUMNS(Definitions!$Z:$AA),FALSE))</f>
        <v>0</v>
      </c>
      <c r="Y36" s="20">
        <f>IF(I36="",0,VLOOKUP(I36,Definitions!$Z:$AA,COLUMNS(Definitions!$Z:$AA),FALSE))</f>
        <v>3</v>
      </c>
      <c r="Z36" s="20">
        <f>IF(J36="",0,VLOOKUP(J36,Definitions!$Z:$AA,COLUMNS(Definitions!$Z:$AA),FALSE))</f>
        <v>0</v>
      </c>
      <c r="AA36" s="20">
        <f>IF(K36="",0,VLOOKUP(K36,Definitions!$Z:$AA,COLUMNS(Definitions!$Z:$AA),FALSE))</f>
        <v>0</v>
      </c>
      <c r="AB36" s="20">
        <f>IF(L36="",0,VLOOKUP(L36,Definitions!$Z:$AA,COLUMNS(Definitions!$Z:$AA),FALSE))</f>
        <v>0</v>
      </c>
      <c r="AC36" s="20">
        <f t="shared" ca="1" si="2"/>
        <v>3</v>
      </c>
      <c r="AD36" s="20" cm="1">
        <f t="array" ref="AD36">CreateTaskID($AD$2,$AD:$AD,Tasks!$B$17,$P36)</f>
        <v>0</v>
      </c>
      <c r="AE36" s="20" t="str" cm="1">
        <f t="array" ca="1" aca="1" ref="AE36">InverseLookup($A36,Countermeasures!$X$2,Countermeasures!$A$2,1,Helper!$B$4,",")</f>
        <v>CM11,</v>
      </c>
      <c r="AF36" s="20" t="str" cm="1">
        <f t="array" ca="1" aca="1" ref="AF36">InverseLookup($A36,Assumptions!$X$3,Assumptions!$A$3,1,Helper!$B$6,",")</f>
        <v/>
      </c>
      <c r="AG36" s="20" t="str" cm="1">
        <f t="array" ca="1" aca="1" ref="AG36">InverseLookup($A36,Assumptions!$Y$3,Assumptions!$A$3,1,Helper!$B$6,",")</f>
        <v>A26,</v>
      </c>
      <c r="AH36" s="20" t="str" cm="1">
        <f t="array" ca="1" aca="1" ref="AH36">IF($U36,CreateSearchString(SUBSTITUTE($S36,"§","")),"")</f>
        <v/>
      </c>
      <c r="AI36" s="20" t="b">
        <f t="shared" ca="1" si="3"/>
        <v>0</v>
      </c>
    </row>
    <row r="37" spans="1:35" ht="113.25">
      <c r="A37" s="13" t="s">
        <v>989</v>
      </c>
      <c r="B37" s="13" t="s">
        <v>1139</v>
      </c>
      <c r="C37" s="13"/>
      <c r="D37" s="34" t="str" cm="1">
        <f t="array" ref="D37">LookupNames(SanitizeInput($C37),$A:$B)</f>
        <v/>
      </c>
      <c r="E37" s="13" t="s">
        <v>1091</v>
      </c>
      <c r="F37" s="34" t="str" cm="1">
        <f t="array" ca="1" aca="1" ref="F37">RemoveDelimiter(GetValues(SanitizeInput($E37),Questions!$A:$B,"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acontis techonlogies GmbH product)? Example: The product is used for access control.
QI9   Can a loss of availability cause contract-related fines (e.g., based on a service level agreement)?</v>
      </c>
      <c r="G37" s="33" t="str" cm="1">
        <f t="array" ca="1" aca="1" ref="G37">LookupNames($T37,'Damage Scenarios'!$A:$J)</f>
        <v>DS6 Life-threatening injury caused by unavailable product,
DS7 Critical environmental damage caused by unavailable product,
DS8 Loss of Critical financial damage caused by unavailable product</v>
      </c>
      <c r="H37" s="13"/>
      <c r="I37" s="13"/>
      <c r="J37" s="13"/>
      <c r="K37" s="13"/>
      <c r="L37" s="13"/>
      <c r="M37" s="130" t="str">
        <f ca="1">IF($A37="","",IFERROR(VLOOKUP($AC37,Definitions!$V:$W,COLUMNS(Definitions!$V:$W),TRUE),""))</f>
        <v>Basic</v>
      </c>
      <c r="N37" s="13" t="s">
        <v>1250</v>
      </c>
      <c r="O37" s="13"/>
      <c r="P37" s="13" t="s">
        <v>1138</v>
      </c>
      <c r="Q37" s="10" cm="1">
        <f t="array" ref="Q37">IF(ROW()=ROW($Q$2)+1,0,INDEX($Q:$Q,ROW()-1))+IF($A37="",0,1)</f>
        <v>35</v>
      </c>
      <c r="R37" s="20" t="b">
        <f ca="1">OR(CheckRelevance(SanitizeInput(N37),Questionnaire!$I:$I),CheckRelevance(SanitizeInput(N37),Questionnaire!$J:$J))</f>
        <v>0</v>
      </c>
      <c r="S37" s="14" t="str" cm="1">
        <f t="array" ca="1" aca="1" ref="S37">IF(AND($N37&lt;&gt;"",$R37=FALSE),"",IF(AND($R37,$C37=""),$A37&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37),$A:$S,$A37))</f>
        <v/>
      </c>
      <c r="T37" s="20" t="str" cm="1">
        <f t="array" ca="1" aca="1" ref="T37">GetValues(SanitizeInput($E37),'Damage Scenarios'!$B:$T,"",",",FALSE)</f>
        <v>DS6,DS7,DS8,</v>
      </c>
      <c r="U37" s="20" t="b">
        <f t="shared" ca="1" si="4"/>
        <v>0</v>
      </c>
      <c r="V37" s="20" cm="1">
        <f t="array" ca="1" aca="1" ref="V37">CreateID($V$2,$V:$V,$U37)</f>
        <v>12</v>
      </c>
      <c r="W37" s="20">
        <f t="shared" ca="1" si="5"/>
        <v>0</v>
      </c>
      <c r="X37" s="20">
        <f>IF(H37="",0,VLOOKUP(H37,Definitions!$Z:$AA,COLUMNS(Definitions!$Z:$AA),FALSE))</f>
        <v>0</v>
      </c>
      <c r="Y37" s="20">
        <f>IF(I37="",0,VLOOKUP(I37,Definitions!$Z:$AA,COLUMNS(Definitions!$Z:$AA),FALSE))</f>
        <v>0</v>
      </c>
      <c r="Z37" s="20">
        <f>IF(J37="",0,VLOOKUP(J37,Definitions!$Z:$AA,COLUMNS(Definitions!$Z:$AA),FALSE))</f>
        <v>0</v>
      </c>
      <c r="AA37" s="20">
        <f>IF(K37="",0,VLOOKUP(K37,Definitions!$Z:$AA,COLUMNS(Definitions!$Z:$AA),FALSE))</f>
        <v>0</v>
      </c>
      <c r="AB37" s="20">
        <f>IF(L37="",0,VLOOKUP(L37,Definitions!$Z:$AA,COLUMNS(Definitions!$Z:$AA),FALSE))</f>
        <v>0</v>
      </c>
      <c r="AC37" s="20">
        <f t="shared" ca="1" si="2"/>
        <v>0</v>
      </c>
      <c r="AD37" s="20" cm="1">
        <f t="array" ref="AD37">CreateTaskID($AD$2,$AD:$AD,Tasks!$B$17,$P37)</f>
        <v>0</v>
      </c>
      <c r="AE37" s="20" t="str" cm="1">
        <f t="array" ca="1" aca="1" ref="AE37">InverseLookup($A37,Countermeasures!$X$2,Countermeasures!$A$2,1,Helper!$B$4,",")</f>
        <v/>
      </c>
      <c r="AF37" s="20" t="str" cm="1">
        <f t="array" ca="1" aca="1" ref="AF37">InverseLookup($A37,Assumptions!$X$3,Assumptions!$A$3,1,Helper!$B$6,",")</f>
        <v/>
      </c>
      <c r="AG37" s="20" t="str" cm="1">
        <f t="array" ca="1" aca="1" ref="AG37">InverseLookup($A37,Assumptions!$Y$3,Assumptions!$A$3,1,Helper!$B$6,",")</f>
        <v>A41,</v>
      </c>
      <c r="AH37" s="20" t="str" cm="1">
        <f t="array" ca="1" aca="1" ref="AH37">IF($U37,CreateSearchString(SUBSTITUTE($S37,"§","")),"")</f>
        <v/>
      </c>
      <c r="AI37" s="20" t="b">
        <f t="shared" ca="1" si="3"/>
        <v>0</v>
      </c>
    </row>
    <row r="38" spans="1:35" ht="75">
      <c r="A38" s="13" t="s">
        <v>1008</v>
      </c>
      <c r="B38" s="13" t="s">
        <v>1007</v>
      </c>
      <c r="C38" s="13"/>
      <c r="D38" s="34" t="str" cm="1">
        <f t="array" ref="D38">LookupNames(SanitizeInput($C38),$A:$B)</f>
        <v/>
      </c>
      <c r="E38" s="13"/>
      <c r="F38" s="34" t="str" cm="1">
        <f t="array" ref="F38">RemoveDelimiter(GetValues(SanitizeInput($E38),Questions!$A:$B,"   ",CHAR(10),TRUE),CHAR(10))</f>
        <v/>
      </c>
      <c r="G38" s="33" t="str" cm="1">
        <f t="array" ref="G38">LookupNames($T38,'Damage Scenarios'!$A:$J)</f>
        <v/>
      </c>
      <c r="H38" s="13"/>
      <c r="I38" s="13" t="s">
        <v>140</v>
      </c>
      <c r="J38" s="13"/>
      <c r="K38" s="13" t="s">
        <v>148</v>
      </c>
      <c r="L38" s="13"/>
      <c r="M38" s="130" t="str">
        <f ca="1">IF($A38="","",IFERROR(VLOOKUP($AC38,Definitions!$V:$W,COLUMNS(Definitions!$V:$W),TRUE),""))</f>
        <v>Basic</v>
      </c>
      <c r="N38" s="13" t="s">
        <v>1250</v>
      </c>
      <c r="O38" s="13"/>
      <c r="P38" s="13" t="s">
        <v>1023</v>
      </c>
      <c r="Q38" s="10" cm="1">
        <f t="array" ref="Q38">IF(ROW()=ROW($Q$2)+1,0,INDEX($Q:$Q,ROW()-1))+IF($A38="",0,1)</f>
        <v>36</v>
      </c>
      <c r="R38" s="20" t="b">
        <f ca="1">OR(CheckRelevance(SanitizeInput(N38),Questionnaire!$I:$I),CheckRelevance(SanitizeInput(N38),Questionnaire!$J:$J))</f>
        <v>0</v>
      </c>
      <c r="S38" s="14" t="str" cm="1">
        <f t="array" ca="1" aca="1" ref="S38">IF(AND($N38&lt;&gt;"",$R38=FALSE),"",IF(AND($R38,$C38=""),$A38&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38),$A:$S,$A38))</f>
        <v/>
      </c>
      <c r="T38" s="20" t="str" cm="1">
        <f t="array" ref="T38">GetValues(SanitizeInput($E38),'Damage Scenarios'!$B:$T,"",",",FALSE)</f>
        <v/>
      </c>
      <c r="U38" s="20" t="b">
        <f t="shared" ca="1" si="4"/>
        <v>0</v>
      </c>
      <c r="V38" s="20" cm="1">
        <f t="array" ca="1" aca="1" ref="V38">CreateID($V$2,$V:$V,$U38)</f>
        <v>12</v>
      </c>
      <c r="W38" s="20">
        <f t="shared" ca="1" si="5"/>
        <v>0</v>
      </c>
      <c r="X38" s="20">
        <f>IF(H38="",0,VLOOKUP(H38,Definitions!$Z:$AA,COLUMNS(Definitions!$Z:$AA),FALSE))</f>
        <v>0</v>
      </c>
      <c r="Y38" s="20">
        <f>IF(I38="",0,VLOOKUP(I38,Definitions!$Z:$AA,COLUMNS(Definitions!$Z:$AA),FALSE))</f>
        <v>3</v>
      </c>
      <c r="Z38" s="20">
        <f>IF(J38="",0,VLOOKUP(J38,Definitions!$Z:$AA,COLUMNS(Definitions!$Z:$AA),FALSE))</f>
        <v>0</v>
      </c>
      <c r="AA38" s="20">
        <f>IF(K38="",0,VLOOKUP(K38,Definitions!$Z:$AA,COLUMNS(Definitions!$Z:$AA),FALSE))</f>
        <v>0</v>
      </c>
      <c r="AB38" s="20">
        <f>IF(L38="",0,VLOOKUP(L38,Definitions!$Z:$AA,COLUMNS(Definitions!$Z:$AA),FALSE))</f>
        <v>0</v>
      </c>
      <c r="AC38" s="20">
        <f t="shared" ca="1" si="2"/>
        <v>3</v>
      </c>
      <c r="AD38" s="20" cm="1">
        <f t="array" ref="AD38">CreateTaskID($AD$2,$AD:$AD,Tasks!$B$17,$P38)</f>
        <v>0</v>
      </c>
      <c r="AE38" s="20" t="str" cm="1">
        <f t="array" ca="1" aca="1" ref="AE38">InverseLookup($A38,Countermeasures!$X$2,Countermeasures!$A$2,1,Helper!$B$4,",")</f>
        <v>CM11,</v>
      </c>
      <c r="AF38" s="20" t="str" cm="1">
        <f t="array" ca="1" aca="1" ref="AF38">InverseLookup($A38,Assumptions!$X$3,Assumptions!$A$3,1,Helper!$B$6,",")</f>
        <v/>
      </c>
      <c r="AG38" s="20" t="str" cm="1">
        <f t="array" ca="1" aca="1" ref="AG38">InverseLookup($A38,Assumptions!$Y$3,Assumptions!$A$3,1,Helper!$B$6,",")</f>
        <v>A27,</v>
      </c>
      <c r="AH38" s="20" t="str" cm="1">
        <f t="array" ca="1" aca="1" ref="AH38">IF($U38,CreateSearchString(SUBSTITUTE($S38,"§","")),"")</f>
        <v/>
      </c>
      <c r="AI38" s="20" t="b">
        <f t="shared" ca="1" si="3"/>
        <v>0</v>
      </c>
    </row>
    <row r="39" spans="1:35" ht="180.75">
      <c r="A39" s="13" t="s">
        <v>1116</v>
      </c>
      <c r="B39" s="13" t="s">
        <v>1117</v>
      </c>
      <c r="C39" s="13"/>
      <c r="D39" s="34" t="str" cm="1">
        <f t="array" ref="D39">LookupNames(SanitizeInput($C39),$A:$B)</f>
        <v/>
      </c>
      <c r="E39" s="13" t="s">
        <v>1082</v>
      </c>
      <c r="F39" s="34" t="str" cm="1">
        <f t="array" ca="1" aca="1" ref="F39">RemoveDelimiter(GetValues(SanitizeInput($E39),Questions!$A:$B,"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39" s="33" t="str" cm="1">
        <f t="array" ca="1" aca="1" ref="G39">LookupNames($T39,'Damage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39" s="13"/>
      <c r="I39" s="13"/>
      <c r="J39" s="13"/>
      <c r="K39" s="13"/>
      <c r="L39" s="13"/>
      <c r="M39" s="130" t="str">
        <f ca="1">IF($A39="","",IFERROR(VLOOKUP($AC39,Definitions!$V:$W,COLUMNS(Definitions!$V:$W),TRUE),""))</f>
        <v>Basic</v>
      </c>
      <c r="N39" s="13" t="s">
        <v>1144</v>
      </c>
      <c r="O39" s="13" t="s">
        <v>603</v>
      </c>
      <c r="P39" s="13"/>
      <c r="Q39" s="10" cm="1">
        <f t="array" ref="Q39">IF(ROW()=ROW($Q$2)+1,0,INDEX($Q:$Q,ROW()-1))+IF($A39="",0,1)</f>
        <v>37</v>
      </c>
      <c r="R39" s="20" t="b">
        <f ca="1">OR(CheckRelevance(SanitizeInput(N39),Questionnaire!$I:$I),CheckRelevance(SanitizeInput(N39),Questionnaire!$J:$J))</f>
        <v>1</v>
      </c>
      <c r="S39" s="20" t="str" cm="1">
        <f t="array" ca="1" aca="1" ref="S39">IF(AND($N39&lt;&gt;"",$R39=FALSE),"",IF(AND($R39,$C39=""),$A39&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39),$A:$S,$A39))</f>
        <v>AS37,§</v>
      </c>
      <c r="T39" s="20" t="str" cm="1">
        <f t="array" ca="1" aca="1" ref="T39">GetValues(SanitizeInput($E39),'Damage Scenarios'!$B:$T,"",",",FALSE)</f>
        <v>DS10,DS11,DS12,DS13,DS14,DS15,</v>
      </c>
      <c r="U39" s="20" t="b">
        <f t="shared" ca="1" si="4"/>
        <v>1</v>
      </c>
      <c r="V39" s="20" cm="1">
        <f t="array" ca="1" aca="1" ref="V39">CreateID($V$2,$V:$V,$U39)</f>
        <v>13</v>
      </c>
      <c r="W39" s="20">
        <f t="shared" ca="1" si="5"/>
        <v>1</v>
      </c>
      <c r="X39" s="20">
        <f>IF(H39="",0,VLOOKUP(H39,Definitions!$Z:$AA,COLUMNS(Definitions!$Z:$AA),FALSE))</f>
        <v>0</v>
      </c>
      <c r="Y39" s="20">
        <f>IF(I39="",0,VLOOKUP(I39,Definitions!$Z:$AA,COLUMNS(Definitions!$Z:$AA),FALSE))</f>
        <v>0</v>
      </c>
      <c r="Z39" s="20">
        <f>IF(J39="",0,VLOOKUP(J39,Definitions!$Z:$AA,COLUMNS(Definitions!$Z:$AA),FALSE))</f>
        <v>0</v>
      </c>
      <c r="AA39" s="20">
        <f>IF(K39="",0,VLOOKUP(K39,Definitions!$Z:$AA,COLUMNS(Definitions!$Z:$AA),FALSE))</f>
        <v>0</v>
      </c>
      <c r="AB39" s="20">
        <f>IF(L39="",0,VLOOKUP(L39,Definitions!$Z:$AA,COLUMNS(Definitions!$Z:$AA),FALSE))</f>
        <v>0</v>
      </c>
      <c r="AC39" s="20">
        <f t="shared" ca="1" si="2"/>
        <v>0</v>
      </c>
      <c r="AD39" s="20" cm="1">
        <f t="array" ref="AD39">CreateTaskID($AD$2,$AD:$AD,Tasks!$B$17,$P39)</f>
        <v>0</v>
      </c>
      <c r="AE39" s="20" t="str" cm="1">
        <f t="array" ca="1" aca="1" ref="AE39">InverseLookup($A39,Countermeasures!$X$2,Countermeasures!$A$2,1,Helper!$B$4,",")</f>
        <v/>
      </c>
      <c r="AF39" s="20" t="str" cm="1">
        <f t="array" ca="1" aca="1" ref="AF39">InverseLookup($A39,Assumptions!$X$3,Assumptions!$A$3,1,Helper!$B$6,",")</f>
        <v>A17,</v>
      </c>
      <c r="AG39" s="20" t="str" cm="1">
        <f t="array" ca="1" aca="1" ref="AG39">InverseLookup($A39,Assumptions!$Y$3,Assumptions!$A$3,1,Helper!$B$6,",")</f>
        <v>A17,</v>
      </c>
      <c r="AH39" s="20" t="str" cm="1">
        <f t="array" ca="1" aca="1" ref="AH39">IF($U39,CreateSearchString(SUBSTITUTE($S39,"§","")),"")</f>
        <v>,AS37,</v>
      </c>
      <c r="AI39" s="20" t="b">
        <f t="shared" ca="1" si="3"/>
        <v>1</v>
      </c>
    </row>
    <row r="40" spans="1:35" ht="180.75">
      <c r="A40" s="13" t="s">
        <v>1118</v>
      </c>
      <c r="B40" s="13" t="s">
        <v>1121</v>
      </c>
      <c r="C40" s="13"/>
      <c r="D40" s="34" t="str" cm="1">
        <f t="array" ref="D40">LookupNames(SanitizeInput($C40),$A:$B)</f>
        <v/>
      </c>
      <c r="E40" s="13" t="s">
        <v>1082</v>
      </c>
      <c r="F40" s="34" t="str" cm="1">
        <f t="array" ca="1" aca="1" ref="F40">RemoveDelimiter(GetValues(SanitizeInput($E40),Questions!$A:$B,"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40" s="33" t="str" cm="1">
        <f t="array" ca="1" aca="1" ref="G40">LookupNames($T40,'Damage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40" s="13"/>
      <c r="I40" s="13"/>
      <c r="J40" s="13"/>
      <c r="K40" s="13"/>
      <c r="L40" s="13"/>
      <c r="M40" s="130" t="str">
        <f ca="1">IF($A40="","",IFERROR(VLOOKUP($AC40,Definitions!$V:$W,COLUMNS(Definitions!$V:$W),TRUE),""))</f>
        <v>Basic</v>
      </c>
      <c r="N40" s="13" t="s">
        <v>1146</v>
      </c>
      <c r="O40" s="13" t="s">
        <v>603</v>
      </c>
      <c r="P40" s="13"/>
      <c r="Q40" s="10" cm="1">
        <f t="array" ref="Q40">IF(ROW()=ROW($Q$2)+1,0,INDEX($Q:$Q,ROW()-1))+IF($A40="",0,1)</f>
        <v>38</v>
      </c>
      <c r="R40" s="20" t="b">
        <f ca="1">OR(CheckRelevance(SanitizeInput(N40),Questionnaire!$I:$I),CheckRelevance(SanitizeInput(N40),Questionnaire!$J:$J))</f>
        <v>1</v>
      </c>
      <c r="S40" s="20" t="str" cm="1">
        <f t="array" ca="1" aca="1" ref="S40">IF(AND($N40&lt;&gt;"",$R40=FALSE),"",IF(AND($R40,$C40=""),$A40&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40),$A:$S,$A40))</f>
        <v>AS38,§</v>
      </c>
      <c r="T40" s="20" t="str" cm="1">
        <f t="array" ca="1" aca="1" ref="T40">GetValues(SanitizeInput($E40),'Damage Scenarios'!$B:$T,"",",",FALSE)</f>
        <v>DS10,DS11,DS12,DS13,DS14,DS15,</v>
      </c>
      <c r="U40" s="20" t="b">
        <f t="shared" ca="1" si="4"/>
        <v>1</v>
      </c>
      <c r="V40" s="20" cm="1">
        <f t="array" ca="1" aca="1" ref="V40">CreateID($V$2,$V:$V,$U40)</f>
        <v>14</v>
      </c>
      <c r="W40" s="20">
        <f t="shared" ca="1" si="5"/>
        <v>1</v>
      </c>
      <c r="X40" s="20">
        <f>IF(H40="",0,VLOOKUP(H40,Definitions!$Z:$AA,COLUMNS(Definitions!$Z:$AA),FALSE))</f>
        <v>0</v>
      </c>
      <c r="Y40" s="20">
        <f>IF(I40="",0,VLOOKUP(I40,Definitions!$Z:$AA,COLUMNS(Definitions!$Z:$AA),FALSE))</f>
        <v>0</v>
      </c>
      <c r="Z40" s="20">
        <f>IF(J40="",0,VLOOKUP(J40,Definitions!$Z:$AA,COLUMNS(Definitions!$Z:$AA),FALSE))</f>
        <v>0</v>
      </c>
      <c r="AA40" s="20">
        <f>IF(K40="",0,VLOOKUP(K40,Definitions!$Z:$AA,COLUMNS(Definitions!$Z:$AA),FALSE))</f>
        <v>0</v>
      </c>
      <c r="AB40" s="20">
        <f>IF(L40="",0,VLOOKUP(L40,Definitions!$Z:$AA,COLUMNS(Definitions!$Z:$AA),FALSE))</f>
        <v>0</v>
      </c>
      <c r="AC40" s="20">
        <f t="shared" ca="1" si="2"/>
        <v>0</v>
      </c>
      <c r="AD40" s="20" cm="1">
        <f t="array" ref="AD40">CreateTaskID($AD$2,$AD:$AD,Tasks!$B$17,$P40)</f>
        <v>0</v>
      </c>
      <c r="AE40" s="20" t="str" cm="1">
        <f t="array" ca="1" aca="1" ref="AE40">InverseLookup($A40,Countermeasures!$X$2,Countermeasures!$A$2,1,Helper!$B$4,",")</f>
        <v/>
      </c>
      <c r="AF40" s="20" t="str" cm="1">
        <f t="array" ca="1" aca="1" ref="AF40">InverseLookup($A40,Assumptions!$X$3,Assumptions!$A$3,1,Helper!$B$6,",")</f>
        <v>A18,</v>
      </c>
      <c r="AG40" s="20" t="str" cm="1">
        <f t="array" ca="1" aca="1" ref="AG40">InverseLookup($A40,Assumptions!$Y$3,Assumptions!$A$3,1,Helper!$B$6,",")</f>
        <v>A18,</v>
      </c>
      <c r="AH40" s="20" t="str" cm="1">
        <f t="array" ca="1" aca="1" ref="AH40">IF($U40,CreateSearchString(SUBSTITUTE($S40,"§","")),"")</f>
        <v>,AS38,</v>
      </c>
      <c r="AI40" s="20" t="b">
        <f t="shared" ca="1" si="3"/>
        <v>1</v>
      </c>
    </row>
    <row r="41" spans="1:35" ht="90.75">
      <c r="A41" s="13" t="s">
        <v>1225</v>
      </c>
      <c r="B41" s="13" t="s">
        <v>1226</v>
      </c>
      <c r="C41" s="13" t="s">
        <v>336</v>
      </c>
      <c r="D41" s="34" t="str" cm="1">
        <f t="array" ca="1" aca="1" ref="D41">LookupNames(SanitizeInput($C41),$A:$B)</f>
        <v>AS21 Gaining physical access to the product (3rd party),
AS22 Gaining physical access to the product (customer)</v>
      </c>
      <c r="E41" s="13" t="s">
        <v>1100</v>
      </c>
      <c r="F41" s="34" t="str" cm="1">
        <f t="array" ca="1" aca="1" ref="F41">RemoveDelimiter(GetValues(SanitizeInput($E41),Questions!$A:$B,"   ",CHAR(10),TRUE),CHAR(10))</f>
        <v>QI2   Does the product process personal data?
Examples: User ID, address labels
QI4   Is acontis techonlogies GmbH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41" s="33" t="str" cm="1">
        <f t="array" ca="1" aca="1" ref="G41">LookupNames($T41,'Damage Scenarios'!$A:$J)</f>
        <v/>
      </c>
      <c r="H41" s="13" t="s">
        <v>134</v>
      </c>
      <c r="I41" s="13" t="s">
        <v>141</v>
      </c>
      <c r="J41" s="13" t="s">
        <v>145</v>
      </c>
      <c r="K41" s="13" t="s">
        <v>81</v>
      </c>
      <c r="L41" s="13" t="s">
        <v>155</v>
      </c>
      <c r="M41" s="130" t="str">
        <f ca="1">IF($A41="","",IFERROR(VLOOKUP($AC41,Definitions!$V:$W,COLUMNS(Definitions!$V:$W),TRUE),""))</f>
        <v>High</v>
      </c>
      <c r="N41" s="13"/>
      <c r="O41" s="13" t="s">
        <v>605</v>
      </c>
      <c r="P41" s="13" t="s">
        <v>1227</v>
      </c>
      <c r="Q41" s="10" cm="1">
        <f t="array" ref="Q41">IF(ROW()=ROW($Q$2)+1,0,INDEX($Q:$Q,ROW()-1))+IF($A41="",0,1)</f>
        <v>39</v>
      </c>
      <c r="R41" s="20" t="b">
        <f>OR(CheckRelevance(SanitizeInput(N41),Questionnaire!$I:$I),CheckRelevance(SanitizeInput(N41),Questionnaire!$J:$J))</f>
        <v>0</v>
      </c>
      <c r="S41" s="20" t="str" cm="1">
        <f t="array" ca="1" aca="1" ref="S41">IF(AND($N41&lt;&gt;"",$R41=FALSE),"",IF(AND($R41,$C41=""),$A41&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41),$A:$S,$A41))</f>
        <v>AS21,AS39,§AS22,AS39,§</v>
      </c>
      <c r="T41" s="20" t="str" cm="1">
        <f t="array" ca="1" aca="1" ref="T41">GetValues(SanitizeInput($E41),'Damage Scenarios'!$B:$T,"",",",FALSE)</f>
        <v/>
      </c>
      <c r="U41" s="20" t="b">
        <f ca="1">AND($S41&lt;&gt;"",$T41&lt;&gt;"")</f>
        <v>0</v>
      </c>
      <c r="V41" s="20" cm="1">
        <f t="array" ca="1" aca="1" ref="V41">CreateID($V$2,$V:$V,$U41)</f>
        <v>14</v>
      </c>
      <c r="W41" s="20">
        <f t="shared" ca="1" si="5"/>
        <v>0</v>
      </c>
      <c r="X41" s="20">
        <f>IF(H41="",0,VLOOKUP(H41,Definitions!$Z:$AA,COLUMNS(Definitions!$Z:$AA),FALSE))</f>
        <v>4</v>
      </c>
      <c r="Y41" s="20">
        <f>IF(I41="",0,VLOOKUP(I41,Definitions!$Z:$AA,COLUMNS(Definitions!$Z:$AA),FALSE))</f>
        <v>6</v>
      </c>
      <c r="Z41" s="20">
        <f>IF(J41="",0,VLOOKUP(J41,Definitions!$Z:$AA,COLUMNS(Definitions!$Z:$AA),FALSE))</f>
        <v>3</v>
      </c>
      <c r="AA41" s="20">
        <f>IF(K41="",0,VLOOKUP(K41,Definitions!$Z:$AA,COLUMNS(Definitions!$Z:$AA),FALSE))</f>
        <v>4</v>
      </c>
      <c r="AB41" s="20">
        <f>IF(L41="",0,VLOOKUP(L41,Definitions!$Z:$AA,COLUMNS(Definitions!$Z:$AA),FALSE))</f>
        <v>7</v>
      </c>
      <c r="AC41" s="20">
        <f t="shared" ca="1" si="2"/>
        <v>24</v>
      </c>
      <c r="AD41" s="20" cm="1">
        <f t="array" ref="AD41">CreateTaskID($AD$2,$AD:$AD,Tasks!$B$17,$P41)</f>
        <v>0</v>
      </c>
      <c r="AE41" s="20" t="str" cm="1">
        <f t="array" ca="1" aca="1" ref="AE41">InverseLookup($A41,Countermeasures!$X$2,Countermeasures!$A$2,1,Helper!$B$4,",")</f>
        <v>CM21,CM22,</v>
      </c>
      <c r="AF41" s="20" t="str" cm="1">
        <f t="array" ca="1" aca="1" ref="AF41">InverseLookup($A41,Assumptions!$X$3,Assumptions!$A$3,1,Helper!$B$6,",")</f>
        <v/>
      </c>
      <c r="AG41" s="20" t="str" cm="1">
        <f t="array" ca="1" aca="1" ref="AG41">InverseLookup($A41,Assumptions!$Y$3,Assumptions!$A$3,1,Helper!$B$6,",")</f>
        <v/>
      </c>
      <c r="AH41" s="20" t="str" cm="1">
        <f t="array" ca="1" aca="1" ref="AH41">IF($U41,CreateSearchString(SUBSTITUTE($S41,"§","")),"")</f>
        <v/>
      </c>
      <c r="AI41" s="20" t="b">
        <f t="shared" ca="1" si="3"/>
        <v>0</v>
      </c>
    </row>
    <row r="42" spans="1:35" ht="203.25">
      <c r="A42" s="13" t="s">
        <v>1371</v>
      </c>
      <c r="B42" s="13" t="s">
        <v>1399</v>
      </c>
      <c r="C42" s="13" t="s">
        <v>1119</v>
      </c>
      <c r="D42" s="34" t="str" cm="1">
        <f t="array" ca="1" aca="1" ref="D42">LookupNames(SanitizeInput($C42),$A:$B)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AS17 Sending manipulated or malicious data to the product (from an untrusted source),
AS27 Getting physical access to the product's linked communication media (e.g., field buses),
AS28 Getting access to a trusted entity</v>
      </c>
      <c r="E42" s="13" t="s">
        <v>1103</v>
      </c>
      <c r="F42" s="34" t="str" cm="1">
        <f t="array" ca="1" aca="1" ref="F42">RemoveDelimiter(GetValues(SanitizeInput($E42),Questions!$A:$B,"   ",CHAR(10),TRUE),CHAR(10))</f>
        <v>QI1   Does the product have cameras or other sensors that can potentially recognize people?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42" s="33" t="str" cm="1">
        <f t="array" ca="1" aca="1" ref="G42">LookupNames($T42,'Damage Scenarios'!$A:$J)</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H42" s="13" t="s">
        <v>134</v>
      </c>
      <c r="I42" s="13" t="s">
        <v>141</v>
      </c>
      <c r="J42" s="13" t="s">
        <v>145</v>
      </c>
      <c r="K42" s="13"/>
      <c r="L42" s="13"/>
      <c r="M42" s="130" t="str">
        <f ca="1">IF($A42="","",IFERROR(VLOOKUP($AC42,Definitions!$V:$W,COLUMNS(Definitions!$V:$W),TRUE),""))</f>
        <v>Enhanced-Basic</v>
      </c>
      <c r="N42" s="13" t="s">
        <v>418</v>
      </c>
      <c r="O42" s="13" t="s">
        <v>645</v>
      </c>
      <c r="P42" s="13" t="s">
        <v>1016</v>
      </c>
      <c r="Q42" s="10" cm="1">
        <f t="array" ref="Q42">IF(ROW()=ROW($Q$2)+1,0,INDEX($Q:$Q,ROW()-1))+IF($A42="",0,1)</f>
        <v>40</v>
      </c>
      <c r="R42" s="20" t="b">
        <f>OR(CheckRelevance(SanitizeInput(N42),Questionnaire!$I:$I),CheckRelevance(SanitizeInput(N42),Questionnaire!$J:$J))</f>
        <v>1</v>
      </c>
      <c r="S42" s="20" t="str" cm="1">
        <f t="array" ca="1" aca="1" ref="S42">IF(AND($N42&lt;&gt;"",$R42=FALSE),"",IF(AND($R42,$C42=""),$A42&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42),$A:$S,$A42))</f>
        <v>AS1,AS40,§AS2,AS40,§</v>
      </c>
      <c r="T42" s="20" t="str" cm="1">
        <f t="array" ca="1" aca="1" ref="T42">GetValues(SanitizeInput($E42),'Damage Scenarios'!$B:$T,"",",",FALSE)</f>
        <v>DS10,DS11,DS12,DS13,DS14,DS15,</v>
      </c>
      <c r="U42" s="20" t="b">
        <f ca="1">AND($S42&lt;&gt;"",$T42&lt;&gt;"")</f>
        <v>1</v>
      </c>
      <c r="V42" s="20" cm="1">
        <f t="array" ca="1" aca="1" ref="V42">CreateID($V$2,$V:$V,$U42)</f>
        <v>15</v>
      </c>
      <c r="W42" s="20">
        <f ca="1">IF($U42,LEN($S42)-LEN(SUBSTITUTE($S42,"§","")),0)</f>
        <v>2</v>
      </c>
      <c r="X42" s="20">
        <f>IF(H42="",0,VLOOKUP(H42,Definitions!$Z:$AA,COLUMNS(Definitions!$Z:$AA),FALSE))</f>
        <v>4</v>
      </c>
      <c r="Y42" s="20">
        <f>IF(I42="",0,VLOOKUP(I42,Definitions!$Z:$AA,COLUMNS(Definitions!$Z:$AA),FALSE))</f>
        <v>6</v>
      </c>
      <c r="Z42" s="20">
        <f>IF(J42="",0,VLOOKUP(J42,Definitions!$Z:$AA,COLUMNS(Definitions!$Z:$AA),FALSE))</f>
        <v>3</v>
      </c>
      <c r="AA42" s="20">
        <f>IF(K42="",0,VLOOKUP(K42,Definitions!$Z:$AA,COLUMNS(Definitions!$Z:$AA),FALSE))</f>
        <v>0</v>
      </c>
      <c r="AB42" s="20">
        <f>IF(L42="",0,VLOOKUP(L42,Definitions!$Z:$AA,COLUMNS(Definitions!$Z:$AA),FALSE))</f>
        <v>0</v>
      </c>
      <c r="AC42" s="20">
        <f t="shared" ca="1" si="2"/>
        <v>13</v>
      </c>
      <c r="AD42" s="20" cm="1">
        <f t="array" ref="AD42">CreateTaskID($AD$2,$AD:$AD,Tasks!$B$17,$P42)</f>
        <v>0</v>
      </c>
      <c r="AE42" s="20" t="str" cm="1">
        <f t="array" ca="1" aca="1" ref="AE42">InverseLookup($A42,Countermeasures!$X$2,Countermeasures!$A$2,1,Helper!$B$4,",")</f>
        <v>C27,CM23,</v>
      </c>
      <c r="AF42" s="20" t="str" cm="1">
        <f t="array" ca="1" aca="1" ref="AF42">InverseLookup($A42,Assumptions!$X$3,Assumptions!$A$3,1,Helper!$B$6,",")</f>
        <v/>
      </c>
      <c r="AG42" s="20" t="str" cm="1">
        <f t="array" ca="1" aca="1" ref="AG42">InverseLookup($A42,Assumptions!$Y$3,Assumptions!$A$3,1,Helper!$B$6,",")</f>
        <v/>
      </c>
      <c r="AH42" s="20" t="str" cm="1">
        <f t="array" ca="1" aca="1" ref="AH42">IF($U42,CreateSearchString(SUBSTITUTE($S42,"§","")),"")</f>
        <v>,AS1,AS40,AS2,AS40,</v>
      </c>
      <c r="AI42" s="20" t="b">
        <f t="shared" ca="1" si="3"/>
        <v>1</v>
      </c>
    </row>
    <row r="43" spans="1:35" ht="135">
      <c r="A43" s="13" t="s">
        <v>1668</v>
      </c>
      <c r="B43" s="13" t="s">
        <v>1669</v>
      </c>
      <c r="C43" s="13"/>
      <c r="D43" s="34" t="str" cm="1">
        <f t="array" ref="D43">LookupNames(SanitizeInput($C43),$A:$B)</f>
        <v/>
      </c>
      <c r="E43" s="13" t="s">
        <v>1100</v>
      </c>
      <c r="F43" s="34" t="str" cm="1">
        <f t="array" ca="1" aca="1" ref="F43">RemoveDelimiter(GetValues(SanitizeInput($E43),Questions!$A:$B,"   ",CHAR(10),TRUE),CHAR(10))</f>
        <v>QI2   Does the product process personal data?
Examples: User ID, address labels
QI4   Is acontis techonlogies GmbH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43" s="33" t="str" cm="1">
        <f t="array" ca="1" aca="1" ref="G43">LookupNames($T43,'Damage Scenarios'!$A:$J)</f>
        <v/>
      </c>
      <c r="H43" s="13" t="s">
        <v>135</v>
      </c>
      <c r="I43" s="13" t="s">
        <v>141</v>
      </c>
      <c r="J43" s="13" t="s">
        <v>145</v>
      </c>
      <c r="K43" s="13" t="s">
        <v>148</v>
      </c>
      <c r="L43" s="13" t="s">
        <v>154</v>
      </c>
      <c r="M43" s="130" t="str">
        <f ca="1">IF($A43="","",IFERROR(VLOOKUP($AC43,Definitions!$V:$W,COLUMNS(Definitions!$V:$W),TRUE),""))</f>
        <v>High</v>
      </c>
      <c r="N43" s="13" t="s">
        <v>1101</v>
      </c>
      <c r="O43" s="13" t="s">
        <v>608</v>
      </c>
      <c r="P43" s="13" t="s">
        <v>1671</v>
      </c>
      <c r="Q43" s="10" cm="1">
        <f t="array" ref="Q43">IF(ROW()=ROW($Q$2)+1,0,INDEX($Q:$Q,ROW()-1))+IF($A43="",0,1)</f>
        <v>41</v>
      </c>
      <c r="R43" s="20" t="b">
        <f ca="1">OR(CheckRelevance(SanitizeInput(N43),Questionnaire!$I:$I),CheckRelevance(SanitizeInput(N43),Questionnaire!$J:$J))</f>
        <v>0</v>
      </c>
      <c r="S43" s="20" t="str" cm="1">
        <f t="array" ca="1" aca="1" ref="S43">IF(AND($N43&lt;&gt;"",$R43=FALSE),"",IF(AND($R43,$C43=""),$A43&amp;",§","")&amp;_xlfn.LAMBDA(_xlpm._in,_xlpm._apRange,_xlpm._ownID,IF(_xlpm._in="","",_xlfn.LET(_xlpm._id,LEFT(_xlpm._in,FIND(",",_xlpm._in)-1),_xlpm._attackPaths,VLOOKUP(_xlpm._id,_xlpm._apRange,COLUMNS(_xlpm._apRange),FALSE),SUBSTITUTE(_xlpm._attackPaths,"§",_xlpm._ownID&amp;",§")&amp;GenerateAttackPaths(RemoveFirstElement(_xlpm._in),_xlpm._apRange,_xlpm._ownID))))(SanitizeInput($C43),$A:$S,$A43))</f>
        <v/>
      </c>
      <c r="T43" s="20" t="str" cm="1">
        <f t="array" ca="1" aca="1" ref="T43">GetValues(SanitizeInput($E43),'Damage Scenarios'!$B:$T,"",",",FALSE)</f>
        <v/>
      </c>
      <c r="U43" s="20" t="b">
        <f ca="1">AND($S43&lt;&gt;"",$T43&lt;&gt;"")</f>
        <v>0</v>
      </c>
      <c r="V43" s="20" cm="1">
        <f t="array" ca="1" aca="1" ref="V43">CreateID($V$2,$V:$V,$U43)</f>
        <v>15</v>
      </c>
      <c r="W43" s="20">
        <f ca="1">IF($U43,LEN($S43)-LEN(SUBSTITUTE($S43,"§","")),0)</f>
        <v>0</v>
      </c>
      <c r="X43" s="20">
        <f>IF(H43="",0,VLOOKUP(H43,Definitions!$Z:$AA,COLUMNS(Definitions!$Z:$AA),FALSE))</f>
        <v>10</v>
      </c>
      <c r="Y43" s="20">
        <f>IF(I43="",0,VLOOKUP(I43,Definitions!$Z:$AA,COLUMNS(Definitions!$Z:$AA),FALSE))</f>
        <v>6</v>
      </c>
      <c r="Z43" s="20">
        <f>IF(J43="",0,VLOOKUP(J43,Definitions!$Z:$AA,COLUMNS(Definitions!$Z:$AA),FALSE))</f>
        <v>3</v>
      </c>
      <c r="AA43" s="20">
        <f>IF(K43="",0,VLOOKUP(K43,Definitions!$Z:$AA,COLUMNS(Definitions!$Z:$AA),FALSE))</f>
        <v>0</v>
      </c>
      <c r="AB43" s="20">
        <f>IF(L43="",0,VLOOKUP(L43,Definitions!$Z:$AA,COLUMNS(Definitions!$Z:$AA),FALSE))</f>
        <v>4</v>
      </c>
      <c r="AC43" s="20">
        <f t="shared" ca="1" si="2"/>
        <v>23</v>
      </c>
      <c r="AD43" s="20" cm="1">
        <f t="array" ref="AD43">CreateTaskID($AD$2,$AD:$AD,Tasks!$B$17,$P43)</f>
        <v>0</v>
      </c>
      <c r="AE43" s="20" t="str" cm="1">
        <f t="array" ca="1" aca="1" ref="AE43">InverseLookup($A43,Countermeasures!$X$2,Countermeasures!$A$2,1,Helper!$B$4,",")</f>
        <v>C17,</v>
      </c>
      <c r="AF43" s="20" t="str" cm="1">
        <f t="array" ca="1" aca="1" ref="AF43">InverseLookup($A43,Assumptions!$X$3,Assumptions!$A$3,1,Helper!$B$6,",")</f>
        <v/>
      </c>
      <c r="AG43" s="20" t="str" cm="1">
        <f t="array" ca="1" aca="1" ref="AG43">InverseLookup($A43,Assumptions!$Y$3,Assumptions!$A$3,1,Helper!$B$6,",")</f>
        <v/>
      </c>
      <c r="AH43" s="20" t="str" cm="1">
        <f t="array" ca="1" aca="1" ref="AH43">IF($U43,CreateSearchString(SUBSTITUTE($S43,"§","")),"")</f>
        <v/>
      </c>
      <c r="AI43" s="20" t="b">
        <f ca="1">IFERROR(_xlfn.XMATCH("*,"&amp;$A43&amp;",*",$AH:$AH,2)&gt;0,FALSE)</f>
        <v>0</v>
      </c>
    </row>
  </sheetData>
  <sheetProtection password="EB13" sheet="1" objects="1" scenarios="1"/>
  <conditionalFormatting sqref="A1:A1048576">
    <cfRule type="expression" priority="1" dxfId="65">
      <formula>MATCH(A1,$A:$A,0)&lt;ROW(A1)</formula>
    </cfRule>
  </conditionalFormatting>
  <conditionalFormatting sqref="P1:P1048576">
    <cfRule type="expression" priority="2" dxfId="685">
      <formula>IFERROR(FIND(Tasks!$B$17,P1)&gt;0,FALSE)</formula>
    </cfRule>
  </conditionalFormatting>
  <dataValidations count="1">
    <dataValidation type="list" allowBlank="1" showInputMessage="1" showErrorMessage="1" sqref="H3:L43">
      <formula1>OFFSET(Definitions!$Z$2,MATCH(COLUMN()-COLUMN($H$2)+1,Definitions!$AB:$AB,0)-ROW(Definitions!$Z$2),0,COUNTIF(Definitions!$AB:$AB,COLUMN()-COLUMN($H$2)+1),1)</formula1>
    </dataValidation>
  </dataValidations>
  <pageMargins left="0.7" right="0.7" top="0.75" bottom="0.75" header="0.3" footer="0.3"/>
  <pageSetup orientation="portrait" paperSize="9" r:id="rId2"/>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CEA92F-EF2E-48AF-B0DC-F89E5A6739A8}">
  <sheetPr>
    <tabColor theme="6"/>
  </sheetPr>
  <dimension ref="A1:AO47"/>
  <sheetViews>
    <sheetView windowProtection="1" workbookViewId="0" topLeftCell="A1">
      <pane xSplit="2" ySplit="3" topLeftCell="C4" activePane="bottomRight" state="frozen"/>
      <selection pane="topLeft" activeCell="A1" sqref="A1"/>
      <selection pane="bottomLeft" activeCell="A4" sqref="A4"/>
      <selection pane="topRight" activeCell="C1" sqref="C1"/>
      <selection pane="bottomRight" activeCell="B1" sqref="B1"/>
    </sheetView>
  </sheetViews>
  <sheetFormatPr defaultColWidth="9.14428571428571" defaultRowHeight="15"/>
  <cols>
    <col min="1" max="1" width="9.14285714285714" style="2"/>
    <col min="2" max="2" width="45.7142857142857" style="2" customWidth="1"/>
    <col min="3" max="4" width="60.7142857142857" style="2" customWidth="1"/>
    <col min="5" max="5" width="15.7142857142857" style="2" customWidth="1"/>
    <col min="6" max="6" width="30.7142857142857" style="2" customWidth="1"/>
    <col min="7" max="7" width="17.4285714285714" style="2" customWidth="1"/>
    <col min="8" max="8" width="60.7142857142857" style="9" customWidth="1"/>
    <col min="9" max="9" width="15.7142857142857" style="2" customWidth="1"/>
    <col min="10" max="10" width="60.7142857142857" style="9" customWidth="1"/>
    <col min="11" max="16" width="25.7142857142857" style="2" customWidth="1"/>
    <col min="17" max="17" width="30.1428571428571" style="2" bestFit="1" customWidth="1"/>
    <col min="18" max="18" width="30.1428571428571" style="2" customWidth="1"/>
    <col min="19" max="19" width="45.7142857142857" style="2" customWidth="1"/>
    <col min="20" max="20" width="15.4285714285714" style="2" hidden="1" customWidth="1"/>
    <col min="21" max="21" width="21.2857142857143" style="2" hidden="1" customWidth="1"/>
    <col min="22" max="22" width="26.1428571428571" style="2" hidden="1" customWidth="1"/>
    <col min="23" max="23" width="9.14285714285714" style="2" hidden="1" customWidth="1"/>
    <col min="24" max="24" width="17.4285714285714" style="2" hidden="1" customWidth="1"/>
    <col min="25" max="25" width="19.8571428571429" style="2" hidden="1" customWidth="1"/>
    <col min="26" max="31" width="9.14285714285714" style="2" hidden="1" customWidth="1"/>
    <col min="32" max="32" width="39.2857142857143" style="2" hidden="1" customWidth="1"/>
    <col min="33" max="33" width="22.4285714285714" style="2" hidden="1" customWidth="1"/>
    <col min="34" max="34" width="34" style="2" hidden="1" customWidth="1"/>
    <col min="35" max="35" width="14.2857142857143" style="2" hidden="1" customWidth="1"/>
    <col min="36" max="36" width="22.7142857142857" style="2" hidden="1" customWidth="1"/>
    <col min="37" max="37" width="39.7142857142857" style="2" hidden="1" customWidth="1"/>
    <col min="38" max="38" width="26" style="2" hidden="1" customWidth="1"/>
    <col min="39" max="39" width="23.7142857142857" style="2" hidden="1" customWidth="1"/>
    <col min="40" max="40" width="47" style="2" hidden="1" customWidth="1"/>
    <col min="41" max="41" width="27" style="2" hidden="1" customWidth="1"/>
    <col min="42" max="16384" width="9.14285714285714" style="2"/>
  </cols>
  <sheetData>
    <row r="1" spans="1:19" s="115"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A$3,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B$3,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C$3,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D$3,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E$3,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F$3,README!$E:$E,README!$I$36,README!$B$36)</f>
        <v>◈</v>
      </c>
      <c r="G1" s="115"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G$3,README!$E:$E,README!$I$36,README!$B$36)</f>
        <v>◈</v>
      </c>
      <c r="H1" s="115" t="str" cm="1">
        <f t="array" ca="1" aca="1" ref="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H$3,README!$E:$E,README!$I$36,README!$B$36)</f>
        <v>◈</v>
      </c>
      <c r="I1" s="115" t="str" cm="1">
        <f t="array" ca="1" aca="1" ref="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I$3,README!$E:$E,README!$I$36,README!$B$36)</f>
        <v>◈</v>
      </c>
      <c r="J1" s="115" t="str" cm="1">
        <f t="array" ca="1" aca="1" ref="J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J$3,README!$E:$E,README!$I$36,README!$B$36)</f>
        <v>◈</v>
      </c>
      <c r="K1" s="115" t="str" cm="1">
        <f t="array" ca="1" aca="1" ref="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K$3,README!$E:$E,README!$I$36,README!$B$36)</f>
        <v>◈</v>
      </c>
      <c r="L1" s="115" t="str" cm="1">
        <f t="array" ca="1" aca="1" ref="L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L$3,README!$E:$E,README!$I$36,README!$B$36)</f>
        <v>◈</v>
      </c>
      <c r="M1" s="115"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M$3,README!$E:$E,README!$I$36,README!$B$36)</f>
        <v>◈</v>
      </c>
      <c r="N1" s="115" t="str" cm="1">
        <f t="array" ca="1" aca="1" ref="N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N$3,README!$E:$E,README!$I$36,README!$B$36)</f>
        <v>◈</v>
      </c>
      <c r="O1" s="115" t="str" cm="1">
        <f t="array" ca="1" aca="1" ref="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O$3,README!$E:$E,README!$I$36,README!$B$36)</f>
        <v>◈</v>
      </c>
      <c r="P1" s="115" t="str" cm="1">
        <f t="array" ca="1" aca="1" ref="P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P$3,README!$E:$E,README!$I$36,README!$B$36)</f>
        <v>◈</v>
      </c>
      <c r="Q1" s="115" t="str" cm="1">
        <f t="array" ca="1" aca="1" ref="Q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Q$3,README!$E:$E,README!$I$36,README!$B$36)</f>
        <v>◈</v>
      </c>
      <c r="R1" s="115" t="str" cm="1">
        <f t="array" ca="1" aca="1" ref="R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R$3,README!$E:$E,README!$I$36,README!$B$36)</f>
        <v>◈</v>
      </c>
      <c r="S1" s="115" t="str" cm="1">
        <f t="array" ca="1" aca="1" ref="S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$7,S$3,README!$E:$E,README!$I$36,README!$B$36)</f>
        <v>◈</v>
      </c>
    </row>
    <row r="3" spans="1:41" ht="15">
      <c r="A3" s="10" t="s">
        <v>53</v>
      </c>
      <c r="B3" s="10" t="s">
        <v>269</v>
      </c>
      <c r="C3" s="10" t="s">
        <v>218</v>
      </c>
      <c r="D3" s="10" t="s">
        <v>1543</v>
      </c>
      <c r="E3" s="10" t="s">
        <v>370</v>
      </c>
      <c r="F3" s="10" t="s">
        <v>119</v>
      </c>
      <c r="G3" s="10" t="s">
        <v>281</v>
      </c>
      <c r="H3" s="15" t="s">
        <v>276</v>
      </c>
      <c r="I3" s="10" t="s">
        <v>424</v>
      </c>
      <c r="J3" s="15" t="s">
        <v>425</v>
      </c>
      <c r="K3" s="10" t="s">
        <v>131</v>
      </c>
      <c r="L3" s="10" t="s">
        <v>138</v>
      </c>
      <c r="M3" s="10" t="s">
        <v>143</v>
      </c>
      <c r="N3" s="10" t="s">
        <v>147</v>
      </c>
      <c r="O3" s="10" t="s">
        <v>152</v>
      </c>
      <c r="P3" s="15" t="s">
        <v>188</v>
      </c>
      <c r="Q3" s="10" t="s">
        <v>1630</v>
      </c>
      <c r="R3" s="10" t="s">
        <v>1715</v>
      </c>
      <c r="S3" s="10" t="s">
        <v>3</v>
      </c>
      <c r="T3" s="10" t="s">
        <v>54</v>
      </c>
      <c r="U3" s="10" t="s">
        <v>437</v>
      </c>
      <c r="V3" s="10" t="s">
        <v>438</v>
      </c>
      <c r="W3" s="10" t="s">
        <v>230</v>
      </c>
      <c r="X3" s="10" t="s">
        <v>935</v>
      </c>
      <c r="Y3" s="10" t="s">
        <v>283</v>
      </c>
      <c r="Z3" s="10" t="s">
        <v>44</v>
      </c>
      <c r="AA3" s="10" t="s">
        <v>45</v>
      </c>
      <c r="AB3" s="10" t="s">
        <v>46</v>
      </c>
      <c r="AC3" s="10" t="s">
        <v>47</v>
      </c>
      <c r="AD3" s="10" t="s">
        <v>48</v>
      </c>
      <c r="AE3" s="10" t="s">
        <v>78</v>
      </c>
      <c r="AF3" s="10" t="s">
        <v>435</v>
      </c>
      <c r="AG3" s="10" t="s">
        <v>481</v>
      </c>
      <c r="AH3" s="10" t="s">
        <v>639</v>
      </c>
      <c r="AI3" s="10" t="s">
        <v>644</v>
      </c>
      <c r="AJ3" s="10" t="s">
        <v>703</v>
      </c>
      <c r="AK3" s="10" t="s">
        <v>690</v>
      </c>
      <c r="AL3" s="10" t="s">
        <v>704</v>
      </c>
      <c r="AM3" s="10" t="s">
        <v>720</v>
      </c>
      <c r="AN3" s="10" t="s">
        <v>719</v>
      </c>
      <c r="AO3" s="10" t="s">
        <v>1428</v>
      </c>
    </row>
    <row r="4" spans="1:41" ht="45">
      <c r="A4" s="10" t="s">
        <v>214</v>
      </c>
      <c r="B4" s="13" t="s">
        <v>1539</v>
      </c>
      <c r="C4" s="13" t="s">
        <v>270</v>
      </c>
      <c r="D4" s="13" t="s">
        <v>1540</v>
      </c>
      <c r="E4" s="13" t="s">
        <v>372</v>
      </c>
      <c r="F4" s="13" t="s">
        <v>1106</v>
      </c>
      <c r="G4" s="13"/>
      <c r="H4" s="16" t="str" cm="1">
        <f t="array" ref="H4">LookupNames(SanitizeInput($G4),'Attack Steps'!$A:$B)</f>
        <v/>
      </c>
      <c r="I4" s="13"/>
      <c r="J4" s="36" t="str" cm="1">
        <f t="array" ref="J4">IF($I4="","",SUBSTITUTE(SUBSTITUTE(SUBSTITUTE(SUBSTITUTE(SUBSTITUTE(SUBSTITUTE(SUBSTITUTE(SUBSTITUTE(SUBSTITUTE(GetTransformation(SanitizeInput($I4),'Damage Scenarios'!$A:$J,COLUMNS('Damage Scenarios'!$A:$J),CHAR(10),"[#0][#1][#2]")&amp;"§","[#1][#2]",""),"[#2]",""),"[#0][#1]","[#1]"),"[#0]","Removes:"&amp;CHAR(10)),"[#1]","Transforms:"&amp;CHAR(10)),CHAR(10)&amp;"§",""),"§",""),CHAR(10),CHAR(10)&amp;"   "),"   "&amp;"Transforms:","Transforms:"))</f>
        <v/>
      </c>
      <c r="K4" s="13"/>
      <c r="L4" s="13"/>
      <c r="M4" s="13"/>
      <c r="N4" s="13"/>
      <c r="O4" s="13"/>
      <c r="P4" s="16" t="str">
        <f ca="1">IF($A4="","",IFERROR(VLOOKUP($AE4,Definitions!$V:$W,COLUMNS(Definitions!$V:$W),TRUE),""))</f>
        <v>Basic</v>
      </c>
      <c r="Q4" s="13" t="s">
        <v>609</v>
      </c>
      <c r="R4" s="13"/>
      <c r="S4" s="13"/>
      <c r="T4" s="10" cm="1">
        <f t="array" ref="T4">IF(ROW()=ROW($T$3)+1,0,INDEX($T:$T,ROW()-1))+IF($A4="",0,1)</f>
        <v>1</v>
      </c>
      <c r="U4" s="14" t="b">
        <f ca="1">OR(CheckRelevance(SanitizeInput(F4),Questionnaire!$I:$I),IFERROR(_xlfn.XMATCH("*,"&amp;$A4&amp;",*",Countermeasures!$AG:$AG,2)&gt;0,FALSE))</f>
        <v>0</v>
      </c>
      <c r="V4" s="14" t="b">
        <f>IFERROR(_xlfn.XMATCH("*,"&amp;$A4&amp;",*",Mitigation!$X:$X,2)&gt;0,FALSE)</f>
        <v>0</v>
      </c>
      <c r="W4" s="14" cm="1">
        <f t="array" ref="W4">CreateTaskID($W$3,$W:$W,Tasks!$B$17,$S4)</f>
        <v>0</v>
      </c>
      <c r="X4" s="14" t="str" cm="1">
        <f t="array" ca="1" aca="1" ref="X4">IF(OR($G4="",NOT($U4)),"",","&amp;SanitizeInput($G4))</f>
        <v/>
      </c>
      <c r="Y4" s="14" t="str" cm="1">
        <f t="array" ref="Y4">IF($G4="","",","&amp;SanitizeInput($G4))</f>
        <v/>
      </c>
      <c r="Z4" s="20">
        <f>IF(K4="",0,VLOOKUP(K4,Definitions!$Z:$AA,COLUMNS(Definitions!$Z:$AA),FALSE))</f>
        <v>0</v>
      </c>
      <c r="AA4" s="20">
        <f>IF(L4="",0,VLOOKUP(L4,Definitions!$Z:$AA,COLUMNS(Definitions!$Z:$AA),FALSE))</f>
        <v>0</v>
      </c>
      <c r="AB4" s="20">
        <f>IF(M4="",0,VLOOKUP(M4,Definitions!$Z:$AA,COLUMNS(Definitions!$Z:$AA),FALSE))</f>
        <v>0</v>
      </c>
      <c r="AC4" s="20">
        <f>IF(N4="",0,VLOOKUP(N4,Definitions!$Z:$AA,COLUMNS(Definitions!$Z:$AA),FALSE))</f>
        <v>0</v>
      </c>
      <c r="AD4" s="20">
        <f>IF(O4="",0,VLOOKUP(O4,Definitions!$Z:$AA,COLUMNS(Definitions!$Z:$AA),FALSE))</f>
        <v>0</v>
      </c>
      <c r="AE4" s="20">
        <f ca="1" t="shared" si="0" ref="AE4:AE45">SUM(OFFSET($Z4,0,0,1,COLUMNS($Z:$AD)))</f>
        <v>0</v>
      </c>
      <c r="AF4" s="20" t="str" cm="1">
        <f t="array" ref="AF4">SUBSTITUTE(IF($V4,IF($I4="","",","&amp;SanitizeInput($I4)),""),"&gt;",",")</f>
        <v/>
      </c>
      <c r="AG4" s="20" cm="1">
        <f t="array" ca="1" aca="1" ref="AG4">IF(ROW()=ROW($AG$3)+1,0,INDEX($AG:$AG,ROW()-1))+IF(OR($U4,$V4),1,0)</f>
        <v>0</v>
      </c>
      <c r="AH4" s="20" t="str" cm="1">
        <f t="array" ca="1" aca="1" ref="AH4">IF(OR($U4,$V4),IF($Q4="","",","&amp;SanitizeInput($Q4)),"")</f>
        <v/>
      </c>
      <c r="AI4" s="20" t="str">
        <f t="shared" si="1" ref="AI4:AI45">$B4&amp;" ["&amp;$E4&amp;"]"</f>
        <v>SDR 1.3 – Product cannot film people [Customer]</v>
      </c>
      <c r="AJ4" s="20" t="str" cm="1">
        <f t="array" ca="1" aca="1" ref="AJ4">IF($F4="*","",InverseLookupList(SanitizeInput($F4),Questionnaire!$AA$3,Questionnaire!$A$3,Helper!$B$12,","))</f>
        <v/>
      </c>
      <c r="AK4" s="20" t="str" cm="1">
        <f t="array" ca="1" aca="1" ref="AK4">RemoveDelimiter(GetValues($AJ4,Questionnaire!$A:$G," ",CHAR(10)&amp;CHAR(10),TRUE),CHAR(10)&amp;CHAR(10))</f>
        <v/>
      </c>
      <c r="AL4" s="20" t="str" cm="1">
        <f t="array" ca="1" aca="1" ref="AL4">CreateSearchString($AJ4)</f>
        <v/>
      </c>
      <c r="AM4" s="20" t="str" cm="1">
        <f t="array" ca="1" aca="1" ref="AM4">InverseLookup($A4,Mitigation!$AD$2,Mitigation!$A$2,1,Helper!$B$5,",")</f>
        <v/>
      </c>
      <c r="AN4" s="20" t="str" cm="1">
        <f t="array" ca="1" aca="1" ref="AN4">CreateSearchString(GetValues($AM4,'Attack Steps'!$A:$O,"",",",FALSE))</f>
        <v/>
      </c>
      <c r="AO4" s="20" t="str">
        <f t="shared" si="2" ref="AO4:AO45">IF($A4="","",$A4)</f>
        <v>A1</v>
      </c>
    </row>
    <row r="5" spans="1:41" ht="105">
      <c r="A5" s="10" t="s">
        <v>215</v>
      </c>
      <c r="B5" s="13" t="s">
        <v>1542</v>
      </c>
      <c r="C5" s="13" t="s">
        <v>390</v>
      </c>
      <c r="D5" s="13" t="s">
        <v>1538</v>
      </c>
      <c r="E5" s="13" t="s">
        <v>372</v>
      </c>
      <c r="F5" s="13" t="s">
        <v>1107</v>
      </c>
      <c r="G5" s="13"/>
      <c r="H5" s="33" t="str" cm="1">
        <f t="array" ref="H5">LookupNames(SanitizeInput($G5),'Attack Steps'!$A:$B)</f>
        <v/>
      </c>
      <c r="I5" s="23"/>
      <c r="J5" s="37" t="str" cm="1">
        <f t="array" ref="J5">IF($I5="","",SUBSTITUTE(SUBSTITUTE(SUBSTITUTE(SUBSTITUTE(SUBSTITUTE(SUBSTITUTE(SUBSTITUTE(SUBSTITUTE(SUBSTITUTE(GetTransformation(SanitizeInput($I5),'Damage Scenarios'!$A:$J,COLUMNS('Damage Scenarios'!$A:$J),CHAR(10),"[#0][#1][#2]")&amp;"§","[#1][#2]",""),"[#2]",""),"[#0][#1]","[#1]"),"[#0]","Removes:"&amp;CHAR(10)),"[#1]","Transforms:"&amp;CHAR(10)),CHAR(10)&amp;"§",""),"§",""),CHAR(10),CHAR(10)&amp;"   "),"   "&amp;"Transforms:","Transforms:"))</f>
        <v/>
      </c>
      <c r="K5" s="13"/>
      <c r="L5" s="13"/>
      <c r="M5" s="13"/>
      <c r="N5" s="13"/>
      <c r="O5" s="13"/>
      <c r="P5" s="16" t="str">
        <f ca="1">IF($A5="","",IFERROR(VLOOKUP($AE5,Definitions!$V:$W,COLUMNS(Definitions!$V:$W),TRUE),""))</f>
        <v>Basic</v>
      </c>
      <c r="Q5" s="13" t="s">
        <v>1656</v>
      </c>
      <c r="R5" s="13"/>
      <c r="S5" s="13"/>
      <c r="T5" s="10" cm="1">
        <f t="array" ref="T5">IF(ROW()=ROW($T$3)+1,0,INDEX($T:$T,ROW()-1))+IF($A5="",0,1)</f>
        <v>2</v>
      </c>
      <c r="U5" s="20" t="b">
        <f ca="1">OR(CheckRelevance(SanitizeInput(F5),Questionnaire!$I:$I),IFERROR(_xlfn.XMATCH("*,"&amp;$A5&amp;",*",Countermeasures!$AG:$AG,2)&gt;0,FALSE))</f>
        <v>0</v>
      </c>
      <c r="V5" s="20" t="b">
        <f>IFERROR(_xlfn.XMATCH("*,"&amp;$A5&amp;",*",Mitigation!$X:$X,2)&gt;0,FALSE)</f>
        <v>0</v>
      </c>
      <c r="W5" s="20" cm="1">
        <f t="array" ref="W5">CreateTaskID($W$3,$W:$W,Tasks!$B$17,$S5)</f>
        <v>0</v>
      </c>
      <c r="X5" s="20" t="str" cm="1">
        <f t="array" ca="1" aca="1" ref="X5">IF(OR($G5="",NOT($U5)),"",","&amp;SanitizeInput($G5))</f>
        <v/>
      </c>
      <c r="Y5" s="20" t="str" cm="1">
        <f t="array" ref="Y5">IF($G5="","",","&amp;SanitizeInput($G5))</f>
        <v/>
      </c>
      <c r="Z5" s="20">
        <f>IF(K5="",0,VLOOKUP(K5,Definitions!$Z:$AA,COLUMNS(Definitions!$Z:$AA),FALSE))</f>
        <v>0</v>
      </c>
      <c r="AA5" s="20">
        <f>IF(L5="",0,VLOOKUP(L5,Definitions!$Z:$AA,COLUMNS(Definitions!$Z:$AA),FALSE))</f>
        <v>0</v>
      </c>
      <c r="AB5" s="20">
        <f>IF(M5="",0,VLOOKUP(M5,Definitions!$Z:$AA,COLUMNS(Definitions!$Z:$AA),FALSE))</f>
        <v>0</v>
      </c>
      <c r="AC5" s="20">
        <f>IF(N5="",0,VLOOKUP(N5,Definitions!$Z:$AA,COLUMNS(Definitions!$Z:$AA),FALSE))</f>
        <v>0</v>
      </c>
      <c r="AD5" s="20">
        <f>IF(O5="",0,VLOOKUP(O5,Definitions!$Z:$AA,COLUMNS(Definitions!$Z:$AA),FALSE))</f>
        <v>0</v>
      </c>
      <c r="AE5" s="20">
        <f t="shared" ca="1" si="0"/>
        <v>0</v>
      </c>
      <c r="AF5" s="20" t="str" cm="1">
        <f t="array" ref="AF5">SUBSTITUTE(IF($V5,IF($I5="","",","&amp;SanitizeInput($I5)),""),"&gt;",",")</f>
        <v/>
      </c>
      <c r="AG5" s="20" cm="1">
        <f t="array" ca="1" aca="1" ref="AG5">IF(ROW()=ROW($AG$3)+1,0,INDEX($AG:$AG,ROW()-1))+IF(OR($U5,$V5),1,0)</f>
        <v>0</v>
      </c>
      <c r="AH5" s="20" t="str" cm="1">
        <f t="array" ca="1" aca="1" ref="AH5">IF(OR($U5,$V5),IF($Q5="","",","&amp;SanitizeInput($Q5)),"")</f>
        <v/>
      </c>
      <c r="AI5" s="20" t="str">
        <f t="shared" si="1"/>
        <v>SDR 1.4 – Privacy-compliant handling of camera data [Customer]</v>
      </c>
      <c r="AJ5" s="20" t="str" cm="1">
        <f t="array" ca="1" aca="1" ref="AJ5">IF($F5="*","",InverseLookupList(SanitizeInput($F5),Questionnaire!$AA$3,Questionnaire!$A$3,Helper!$B$12,","))</f>
        <v/>
      </c>
      <c r="AK5" s="20" t="str" cm="1">
        <f t="array" ca="1" aca="1" ref="AK5">RemoveDelimiter(GetValues($AJ5,Questionnaire!$A:$G," ",CHAR(10)&amp;CHAR(10),TRUE),CHAR(10)&amp;CHAR(10))</f>
        <v/>
      </c>
      <c r="AL5" s="20" t="str" cm="1">
        <f t="array" ca="1" aca="1" ref="AL5">CreateSearchString($AJ5)</f>
        <v/>
      </c>
      <c r="AM5" s="20" t="str" cm="1">
        <f t="array" ca="1" aca="1" ref="AM5">InverseLookup($A5,Mitigation!$AD$2,Mitigation!$A$2,1,Helper!$B$5,",")</f>
        <v/>
      </c>
      <c r="AN5" s="20" t="str" cm="1">
        <f t="array" ca="1" aca="1" ref="AN5">CreateSearchString(GetValues($AM5,'Attack Steps'!$A:$O,"",",",FALSE))</f>
        <v/>
      </c>
      <c r="AO5" s="20" t="str">
        <f t="shared" si="2"/>
        <v>A2</v>
      </c>
    </row>
    <row r="6" spans="1:41" ht="105">
      <c r="A6" s="10" t="s">
        <v>272</v>
      </c>
      <c r="B6" s="13" t="s">
        <v>1537</v>
      </c>
      <c r="C6" s="13" t="s">
        <v>391</v>
      </c>
      <c r="D6" s="13" t="s">
        <v>1538</v>
      </c>
      <c r="E6" s="13" t="s">
        <v>372</v>
      </c>
      <c r="F6" s="13" t="s">
        <v>1108</v>
      </c>
      <c r="G6" s="13"/>
      <c r="H6" s="33" t="str" cm="1">
        <f t="array" ref="H6">LookupNames(SanitizeInput($G6),'Attack Steps'!$A:$B)</f>
        <v/>
      </c>
      <c r="I6" s="23"/>
      <c r="J6" s="37" t="str" cm="1">
        <f t="array" ref="J6">IF($I6="","",SUBSTITUTE(SUBSTITUTE(SUBSTITUTE(SUBSTITUTE(SUBSTITUTE(SUBSTITUTE(SUBSTITUTE(SUBSTITUTE(SUBSTITUTE(GetTransformation(SanitizeInput($I6),'Damage Scenarios'!$A:$J,COLUMNS('Damage Scenarios'!$A:$J),CHAR(10),"[#0][#1][#2]")&amp;"§","[#1][#2]",""),"[#2]",""),"[#0][#1]","[#1]"),"[#0]","Removes:"&amp;CHAR(10)),"[#1]","Transforms:"&amp;CHAR(10)),CHAR(10)&amp;"§",""),"§",""),CHAR(10),CHAR(10)&amp;"   "),"   "&amp;"Transforms:","Transforms:"))</f>
        <v/>
      </c>
      <c r="K6" s="13"/>
      <c r="L6" s="13"/>
      <c r="M6" s="13"/>
      <c r="N6" s="13"/>
      <c r="O6" s="13"/>
      <c r="P6" s="16" t="str">
        <f ca="1">IF($A6="","",IFERROR(VLOOKUP($AE6,Definitions!$V:$W,COLUMNS(Definitions!$V:$W),TRUE),""))</f>
        <v>Basic</v>
      </c>
      <c r="Q6" s="13" t="s">
        <v>1656</v>
      </c>
      <c r="R6" s="13"/>
      <c r="S6" s="13"/>
      <c r="T6" s="10" cm="1">
        <f t="array" ref="T6">IF(ROW()=ROW($T$3)+1,0,INDEX($T:$T,ROW()-1))+IF($A6="",0,1)</f>
        <v>3</v>
      </c>
      <c r="U6" s="20" t="b">
        <f ca="1">OR(CheckRelevance(SanitizeInput(F6),Questionnaire!$I:$I),IFERROR(_xlfn.XMATCH("*,"&amp;$A6&amp;",*",Countermeasures!$AG:$AG,2)&gt;0,FALSE))</f>
        <v>1</v>
      </c>
      <c r="V6" s="20" t="b">
        <f>IFERROR(_xlfn.XMATCH("*,"&amp;$A6&amp;",*",Mitigation!$X:$X,2)&gt;0,FALSE)</f>
        <v>0</v>
      </c>
      <c r="W6" s="20" cm="1">
        <f t="array" ref="W6">CreateTaskID($W$3,$W:$W,Tasks!$B$17,$S6)</f>
        <v>0</v>
      </c>
      <c r="X6" s="20" t="str" cm="1">
        <f t="array" ca="1" aca="1" ref="X6">IF(OR($G6="",NOT($U6)),"",","&amp;SanitizeInput($G6))</f>
        <v/>
      </c>
      <c r="Y6" s="20" t="str" cm="1">
        <f t="array" ref="Y6">IF($G6="","",","&amp;SanitizeInput($G6))</f>
        <v/>
      </c>
      <c r="Z6" s="20">
        <f>IF(K6="",0,VLOOKUP(K6,Definitions!$Z:$AA,COLUMNS(Definitions!$Z:$AA),FALSE))</f>
        <v>0</v>
      </c>
      <c r="AA6" s="20">
        <f>IF(L6="",0,VLOOKUP(L6,Definitions!$Z:$AA,COLUMNS(Definitions!$Z:$AA),FALSE))</f>
        <v>0</v>
      </c>
      <c r="AB6" s="20">
        <f>IF(M6="",0,VLOOKUP(M6,Definitions!$Z:$AA,COLUMNS(Definitions!$Z:$AA),FALSE))</f>
        <v>0</v>
      </c>
      <c r="AC6" s="20">
        <f>IF(N6="",0,VLOOKUP(N6,Definitions!$Z:$AA,COLUMNS(Definitions!$Z:$AA),FALSE))</f>
        <v>0</v>
      </c>
      <c r="AD6" s="20">
        <f>IF(O6="",0,VLOOKUP(O6,Definitions!$Z:$AA,COLUMNS(Definitions!$Z:$AA),FALSE))</f>
        <v>0</v>
      </c>
      <c r="AE6" s="20">
        <f t="shared" ca="1" si="0"/>
        <v>0</v>
      </c>
      <c r="AF6" s="20" t="str" cm="1">
        <f t="array" ref="AF6">SUBSTITUTE(IF($V6,IF($I6="","",","&amp;SanitizeInput($I6)),""),"&gt;",",")</f>
        <v/>
      </c>
      <c r="AG6" s="20" cm="1">
        <f t="array" ca="1" aca="1" ref="AG6">IF(ROW()=ROW($AG$3)+1,0,INDEX($AG:$AG,ROW()-1))+IF(OR($U6,$V6),1,0)</f>
        <v>1</v>
      </c>
      <c r="AH6" s="20" t="str" cm="1">
        <f t="array" ca="1" aca="1" ref="AH6">IF(OR($U6,$V6),IF($Q6="","",","&amp;SanitizeInput($Q6)),"")</f>
        <v>,e,g,</v>
      </c>
      <c r="AI6" s="20" t="str">
        <f t="shared" si="1"/>
        <v>SDR 1.2 – Handling of personal data [Customer]</v>
      </c>
      <c r="AJ6" s="20" t="str" cm="1">
        <f t="array" ca="1" aca="1" ref="AJ6">IF($F6="*","",InverseLookupList(SanitizeInput($F6),Questionnaire!$AA$3,Questionnaire!$A$3,Helper!$B$12,","))</f>
        <v>QI2,</v>
      </c>
      <c r="AK6" s="20" t="str" cm="1">
        <f t="array" ca="1" aca="1" ref="AK6">RemoveDelimiter(GetValues($AJ6,Questionnaire!$A:$G," ",CHAR(10)&amp;CHAR(10),TRUE),CHAR(10)&amp;CHAR(10))</f>
        <v xml:space="preserve">QI2 </v>
      </c>
      <c r="AL6" s="20" t="str" cm="1">
        <f t="array" ca="1" aca="1" ref="AL6">CreateSearchString($AJ6)</f>
        <v>,QI2,</v>
      </c>
      <c r="AM6" s="20" t="str" cm="1">
        <f t="array" ca="1" aca="1" ref="AM6">InverseLookup($A6,Mitigation!$AD$2,Mitigation!$A$2,1,Helper!$B$5,",")</f>
        <v/>
      </c>
      <c r="AN6" s="20" t="str" cm="1">
        <f t="array" ca="1" aca="1" ref="AN6">CreateSearchString(GetValues($AM6,'Attack Steps'!$A:$O,"",",",FALSE))</f>
        <v/>
      </c>
      <c r="AO6" s="20" t="str">
        <f t="shared" si="2"/>
        <v>A3</v>
      </c>
    </row>
    <row r="7" spans="1:41" ht="75">
      <c r="A7" s="10" t="s">
        <v>339</v>
      </c>
      <c r="B7" s="13" t="s">
        <v>1594</v>
      </c>
      <c r="C7" s="13" t="s">
        <v>392</v>
      </c>
      <c r="D7" s="13" t="s">
        <v>1595</v>
      </c>
      <c r="E7" s="13" t="str">
        <f>Definitions!$C$4</f>
        <v>acontis techonlogies GmbH</v>
      </c>
      <c r="F7" s="13" t="s">
        <v>1096</v>
      </c>
      <c r="G7" s="13"/>
      <c r="H7" s="33" t="str" cm="1">
        <f t="array" ref="H7">LookupNames(SanitizeInput($G7),'Attack Steps'!$A:$B)</f>
        <v/>
      </c>
      <c r="I7" s="23"/>
      <c r="J7" s="37" t="str" cm="1">
        <f t="array" ref="J7">IF($I7="","",SUBSTITUTE(SUBSTITUTE(SUBSTITUTE(SUBSTITUTE(SUBSTITUTE(SUBSTITUTE(SUBSTITUTE(SUBSTITUTE(SUBSTITUTE(GetTransformation(SanitizeInput($I7),'Damage Scenarios'!$A:$J,COLUMNS('Damage Scenarios'!$A:$J),CHAR(10),"[#0][#1][#2]")&amp;"§","[#1][#2]",""),"[#2]",""),"[#0][#1]","[#1]"),"[#0]","Removes:"&amp;CHAR(10)),"[#1]","Transforms:"&amp;CHAR(10)),CHAR(10)&amp;"§",""),"§",""),CHAR(10),CHAR(10)&amp;"   "),"   "&amp;"Transforms:","Transforms:"))</f>
        <v/>
      </c>
      <c r="K7" s="13"/>
      <c r="L7" s="13"/>
      <c r="M7" s="13"/>
      <c r="N7" s="13"/>
      <c r="O7" s="13"/>
      <c r="P7" s="16" t="str">
        <f ca="1">IF($A7="","",IFERROR(VLOOKUP($AE7,Definitions!$V:$W,COLUMNS(Definitions!$V:$W),TRUE),""))</f>
        <v>Basic</v>
      </c>
      <c r="Q7" s="13" t="s">
        <v>608</v>
      </c>
      <c r="R7" s="13"/>
      <c r="S7" s="13" t="s">
        <v>388</v>
      </c>
      <c r="T7" s="10" cm="1">
        <f t="array" ref="T7">IF(ROW()=ROW($T$3)+1,0,INDEX($T:$T,ROW()-1))+IF($A7="",0,1)</f>
        <v>4</v>
      </c>
      <c r="U7" s="20" t="b">
        <f ca="1">OR(CheckRelevance(SanitizeInput(F7),Questionnaire!$I:$I),IFERROR(_xlfn.XMATCH("*,"&amp;$A7&amp;",*",Countermeasures!$AG:$AG,2)&gt;0,FALSE))</f>
        <v>1</v>
      </c>
      <c r="V7" s="20" t="b">
        <f>IFERROR(_xlfn.XMATCH("*,"&amp;$A7&amp;",*",Mitigation!$X:$X,2)&gt;0,FALSE)</f>
        <v>0</v>
      </c>
      <c r="W7" s="20" cm="1">
        <f t="array" ref="W7">CreateTaskID($W$3,$W:$W,Tasks!$B$17,$S7)</f>
        <v>0</v>
      </c>
      <c r="X7" s="20" t="str" cm="1">
        <f t="array" ca="1" aca="1" ref="X7">IF(OR($G7="",NOT($U7)),"",","&amp;SanitizeInput($G7))</f>
        <v/>
      </c>
      <c r="Y7" s="20" t="str" cm="1">
        <f t="array" ref="Y7">IF($G7="","",","&amp;SanitizeInput($G7))</f>
        <v/>
      </c>
      <c r="Z7" s="20">
        <f>IF(K7="",0,VLOOKUP(K7,Definitions!$Z:$AA,COLUMNS(Definitions!$Z:$AA),FALSE))</f>
        <v>0</v>
      </c>
      <c r="AA7" s="20">
        <f>IF(L7="",0,VLOOKUP(L7,Definitions!$Z:$AA,COLUMNS(Definitions!$Z:$AA),FALSE))</f>
        <v>0</v>
      </c>
      <c r="AB7" s="20">
        <f>IF(M7="",0,VLOOKUP(M7,Definitions!$Z:$AA,COLUMNS(Definitions!$Z:$AA),FALSE))</f>
        <v>0</v>
      </c>
      <c r="AC7" s="20">
        <f>IF(N7="",0,VLOOKUP(N7,Definitions!$Z:$AA,COLUMNS(Definitions!$Z:$AA),FALSE))</f>
        <v>0</v>
      </c>
      <c r="AD7" s="20">
        <f>IF(O7="",0,VLOOKUP(O7,Definitions!$Z:$AA,COLUMNS(Definitions!$Z:$AA),FALSE))</f>
        <v>0</v>
      </c>
      <c r="AE7" s="20">
        <f t="shared" ca="1" si="0"/>
        <v>0</v>
      </c>
      <c r="AF7" s="20" t="str" cm="1">
        <f t="array" ref="AF7">SUBSTITUTE(IF($V7,IF($I7="","",","&amp;SanitizeInput($I7)),""),"&gt;",",")</f>
        <v/>
      </c>
      <c r="AG7" s="20" cm="1">
        <f t="array" ca="1" aca="1" ref="AG7">IF(ROW()=ROW($AG$3)+1,0,INDEX($AG:$AG,ROW()-1))+IF(OR($U7,$V7),1,0)</f>
        <v>2</v>
      </c>
      <c r="AH7" s="20" t="str" cm="1">
        <f t="array" ca="1" aca="1" ref="AH7">IF(OR($U7,$V7),IF($Q7="","",","&amp;SanitizeInput($Q7)),"")</f>
        <v>,e,</v>
      </c>
      <c r="AI7" s="20" t="str">
        <f t="shared" si="1"/>
        <v>SDR 2.1 – No legal or contractual obligations for data confidentiality [acontis techonlogies GmbH]</v>
      </c>
      <c r="AJ7" s="20" t="str" cm="1">
        <f t="array" ca="1" aca="1" ref="AJ7">IF($F7="*","",InverseLookupList(SanitizeInput($F7),Questionnaire!$AA$3,Questionnaire!$A$3,Helper!$B$12,","))</f>
        <v>QI4,</v>
      </c>
      <c r="AK7" s="20" t="str" cm="1">
        <f t="array" ca="1" aca="1" ref="AK7">RemoveDelimiter(GetValues($AJ7,Questionnaire!$A:$G," ",CHAR(10)&amp;CHAR(10),TRUE),CHAR(10)&amp;CHAR(10))</f>
        <v>QI4 The EC-Master stack just transports data but does not process nor store data. The data is opauqe for the EC-Master stack.</v>
      </c>
      <c r="AL7" s="20" t="str" cm="1">
        <f t="array" ca="1" aca="1" ref="AL7">CreateSearchString($AJ7)</f>
        <v>,QI4,</v>
      </c>
      <c r="AM7" s="20" t="str" cm="1">
        <f t="array" ca="1" aca="1" ref="AM7">InverseLookup($A7,Mitigation!$AD$2,Mitigation!$A$2,1,Helper!$B$5,",")</f>
        <v/>
      </c>
      <c r="AN7" s="20" t="str" cm="1">
        <f t="array" ca="1" aca="1" ref="AN7">CreateSearchString(GetValues($AM7,'Attack Steps'!$A:$O,"",",",FALSE))</f>
        <v/>
      </c>
      <c r="AO7" s="20" t="str">
        <f t="shared" si="2"/>
        <v>A4</v>
      </c>
    </row>
    <row r="8" spans="1:41" ht="30">
      <c r="A8" s="10" t="s">
        <v>340</v>
      </c>
      <c r="B8" s="13" t="s">
        <v>1545</v>
      </c>
      <c r="C8" s="13" t="s">
        <v>393</v>
      </c>
      <c r="D8" s="13" t="s">
        <v>1546</v>
      </c>
      <c r="E8" s="13" t="s">
        <v>372</v>
      </c>
      <c r="F8" s="13" t="s">
        <v>1083</v>
      </c>
      <c r="G8" s="13"/>
      <c r="H8" s="33" t="str" cm="1">
        <f t="array" ref="H8">LookupNames(SanitizeInput($G8),'Attack Steps'!$A:$B)</f>
        <v/>
      </c>
      <c r="I8" s="23"/>
      <c r="J8" s="37" t="str" cm="1">
        <f t="array" ref="J8">IF($I8="","",SUBSTITUTE(SUBSTITUTE(SUBSTITUTE(SUBSTITUTE(SUBSTITUTE(SUBSTITUTE(SUBSTITUTE(SUBSTITUTE(SUBSTITUTE(GetTransformation(SanitizeInput($I8),'Damage Scenarios'!$A:$J,COLUMNS('Damage Scenarios'!$A:$J),CHAR(10),"[#0][#1][#2]")&amp;"§","[#1][#2]",""),"[#2]",""),"[#0][#1]","[#1]"),"[#0]","Removes:"&amp;CHAR(10)),"[#1]","Transforms:"&amp;CHAR(10)),CHAR(10)&amp;"§",""),"§",""),CHAR(10),CHAR(10)&amp;"   "),"   "&amp;"Transforms:","Transforms:"))</f>
        <v/>
      </c>
      <c r="K8" s="13"/>
      <c r="L8" s="13"/>
      <c r="M8" s="13"/>
      <c r="N8" s="13"/>
      <c r="O8" s="13"/>
      <c r="P8" s="16" t="str">
        <f ca="1">IF($A8="","",IFERROR(VLOOKUP($AE8,Definitions!$V:$W,COLUMNS(Definitions!$V:$W),TRUE),""))</f>
        <v>Basic</v>
      </c>
      <c r="Q8" s="13" t="s">
        <v>62</v>
      </c>
      <c r="R8" s="13"/>
      <c r="S8" s="13"/>
      <c r="T8" s="10" cm="1">
        <f t="array" ref="T8">IF(ROW()=ROW($T$3)+1,0,INDEX($T:$T,ROW()-1))+IF($A8="",0,1)</f>
        <v>5</v>
      </c>
      <c r="U8" s="20" t="b">
        <f ca="1">OR(CheckRelevance(SanitizeInput(F8),Questionnaire!$I:$I),IFERROR(_xlfn.XMATCH("*,"&amp;$A8&amp;",*",Countermeasures!$AG:$AG,2)&gt;0,FALSE))</f>
        <v>0</v>
      </c>
      <c r="V8" s="20" t="b">
        <f>IFERROR(_xlfn.XMATCH("*,"&amp;$A8&amp;",*",Mitigation!$X:$X,2)&gt;0,FALSE)</f>
        <v>0</v>
      </c>
      <c r="W8" s="20" cm="1">
        <f t="array" ref="W8">CreateTaskID($W$3,$W:$W,Tasks!$B$17,$S8)</f>
        <v>0</v>
      </c>
      <c r="X8" s="20" t="str" cm="1">
        <f t="array" ca="1" aca="1" ref="X8">IF(OR($G8="",NOT($U8)),"",","&amp;SanitizeInput($G8))</f>
        <v/>
      </c>
      <c r="Y8" s="20" t="str" cm="1">
        <f t="array" ref="Y8">IF($G8="","",","&amp;SanitizeInput($G8))</f>
        <v/>
      </c>
      <c r="Z8" s="20">
        <f>IF(K8="",0,VLOOKUP(K8,Definitions!$Z:$AA,COLUMNS(Definitions!$Z:$AA),FALSE))</f>
        <v>0</v>
      </c>
      <c r="AA8" s="20">
        <f>IF(L8="",0,VLOOKUP(L8,Definitions!$Z:$AA,COLUMNS(Definitions!$Z:$AA),FALSE))</f>
        <v>0</v>
      </c>
      <c r="AB8" s="20">
        <f>IF(M8="",0,VLOOKUP(M8,Definitions!$Z:$AA,COLUMNS(Definitions!$Z:$AA),FALSE))</f>
        <v>0</v>
      </c>
      <c r="AC8" s="20">
        <f>IF(N8="",0,VLOOKUP(N8,Definitions!$Z:$AA,COLUMNS(Definitions!$Z:$AA),FALSE))</f>
        <v>0</v>
      </c>
      <c r="AD8" s="20">
        <f>IF(O8="",0,VLOOKUP(O8,Definitions!$Z:$AA,COLUMNS(Definitions!$Z:$AA),FALSE))</f>
        <v>0</v>
      </c>
      <c r="AE8" s="20">
        <f t="shared" ca="1" si="0"/>
        <v>0</v>
      </c>
      <c r="AF8" s="20" t="str" cm="1">
        <f t="array" ref="AF8">SUBSTITUTE(IF($V8,IF($I8="","",","&amp;SanitizeInput($I8)),""),"&gt;",",")</f>
        <v/>
      </c>
      <c r="AG8" s="20" cm="1">
        <f t="array" ca="1" aca="1" ref="AG8">IF(ROW()=ROW($AG$3)+1,0,INDEX($AG:$AG,ROW()-1))+IF(OR($U8,$V8),1,0)</f>
        <v>2</v>
      </c>
      <c r="AH8" s="20" t="str" cm="1">
        <f t="array" ca="1" aca="1" ref="AH8">IF(OR($U8,$V8),IF($Q8="","",","&amp;SanitizeInput($Q8)),"")</f>
        <v/>
      </c>
      <c r="AI8" s="20" t="str">
        <f t="shared" si="1"/>
        <v>SDR 1.5 – Product is not used for safety-relevant use cases [Customer]</v>
      </c>
      <c r="AJ8" s="20" t="str" cm="1">
        <f t="array" ca="1" aca="1" ref="AJ8">IF($F8="*","",InverseLookupList(SanitizeInput($F8),Questionnaire!$AA$3,Questionnaire!$A$3,Helper!$B$12,","))</f>
        <v/>
      </c>
      <c r="AK8" s="20" t="str" cm="1">
        <f t="array" ca="1" aca="1" ref="AK8">RemoveDelimiter(GetValues($AJ8,Questionnaire!$A:$G," ",CHAR(10)&amp;CHAR(10),TRUE),CHAR(10)&amp;CHAR(10))</f>
        <v/>
      </c>
      <c r="AL8" s="20" t="str" cm="1">
        <f t="array" ca="1" aca="1" ref="AL8">CreateSearchString($AJ8)</f>
        <v/>
      </c>
      <c r="AM8" s="20" t="str" cm="1">
        <f t="array" ca="1" aca="1" ref="AM8">InverseLookup($A8,Mitigation!$AD$2,Mitigation!$A$2,1,Helper!$B$5,",")</f>
        <v/>
      </c>
      <c r="AN8" s="20" t="str" cm="1">
        <f t="array" ca="1" aca="1" ref="AN8">CreateSearchString(GetValues($AM8,'Attack Steps'!$A:$O,"",",",FALSE))</f>
        <v/>
      </c>
      <c r="AO8" s="20" t="str">
        <f t="shared" si="2"/>
        <v>A5</v>
      </c>
    </row>
    <row r="9" spans="1:41" ht="45">
      <c r="A9" s="10" t="s">
        <v>367</v>
      </c>
      <c r="B9" s="13" t="s">
        <v>1547</v>
      </c>
      <c r="C9" s="13" t="s">
        <v>753</v>
      </c>
      <c r="D9" s="13" t="s">
        <v>1548</v>
      </c>
      <c r="E9" s="13" t="s">
        <v>372</v>
      </c>
      <c r="F9" s="13" t="s">
        <v>1112</v>
      </c>
      <c r="G9" s="13"/>
      <c r="H9" s="33" t="str" cm="1">
        <f t="array" ref="H9">LookupNames(SanitizeInput($G9),'Attack Steps'!$A:$B)</f>
        <v/>
      </c>
      <c r="I9" s="23"/>
      <c r="J9" s="37" t="str" cm="1">
        <f t="array" ref="J9">IF($I9="","",SUBSTITUTE(SUBSTITUTE(SUBSTITUTE(SUBSTITUTE(SUBSTITUTE(SUBSTITUTE(SUBSTITUTE(SUBSTITUTE(SUBSTITUTE(GetTransformation(SanitizeInput($I9),'Damage Scenarios'!$A:$J,COLUMNS('Damage Scenarios'!$A:$J),CHAR(10),"[#0][#1][#2]")&amp;"§","[#1][#2]",""),"[#2]",""),"[#0][#1]","[#1]"),"[#0]","Removes:"&amp;CHAR(10)),"[#1]","Transforms:"&amp;CHAR(10)),CHAR(10)&amp;"§",""),"§",""),CHAR(10),CHAR(10)&amp;"   "),"   "&amp;"Transforms:","Transforms:"))</f>
        <v/>
      </c>
      <c r="K9" s="13"/>
      <c r="L9" s="13"/>
      <c r="M9" s="13"/>
      <c r="N9" s="13"/>
      <c r="O9" s="13"/>
      <c r="P9" s="16" t="str">
        <f ca="1">IF($A9="","",IFERROR(VLOOKUP($AE9,Definitions!$V:$W,COLUMNS(Definitions!$V:$W),TRUE),""))</f>
        <v>Basic</v>
      </c>
      <c r="Q9" s="13" t="s">
        <v>606</v>
      </c>
      <c r="R9" s="13"/>
      <c r="S9" s="13"/>
      <c r="T9" s="10" cm="1">
        <f t="array" ref="T9">IF(ROW()=ROW($T$3)+1,0,INDEX($T:$T,ROW()-1))+IF($A9="",0,1)</f>
        <v>6</v>
      </c>
      <c r="U9" s="20" t="b">
        <f ca="1">OR(CheckRelevance(SanitizeInput(F9),Questionnaire!$I:$I),IFERROR(_xlfn.XMATCH("*,"&amp;$A9&amp;",*",Countermeasures!$AG:$AG,2)&gt;0,FALSE))</f>
        <v>0</v>
      </c>
      <c r="V9" s="20" t="b">
        <f>IFERROR(_xlfn.XMATCH("*,"&amp;$A9&amp;",*",Mitigation!$X:$X,2)&gt;0,FALSE)</f>
        <v>0</v>
      </c>
      <c r="W9" s="20" cm="1">
        <f t="array" ref="W9">CreateTaskID($W$3,$W:$W,Tasks!$B$17,$S9)</f>
        <v>0</v>
      </c>
      <c r="X9" s="20" t="str" cm="1">
        <f t="array" ca="1" aca="1" ref="X9">IF(OR($G9="",NOT($U9)),"",","&amp;SanitizeInput($G9))</f>
        <v/>
      </c>
      <c r="Y9" s="20" t="str" cm="1">
        <f t="array" ref="Y9">IF($G9="","",","&amp;SanitizeInput($G9))</f>
        <v/>
      </c>
      <c r="Z9" s="20">
        <f>IF(K9="",0,VLOOKUP(K9,Definitions!$Z:$AA,COLUMNS(Definitions!$Z:$AA),FALSE))</f>
        <v>0</v>
      </c>
      <c r="AA9" s="20">
        <f>IF(L9="",0,VLOOKUP(L9,Definitions!$Z:$AA,COLUMNS(Definitions!$Z:$AA),FALSE))</f>
        <v>0</v>
      </c>
      <c r="AB9" s="20">
        <f>IF(M9="",0,VLOOKUP(M9,Definitions!$Z:$AA,COLUMNS(Definitions!$Z:$AA),FALSE))</f>
        <v>0</v>
      </c>
      <c r="AC9" s="20">
        <f>IF(N9="",0,VLOOKUP(N9,Definitions!$Z:$AA,COLUMNS(Definitions!$Z:$AA),FALSE))</f>
        <v>0</v>
      </c>
      <c r="AD9" s="20">
        <f>IF(O9="",0,VLOOKUP(O9,Definitions!$Z:$AA,COLUMNS(Definitions!$Z:$AA),FALSE))</f>
        <v>0</v>
      </c>
      <c r="AE9" s="20">
        <f t="shared" ca="1" si="0"/>
        <v>0</v>
      </c>
      <c r="AF9" s="20" t="str" cm="1">
        <f t="array" ref="AF9">SUBSTITUTE(IF($V9,IF($I9="","",","&amp;SanitizeInput($I9)),""),"&gt;",",")</f>
        <v/>
      </c>
      <c r="AG9" s="20" cm="1">
        <f t="array" ca="1" aca="1" ref="AG9">IF(ROW()=ROW($AG$3)+1,0,INDEX($AG:$AG,ROW()-1))+IF(OR($U9,$V9),1,0)</f>
        <v>2</v>
      </c>
      <c r="AH9" s="20" t="str" cm="1">
        <f t="array" ca="1" aca="1" ref="AH9">IF(OR($U9,$V9),IF($Q9="","",","&amp;SanitizeInput($Q9)),"")</f>
        <v/>
      </c>
      <c r="AI9" s="20" t="str">
        <f t="shared" si="1"/>
        <v>SDR 1.6 – Product not relevant for availability of operational environment [Customer]</v>
      </c>
      <c r="AJ9" s="20" t="str" cm="1">
        <f t="array" ca="1" aca="1" ref="AJ9">IF($F9="*","",InverseLookupList(SanitizeInput($F9),Questionnaire!$AA$3,Questionnaire!$A$3,Helper!$B$12,","))</f>
        <v/>
      </c>
      <c r="AK9" s="20" t="str" cm="1">
        <f t="array" ca="1" aca="1" ref="AK9">RemoveDelimiter(GetValues($AJ9,Questionnaire!$A:$G," ",CHAR(10)&amp;CHAR(10),TRUE),CHAR(10)&amp;CHAR(10))</f>
        <v/>
      </c>
      <c r="AL9" s="20" t="str" cm="1">
        <f t="array" ca="1" aca="1" ref="AL9">CreateSearchString($AJ9)</f>
        <v/>
      </c>
      <c r="AM9" s="20" t="str" cm="1">
        <f t="array" ca="1" aca="1" ref="AM9">InverseLookup($A9,Mitigation!$AD$2,Mitigation!$A$2,1,Helper!$B$5,",")</f>
        <v/>
      </c>
      <c r="AN9" s="20" t="str" cm="1">
        <f t="array" ca="1" aca="1" ref="AN9">CreateSearchString(GetValues($AM9,'Attack Steps'!$A:$O,"",",",FALSE))</f>
        <v/>
      </c>
      <c r="AO9" s="20" t="str">
        <f t="shared" si="2"/>
        <v>A6</v>
      </c>
    </row>
    <row r="10" spans="1:41" ht="45">
      <c r="A10" s="10" t="s">
        <v>375</v>
      </c>
      <c r="B10" s="13" t="s">
        <v>1549</v>
      </c>
      <c r="C10" s="13" t="str" cm="1">
        <f t="array" ca="1" aca="1" ref="C10">"If the product stops working, then the damages to its operational environment are at most: "&amp;IFERROR(SimpleLookup(SimpleLookup("QI7",Questionnaire!$A:$E),Definitions!$H:$J),"")</f>
        <v>If the product stops working, then the damages to its operational environment are at most: Critical</v>
      </c>
      <c r="D10" s="13" t="s">
        <v>1552</v>
      </c>
      <c r="E10" s="13" t="s">
        <v>372</v>
      </c>
      <c r="F10" s="13" t="s">
        <v>1089</v>
      </c>
      <c r="G10" s="13"/>
      <c r="H10" s="33" t="str" cm="1">
        <f t="array" ref="H10">LookupNames(SanitizeInput($G10),'Attack Steps'!$A:$B)</f>
        <v/>
      </c>
      <c r="I10" s="23"/>
      <c r="J10" s="37" t="str" cm="1">
        <f t="array" ref="J10">IF($I10="","",SUBSTITUTE(SUBSTITUTE(SUBSTITUTE(SUBSTITUTE(SUBSTITUTE(SUBSTITUTE(SUBSTITUTE(SUBSTITUTE(SUBSTITUTE(GetTransformation(SanitizeInput($I10),'Damage Scenarios'!$A:$J,COLUMNS('Damage Scenarios'!$A:$J),CHAR(10),"[#0][#1][#2]")&amp;"§","[#1][#2]",""),"[#2]",""),"[#0][#1]","[#1]"),"[#0]","Removes:"&amp;CHAR(10)),"[#1]","Transforms:"&amp;CHAR(10)),CHAR(10)&amp;"§",""),"§",""),CHAR(10),CHAR(10)&amp;"   "),"   "&amp;"Transforms:","Transforms:"))</f>
        <v/>
      </c>
      <c r="K10" s="13"/>
      <c r="L10" s="13"/>
      <c r="M10" s="13"/>
      <c r="N10" s="13"/>
      <c r="O10" s="13"/>
      <c r="P10" s="16" t="str">
        <f ca="1">IF($A10="","",IFERROR(VLOOKUP($AE10,Definitions!$V:$W,COLUMNS(Definitions!$V:$W),TRUE),""))</f>
        <v>Basic</v>
      </c>
      <c r="Q10" s="13" t="s">
        <v>606</v>
      </c>
      <c r="R10" s="13"/>
      <c r="S10" s="13"/>
      <c r="T10" s="10" cm="1">
        <f t="array" ref="T10">IF(ROW()=ROW($T$3)+1,0,INDEX($T:$T,ROW()-1))+IF($A10="",0,1)</f>
        <v>7</v>
      </c>
      <c r="U10" s="20" t="b">
        <f ca="1">OR(CheckRelevance(SanitizeInput(F10),Questionnaire!$I:$I),IFERROR(_xlfn.XMATCH("*,"&amp;$A10&amp;",*",Countermeasures!$AG:$AG,2)&gt;0,FALSE))</f>
        <v>0</v>
      </c>
      <c r="V10" s="20" t="b">
        <f>IFERROR(_xlfn.XMATCH("*,"&amp;$A10&amp;",*",Mitigation!$X:$X,2)&gt;0,FALSE)</f>
        <v>0</v>
      </c>
      <c r="W10" s="20" cm="1">
        <f t="array" ref="W10">CreateTaskID($W$3,$W:$W,Tasks!$B$17,$S10)</f>
        <v>0</v>
      </c>
      <c r="X10" s="20" t="str" cm="1">
        <f t="array" ca="1" aca="1" ref="X10">IF(OR($G10="",NOT($U10)),"",","&amp;SanitizeInput($G10))</f>
        <v/>
      </c>
      <c r="Y10" s="20" t="str" cm="1">
        <f t="array" ref="Y10">IF($G10="","",","&amp;SanitizeInput($G10))</f>
        <v/>
      </c>
      <c r="Z10" s="20">
        <f>IF(K10="",0,VLOOKUP(K10,Definitions!$Z:$AA,COLUMNS(Definitions!$Z:$AA),FALSE))</f>
        <v>0</v>
      </c>
      <c r="AA10" s="20">
        <f>IF(L10="",0,VLOOKUP(L10,Definitions!$Z:$AA,COLUMNS(Definitions!$Z:$AA),FALSE))</f>
        <v>0</v>
      </c>
      <c r="AB10" s="20">
        <f>IF(M10="",0,VLOOKUP(M10,Definitions!$Z:$AA,COLUMNS(Definitions!$Z:$AA),FALSE))</f>
        <v>0</v>
      </c>
      <c r="AC10" s="20">
        <f>IF(N10="",0,VLOOKUP(N10,Definitions!$Z:$AA,COLUMNS(Definitions!$Z:$AA),FALSE))</f>
        <v>0</v>
      </c>
      <c r="AD10" s="20">
        <f>IF(O10="",0,VLOOKUP(O10,Definitions!$Z:$AA,COLUMNS(Definitions!$Z:$AA),FALSE))</f>
        <v>0</v>
      </c>
      <c r="AE10" s="20">
        <f t="shared" ca="1" si="0"/>
        <v>0</v>
      </c>
      <c r="AF10" s="20" t="str" cm="1">
        <f t="array" ref="AF10">SUBSTITUTE(IF($V10,IF($I10="","",","&amp;SanitizeInput($I10)),""),"&gt;",",")</f>
        <v/>
      </c>
      <c r="AG10" s="20" cm="1">
        <f t="array" ca="1" aca="1" ref="AG10">IF(ROW()=ROW($AG$3)+1,0,INDEX($AG:$AG,ROW()-1))+IF(OR($U10,$V10),1,0)</f>
        <v>2</v>
      </c>
      <c r="AH10" s="20" t="str" cm="1">
        <f t="array" ca="1" aca="1" ref="AH10">IF(OR($U10,$V10),IF($Q10="","",","&amp;SanitizeInput($Q10)),"")</f>
        <v/>
      </c>
      <c r="AI10" s="20" t="str">
        <f t="shared" si="1"/>
        <v>SDR 1.7 – Limited damages in case of loss of availability  [Customer]</v>
      </c>
      <c r="AJ10" s="20" t="str" cm="1">
        <f t="array" ca="1" aca="1" ref="AJ10">IF($F10="*","",InverseLookupList(SanitizeInput($F10),Questionnaire!$AA$3,Questionnaire!$A$3,Helper!$B$12,","))</f>
        <v/>
      </c>
      <c r="AK10" s="20" t="str" cm="1">
        <f t="array" ca="1" aca="1" ref="AK10">RemoveDelimiter(GetValues($AJ10,Questionnaire!$A:$G," ",CHAR(10)&amp;CHAR(10),TRUE),CHAR(10)&amp;CHAR(10))</f>
        <v/>
      </c>
      <c r="AL10" s="20" t="str" cm="1">
        <f t="array" ca="1" aca="1" ref="AL10">CreateSearchString($AJ10)</f>
        <v/>
      </c>
      <c r="AM10" s="20" t="str" cm="1">
        <f t="array" ca="1" aca="1" ref="AM10">InverseLookup($A10,Mitigation!$AD$2,Mitigation!$A$2,1,Helper!$B$5,",")</f>
        <v/>
      </c>
      <c r="AN10" s="20" t="str" cm="1">
        <f t="array" ca="1" aca="1" ref="AN10">CreateSearchString(GetValues($AM10,'Attack Steps'!$A:$O,"",",",FALSE))</f>
        <v/>
      </c>
      <c r="AO10" s="20" t="str">
        <f t="shared" si="2"/>
        <v>A7</v>
      </c>
    </row>
    <row r="11" spans="1:41" ht="75">
      <c r="A11" s="10" t="s">
        <v>376</v>
      </c>
      <c r="B11" s="13" t="s">
        <v>1550</v>
      </c>
      <c r="C11" s="13" t="str" cm="1">
        <f t="array" ca="1" aca="1" ref="C11">"If the product malfunctions, then the damages to its operational environment are at most: "&amp;IFERROR(SimpleLookup(SimpleLookup("QI14",Questionnaire!$A:$E),Definitions!$H:$J),"")</f>
        <v>If the product malfunctions, then the damages to its operational environment are at most: Critical</v>
      </c>
      <c r="D11" s="13" t="s">
        <v>1553</v>
      </c>
      <c r="E11" s="13" t="s">
        <v>372</v>
      </c>
      <c r="F11" s="13" t="s">
        <v>1076</v>
      </c>
      <c r="G11" s="13"/>
      <c r="H11" s="33" t="str" cm="1">
        <f t="array" ref="H11">LookupNames(SanitizeInput($G11),'Attack Steps'!$A:$B)</f>
        <v/>
      </c>
      <c r="I11" s="23"/>
      <c r="J11" s="37" t="str" cm="1">
        <f t="array" ref="J11">IF($I11="","",SUBSTITUTE(SUBSTITUTE(SUBSTITUTE(SUBSTITUTE(SUBSTITUTE(SUBSTITUTE(SUBSTITUTE(SUBSTITUTE(SUBSTITUTE(GetTransformation(SanitizeInput($I11),'Damage Scenarios'!$A:$J,COLUMNS('Damage Scenarios'!$A:$J),CHAR(10),"[#0][#1][#2]")&amp;"§","[#1][#2]",""),"[#2]",""),"[#0][#1]","[#1]"),"[#0]","Removes:"&amp;CHAR(10)),"[#1]","Transforms:"&amp;CHAR(10)),CHAR(10)&amp;"§",""),"§",""),CHAR(10),CHAR(10)&amp;"   "),"   "&amp;"Transforms:","Transforms:"))</f>
        <v/>
      </c>
      <c r="K11" s="13"/>
      <c r="L11" s="13"/>
      <c r="M11" s="13"/>
      <c r="N11" s="13"/>
      <c r="O11" s="13"/>
      <c r="P11" s="16" t="str">
        <f ca="1">IF($A11="","",IFERROR(VLOOKUP($AE11,Definitions!$V:$W,COLUMNS(Definitions!$V:$W),TRUE),""))</f>
        <v>Basic</v>
      </c>
      <c r="Q11" s="13" t="s">
        <v>606</v>
      </c>
      <c r="R11" s="13"/>
      <c r="S11" s="13"/>
      <c r="T11" s="10" cm="1">
        <f t="array" ref="T11">IF(ROW()=ROW($T$3)+1,0,INDEX($T:$T,ROW()-1))+IF($A11="",0,1)</f>
        <v>8</v>
      </c>
      <c r="U11" s="20" t="b">
        <f ca="1">OR(CheckRelevance(SanitizeInput(F11),Questionnaire!$I:$I),IFERROR(_xlfn.XMATCH("*,"&amp;$A11&amp;",*",Countermeasures!$AG:$AG,2)&gt;0,FALSE))</f>
        <v>0</v>
      </c>
      <c r="V11" s="20" t="b">
        <f>IFERROR(_xlfn.XMATCH("*,"&amp;$A11&amp;",*",Mitigation!$X:$X,2)&gt;0,FALSE)</f>
        <v>0</v>
      </c>
      <c r="W11" s="20" cm="1">
        <f t="array" ref="W11">CreateTaskID($W$3,$W:$W,Tasks!$B$17,$S11)</f>
        <v>0</v>
      </c>
      <c r="X11" s="20" t="str" cm="1">
        <f t="array" ca="1" aca="1" ref="X11">IF(OR($G11="",NOT($U11)),"",","&amp;SanitizeInput($G11))</f>
        <v/>
      </c>
      <c r="Y11" s="20" t="str" cm="1">
        <f t="array" ref="Y11">IF($G11="","",","&amp;SanitizeInput($G11))</f>
        <v/>
      </c>
      <c r="Z11" s="20">
        <f>IF(K11="",0,VLOOKUP(K11,Definitions!$Z:$AA,COLUMNS(Definitions!$Z:$AA),FALSE))</f>
        <v>0</v>
      </c>
      <c r="AA11" s="20">
        <f>IF(L11="",0,VLOOKUP(L11,Definitions!$Z:$AA,COLUMNS(Definitions!$Z:$AA),FALSE))</f>
        <v>0</v>
      </c>
      <c r="AB11" s="20">
        <f>IF(M11="",0,VLOOKUP(M11,Definitions!$Z:$AA,COLUMNS(Definitions!$Z:$AA),FALSE))</f>
        <v>0</v>
      </c>
      <c r="AC11" s="20">
        <f>IF(N11="",0,VLOOKUP(N11,Definitions!$Z:$AA,COLUMNS(Definitions!$Z:$AA),FALSE))</f>
        <v>0</v>
      </c>
      <c r="AD11" s="20">
        <f>IF(O11="",0,VLOOKUP(O11,Definitions!$Z:$AA,COLUMNS(Definitions!$Z:$AA),FALSE))</f>
        <v>0</v>
      </c>
      <c r="AE11" s="20">
        <f t="shared" ca="1" si="0"/>
        <v>0</v>
      </c>
      <c r="AF11" s="20" t="str" cm="1">
        <f t="array" ref="AF11">SUBSTITUTE(IF($V11,IF($I11="","",","&amp;SanitizeInput($I11)),""),"&gt;",",")</f>
        <v/>
      </c>
      <c r="AG11" s="20" cm="1">
        <f t="array" ca="1" aca="1" ref="AG11">IF(ROW()=ROW($AG$3)+1,0,INDEX($AG:$AG,ROW()-1))+IF(OR($U11,$V11),1,0)</f>
        <v>2</v>
      </c>
      <c r="AH11" s="20" t="str" cm="1">
        <f t="array" ca="1" aca="1" ref="AH11">IF(OR($U11,$V11),IF($Q11="","",","&amp;SanitizeInput($Q11)),"")</f>
        <v/>
      </c>
      <c r="AI11" s="20" t="str">
        <f t="shared" si="1"/>
        <v>SDR 1.8 – Limited damages in case of a loss of integrity of the product [Customer]</v>
      </c>
      <c r="AJ11" s="20" t="str" cm="1">
        <f t="array" ca="1" aca="1" ref="AJ11">IF($F11="*","",InverseLookupList(SanitizeInput($F11),Questionnaire!$AA$3,Questionnaire!$A$3,Helper!$B$12,","))</f>
        <v/>
      </c>
      <c r="AK11" s="20" t="str" cm="1">
        <f t="array" ca="1" aca="1" ref="AK11">RemoveDelimiter(GetValues($AJ11,Questionnaire!$A:$G," ",CHAR(10)&amp;CHAR(10),TRUE),CHAR(10)&amp;CHAR(10))</f>
        <v/>
      </c>
      <c r="AL11" s="20" t="str" cm="1">
        <f t="array" ca="1" aca="1" ref="AL11">CreateSearchString($AJ11)</f>
        <v/>
      </c>
      <c r="AM11" s="20" t="str" cm="1">
        <f t="array" ca="1" aca="1" ref="AM11">InverseLookup($A11,Mitigation!$AD$2,Mitigation!$A$2,1,Helper!$B$5,",")</f>
        <v/>
      </c>
      <c r="AN11" s="20" t="str" cm="1">
        <f t="array" ca="1" aca="1" ref="AN11">CreateSearchString(GetValues($AM11,'Attack Steps'!$A:$O,"",",",FALSE))</f>
        <v/>
      </c>
      <c r="AO11" s="20" t="str">
        <f t="shared" si="2"/>
        <v>A8</v>
      </c>
    </row>
    <row r="12" spans="1:41" ht="60">
      <c r="A12" s="10" t="s">
        <v>377</v>
      </c>
      <c r="B12" s="13" t="s">
        <v>1551</v>
      </c>
      <c r="C12" s="13" t="s">
        <v>394</v>
      </c>
      <c r="D12" s="13" t="s">
        <v>1554</v>
      </c>
      <c r="E12" s="13" t="s">
        <v>372</v>
      </c>
      <c r="F12" s="13" t="s">
        <v>1087</v>
      </c>
      <c r="G12" s="13"/>
      <c r="H12" s="33" t="str" cm="1">
        <f t="array" ref="H12">LookupNames(SanitizeInput($G12),'Attack Steps'!$A:$B)</f>
        <v/>
      </c>
      <c r="I12" s="23"/>
      <c r="J12" s="37" t="str" cm="1">
        <f t="array" ref="J12">IF($I12="","",SUBSTITUTE(SUBSTITUTE(SUBSTITUTE(SUBSTITUTE(SUBSTITUTE(SUBSTITUTE(SUBSTITUTE(SUBSTITUTE(SUBSTITUTE(GetTransformation(SanitizeInput($I12),'Damage Scenarios'!$A:$J,COLUMNS('Damage Scenarios'!$A:$J),CHAR(10),"[#0][#1][#2]")&amp;"§","[#1][#2]",""),"[#2]",""),"[#0][#1]","[#1]"),"[#0]","Removes:"&amp;CHAR(10)),"[#1]","Transforms:"&amp;CHAR(10)),CHAR(10)&amp;"§",""),"§",""),CHAR(10),CHAR(10)&amp;"   "),"   "&amp;"Transforms:","Transforms:"))</f>
        <v/>
      </c>
      <c r="K12" s="13"/>
      <c r="L12" s="13"/>
      <c r="M12" s="13"/>
      <c r="N12" s="13"/>
      <c r="O12" s="13"/>
      <c r="P12" s="16" t="str">
        <f ca="1">IF($A12="","",IFERROR(VLOOKUP($AE12,Definitions!$V:$W,COLUMNS(Definitions!$V:$W),TRUE),""))</f>
        <v>Basic</v>
      </c>
      <c r="Q12" s="13" t="s">
        <v>62</v>
      </c>
      <c r="R12" s="13"/>
      <c r="S12" s="13"/>
      <c r="T12" s="10" cm="1">
        <f t="array" ref="T12">IF(ROW()=ROW($T$3)+1,0,INDEX($T:$T,ROW()-1))+IF($A12="",0,1)</f>
        <v>9</v>
      </c>
      <c r="U12" s="20" t="b">
        <f ca="1">OR(CheckRelevance(SanitizeInput(F12),Questionnaire!$I:$I),IFERROR(_xlfn.XMATCH("*,"&amp;$A12&amp;",*",Countermeasures!$AG:$AG,2)&gt;0,FALSE))</f>
        <v>0</v>
      </c>
      <c r="V12" s="20" t="b">
        <f>IFERROR(_xlfn.XMATCH("*,"&amp;$A12&amp;",*",Mitigation!$X:$X,2)&gt;0,FALSE)</f>
        <v>0</v>
      </c>
      <c r="W12" s="20" cm="1">
        <f t="array" ref="W12">CreateTaskID($W$3,$W:$W,Tasks!$B$17,$S12)</f>
        <v>0</v>
      </c>
      <c r="X12" s="20" t="str" cm="1">
        <f t="array" ca="1" aca="1" ref="X12">IF(OR($G12="",NOT($U12)),"",","&amp;SanitizeInput($G12))</f>
        <v/>
      </c>
      <c r="Y12" s="20" t="str" cm="1">
        <f t="array" ref="Y12">IF($G12="","",","&amp;SanitizeInput($G12))</f>
        <v/>
      </c>
      <c r="Z12" s="20">
        <f>IF(K12="",0,VLOOKUP(K12,Definitions!$Z:$AA,COLUMNS(Definitions!$Z:$AA),FALSE))</f>
        <v>0</v>
      </c>
      <c r="AA12" s="20">
        <f>IF(L12="",0,VLOOKUP(L12,Definitions!$Z:$AA,COLUMNS(Definitions!$Z:$AA),FALSE))</f>
        <v>0</v>
      </c>
      <c r="AB12" s="20">
        <f>IF(M12="",0,VLOOKUP(M12,Definitions!$Z:$AA,COLUMNS(Definitions!$Z:$AA),FALSE))</f>
        <v>0</v>
      </c>
      <c r="AC12" s="20">
        <f>IF(N12="",0,VLOOKUP(N12,Definitions!$Z:$AA,COLUMNS(Definitions!$Z:$AA),FALSE))</f>
        <v>0</v>
      </c>
      <c r="AD12" s="20">
        <f>IF(O12="",0,VLOOKUP(O12,Definitions!$Z:$AA,COLUMNS(Definitions!$Z:$AA),FALSE))</f>
        <v>0</v>
      </c>
      <c r="AE12" s="20">
        <f t="shared" ca="1" si="0"/>
        <v>0</v>
      </c>
      <c r="AF12" s="20" t="str" cm="1">
        <f t="array" ref="AF12">SUBSTITUTE(IF($V12,IF($I12="","",","&amp;SanitizeInput($I12)),""),"&gt;",",")</f>
        <v/>
      </c>
      <c r="AG12" s="20" cm="1">
        <f t="array" ca="1" aca="1" ref="AG12">IF(ROW()=ROW($AG$3)+1,0,INDEX($AG:$AG,ROW()-1))+IF(OR($U12,$V12),1,0)</f>
        <v>2</v>
      </c>
      <c r="AH12" s="20" t="str" cm="1">
        <f t="array" ca="1" aca="1" ref="AH12">IF(OR($U12,$V12),IF($Q12="","",","&amp;SanitizeInput($Q12)),"")</f>
        <v/>
      </c>
      <c r="AI12" s="20" t="str">
        <f t="shared" si="1"/>
        <v>SDR 1.9 – Not used for access control [Customer]</v>
      </c>
      <c r="AJ12" s="20" t="str" cm="1">
        <f t="array" ca="1" aca="1" ref="AJ12">IF($F12="*","",InverseLookupList(SanitizeInput($F12),Questionnaire!$AA$3,Questionnaire!$A$3,Helper!$B$12,","))</f>
        <v/>
      </c>
      <c r="AK12" s="20" t="str" cm="1">
        <f t="array" ca="1" aca="1" ref="AK12">RemoveDelimiter(GetValues($AJ12,Questionnaire!$A:$G," ",CHAR(10)&amp;CHAR(10),TRUE),CHAR(10)&amp;CHAR(10))</f>
        <v/>
      </c>
      <c r="AL12" s="20" t="str" cm="1">
        <f t="array" ca="1" aca="1" ref="AL12">CreateSearchString($AJ12)</f>
        <v/>
      </c>
      <c r="AM12" s="20" t="str" cm="1">
        <f t="array" ca="1" aca="1" ref="AM12">InverseLookup($A12,Mitigation!$AD$2,Mitigation!$A$2,1,Helper!$B$5,",")</f>
        <v/>
      </c>
      <c r="AN12" s="20" t="str" cm="1">
        <f t="array" ca="1" aca="1" ref="AN12">CreateSearchString(GetValues($AM12,'Attack Steps'!$A:$O,"",",",FALSE))</f>
        <v/>
      </c>
      <c r="AO12" s="20" t="str">
        <f t="shared" si="2"/>
        <v>A9</v>
      </c>
    </row>
    <row r="13" spans="1:41" ht="45">
      <c r="A13" s="10" t="s">
        <v>378</v>
      </c>
      <c r="B13" s="13" t="s">
        <v>1596</v>
      </c>
      <c r="C13" s="13" t="s">
        <v>395</v>
      </c>
      <c r="D13" s="13" t="s">
        <v>1598</v>
      </c>
      <c r="E13" s="13" t="str">
        <f>Definitions!$C$4</f>
        <v>acontis techonlogies GmbH</v>
      </c>
      <c r="F13" s="13" t="s">
        <v>1085</v>
      </c>
      <c r="G13" s="13"/>
      <c r="H13" s="33" t="str" cm="1">
        <f t="array" ref="H13">LookupNames(SanitizeInput($G13),'Attack Steps'!$A:$B)</f>
        <v/>
      </c>
      <c r="I13" s="23"/>
      <c r="J13" s="37" t="str" cm="1">
        <f t="array" ref="J13">IF($I13="","",SUBSTITUTE(SUBSTITUTE(SUBSTITUTE(SUBSTITUTE(SUBSTITUTE(SUBSTITUTE(SUBSTITUTE(SUBSTITUTE(SUBSTITUTE(GetTransformation(SanitizeInput($I13),'Damage Scenarios'!$A:$J,COLUMNS('Damage Scenarios'!$A:$J),CHAR(10),"[#0][#1][#2]")&amp;"§","[#1][#2]",""),"[#2]",""),"[#0][#1]","[#1]"),"[#0]","Removes:"&amp;CHAR(10)),"[#1]","Transforms:"&amp;CHAR(10)),CHAR(10)&amp;"§",""),"§",""),CHAR(10),CHAR(10)&amp;"   "),"   "&amp;"Transforms:","Transforms:"))</f>
        <v/>
      </c>
      <c r="K13" s="13"/>
      <c r="L13" s="13"/>
      <c r="M13" s="13"/>
      <c r="N13" s="13"/>
      <c r="O13" s="13"/>
      <c r="P13" s="16" t="str">
        <f ca="1">IF($A13="","",IFERROR(VLOOKUP($AE13,Definitions!$V:$W,COLUMNS(Definitions!$V:$W),TRUE),""))</f>
        <v>Basic</v>
      </c>
      <c r="Q13" s="13" t="s">
        <v>62</v>
      </c>
      <c r="R13" s="13"/>
      <c r="S13" s="13"/>
      <c r="T13" s="10" cm="1">
        <f t="array" ref="T13">IF(ROW()=ROW($T$3)+1,0,INDEX($T:$T,ROW()-1))+IF($A13="",0,1)</f>
        <v>10</v>
      </c>
      <c r="U13" s="20" t="b">
        <f ca="1">OR(CheckRelevance(SanitizeInput(F13),Questionnaire!$I:$I),IFERROR(_xlfn.XMATCH("*,"&amp;$A13&amp;",*",Countermeasures!$AG:$AG,2)&gt;0,FALSE))</f>
        <v>1</v>
      </c>
      <c r="V13" s="20" t="b">
        <f>IFERROR(_xlfn.XMATCH("*,"&amp;$A13&amp;",*",Mitigation!$X:$X,2)&gt;0,FALSE)</f>
        <v>0</v>
      </c>
      <c r="W13" s="20" cm="1">
        <f t="array" ref="W13">CreateTaskID($W$3,$W:$W,Tasks!$B$17,$S13)</f>
        <v>0</v>
      </c>
      <c r="X13" s="20" t="str" cm="1">
        <f t="array" ca="1" aca="1" ref="X13">IF(OR($G13="",NOT($U13)),"",","&amp;SanitizeInput($G13))</f>
        <v/>
      </c>
      <c r="Y13" s="20" t="str" cm="1">
        <f t="array" ref="Y13">IF($G13="","",","&amp;SanitizeInput($G13))</f>
        <v/>
      </c>
      <c r="Z13" s="20">
        <f>IF(K13="",0,VLOOKUP(K13,Definitions!$Z:$AA,COLUMNS(Definitions!$Z:$AA),FALSE))</f>
        <v>0</v>
      </c>
      <c r="AA13" s="20">
        <f>IF(L13="",0,VLOOKUP(L13,Definitions!$Z:$AA,COLUMNS(Definitions!$Z:$AA),FALSE))</f>
        <v>0</v>
      </c>
      <c r="AB13" s="20">
        <f>IF(M13="",0,VLOOKUP(M13,Definitions!$Z:$AA,COLUMNS(Definitions!$Z:$AA),FALSE))</f>
        <v>0</v>
      </c>
      <c r="AC13" s="20">
        <f>IF(N13="",0,VLOOKUP(N13,Definitions!$Z:$AA,COLUMNS(Definitions!$Z:$AA),FALSE))</f>
        <v>0</v>
      </c>
      <c r="AD13" s="20">
        <f>IF(O13="",0,VLOOKUP(O13,Definitions!$Z:$AA,COLUMNS(Definitions!$Z:$AA),FALSE))</f>
        <v>0</v>
      </c>
      <c r="AE13" s="20">
        <f t="shared" ca="1" si="0"/>
        <v>0</v>
      </c>
      <c r="AF13" s="20" t="str" cm="1">
        <f t="array" ref="AF13">SUBSTITUTE(IF($V13,IF($I13="","",","&amp;SanitizeInput($I13)),""),"&gt;",",")</f>
        <v/>
      </c>
      <c r="AG13" s="20" cm="1">
        <f t="array" ca="1" aca="1" ref="AG13">IF(ROW()=ROW($AG$3)+1,0,INDEX($AG:$AG,ROW()-1))+IF(OR($U13,$V13),1,0)</f>
        <v>3</v>
      </c>
      <c r="AH13" s="20" t="str" cm="1">
        <f t="array" ca="1" aca="1" ref="AH13">IF(OR($U13,$V13),IF($Q13="","",","&amp;SanitizeInput($Q13)),"")</f>
        <v/>
      </c>
      <c r="AI13" s="20" t="str">
        <f t="shared" si="1"/>
        <v>SDR 2.2 – No contractual obligations regarding product availability [acontis techonlogies GmbH]</v>
      </c>
      <c r="AJ13" s="20" t="str" cm="1">
        <f t="array" ca="1" aca="1" ref="AJ13">IF($F13="*","",InverseLookupList(SanitizeInput($F13),Questionnaire!$AA$3,Questionnaire!$A$3,Helper!$B$12,","))</f>
        <v>QI9,</v>
      </c>
      <c r="AK13" s="20" t="str" cm="1">
        <f t="array" ca="1" aca="1" ref="AK13">RemoveDelimiter(GetValues($AJ13,Questionnaire!$A:$G," ",CHAR(10)&amp;CHAR(10),TRUE),CHAR(10)&amp;CHAR(10))</f>
        <v xml:space="preserve">QI9 </v>
      </c>
      <c r="AL13" s="20" t="str" cm="1">
        <f t="array" ca="1" aca="1" ref="AL13">CreateSearchString($AJ13)</f>
        <v>,QI9,</v>
      </c>
      <c r="AM13" s="20" t="str" cm="1">
        <f t="array" ca="1" aca="1" ref="AM13">InverseLookup($A13,Mitigation!$AD$2,Mitigation!$A$2,1,Helper!$B$5,",")</f>
        <v/>
      </c>
      <c r="AN13" s="20" t="str" cm="1">
        <f t="array" ca="1" aca="1" ref="AN13">CreateSearchString(GetValues($AM13,'Attack Steps'!$A:$O,"",",",FALSE))</f>
        <v/>
      </c>
      <c r="AO13" s="20" t="str">
        <f t="shared" si="2"/>
        <v>A10</v>
      </c>
    </row>
    <row r="14" spans="1:41" ht="45">
      <c r="A14" s="10" t="s">
        <v>379</v>
      </c>
      <c r="B14" s="13" t="s">
        <v>1597</v>
      </c>
      <c r="C14" s="13" t="s">
        <v>396</v>
      </c>
      <c r="D14" s="13" t="s">
        <v>1599</v>
      </c>
      <c r="E14" s="13" t="str">
        <f>Definitions!$C$4</f>
        <v>acontis techonlogies GmbH</v>
      </c>
      <c r="F14" s="13" t="s">
        <v>1073</v>
      </c>
      <c r="G14" s="13"/>
      <c r="H14" s="33" t="str" cm="1">
        <f t="array" ref="H14">LookupNames(SanitizeInput($G14),'Attack Steps'!$A:$B)</f>
        <v/>
      </c>
      <c r="I14" s="23"/>
      <c r="J14" s="37" t="str" cm="1">
        <f t="array" ref="J14">IF($I14="","",SUBSTITUTE(SUBSTITUTE(SUBSTITUTE(SUBSTITUTE(SUBSTITUTE(SUBSTITUTE(SUBSTITUTE(SUBSTITUTE(SUBSTITUTE(GetTransformation(SanitizeInput($I14),'Damage Scenarios'!$A:$J,COLUMNS('Damage Scenarios'!$A:$J),CHAR(10),"[#0][#1][#2]")&amp;"§","[#1][#2]",""),"[#2]",""),"[#0][#1]","[#1]"),"[#0]","Removes:"&amp;CHAR(10)),"[#1]","Transforms:"&amp;CHAR(10)),CHAR(10)&amp;"§",""),"§",""),CHAR(10),CHAR(10)&amp;"   "),"   "&amp;"Transforms:","Transforms:"))</f>
        <v/>
      </c>
      <c r="K14" s="13"/>
      <c r="L14" s="13"/>
      <c r="M14" s="13"/>
      <c r="N14" s="13"/>
      <c r="O14" s="13"/>
      <c r="P14" s="16" t="str">
        <f ca="1">IF($A14="","",IFERROR(VLOOKUP($AE14,Definitions!$V:$W,COLUMNS(Definitions!$V:$W),TRUE),""))</f>
        <v>Basic</v>
      </c>
      <c r="Q14" s="13" t="s">
        <v>62</v>
      </c>
      <c r="R14" s="13"/>
      <c r="S14" s="13"/>
      <c r="T14" s="10" cm="1">
        <f t="array" ref="T14">IF(ROW()=ROW($T$3)+1,0,INDEX($T:$T,ROW()-1))+IF($A14="",0,1)</f>
        <v>11</v>
      </c>
      <c r="U14" s="20" t="b">
        <f ca="1">OR(CheckRelevance(SanitizeInput(F14),Questionnaire!$I:$I),IFERROR(_xlfn.XMATCH("*,"&amp;$A14&amp;",*",Countermeasures!$AG:$AG,2)&gt;0,FALSE))</f>
        <v>1</v>
      </c>
      <c r="V14" s="20" t="b">
        <f>IFERROR(_xlfn.XMATCH("*,"&amp;$A14&amp;",*",Mitigation!$X:$X,2)&gt;0,FALSE)</f>
        <v>0</v>
      </c>
      <c r="W14" s="20" cm="1">
        <f t="array" ref="W14">CreateTaskID($W$3,$W:$W,Tasks!$B$17,$S14)</f>
        <v>0</v>
      </c>
      <c r="X14" s="20" t="str" cm="1">
        <f t="array" ca="1" aca="1" ref="X14">IF(OR($G14="",NOT($U14)),"",","&amp;SanitizeInput($G14))</f>
        <v/>
      </c>
      <c r="Y14" s="20" t="str" cm="1">
        <f t="array" ref="Y14">IF($G14="","",","&amp;SanitizeInput($G14))</f>
        <v/>
      </c>
      <c r="Z14" s="20">
        <f>IF(K14="",0,VLOOKUP(K14,Definitions!$Z:$AA,COLUMNS(Definitions!$Z:$AA),FALSE))</f>
        <v>0</v>
      </c>
      <c r="AA14" s="20">
        <f>IF(L14="",0,VLOOKUP(L14,Definitions!$Z:$AA,COLUMNS(Definitions!$Z:$AA),FALSE))</f>
        <v>0</v>
      </c>
      <c r="AB14" s="20">
        <f>IF(M14="",0,VLOOKUP(M14,Definitions!$Z:$AA,COLUMNS(Definitions!$Z:$AA),FALSE))</f>
        <v>0</v>
      </c>
      <c r="AC14" s="20">
        <f>IF(N14="",0,VLOOKUP(N14,Definitions!$Z:$AA,COLUMNS(Definitions!$Z:$AA),FALSE))</f>
        <v>0</v>
      </c>
      <c r="AD14" s="20">
        <f>IF(O14="",0,VLOOKUP(O14,Definitions!$Z:$AA,COLUMNS(Definitions!$Z:$AA),FALSE))</f>
        <v>0</v>
      </c>
      <c r="AE14" s="20">
        <f t="shared" ca="1" si="0"/>
        <v>0</v>
      </c>
      <c r="AF14" s="20" t="str" cm="1">
        <f t="array" ref="AF14">SUBSTITUTE(IF($V14,IF($I14="","",","&amp;SanitizeInput($I14)),""),"&gt;",",")</f>
        <v/>
      </c>
      <c r="AG14" s="20" cm="1">
        <f t="array" ca="1" aca="1" ref="AG14">IF(ROW()=ROW($AG$3)+1,0,INDEX($AG:$AG,ROW()-1))+IF(OR($U14,$V14),1,0)</f>
        <v>4</v>
      </c>
      <c r="AH14" s="20" t="str" cm="1">
        <f t="array" ca="1" aca="1" ref="AH14">IF(OR($U14,$V14),IF($Q14="","",","&amp;SanitizeInput($Q14)),"")</f>
        <v/>
      </c>
      <c r="AI14" s="20" t="str">
        <f t="shared" si="1"/>
        <v>SDR 2.3 – No legal or contractual obligations for product integrity [acontis techonlogies GmbH]</v>
      </c>
      <c r="AJ14" s="20" t="str" cm="1">
        <f t="array" ca="1" aca="1" ref="AJ14">IF($F14="*","",InverseLookupList(SanitizeInput($F14),Questionnaire!$AA$3,Questionnaire!$A$3,Helper!$B$12,","))</f>
        <v>QI16,</v>
      </c>
      <c r="AK14" s="20" t="str" cm="1">
        <f t="array" ca="1" aca="1" ref="AK14">RemoveDelimiter(GetValues($AJ14,Questionnaire!$A:$G," ",CHAR(10)&amp;CHAR(10),TRUE),CHAR(10)&amp;CHAR(10))</f>
        <v xml:space="preserve">QI16 </v>
      </c>
      <c r="AL14" s="20" t="str" cm="1">
        <f t="array" ca="1" aca="1" ref="AL14">CreateSearchString($AJ14)</f>
        <v>,QI16,</v>
      </c>
      <c r="AM14" s="20" t="str" cm="1">
        <f t="array" ca="1" aca="1" ref="AM14">InverseLookup($A14,Mitigation!$AD$2,Mitigation!$A$2,1,Helper!$B$5,",")</f>
        <v/>
      </c>
      <c r="AN14" s="20" t="str" cm="1">
        <f t="array" ca="1" aca="1" ref="AN14">CreateSearchString(GetValues($AM14,'Attack Steps'!$A:$O,"",",",FALSE))</f>
        <v/>
      </c>
      <c r="AO14" s="20" t="str">
        <f t="shared" si="2"/>
        <v>A11</v>
      </c>
    </row>
    <row r="15" spans="1:41" ht="45">
      <c r="A15" s="10" t="s">
        <v>380</v>
      </c>
      <c r="B15" s="13" t="s">
        <v>1555</v>
      </c>
      <c r="C15" s="13" t="s">
        <v>271</v>
      </c>
      <c r="D15" s="13" t="s">
        <v>1560</v>
      </c>
      <c r="E15" s="13" t="s">
        <v>372</v>
      </c>
      <c r="F15" s="13" t="s">
        <v>1253</v>
      </c>
      <c r="G15" s="13" t="s">
        <v>106</v>
      </c>
      <c r="H15" s="16" t="str" cm="1">
        <f t="array" ca="1" aca="1" ref="H15">LookupNames(SanitizeInput($G15),'Attack Steps'!$A:$B)</f>
        <v>AS1 Getting access to a trusted operational environment</v>
      </c>
      <c r="I15" s="13"/>
      <c r="J15" s="36" t="str" cm="1">
        <f t="array" ref="J15">IF($I15="","",SUBSTITUTE(SUBSTITUTE(SUBSTITUTE(SUBSTITUTE(SUBSTITUTE(SUBSTITUTE(SUBSTITUTE(SUBSTITUTE(SUBSTITUTE(GetTransformation(SanitizeInput($I15),'Damage Scenarios'!$A:$J,COLUMNS('Damage Scenarios'!$A:$J),CHAR(10),"[#0][#1][#2]")&amp;"§","[#1][#2]",""),"[#2]",""),"[#0][#1]","[#1]"),"[#0]","Removes:"&amp;CHAR(10)),"[#1]","Transforms:"&amp;CHAR(10)),CHAR(10)&amp;"§",""),"§",""),CHAR(10),CHAR(10)&amp;"   "),"   "&amp;"Transforms:","Transforms:"))</f>
        <v/>
      </c>
      <c r="K15" s="13"/>
      <c r="L15" s="13"/>
      <c r="M15" s="13"/>
      <c r="N15" s="13" t="s">
        <v>151</v>
      </c>
      <c r="O15" s="13"/>
      <c r="P15" s="16" t="str">
        <f ca="1">IF($A15="","",IFERROR(VLOOKUP($AE15,Definitions!$V:$W,COLUMNS(Definitions!$V:$W),TRUE),""))</f>
        <v>Beyond High</v>
      </c>
      <c r="Q15" s="13" t="s">
        <v>1633</v>
      </c>
      <c r="R15" s="13"/>
      <c r="S15" s="13" t="s">
        <v>1025</v>
      </c>
      <c r="T15" s="10" cm="1">
        <f t="array" ref="T15">IF(ROW()=ROW($T$3)+1,0,INDEX($T:$T,ROW()-1))+IF($A15="",0,1)</f>
        <v>12</v>
      </c>
      <c r="U15" s="14" t="b">
        <f ca="1">OR(CheckRelevance(SanitizeInput(F15),Questionnaire!$I:$I),IFERROR(_xlfn.XMATCH("*,"&amp;$A15&amp;",*",Countermeasures!$AG:$AG,2)&gt;0,FALSE))</f>
        <v>1</v>
      </c>
      <c r="V15" s="14" t="b">
        <f>IFERROR(_xlfn.XMATCH("*,"&amp;$A15&amp;",*",Mitigation!$X:$X,2)&gt;0,FALSE)</f>
        <v>0</v>
      </c>
      <c r="W15" s="14" cm="1">
        <f t="array" ref="W15">CreateTaskID($W$3,$W:$W,Tasks!$B$17,$S15)</f>
        <v>0</v>
      </c>
      <c r="X15" s="14" t="str" cm="1">
        <f t="array" ca="1" aca="1" ref="X15">IF(OR($G15="",NOT($U15)),"",","&amp;SanitizeInput($G15))</f>
        <v>,AS1,</v>
      </c>
      <c r="Y15" s="14" t="str" cm="1">
        <f t="array" ref="Y15">IF($G15="","",","&amp;SanitizeInput($G15))</f>
        <v>,AS1,</v>
      </c>
      <c r="Z15" s="20">
        <f>IF(K15="",0,VLOOKUP(K15,Definitions!$Z:$AA,COLUMNS(Definitions!$Z:$AA),FALSE))</f>
        <v>0</v>
      </c>
      <c r="AA15" s="20">
        <f>IF(L15="",0,VLOOKUP(L15,Definitions!$Z:$AA,COLUMNS(Definitions!$Z:$AA),FALSE))</f>
        <v>0</v>
      </c>
      <c r="AB15" s="20">
        <f>IF(M15="",0,VLOOKUP(M15,Definitions!$Z:$AA,COLUMNS(Definitions!$Z:$AA),FALSE))</f>
        <v>0</v>
      </c>
      <c r="AC15" s="20">
        <f>IF(N15="",0,VLOOKUP(N15,Definitions!$Z:$AA,COLUMNS(Definitions!$Z:$AA),FALSE))</f>
        <v>25</v>
      </c>
      <c r="AD15" s="20">
        <f>IF(O15="",0,VLOOKUP(O15,Definitions!$Z:$AA,COLUMNS(Definitions!$Z:$AA),FALSE))</f>
        <v>0</v>
      </c>
      <c r="AE15" s="20">
        <f t="shared" ca="1" si="0"/>
        <v>25</v>
      </c>
      <c r="AF15" s="20" t="str" cm="1">
        <f t="array" ref="AF15">SUBSTITUTE(IF($V15,IF($I15="","",","&amp;SanitizeInput($I15)),""),"&gt;",",")</f>
        <v/>
      </c>
      <c r="AG15" s="20" cm="1">
        <f t="array" ca="1" aca="1" ref="AG15">IF(ROW()=ROW($AG$3)+1,0,INDEX($AG:$AG,ROW()-1))+IF(OR($U15,$V15),1,0)</f>
        <v>5</v>
      </c>
      <c r="AH15" s="20" t="str" cm="1">
        <f t="array" ca="1" aca="1" ref="AH15">IF(OR($U15,$V15),IF($Q15="","",","&amp;SanitizeInput($Q15)),"")</f>
        <v>,d,e,f,</v>
      </c>
      <c r="AI15" s="20" t="str">
        <f t="shared" si="1"/>
        <v>SDR 1.10 – Device operates in trustworthy operational environment [Customer]</v>
      </c>
      <c r="AJ15" s="20" t="str" cm="1">
        <f t="array" ca="1" aca="1" ref="AJ15">IF($F15="*","",InverseLookupList(SanitizeInput($F15),Questionnaire!$AA$3,Questionnaire!$A$3,Helper!$B$12,","))</f>
        <v>QA12,QA13,</v>
      </c>
      <c r="AK15" s="20" t="str" cm="1">
        <f t="array" ca="1" aca="1" ref="AK15">RemoveDelimiter(GetValues($AJ15,Questionnaire!$A:$G," ",CHAR(10)&amp;CHAR(10),TRUE),CHAR(10)&amp;CHAR(10))</f>
        <v>QA12 Customer
QA13 Customer</v>
      </c>
      <c r="AL15" s="20" t="str" cm="1">
        <f t="array" ca="1" aca="1" ref="AL15">CreateSearchString($AJ15)</f>
        <v>,QA12,QA13,</v>
      </c>
      <c r="AM15" s="20" t="str" cm="1">
        <f t="array" ca="1" aca="1" ref="AM15">InverseLookup($A15,Mitigation!$AD$2,Mitigation!$A$2,1,Helper!$B$5,",")</f>
        <v/>
      </c>
      <c r="AN15" s="20" t="str" cm="1">
        <f t="array" ca="1" aca="1" ref="AN15">CreateSearchString(GetValues($AM15,'Attack Steps'!$A:$O,"",",",FALSE))</f>
        <v/>
      </c>
      <c r="AO15" s="20" t="str">
        <f t="shared" si="2"/>
        <v>A12</v>
      </c>
    </row>
    <row r="16" spans="1:41" ht="45">
      <c r="A16" s="10" t="s">
        <v>381</v>
      </c>
      <c r="B16" s="13" t="s">
        <v>1556</v>
      </c>
      <c r="C16" s="13" t="s">
        <v>273</v>
      </c>
      <c r="D16" s="13" t="s">
        <v>1561</v>
      </c>
      <c r="E16" s="13" t="s">
        <v>373</v>
      </c>
      <c r="F16" s="13" t="s">
        <v>1249</v>
      </c>
      <c r="G16" s="13" t="s">
        <v>365</v>
      </c>
      <c r="H16" s="16" t="str" cm="1">
        <f t="array" ca="1" aca="1" ref="H16">LookupNames(SanitizeInput($G16),'Attack Steps'!$A:$B)</f>
        <v>AS28 Getting access to a trusted entity</v>
      </c>
      <c r="I16" s="13"/>
      <c r="J16" s="36" t="str" cm="1">
        <f t="array" ref="J16">IF($I16="","",SUBSTITUTE(SUBSTITUTE(SUBSTITUTE(SUBSTITUTE(SUBSTITUTE(SUBSTITUTE(SUBSTITUTE(SUBSTITUTE(SUBSTITUTE(GetTransformation(SanitizeInput($I16),'Damage Scenarios'!$A:$J,COLUMNS('Damage Scenarios'!$A:$J),CHAR(10),"[#0][#1][#2]")&amp;"§","[#1][#2]",""),"[#2]",""),"[#0][#1]","[#1]"),"[#0]","Removes:"&amp;CHAR(10)),"[#1]","Transforms:"&amp;CHAR(10)),CHAR(10)&amp;"§",""),"§",""),CHAR(10),CHAR(10)&amp;"   "),"   "&amp;"Transforms:","Transforms:"))</f>
        <v/>
      </c>
      <c r="K16" s="13"/>
      <c r="L16" s="13"/>
      <c r="M16" s="13"/>
      <c r="N16" s="13" t="s">
        <v>151</v>
      </c>
      <c r="O16" s="13"/>
      <c r="P16" s="16" t="str">
        <f ca="1">IF($A16="","",IFERROR(VLOOKUP($AE16,Definitions!$V:$W,COLUMNS(Definitions!$V:$W),TRUE),""))</f>
        <v>Beyond High</v>
      </c>
      <c r="Q16" s="13" t="s">
        <v>1626</v>
      </c>
      <c r="R16" s="13"/>
      <c r="S16" s="13" t="str">
        <f>"The responsible party depends on whether the trusted communication partner is operated by "&amp;Definitions!$C$4&amp;", the customer, or another party. Please list all responsible parties in the documentation.
The communication partner is considered as trustworthy and currently not considered as the origin of attacks"</f>
        <v>The responsible party depends on whether the trusted communication partner is operated by acontis techonlogies GmbH, the customer, or another party. Please list all responsible parties in the documentation.
The communication partner is considered as trustworthy and currently not considered as the origin of attacks</v>
      </c>
      <c r="T16" s="10" cm="1">
        <f t="array" ref="T16">IF(ROW()=ROW($T$3)+1,0,INDEX($T:$T,ROW()-1))+IF($A16="",0,1)</f>
        <v>13</v>
      </c>
      <c r="U16" s="14" t="b">
        <f ca="1">OR(CheckRelevance(SanitizeInput(F16),Questionnaire!$I:$I),IFERROR(_xlfn.XMATCH("*,"&amp;$A16&amp;",*",Countermeasures!$AG:$AG,2)&gt;0,FALSE))</f>
        <v>0</v>
      </c>
      <c r="V16" s="14" t="b">
        <f>IFERROR(_xlfn.XMATCH("*,"&amp;$A16&amp;",*",Mitigation!$X:$X,2)&gt;0,FALSE)</f>
        <v>0</v>
      </c>
      <c r="W16" s="14" cm="1">
        <f t="array" ref="W16">CreateTaskID($W$3,$W:$W,Tasks!$B$17,$S16)</f>
        <v>0</v>
      </c>
      <c r="X16" s="14" t="str" cm="1">
        <f t="array" ca="1" aca="1" ref="X16">IF(OR($G16="",NOT($U16)),"",","&amp;SanitizeInput($G16))</f>
        <v/>
      </c>
      <c r="Y16" s="14" t="str" cm="1">
        <f t="array" ref="Y16">IF($G16="","",","&amp;SanitizeInput($G16))</f>
        <v>,AS28,</v>
      </c>
      <c r="Z16" s="20">
        <f>IF(K16="",0,VLOOKUP(K16,Definitions!$Z:$AA,COLUMNS(Definitions!$Z:$AA),FALSE))</f>
        <v>0</v>
      </c>
      <c r="AA16" s="20">
        <f>IF(L16="",0,VLOOKUP(L16,Definitions!$Z:$AA,COLUMNS(Definitions!$Z:$AA),FALSE))</f>
        <v>0</v>
      </c>
      <c r="AB16" s="20">
        <f>IF(M16="",0,VLOOKUP(M16,Definitions!$Z:$AA,COLUMNS(Definitions!$Z:$AA),FALSE))</f>
        <v>0</v>
      </c>
      <c r="AC16" s="20">
        <f>IF(N16="",0,VLOOKUP(N16,Definitions!$Z:$AA,COLUMNS(Definitions!$Z:$AA),FALSE))</f>
        <v>25</v>
      </c>
      <c r="AD16" s="20">
        <f>IF(O16="",0,VLOOKUP(O16,Definitions!$Z:$AA,COLUMNS(Definitions!$Z:$AA),FALSE))</f>
        <v>0</v>
      </c>
      <c r="AE16" s="20">
        <f t="shared" ca="1" si="0"/>
        <v>25</v>
      </c>
      <c r="AF16" s="20" t="str" cm="1">
        <f t="array" ref="AF16">SUBSTITUTE(IF($V16,IF($I16="","",","&amp;SanitizeInput($I16)),""),"&gt;",",")</f>
        <v/>
      </c>
      <c r="AG16" s="20" cm="1">
        <f t="array" ca="1" aca="1" ref="AG16">IF(ROW()=ROW($AG$3)+1,0,INDEX($AG:$AG,ROW()-1))+IF(OR($U16,$V16),1,0)</f>
        <v>5</v>
      </c>
      <c r="AH16" s="20" t="str" cm="1">
        <f t="array" ca="1" aca="1" ref="AH16">IF(OR($U16,$V16),IF($Q16="","",","&amp;SanitizeInput($Q16)),"")</f>
        <v/>
      </c>
      <c r="AI16" s="20" t="str">
        <f t="shared" si="1"/>
        <v>SDR 1.11 – Trustworthy communication partner [Other (see comment)]</v>
      </c>
      <c r="AJ16" s="20" t="str" cm="1">
        <f t="array" ca="1" aca="1" ref="AJ16">IF($F16="*","",InverseLookupList(SanitizeInput($F16),Questionnaire!$AA$3,Questionnaire!$A$3,Helper!$B$12,","))</f>
        <v/>
      </c>
      <c r="AK16" s="20" t="str" cm="1">
        <f t="array" ca="1" aca="1" ref="AK16">RemoveDelimiter(GetValues($AJ16,Questionnaire!$A:$G," ",CHAR(10)&amp;CHAR(10),TRUE),CHAR(10)&amp;CHAR(10))</f>
        <v/>
      </c>
      <c r="AL16" s="20" t="str" cm="1">
        <f t="array" ca="1" aca="1" ref="AL16">CreateSearchString($AJ16)</f>
        <v/>
      </c>
      <c r="AM16" s="20" t="str" cm="1">
        <f t="array" ca="1" aca="1" ref="AM16">InverseLookup($A16,Mitigation!$AD$2,Mitigation!$A$2,1,Helper!$B$5,",")</f>
        <v/>
      </c>
      <c r="AN16" s="20" t="str" cm="1">
        <f t="array" ca="1" aca="1" ref="AN16">CreateSearchString(GetValues($AM16,'Attack Steps'!$A:$O,"",",",FALSE))</f>
        <v/>
      </c>
      <c r="AO16" s="20" t="str">
        <f t="shared" si="2"/>
        <v>A13</v>
      </c>
    </row>
    <row r="17" spans="1:41" ht="45">
      <c r="A17" s="10" t="s">
        <v>382</v>
      </c>
      <c r="B17" s="13" t="s">
        <v>1557</v>
      </c>
      <c r="C17" s="13" t="s">
        <v>597</v>
      </c>
      <c r="D17" s="13" t="s">
        <v>1562</v>
      </c>
      <c r="E17" s="13" t="s">
        <v>372</v>
      </c>
      <c r="F17" s="13" t="s">
        <v>1062</v>
      </c>
      <c r="G17" s="13" t="s">
        <v>331</v>
      </c>
      <c r="H17" s="33" t="str" cm="1">
        <f t="array" ca="1" aca="1" ref="H17">LookupNames(SanitizeInput($G17),'Attack Steps'!$A:$B)</f>
        <v>AS21 Gaining physical access to the product (3rd party)</v>
      </c>
      <c r="I17" s="23"/>
      <c r="J17" s="37" t="str" cm="1">
        <f t="array" ref="J17">IF($I17="","",SUBSTITUTE(SUBSTITUTE(SUBSTITUTE(SUBSTITUTE(SUBSTITUTE(SUBSTITUTE(SUBSTITUTE(SUBSTITUTE(SUBSTITUTE(GetTransformation(SanitizeInput($I17),'Damage Scenarios'!$A:$J,COLUMNS('Damage Scenarios'!$A:$J),CHAR(10),"[#0][#1][#2]")&amp;"§","[#1][#2]",""),"[#2]",""),"[#0][#1]","[#1]"),"[#0]","Removes:"&amp;CHAR(10)),"[#1]","Transforms:"&amp;CHAR(10)),CHAR(10)&amp;"§",""),"§",""),CHAR(10),CHAR(10)&amp;"   "),"   "&amp;"Transforms:","Transforms:"))</f>
        <v/>
      </c>
      <c r="K17" s="13"/>
      <c r="L17" s="13"/>
      <c r="M17" s="13"/>
      <c r="N17" s="13" t="s">
        <v>150</v>
      </c>
      <c r="O17" s="13"/>
      <c r="P17" s="16" t="str">
        <f ca="1">IF($A17="","",IFERROR(VLOOKUP($AE17,Definitions!$V:$W,COLUMNS(Definitions!$V:$W),TRUE),""))</f>
        <v>Enhanced-Basic</v>
      </c>
      <c r="Q17" s="13" t="s">
        <v>62</v>
      </c>
      <c r="R17" s="13"/>
      <c r="S17" s="13" t="s">
        <v>1026</v>
      </c>
      <c r="T17" s="10" cm="1">
        <f t="array" ref="T17">IF(ROW()=ROW($T$3)+1,0,INDEX($T:$T,ROW()-1))+IF($A17="",0,1)</f>
        <v>14</v>
      </c>
      <c r="U17" s="20" t="b">
        <f ca="1">OR(CheckRelevance(SanitizeInput(F17),Questionnaire!$I:$I),IFERROR(_xlfn.XMATCH("*,"&amp;$A17&amp;",*",Countermeasures!$AG:$AG,2)&gt;0,FALSE))</f>
        <v>0</v>
      </c>
      <c r="V17" s="20" t="b">
        <f>IFERROR(_xlfn.XMATCH("*,"&amp;$A17&amp;",*",Mitigation!$X:$X,2)&gt;0,FALSE)</f>
        <v>0</v>
      </c>
      <c r="W17" s="20" cm="1">
        <f t="array" ref="W17">CreateTaskID($W$3,$W:$W,Tasks!$B$17,$S17)</f>
        <v>0</v>
      </c>
      <c r="X17" s="20" t="str" cm="1">
        <f t="array" ca="1" aca="1" ref="X17">IF(OR($G17="",NOT($U17)),"",","&amp;SanitizeInput($G17))</f>
        <v/>
      </c>
      <c r="Y17" s="20" t="str" cm="1">
        <f t="array" ref="Y17">IF($G17="","",","&amp;SanitizeInput($G17))</f>
        <v>,AS21,</v>
      </c>
      <c r="Z17" s="20">
        <f>IF(K17="",0,VLOOKUP(K17,Definitions!$Z:$AA,COLUMNS(Definitions!$Z:$AA),FALSE))</f>
        <v>0</v>
      </c>
      <c r="AA17" s="20">
        <f>IF(L17="",0,VLOOKUP(L17,Definitions!$Z:$AA,COLUMNS(Definitions!$Z:$AA),FALSE))</f>
        <v>0</v>
      </c>
      <c r="AB17" s="20">
        <f>IF(M17="",0,VLOOKUP(M17,Definitions!$Z:$AA,COLUMNS(Definitions!$Z:$AA),FALSE))</f>
        <v>0</v>
      </c>
      <c r="AC17" s="20">
        <f>IF(N17="",0,VLOOKUP(N17,Definitions!$Z:$AA,COLUMNS(Definitions!$Z:$AA),FALSE))</f>
        <v>10</v>
      </c>
      <c r="AD17" s="20">
        <f>IF(O17="",0,VLOOKUP(O17,Definitions!$Z:$AA,COLUMNS(Definitions!$Z:$AA),FALSE))</f>
        <v>0</v>
      </c>
      <c r="AE17" s="20">
        <f t="shared" ca="1" si="0"/>
        <v>10</v>
      </c>
      <c r="AF17" s="20" t="str" cm="1">
        <f t="array" ref="AF17">SUBSTITUTE(IF($V17,IF($I17="","",","&amp;SanitizeInput($I17)),""),"&gt;",",")</f>
        <v/>
      </c>
      <c r="AG17" s="20" cm="1">
        <f t="array" ca="1" aca="1" ref="AG17">IF(ROW()=ROW($AG$3)+1,0,INDEX($AG:$AG,ROW()-1))+IF(OR($U17,$V17),1,0)</f>
        <v>5</v>
      </c>
      <c r="AH17" s="20" t="str" cm="1">
        <f t="array" ca="1" aca="1" ref="AH17">IF(OR($U17,$V17),IF($Q17="","",","&amp;SanitizeInput($Q17)),"")</f>
        <v/>
      </c>
      <c r="AI17" s="20" t="str">
        <f t="shared" si="1"/>
        <v>SDR 1.12 – Product inaccessible [Customer]</v>
      </c>
      <c r="AJ17" s="20" t="str" cm="1">
        <f t="array" ca="1" aca="1" ref="AJ17">IF($F17="*","",InverseLookupList(SanitizeInput($F17),Questionnaire!$AA$3,Questionnaire!$A$3,Helper!$B$12,","))</f>
        <v/>
      </c>
      <c r="AK17" s="20" t="str" cm="1">
        <f t="array" ca="1" aca="1" ref="AK17">RemoveDelimiter(GetValues($AJ17,Questionnaire!$A:$G," ",CHAR(10)&amp;CHAR(10),TRUE),CHAR(10)&amp;CHAR(10))</f>
        <v/>
      </c>
      <c r="AL17" s="20" t="str" cm="1">
        <f t="array" ca="1" aca="1" ref="AL17">CreateSearchString($AJ17)</f>
        <v/>
      </c>
      <c r="AM17" s="20" t="str" cm="1">
        <f t="array" ca="1" aca="1" ref="AM17">InverseLookup($A17,Mitigation!$AD$2,Mitigation!$A$2,1,Helper!$B$5,",")</f>
        <v/>
      </c>
      <c r="AN17" s="20" t="str" cm="1">
        <f t="array" ca="1" aca="1" ref="AN17">CreateSearchString(GetValues($AM17,'Attack Steps'!$A:$O,"",",",FALSE))</f>
        <v/>
      </c>
      <c r="AO17" s="20" t="str">
        <f t="shared" si="2"/>
        <v>A14</v>
      </c>
    </row>
    <row r="18" spans="1:41" ht="45">
      <c r="A18" s="10" t="s">
        <v>383</v>
      </c>
      <c r="B18" s="13" t="s">
        <v>1558</v>
      </c>
      <c r="C18" s="13" t="s">
        <v>338</v>
      </c>
      <c r="D18" s="13" t="s">
        <v>1563</v>
      </c>
      <c r="E18" s="13" t="s">
        <v>372</v>
      </c>
      <c r="F18" s="13" t="s">
        <v>1064</v>
      </c>
      <c r="G18" s="13" t="s">
        <v>331</v>
      </c>
      <c r="H18" s="16" t="str" cm="1">
        <f t="array" ca="1" aca="1" ref="H18">LookupNames(SanitizeInput($G18),'Attack Steps'!$A:$B)</f>
        <v>AS21 Gaining physical access to the product (3rd party)</v>
      </c>
      <c r="I18" s="13"/>
      <c r="J18" s="36" t="str" cm="1">
        <f t="array" ref="J18">IF($I18="","",SUBSTITUTE(SUBSTITUTE(SUBSTITUTE(SUBSTITUTE(SUBSTITUTE(SUBSTITUTE(SUBSTITUTE(SUBSTITUTE(SUBSTITUTE(GetTransformation(SanitizeInput($I18),'Damage Scenarios'!$A:$J,COLUMNS('Damage Scenarios'!$A:$J),CHAR(10),"[#0][#1][#2]")&amp;"§","[#1][#2]",""),"[#2]",""),"[#0][#1]","[#1]"),"[#0]","Removes:"&amp;CHAR(10)),"[#1]","Transforms:"&amp;CHAR(10)),CHAR(10)&amp;"§",""),"§",""),CHAR(10),CHAR(10)&amp;"   "),"   "&amp;"Transforms:","Transforms:"))</f>
        <v/>
      </c>
      <c r="K18" s="13"/>
      <c r="L18" s="13"/>
      <c r="M18" s="13"/>
      <c r="N18" s="13" t="s">
        <v>151</v>
      </c>
      <c r="O18" s="13"/>
      <c r="P18" s="16" t="str">
        <f ca="1">IF($A18="","",IFERROR(VLOOKUP($AE18,Definitions!$V:$W,COLUMNS(Definitions!$V:$W),TRUE),""))</f>
        <v>Beyond High</v>
      </c>
      <c r="Q18" s="13" t="s">
        <v>62</v>
      </c>
      <c r="R18" s="13"/>
      <c r="S18" s="13" t="s">
        <v>1027</v>
      </c>
      <c r="T18" s="10" cm="1">
        <f t="array" ref="T18">IF(ROW()=ROW($T$3)+1,0,INDEX($T:$T,ROW()-1))+IF($A18="",0,1)</f>
        <v>15</v>
      </c>
      <c r="U18" s="14" t="b">
        <f ca="1">OR(CheckRelevance(SanitizeInput(F18),Questionnaire!$I:$I),IFERROR(_xlfn.XMATCH("*,"&amp;$A18&amp;",*",Countermeasures!$AG:$AG,2)&gt;0,FALSE))</f>
        <v>1</v>
      </c>
      <c r="V18" s="14" t="b">
        <f>IFERROR(_xlfn.XMATCH("*,"&amp;$A18&amp;",*",Mitigation!$X:$X,2)&gt;0,FALSE)</f>
        <v>0</v>
      </c>
      <c r="W18" s="14" cm="1">
        <f t="array" ref="W18">CreateTaskID($W$3,$W:$W,Tasks!$B$17,$S18)</f>
        <v>0</v>
      </c>
      <c r="X18" s="14" t="str" cm="1">
        <f t="array" ca="1" aca="1" ref="X18">IF(OR($G18="",NOT($U18)),"",","&amp;SanitizeInput($G18))</f>
        <v>,AS21,</v>
      </c>
      <c r="Y18" s="14" t="str" cm="1">
        <f t="array" ref="Y18">IF($G18="","",","&amp;SanitizeInput($G18))</f>
        <v>,AS21,</v>
      </c>
      <c r="Z18" s="20">
        <f>IF(K18="",0,VLOOKUP(K18,Definitions!$Z:$AA,COLUMNS(Definitions!$Z:$AA),FALSE))</f>
        <v>0</v>
      </c>
      <c r="AA18" s="20">
        <f>IF(L18="",0,VLOOKUP(L18,Definitions!$Z:$AA,COLUMNS(Definitions!$Z:$AA),FALSE))</f>
        <v>0</v>
      </c>
      <c r="AB18" s="20">
        <f>IF(M18="",0,VLOOKUP(M18,Definitions!$Z:$AA,COLUMNS(Definitions!$Z:$AA),FALSE))</f>
        <v>0</v>
      </c>
      <c r="AC18" s="20">
        <f>IF(N18="",0,VLOOKUP(N18,Definitions!$Z:$AA,COLUMNS(Definitions!$Z:$AA),FALSE))</f>
        <v>25</v>
      </c>
      <c r="AD18" s="20">
        <f>IF(O18="",0,VLOOKUP(O18,Definitions!$Z:$AA,COLUMNS(Definitions!$Z:$AA),FALSE))</f>
        <v>0</v>
      </c>
      <c r="AE18" s="20">
        <f t="shared" ca="1" si="0"/>
        <v>25</v>
      </c>
      <c r="AF18" s="20" t="str" cm="1">
        <f t="array" ref="AF18">SUBSTITUTE(IF($V18,IF($I18="","",","&amp;SanitizeInput($I18)),""),"&gt;",",")</f>
        <v/>
      </c>
      <c r="AG18" s="20" cm="1">
        <f t="array" ca="1" aca="1" ref="AG18">IF(ROW()=ROW($AG$3)+1,0,INDEX($AG:$AG,ROW()-1))+IF(OR($U18,$V18),1,0)</f>
        <v>6</v>
      </c>
      <c r="AH18" s="20" t="str" cm="1">
        <f t="array" ca="1" aca="1" ref="AH18">IF(OR($U18,$V18),IF($Q18="","",","&amp;SanitizeInput($Q18)),"")</f>
        <v/>
      </c>
      <c r="AI18" s="20" t="str">
        <f t="shared" si="1"/>
        <v>SDR 1.13 – Area with restricted access [Customer]</v>
      </c>
      <c r="AJ18" s="20" t="str" cm="1">
        <f t="array" ca="1" aca="1" ref="AJ18">IF($F18="*","",InverseLookupList(SanitizeInput($F18),Questionnaire!$AA$3,Questionnaire!$A$3,Helper!$B$12,","))</f>
        <v>QA15,</v>
      </c>
      <c r="AK18" s="20" t="str" cm="1">
        <f t="array" ca="1" aca="1" ref="AK18">RemoveDelimiter(GetValues($AJ18,Questionnaire!$A:$G," ",CHAR(10)&amp;CHAR(10),TRUE),CHAR(10)&amp;CHAR(10))</f>
        <v xml:space="preserve">QA15 </v>
      </c>
      <c r="AL18" s="20" t="str" cm="1">
        <f t="array" ca="1" aca="1" ref="AL18">CreateSearchString($AJ18)</f>
        <v>,QA15,</v>
      </c>
      <c r="AM18" s="20" t="str" cm="1">
        <f t="array" ca="1" aca="1" ref="AM18">InverseLookup($A18,Mitigation!$AD$2,Mitigation!$A$2,1,Helper!$B$5,",")</f>
        <v/>
      </c>
      <c r="AN18" s="20" t="str" cm="1">
        <f t="array" ca="1" aca="1" ref="AN18">CreateSearchString(GetValues($AM18,'Attack Steps'!$A:$O,"",",",FALSE))</f>
        <v/>
      </c>
      <c r="AO18" s="20" t="str">
        <f t="shared" si="2"/>
        <v>A15</v>
      </c>
    </row>
    <row r="19" spans="1:41" ht="45">
      <c r="A19" s="10" t="s">
        <v>384</v>
      </c>
      <c r="B19" s="13" t="s">
        <v>1559</v>
      </c>
      <c r="C19" s="13" t="s">
        <v>341</v>
      </c>
      <c r="D19" s="13" t="s">
        <v>1564</v>
      </c>
      <c r="E19" s="13" t="s">
        <v>372</v>
      </c>
      <c r="F19" s="13" t="s">
        <v>1066</v>
      </c>
      <c r="G19" s="13" t="s">
        <v>360</v>
      </c>
      <c r="H19" s="16" t="str" cm="1">
        <f t="array" ca="1" aca="1" ref="H19">LookupNames(SanitizeInput($G19),'Attack Steps'!$A:$B)</f>
        <v>AS27 Getting physical access to the product's linked communication media (e.g., field buses)</v>
      </c>
      <c r="I19" s="13"/>
      <c r="J19" s="36" t="str" cm="1">
        <f t="array" ref="J19">IF($I19="","",SUBSTITUTE(SUBSTITUTE(SUBSTITUTE(SUBSTITUTE(SUBSTITUTE(SUBSTITUTE(SUBSTITUTE(SUBSTITUTE(SUBSTITUTE(GetTransformation(SanitizeInput($I19),'Damage Scenarios'!$A:$J,COLUMNS('Damage Scenarios'!$A:$J),CHAR(10),"[#0][#1][#2]")&amp;"§","[#1][#2]",""),"[#2]",""),"[#0][#1]","[#1]"),"[#0]","Removes:"&amp;CHAR(10)),"[#1]","Transforms:"&amp;CHAR(10)),CHAR(10)&amp;"§",""),"§",""),CHAR(10),CHAR(10)&amp;"   "),"   "&amp;"Transforms:","Transforms:"))</f>
        <v/>
      </c>
      <c r="K19" s="13"/>
      <c r="L19" s="13"/>
      <c r="M19" s="13"/>
      <c r="N19" s="13" t="s">
        <v>151</v>
      </c>
      <c r="O19" s="13"/>
      <c r="P19" s="16" t="str">
        <f ca="1">IF($A19="","",IFERROR(VLOOKUP($AE19,Definitions!$V:$W,COLUMNS(Definitions!$V:$W),TRUE),""))</f>
        <v>Beyond High</v>
      </c>
      <c r="Q19" s="13" t="s">
        <v>62</v>
      </c>
      <c r="R19" s="13"/>
      <c r="S19" s="13" t="s">
        <v>1027</v>
      </c>
      <c r="T19" s="10" cm="1">
        <f t="array" ref="T19">IF(ROW()=ROW($T$3)+1,0,INDEX($T:$T,ROW()-1))+IF($A19="",0,1)</f>
        <v>16</v>
      </c>
      <c r="U19" s="14" t="b">
        <f ca="1">OR(CheckRelevance(SanitizeInput(F19),Questionnaire!$I:$I),IFERROR(_xlfn.XMATCH("*,"&amp;$A19&amp;",*",Countermeasures!$AG:$AG,2)&gt;0,FALSE))</f>
        <v>1</v>
      </c>
      <c r="V19" s="14" t="b">
        <f>IFERROR(_xlfn.XMATCH("*,"&amp;$A19&amp;",*",Mitigation!$X:$X,2)&gt;0,FALSE)</f>
        <v>0</v>
      </c>
      <c r="W19" s="14" cm="1">
        <f t="array" ref="W19">CreateTaskID($W$3,$W:$W,Tasks!$B$17,$S19)</f>
        <v>0</v>
      </c>
      <c r="X19" s="14" t="str" cm="1">
        <f t="array" ca="1" aca="1" ref="X19">IF(OR($G19="",NOT($U19)),"",","&amp;SanitizeInput($G19))</f>
        <v>,AS27,</v>
      </c>
      <c r="Y19" s="14" t="str" cm="1">
        <f t="array" ref="Y19">IF($G19="","",","&amp;SanitizeInput($G19))</f>
        <v>,AS27,</v>
      </c>
      <c r="Z19" s="20">
        <f>IF(K19="",0,VLOOKUP(K19,Definitions!$Z:$AA,COLUMNS(Definitions!$Z:$AA),FALSE))</f>
        <v>0</v>
      </c>
      <c r="AA19" s="20">
        <f>IF(L19="",0,VLOOKUP(L19,Definitions!$Z:$AA,COLUMNS(Definitions!$Z:$AA),FALSE))</f>
        <v>0</v>
      </c>
      <c r="AB19" s="20">
        <f>IF(M19="",0,VLOOKUP(M19,Definitions!$Z:$AA,COLUMNS(Definitions!$Z:$AA),FALSE))</f>
        <v>0</v>
      </c>
      <c r="AC19" s="20">
        <f>IF(N19="",0,VLOOKUP(N19,Definitions!$Z:$AA,COLUMNS(Definitions!$Z:$AA),FALSE))</f>
        <v>25</v>
      </c>
      <c r="AD19" s="20">
        <f>IF(O19="",0,VLOOKUP(O19,Definitions!$Z:$AA,COLUMNS(Definitions!$Z:$AA),FALSE))</f>
        <v>0</v>
      </c>
      <c r="AE19" s="20">
        <f t="shared" ca="1" si="0"/>
        <v>25</v>
      </c>
      <c r="AF19" s="20" t="str" cm="1">
        <f t="array" ref="AF19">SUBSTITUTE(IF($V19,IF($I19="","",","&amp;SanitizeInput($I19)),""),"&gt;",",")</f>
        <v/>
      </c>
      <c r="AG19" s="20" cm="1">
        <f t="array" ca="1" aca="1" ref="AG19">IF(ROW()=ROW($AG$3)+1,0,INDEX($AG:$AG,ROW()-1))+IF(OR($U19,$V19),1,0)</f>
        <v>7</v>
      </c>
      <c r="AH19" s="20" t="str" cm="1">
        <f t="array" ca="1" aca="1" ref="AH19">IF(OR($U19,$V19),IF($Q19="","",","&amp;SanitizeInput($Q19)),"")</f>
        <v/>
      </c>
      <c r="AI19" s="20" t="str">
        <f t="shared" si="1"/>
        <v>SDR 1.14 – Communication media located in restricted access area [Customer]</v>
      </c>
      <c r="AJ19" s="20" t="str" cm="1">
        <f t="array" ca="1" aca="1" ref="AJ19">IF($F19="*","",InverseLookupList(SanitizeInput($F19),Questionnaire!$AA$3,Questionnaire!$A$3,Helper!$B$12,","))</f>
        <v>QA16,</v>
      </c>
      <c r="AK19" s="20" t="str" cm="1">
        <f t="array" ca="1" aca="1" ref="AK19">RemoveDelimiter(GetValues($AJ19,Questionnaire!$A:$G," ",CHAR(10)&amp;CHAR(10),TRUE),CHAR(10)&amp;CHAR(10))</f>
        <v xml:space="preserve">QA16 </v>
      </c>
      <c r="AL19" s="20" t="str" cm="1">
        <f t="array" ca="1" aca="1" ref="AL19">CreateSearchString($AJ19)</f>
        <v>,QA16,</v>
      </c>
      <c r="AM19" s="20" t="str" cm="1">
        <f t="array" ca="1" aca="1" ref="AM19">InverseLookup($A19,Mitigation!$AD$2,Mitigation!$A$2,1,Helper!$B$5,",")</f>
        <v/>
      </c>
      <c r="AN19" s="20" t="str" cm="1">
        <f t="array" ca="1" aca="1" ref="AN19">CreateSearchString(GetValues($AM19,'Attack Steps'!$A:$O,"",",",FALSE))</f>
        <v/>
      </c>
      <c r="AO19" s="20" t="str">
        <f t="shared" si="2"/>
        <v>A16</v>
      </c>
    </row>
    <row r="20" spans="1:41" ht="45">
      <c r="A20" s="10" t="s">
        <v>385</v>
      </c>
      <c r="B20" s="13" t="s">
        <v>1600</v>
      </c>
      <c r="C20" s="13" t="str">
        <f>Definitions!$C$4&amp;"'s products are produced in a secure operational environment."</f>
        <v>acontis techonlogies GmbH's products are produced in a secure operational environment.</v>
      </c>
      <c r="D20" s="13" t="str">
        <f>"The "&amp;Definitions!$C$4&amp;" product shall be produced in a secure operational environment."</f>
        <v>The acontis techonlogies GmbH product shall be produced in a secure operational environment.</v>
      </c>
      <c r="E20" s="13" t="str">
        <f>Definitions!$C$4</f>
        <v>acontis techonlogies GmbH</v>
      </c>
      <c r="F20" s="13" t="s">
        <v>1143</v>
      </c>
      <c r="G20" s="13" t="s">
        <v>1116</v>
      </c>
      <c r="H20" s="16" t="str" cm="1">
        <f t="array" ca="1" aca="1" ref="H20">LookupNames(SanitizeInput($G20),'Attack Steps'!$A:$B)</f>
        <v>AS37 The product is manipulated during production and consequently behaves maliciously</v>
      </c>
      <c r="I20" s="13"/>
      <c r="J20" s="36" t="str" cm="1">
        <f t="array" ref="J20">IF($I20="","",SUBSTITUTE(SUBSTITUTE(SUBSTITUTE(SUBSTITUTE(SUBSTITUTE(SUBSTITUTE(SUBSTITUTE(SUBSTITUTE(SUBSTITUTE(GetTransformation(SanitizeInput($I20),'Damage Scenarios'!$A:$J,COLUMNS('Damage Scenarios'!$A:$J),CHAR(10),"[#0][#1][#2]")&amp;"§","[#1][#2]",""),"[#2]",""),"[#0][#1]","[#1]"),"[#0]","Removes:"&amp;CHAR(10)),"[#1]","Transforms:"&amp;CHAR(10)),CHAR(10)&amp;"§",""),"§",""),CHAR(10),CHAR(10)&amp;"   "),"   "&amp;"Transforms:","Transforms:"))</f>
        <v/>
      </c>
      <c r="K20" s="13"/>
      <c r="L20" s="13"/>
      <c r="M20" s="13"/>
      <c r="N20" s="13" t="s">
        <v>151</v>
      </c>
      <c r="O20" s="13"/>
      <c r="P20" s="16" t="str">
        <f ca="1">IF($A20="","",IFERROR(VLOOKUP($AE20,Definitions!$V:$W,COLUMNS(Definitions!$V:$W),TRUE),""))</f>
        <v>Beyond High</v>
      </c>
      <c r="Q20" s="13" t="s">
        <v>62</v>
      </c>
      <c r="R20" s="13"/>
      <c r="S20" s="13" t="str">
        <f>"None: "&amp;Definitions!$C$4&amp;"'s production environment is protected against attacks"</f>
        <v>None: acontis techonlogies GmbH's production environment is protected against attacks</v>
      </c>
      <c r="T20" s="10" cm="1">
        <f t="array" ref="T20">IF(ROW()=ROW($T$3)+1,0,INDEX($T:$T,ROW()-1))+IF($A20="",0,1)</f>
        <v>17</v>
      </c>
      <c r="U20" s="14" t="b">
        <f ca="1">OR(CheckRelevance(SanitizeInput(F20),Questionnaire!$I:$I),IFERROR(_xlfn.XMATCH("*,"&amp;$A20&amp;",*",Countermeasures!$AG:$AG,2)&gt;0,FALSE))</f>
        <v>1</v>
      </c>
      <c r="V20" s="14" t="b">
        <f>IFERROR(_xlfn.XMATCH("*,"&amp;$A20&amp;",*",Mitigation!$X:$X,2)&gt;0,FALSE)</f>
        <v>0</v>
      </c>
      <c r="W20" s="14" cm="1">
        <f t="array" ref="W20">CreateTaskID($W$3,$W:$W,Tasks!$B$17,$S20)</f>
        <v>0</v>
      </c>
      <c r="X20" s="14" t="str" cm="1">
        <f t="array" ca="1" aca="1" ref="X20">IF(OR($G20="",NOT($U20)),"",","&amp;SanitizeInput($G20))</f>
        <v>,AS37,</v>
      </c>
      <c r="Y20" s="14" t="str" cm="1">
        <f t="array" ref="Y20">IF($G20="","",","&amp;SanitizeInput($G20))</f>
        <v>,AS37,</v>
      </c>
      <c r="Z20" s="20">
        <f>IF(K20="",0,VLOOKUP(K20,Definitions!$Z:$AA,COLUMNS(Definitions!$Z:$AA),FALSE))</f>
        <v>0</v>
      </c>
      <c r="AA20" s="20">
        <f>IF(L20="",0,VLOOKUP(L20,Definitions!$Z:$AA,COLUMNS(Definitions!$Z:$AA),FALSE))</f>
        <v>0</v>
      </c>
      <c r="AB20" s="20">
        <f>IF(M20="",0,VLOOKUP(M20,Definitions!$Z:$AA,COLUMNS(Definitions!$Z:$AA),FALSE))</f>
        <v>0</v>
      </c>
      <c r="AC20" s="20">
        <f>IF(N20="",0,VLOOKUP(N20,Definitions!$Z:$AA,COLUMNS(Definitions!$Z:$AA),FALSE))</f>
        <v>25</v>
      </c>
      <c r="AD20" s="20">
        <f>IF(O20="",0,VLOOKUP(O20,Definitions!$Z:$AA,COLUMNS(Definitions!$Z:$AA),FALSE))</f>
        <v>0</v>
      </c>
      <c r="AE20" s="20">
        <f t="shared" ca="1" si="0"/>
        <v>25</v>
      </c>
      <c r="AF20" s="20" t="str" cm="1">
        <f t="array" ref="AF20">SUBSTITUTE(IF($V20,IF($I20="","",","&amp;SanitizeInput($I20)),""),"&gt;",",")</f>
        <v/>
      </c>
      <c r="AG20" s="20" cm="1">
        <f t="array" ca="1" aca="1" ref="AG20">IF(ROW()=ROW($AG$3)+1,0,INDEX($AG:$AG,ROW()-1))+IF(OR($U20,$V20),1,0)</f>
        <v>8</v>
      </c>
      <c r="AH20" s="20" t="str" cm="1">
        <f t="array" ca="1" aca="1" ref="AH20">IF(OR($U20,$V20),IF($Q20="","",","&amp;SanitizeInput($Q20)),"")</f>
        <v/>
      </c>
      <c r="AI20" s="20" t="str">
        <f t="shared" si="1"/>
        <v>SDR 2.4 – Secure production [acontis techonlogies GmbH]</v>
      </c>
      <c r="AJ20" s="20" t="str" cm="1">
        <f t="array" ca="1" aca="1" ref="AJ20">IF($F20="*","",InverseLookupList(SanitizeInput($F20),Questionnaire!$AA$3,Questionnaire!$A$3,Helper!$B$12,","))</f>
        <v>QA18,</v>
      </c>
      <c r="AK20" s="20" t="str" cm="1">
        <f t="array" ca="1" aca="1" ref="AK20">RemoveDelimiter(GetValues($AJ20,Questionnaire!$A:$G," ",CHAR(10)&amp;CHAR(10),TRUE),CHAR(10)&amp;CHAR(10))</f>
        <v>QA18 Access control on many levels</v>
      </c>
      <c r="AL20" s="20" t="str" cm="1">
        <f t="array" ca="1" aca="1" ref="AL20">CreateSearchString($AJ20)</f>
        <v>,QA18,</v>
      </c>
      <c r="AM20" s="20" t="str" cm="1">
        <f t="array" ca="1" aca="1" ref="AM20">InverseLookup($A20,Mitigation!$AD$2,Mitigation!$A$2,1,Helper!$B$5,",")</f>
        <v/>
      </c>
      <c r="AN20" s="20" t="str" cm="1">
        <f t="array" ca="1" aca="1" ref="AN20">CreateSearchString(GetValues($AM20,'Attack Steps'!$A:$O,"",",",FALSE))</f>
        <v/>
      </c>
      <c r="AO20" s="20" t="str">
        <f t="shared" si="2"/>
        <v>A17</v>
      </c>
    </row>
    <row r="21" spans="1:41" ht="120">
      <c r="A21" s="10" t="s">
        <v>386</v>
      </c>
      <c r="B21" s="13" t="s">
        <v>1601</v>
      </c>
      <c r="C21" s="13" t="str">
        <f>Definitions!$C$4&amp;"'s suppliers are trustworthy and their products are not manipulated. The suppliers provide updates when needed."</f>
        <v>acontis techonlogies GmbH's suppliers are trustworthy and their products are not manipulated. The suppliers provide updates when needed.</v>
      </c>
      <c r="D21" s="13" t="str">
        <f>"The procurement process of external software and hardware components for the solution shall contain checks and guarantees that "&amp;Definitions!$C$4&amp;"'s suppliers are trustworthy and their products are not manipulated.
This should be done by the supplier complying with the "&amp;Definitions!$C$4&amp;" Cybersecurity supplier requirements or in the case of Open Source through the reputation, number of people, history of using the component, committing and other factors."</f>
        <v>The procurement process of external software and hardware components for the solution shall contain checks and guarantees that acontis techonlogies GmbH's suppliers are trustworthy and their products are not manipulated.
This should be done by the supplier complying with the acontis techonlogies GmbH Cybersecurity supplier requirements or in the case of Open Source through the reputation, number of people, history of using the component, committing and other factors.</v>
      </c>
      <c r="E21" s="13" t="str">
        <f>Definitions!$C$4</f>
        <v>acontis techonlogies GmbH</v>
      </c>
      <c r="F21" s="13" t="s">
        <v>1145</v>
      </c>
      <c r="G21" s="13" t="s">
        <v>1118</v>
      </c>
      <c r="H21" s="16" t="str" cm="1">
        <f t="array" ca="1" aca="1" ref="H21">LookupNames(SanitizeInput($G21),'Attack Steps'!$A:$B)</f>
        <v>AS38 Manipulated parts from the supply chain are integrated into the product, leading to the product behaving maliciously</v>
      </c>
      <c r="I21" s="13"/>
      <c r="J21" s="36" t="str" cm="1">
        <f t="array" ref="J21">IF($I21="","",SUBSTITUTE(SUBSTITUTE(SUBSTITUTE(SUBSTITUTE(SUBSTITUTE(SUBSTITUTE(SUBSTITUTE(SUBSTITUTE(SUBSTITUTE(GetTransformation(SanitizeInput($I21),'Damage Scenarios'!$A:$J,COLUMNS('Damage Scenarios'!$A:$J),CHAR(10),"[#0][#1][#2]")&amp;"§","[#1][#2]",""),"[#2]",""),"[#0][#1]","[#1]"),"[#0]","Removes:"&amp;CHAR(10)),"[#1]","Transforms:"&amp;CHAR(10)),CHAR(10)&amp;"§",""),"§",""),CHAR(10),CHAR(10)&amp;"   "),"   "&amp;"Transforms:","Transforms:"))</f>
        <v/>
      </c>
      <c r="K21" s="13"/>
      <c r="L21" s="13"/>
      <c r="M21" s="13"/>
      <c r="N21" s="13" t="s">
        <v>151</v>
      </c>
      <c r="O21" s="13"/>
      <c r="P21" s="16" t="str">
        <f ca="1">IF($A21="","",IFERROR(VLOOKUP($AE21,Definitions!$V:$W,COLUMNS(Definitions!$V:$W),TRUE),""))</f>
        <v>Beyond High</v>
      </c>
      <c r="Q21" s="13" t="s">
        <v>62</v>
      </c>
      <c r="R21" s="13"/>
      <c r="S21" s="13" t="s">
        <v>1232</v>
      </c>
      <c r="T21" s="10" cm="1">
        <f t="array" ref="T21">IF(ROW()=ROW($T$3)+1,0,INDEX($T:$T,ROW()-1))+IF($A21="",0,1)</f>
        <v>18</v>
      </c>
      <c r="U21" s="14" t="b">
        <f ca="1">OR(CheckRelevance(SanitizeInput(F21),Questionnaire!$I:$I),IFERROR(_xlfn.XMATCH("*,"&amp;$A21&amp;",*",Countermeasures!$AG:$AG,2)&gt;0,FALSE))</f>
        <v>1</v>
      </c>
      <c r="V21" s="14" t="b">
        <f>IFERROR(_xlfn.XMATCH("*,"&amp;$A21&amp;",*",Mitigation!$X:$X,2)&gt;0,FALSE)</f>
        <v>0</v>
      </c>
      <c r="W21" s="14" cm="1">
        <f t="array" ref="W21">CreateTaskID($W$3,$W:$W,Tasks!$B$17,$S21)</f>
        <v>0</v>
      </c>
      <c r="X21" s="14" t="str" cm="1">
        <f t="array" ca="1" aca="1" ref="X21">IF(OR($G21="",NOT($U21)),"",","&amp;SanitizeInput($G21))</f>
        <v>,AS38,</v>
      </c>
      <c r="Y21" s="14" t="str" cm="1">
        <f t="array" ref="Y21">IF($G21="","",","&amp;SanitizeInput($G21))</f>
        <v>,AS38,</v>
      </c>
      <c r="Z21" s="20">
        <f>IF(K21="",0,VLOOKUP(K21,Definitions!$Z:$AA,COLUMNS(Definitions!$Z:$AA),FALSE))</f>
        <v>0</v>
      </c>
      <c r="AA21" s="20">
        <f>IF(L21="",0,VLOOKUP(L21,Definitions!$Z:$AA,COLUMNS(Definitions!$Z:$AA),FALSE))</f>
        <v>0</v>
      </c>
      <c r="AB21" s="20">
        <f>IF(M21="",0,VLOOKUP(M21,Definitions!$Z:$AA,COLUMNS(Definitions!$Z:$AA),FALSE))</f>
        <v>0</v>
      </c>
      <c r="AC21" s="20">
        <f>IF(N21="",0,VLOOKUP(N21,Definitions!$Z:$AA,COLUMNS(Definitions!$Z:$AA),FALSE))</f>
        <v>25</v>
      </c>
      <c r="AD21" s="20">
        <f>IF(O21="",0,VLOOKUP(O21,Definitions!$Z:$AA,COLUMNS(Definitions!$Z:$AA),FALSE))</f>
        <v>0</v>
      </c>
      <c r="AE21" s="20">
        <f t="shared" ca="1" si="0"/>
        <v>25</v>
      </c>
      <c r="AF21" s="20" t="str" cm="1">
        <f t="array" ref="AF21">SUBSTITUTE(IF($V21,IF($I21="","",","&amp;SanitizeInput($I21)),""),"&gt;",",")</f>
        <v/>
      </c>
      <c r="AG21" s="20" cm="1">
        <f t="array" ca="1" aca="1" ref="AG21">IF(ROW()=ROW($AG$3)+1,0,INDEX($AG:$AG,ROW()-1))+IF(OR($U21,$V21),1,0)</f>
        <v>9</v>
      </c>
      <c r="AH21" s="20" t="str" cm="1">
        <f t="array" ca="1" aca="1" ref="AH21">IF(OR($U21,$V21),IF($Q21="","",","&amp;SanitizeInput($Q21)),"")</f>
        <v/>
      </c>
      <c r="AI21" s="20" t="str">
        <f t="shared" si="1"/>
        <v>SDR 2.5 – Secure supply chain [acontis techonlogies GmbH]</v>
      </c>
      <c r="AJ21" s="20" t="str" cm="1">
        <f t="array" ca="1" aca="1" ref="AJ21">IF($F21="*","",InverseLookupList(SanitizeInput($F21),Questionnaire!$AA$3,Questionnaire!$A$3,Helper!$B$12,","))</f>
        <v>QA19,</v>
      </c>
      <c r="AK21" s="20" t="str" cm="1">
        <f t="array" ca="1" aca="1" ref="AK21">RemoveDelimiter(GetValues($AJ21,Questionnaire!$A:$G," ",CHAR(10)&amp;CHAR(10),TRUE),CHAR(10)&amp;CHAR(10))</f>
        <v>QA19 eXpat community</v>
      </c>
      <c r="AL21" s="20" t="str" cm="1">
        <f t="array" ca="1" aca="1" ref="AL21">CreateSearchString($AJ21)</f>
        <v>,QA19,</v>
      </c>
      <c r="AM21" s="20" t="str" cm="1">
        <f t="array" ca="1" aca="1" ref="AM21">InverseLookup($A21,Mitigation!$AD$2,Mitigation!$A$2,1,Helper!$B$5,",")</f>
        <v/>
      </c>
      <c r="AN21" s="20" t="str" cm="1">
        <f t="array" ca="1" aca="1" ref="AN21">CreateSearchString(GetValues($AM21,'Attack Steps'!$A:$O,"",",",FALSE))</f>
        <v/>
      </c>
      <c r="AO21" s="20" t="str">
        <f t="shared" si="2"/>
        <v>A18</v>
      </c>
    </row>
    <row r="22" spans="1:41" ht="45">
      <c r="A22" s="10" t="s">
        <v>387</v>
      </c>
      <c r="B22" s="13" t="s">
        <v>1565</v>
      </c>
      <c r="C22" s="13" t="s">
        <v>419</v>
      </c>
      <c r="D22" s="13" t="s">
        <v>1567</v>
      </c>
      <c r="E22" s="13" t="s">
        <v>372</v>
      </c>
      <c r="F22" s="13"/>
      <c r="G22" s="13"/>
      <c r="H22" s="16" t="str" cm="1">
        <f t="array" ref="H22">LookupNames(SanitizeInput($G22),'Attack Steps'!$A:$B)</f>
        <v/>
      </c>
      <c r="I22" s="13"/>
      <c r="J22" s="36" t="str" cm="1">
        <f t="array" ref="J22">IF($I22="","",SUBSTITUTE(SUBSTITUTE(SUBSTITUTE(SUBSTITUTE(SUBSTITUTE(SUBSTITUTE(SUBSTITUTE(SUBSTITUTE(SUBSTITUTE(GetTransformation(SanitizeInput($I22),'Damage Scenarios'!$A:$J,COLUMNS('Damage Scenarios'!$A:$J),CHAR(10),"[#0][#1][#2]")&amp;"§","[#1][#2]",""),"[#2]",""),"[#0][#1]","[#1]"),"[#0]","Removes:"&amp;CHAR(10)),"[#1]","Transforms:"&amp;CHAR(10)),CHAR(10)&amp;"§",""),"§",""),CHAR(10),CHAR(10)&amp;"   "),"   "&amp;"Transforms:","Transforms:"))</f>
        <v/>
      </c>
      <c r="K22" s="13"/>
      <c r="L22" s="13"/>
      <c r="M22" s="13"/>
      <c r="N22" s="13"/>
      <c r="O22" s="13"/>
      <c r="P22" s="16" t="str">
        <f ca="1">IF($A22="","",IFERROR(VLOOKUP($AE22,Definitions!$V:$W,COLUMNS(Definitions!$V:$W),TRUE),""))</f>
        <v>Basic</v>
      </c>
      <c r="Q22" s="13" t="s">
        <v>607</v>
      </c>
      <c r="R22" s="13"/>
      <c r="S22" s="13"/>
      <c r="T22" s="10" cm="1">
        <f t="array" ref="T22">IF(ROW()=ROW($T$3)+1,0,INDEX($T:$T,ROW()-1))+IF($A22="",0,1)</f>
        <v>19</v>
      </c>
      <c r="U22" s="14" t="b">
        <f ca="1">OR(CheckRelevance(SanitizeInput(F22),Questionnaire!$I:$I),IFERROR(_xlfn.XMATCH("*,"&amp;$A22&amp;",*",Countermeasures!$AG:$AG,2)&gt;0,FALSE))</f>
        <v>0</v>
      </c>
      <c r="V22" s="14" t="b">
        <f>IFERROR(_xlfn.XMATCH("*,"&amp;$A22&amp;",*",Mitigation!$X:$X,2)&gt;0,FALSE)</f>
        <v>0</v>
      </c>
      <c r="W22" s="14" cm="1">
        <f t="array" ref="W22">CreateTaskID($W$3,$W:$W,Tasks!$B$17,$S22)</f>
        <v>0</v>
      </c>
      <c r="X22" s="14" t="str" cm="1">
        <f t="array" ca="1" aca="1" ref="X22">IF(OR($G22="",NOT($U22)),"",","&amp;SanitizeInput($G22))</f>
        <v/>
      </c>
      <c r="Y22" s="14" t="str" cm="1">
        <f t="array" ref="Y22">IF($G22="","",","&amp;SanitizeInput($G22))</f>
        <v/>
      </c>
      <c r="Z22" s="20">
        <f>IF(K22="",0,VLOOKUP(K22,Definitions!$Z:$AA,COLUMNS(Definitions!$Z:$AA),FALSE))</f>
        <v>0</v>
      </c>
      <c r="AA22" s="20">
        <f>IF(L22="",0,VLOOKUP(L22,Definitions!$Z:$AA,COLUMNS(Definitions!$Z:$AA),FALSE))</f>
        <v>0</v>
      </c>
      <c r="AB22" s="20">
        <f>IF(M22="",0,VLOOKUP(M22,Definitions!$Z:$AA,COLUMNS(Definitions!$Z:$AA),FALSE))</f>
        <v>0</v>
      </c>
      <c r="AC22" s="20">
        <f>IF(N22="",0,VLOOKUP(N22,Definitions!$Z:$AA,COLUMNS(Definitions!$Z:$AA),FALSE))</f>
        <v>0</v>
      </c>
      <c r="AD22" s="20">
        <f>IF(O22="",0,VLOOKUP(O22,Definitions!$Z:$AA,COLUMNS(Definitions!$Z:$AA),FALSE))</f>
        <v>0</v>
      </c>
      <c r="AE22" s="20">
        <f t="shared" ca="1" si="0"/>
        <v>0</v>
      </c>
      <c r="AF22" s="20" t="str" cm="1">
        <f t="array" ref="AF22">SUBSTITUTE(IF($V22,IF($I22="","",","&amp;SanitizeInput($I22)),""),"&gt;",",")</f>
        <v/>
      </c>
      <c r="AG22" s="20" cm="1">
        <f t="array" ca="1" aca="1" ref="AG22">IF(ROW()=ROW($AG$3)+1,0,INDEX($AG:$AG,ROW()-1))+IF(OR($U22,$V22),1,0)</f>
        <v>9</v>
      </c>
      <c r="AH22" s="20" t="str" cm="1">
        <f t="array" ca="1" aca="1" ref="AH22">IF(OR($U22,$V22),IF($Q22="","",","&amp;SanitizeInput($Q22)),"")</f>
        <v/>
      </c>
      <c r="AI22" s="20" t="str">
        <f t="shared" si="1"/>
        <v>SDR 1.15 – Password security [Customer]</v>
      </c>
      <c r="AJ22" s="20" t="str" cm="1">
        <f t="array" ref="AJ22">IF($F22="*","",InverseLookupList(SanitizeInput($F22),Questionnaire!$AA$3,Questionnaire!$A$3,Helper!$B$12,","))</f>
        <v/>
      </c>
      <c r="AK22" s="20" t="str" cm="1">
        <f t="array" ref="AK22">RemoveDelimiter(GetValues($AJ22,Questionnaire!$A:$G," ",CHAR(10)&amp;CHAR(10),TRUE),CHAR(10)&amp;CHAR(10))</f>
        <v/>
      </c>
      <c r="AL22" s="20" t="str" cm="1">
        <f t="array" ref="AL22">CreateSearchString($AJ22)</f>
        <v/>
      </c>
      <c r="AM22" s="20" t="str" cm="1">
        <f t="array" ca="1" aca="1" ref="AM22">InverseLookup($A22,Mitigation!$AD$2,Mitigation!$A$2,1,Helper!$B$5,",")</f>
        <v/>
      </c>
      <c r="AN22" s="20" t="str" cm="1">
        <f t="array" ca="1" aca="1" ref="AN22">CreateSearchString(GetValues($AM22,'Attack Steps'!$A:$O,"",",",FALSE))</f>
        <v/>
      </c>
      <c r="AO22" s="20" t="str">
        <f t="shared" si="2"/>
        <v>A19</v>
      </c>
    </row>
    <row r="23" spans="1:41" ht="60">
      <c r="A23" s="10" t="s">
        <v>389</v>
      </c>
      <c r="B23" s="13" t="s">
        <v>1566</v>
      </c>
      <c r="C23" s="13" t="s">
        <v>420</v>
      </c>
      <c r="D23" s="13" t="s">
        <v>1568</v>
      </c>
      <c r="E23" s="13" t="s">
        <v>372</v>
      </c>
      <c r="F23" s="13"/>
      <c r="G23" s="13"/>
      <c r="H23" s="16" t="str" cm="1">
        <f t="array" ref="H23">LookupNames(SanitizeInput($G23),'Attack Steps'!$A:$B)</f>
        <v/>
      </c>
      <c r="I23" s="13"/>
      <c r="J23" s="36" t="str" cm="1">
        <f t="array" ref="J23">IF($I23="","",SUBSTITUTE(SUBSTITUTE(SUBSTITUTE(SUBSTITUTE(SUBSTITUTE(SUBSTITUTE(SUBSTITUTE(SUBSTITUTE(SUBSTITUTE(GetTransformation(SanitizeInput($I23),'Damage Scenarios'!$A:$J,COLUMNS('Damage Scenarios'!$A:$J),CHAR(10),"[#0][#1][#2]")&amp;"§","[#1][#2]",""),"[#2]",""),"[#0][#1]","[#1]"),"[#0]","Removes:"&amp;CHAR(10)),"[#1]","Transforms:"&amp;CHAR(10)),CHAR(10)&amp;"§",""),"§",""),CHAR(10),CHAR(10)&amp;"   "),"   "&amp;"Transforms:","Transforms:"))</f>
        <v/>
      </c>
      <c r="K23" s="13"/>
      <c r="L23" s="13"/>
      <c r="M23" s="13"/>
      <c r="N23" s="13"/>
      <c r="O23" s="13"/>
      <c r="P23" s="16" t="str">
        <f ca="1">IF($A23="","",IFERROR(VLOOKUP($AE23,Definitions!$V:$W,COLUMNS(Definitions!$V:$W),TRUE),""))</f>
        <v>Basic</v>
      </c>
      <c r="Q23" s="13" t="s">
        <v>607</v>
      </c>
      <c r="R23" s="13"/>
      <c r="S23" s="13"/>
      <c r="T23" s="10" cm="1">
        <f t="array" ref="T23">IF(ROW()=ROW($T$3)+1,0,INDEX($T:$T,ROW()-1))+IF($A23="",0,1)</f>
        <v>20</v>
      </c>
      <c r="U23" s="14" t="b">
        <f ca="1">OR(CheckRelevance(SanitizeInput(F23),Questionnaire!$I:$I),IFERROR(_xlfn.XMATCH("*,"&amp;$A23&amp;",*",Countermeasures!$AG:$AG,2)&gt;0,FALSE))</f>
        <v>0</v>
      </c>
      <c r="V23" s="14" t="b">
        <f>IFERROR(_xlfn.XMATCH("*,"&amp;$A23&amp;",*",Mitigation!$X:$X,2)&gt;0,FALSE)</f>
        <v>0</v>
      </c>
      <c r="W23" s="14" cm="1">
        <f t="array" ref="W23">CreateTaskID($W$3,$W:$W,Tasks!$B$17,$S23)</f>
        <v>0</v>
      </c>
      <c r="X23" s="14" t="str" cm="1">
        <f t="array" ca="1" aca="1" ref="X23">IF(OR($G23="",NOT($U23)),"",","&amp;SanitizeInput($G23))</f>
        <v/>
      </c>
      <c r="Y23" s="14" t="str" cm="1">
        <f t="array" ref="Y23">IF($G23="","",","&amp;SanitizeInput($G23))</f>
        <v/>
      </c>
      <c r="Z23" s="20">
        <f>IF(K23="",0,VLOOKUP(K23,Definitions!$Z:$AA,COLUMNS(Definitions!$Z:$AA),FALSE))</f>
        <v>0</v>
      </c>
      <c r="AA23" s="20">
        <f>IF(L23="",0,VLOOKUP(L23,Definitions!$Z:$AA,COLUMNS(Definitions!$Z:$AA),FALSE))</f>
        <v>0</v>
      </c>
      <c r="AB23" s="20">
        <f>IF(M23="",0,VLOOKUP(M23,Definitions!$Z:$AA,COLUMNS(Definitions!$Z:$AA),FALSE))</f>
        <v>0</v>
      </c>
      <c r="AC23" s="20">
        <f>IF(N23="",0,VLOOKUP(N23,Definitions!$Z:$AA,COLUMNS(Definitions!$Z:$AA),FALSE))</f>
        <v>0</v>
      </c>
      <c r="AD23" s="20">
        <f>IF(O23="",0,VLOOKUP(O23,Definitions!$Z:$AA,COLUMNS(Definitions!$Z:$AA),FALSE))</f>
        <v>0</v>
      </c>
      <c r="AE23" s="20">
        <f t="shared" ca="1" si="0"/>
        <v>0</v>
      </c>
      <c r="AF23" s="20" t="str" cm="1">
        <f t="array" ref="AF23">SUBSTITUTE(IF($V23,IF($I23="","",","&amp;SanitizeInput($I23)),""),"&gt;",",")</f>
        <v/>
      </c>
      <c r="AG23" s="20" cm="1">
        <f t="array" ca="1" aca="1" ref="AG23">IF(ROW()=ROW($AG$3)+1,0,INDEX($AG:$AG,ROW()-1))+IF(OR($U23,$V23),1,0)</f>
        <v>9</v>
      </c>
      <c r="AH23" s="20" t="str" cm="1">
        <f t="array" ca="1" aca="1" ref="AH23">IF(OR($U23,$V23),IF($Q23="","",","&amp;SanitizeInput($Q23)),"")</f>
        <v/>
      </c>
      <c r="AI23" s="20" t="str">
        <f t="shared" si="1"/>
        <v>SDR 1.16 – Private key security [Customer]</v>
      </c>
      <c r="AJ23" s="20" t="str" cm="1">
        <f t="array" ref="AJ23">IF($F23="*","",InverseLookupList(SanitizeInput($F23),Questionnaire!$AA$3,Questionnaire!$A$3,Helper!$B$12,","))</f>
        <v/>
      </c>
      <c r="AK23" s="20" t="str" cm="1">
        <f t="array" ref="AK23">RemoveDelimiter(GetValues($AJ23,Questionnaire!$A:$G," ",CHAR(10)&amp;CHAR(10),TRUE),CHAR(10)&amp;CHAR(10))</f>
        <v/>
      </c>
      <c r="AL23" s="20" t="str" cm="1">
        <f t="array" ref="AL23">CreateSearchString($AJ23)</f>
        <v/>
      </c>
      <c r="AM23" s="20" t="str" cm="1">
        <f t="array" ca="1" aca="1" ref="AM23">InverseLookup($A23,Mitigation!$AD$2,Mitigation!$A$2,1,Helper!$B$5,",")</f>
        <v/>
      </c>
      <c r="AN23" s="20" t="str" cm="1">
        <f t="array" ca="1" aca="1" ref="AN23">CreateSearchString(GetValues($AM23,'Attack Steps'!$A:$O,"",",",FALSE))</f>
        <v/>
      </c>
      <c r="AO23" s="20" t="str">
        <f t="shared" si="2"/>
        <v>A20</v>
      </c>
    </row>
    <row r="24" spans="1:41" ht="192.75">
      <c r="A24" s="10" t="s">
        <v>422</v>
      </c>
      <c r="B24" s="13" t="s">
        <v>1604</v>
      </c>
      <c r="C24" s="13" t="s">
        <v>423</v>
      </c>
      <c r="D24" s="13" t="str">
        <f>"The customer is not expected to take actions against the solution that impacts its security.
If the customer is expected to take actions against the product that impact its security, re-evaluate the risk-assessment."&amp;"
Evaluation of such kind should consider economic factors and damages to "&amp;Definitions!$C$4&amp;"."</f>
        <v>The customer is not expected to take actions against the solution that impacts its security.
If the customer is expected to take actions against the product that impact its security, re-evaluate the risk-assessment.
Evaluation of such kind should consider economic factors and damages to acontis techonlogies GmbH.</v>
      </c>
      <c r="E24" s="13" t="str">
        <f>Definitions!$C$4</f>
        <v>acontis techonlogies GmbH</v>
      </c>
      <c r="F24" s="13" t="s">
        <v>418</v>
      </c>
      <c r="G24" s="13" t="s">
        <v>332</v>
      </c>
      <c r="H24" s="16" t="str" cm="1">
        <f t="array" ca="1" aca="1" ref="H24">LookupNames(SanitizeInput($G24),'Attack Steps'!$A:$B)</f>
        <v>AS22 Gaining physical access to the product (customer)</v>
      </c>
      <c r="I24" s="13" t="s">
        <v>1661</v>
      </c>
      <c r="J24" s="36" t="str" cm="1">
        <f t="array" ca="1" aca="1" ref="J24">IF($I24="","",SUBSTITUTE(SUBSTITUTE(SUBSTITUTE(SUBSTITUTE(SUBSTITUTE(SUBSTITUTE(SUBSTITUTE(SUBSTITUTE(SUBSTITUTE(GetTransformation(SanitizeInput($I24),'Damage Scenarios'!$A:$J,COLUMNS('Damage Scenarios'!$A:$J),CHAR(10),"[#0][#1][#2]")&amp;"§","[#1][#2]",""),"[#2]",""),"[#0][#1]","[#1]"),"[#0]","Removes:"&amp;CHAR(10)),"[#1]","Transforms:"&amp;CHAR(10)),CHAR(10)&amp;"§",""),"§",""),CHAR(10),CHAR(10)&amp;"   "),"   "&amp;"Transforms:","Transforms:"))</f>
        <v xml:space="preserve">Removes:
   DS1 
   DS2 
   DS4 
   DS5 
   DS7 Critical environmental damage caused by unavailable product
   DS8 Loss of Critical financial damage caused by unavailable product
   DS9 
   DS10 Life-threatening injury caused by manipulated product
   DS11 Personal data (ruinous)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
   DS16 </v>
      </c>
      <c r="K24" s="13"/>
      <c r="L24" s="13"/>
      <c r="M24" s="13"/>
      <c r="N24" s="13"/>
      <c r="O24" s="13"/>
      <c r="P24" s="16" t="str">
        <f ca="1">IF($A24="","",IFERROR(VLOOKUP($AE24,Definitions!$V:$W,COLUMNS(Definitions!$V:$W),TRUE),""))</f>
        <v>Basic</v>
      </c>
      <c r="Q24" s="13" t="s">
        <v>62</v>
      </c>
      <c r="R24" s="13"/>
      <c r="S24" s="13" t="s">
        <v>1406</v>
      </c>
      <c r="T24" s="10" cm="1">
        <f t="array" ref="T24">IF(ROW()=ROW($T$3)+1,0,INDEX($T:$T,ROW()-1))+IF($A24="",0,1)</f>
        <v>21</v>
      </c>
      <c r="U24" s="14" t="b">
        <f ca="1">OR(CheckRelevance(SanitizeInput(F24),Questionnaire!$I:$I),IFERROR(_xlfn.XMATCH("*,"&amp;$A24&amp;",*",Countermeasures!$AG:$AG,2)&gt;0,FALSE))</f>
        <v>1</v>
      </c>
      <c r="V24" s="14" t="b">
        <f>IFERROR(_xlfn.XMATCH("*,"&amp;$A24&amp;",*",Mitigation!$X:$X,2)&gt;0,FALSE)</f>
        <v>0</v>
      </c>
      <c r="W24" s="14" cm="1">
        <f t="array" ref="W24">CreateTaskID($W$3,$W:$W,Tasks!$B$17,$S24)</f>
        <v>0</v>
      </c>
      <c r="X24" s="14" t="str" cm="1">
        <f t="array" ca="1" aca="1" ref="X24">IF(OR($G24="",NOT($U24)),"",","&amp;SanitizeInput($G24))</f>
        <v>,AS22,</v>
      </c>
      <c r="Y24" s="14" t="str" cm="1">
        <f t="array" ref="Y24">IF($G24="","",","&amp;SanitizeInput($G24))</f>
        <v>,AS22,</v>
      </c>
      <c r="Z24" s="20">
        <f>IF(K24="",0,VLOOKUP(K24,Definitions!$Z:$AA,COLUMNS(Definitions!$Z:$AA),FALSE))</f>
        <v>0</v>
      </c>
      <c r="AA24" s="20">
        <f>IF(L24="",0,VLOOKUP(L24,Definitions!$Z:$AA,COLUMNS(Definitions!$Z:$AA),FALSE))</f>
        <v>0</v>
      </c>
      <c r="AB24" s="20">
        <f>IF(M24="",0,VLOOKUP(M24,Definitions!$Z:$AA,COLUMNS(Definitions!$Z:$AA),FALSE))</f>
        <v>0</v>
      </c>
      <c r="AC24" s="20">
        <f>IF(N24="",0,VLOOKUP(N24,Definitions!$Z:$AA,COLUMNS(Definitions!$Z:$AA),FALSE))</f>
        <v>0</v>
      </c>
      <c r="AD24" s="20">
        <f>IF(O24="",0,VLOOKUP(O24,Definitions!$Z:$AA,COLUMNS(Definitions!$Z:$AA),FALSE))</f>
        <v>0</v>
      </c>
      <c r="AE24" s="20">
        <f t="shared" ca="1" si="0"/>
        <v>0</v>
      </c>
      <c r="AF24" s="20" t="str" cm="1">
        <f t="array" ref="AF24">SUBSTITUTE(IF($V24,IF($I24="","",","&amp;SanitizeInput($I24)),""),"&gt;",",")</f>
        <v/>
      </c>
      <c r="AG24" s="20" cm="1">
        <f t="array" ca="1" aca="1" ref="AG24">IF(ROW()=ROW($AG$3)+1,0,INDEX($AG:$AG,ROW()-1))+IF(OR($U24,$V24),1,0)</f>
        <v>10</v>
      </c>
      <c r="AH24" s="20" t="str" cm="1">
        <f t="array" ca="1" aca="1" ref="AH24">IF(OR($U24,$V24),IF($Q24="","",","&amp;SanitizeInput($Q24)),"")</f>
        <v/>
      </c>
      <c r="AI24" s="20" t="str">
        <f t="shared" si="1"/>
        <v>SDR 2.7 - Scope for customer-based attacks [acontis techonlogies GmbH]</v>
      </c>
      <c r="AJ24" s="20" t="str" cm="1">
        <f t="array" ref="AJ24">IF($F24="*","",InverseLookupList(SanitizeInput($F24),Questionnaire!$AA$3,Questionnaire!$A$3,Helper!$B$12,","))</f>
        <v/>
      </c>
      <c r="AK24" s="20" t="str" cm="1">
        <f t="array" ref="AK24">RemoveDelimiter(GetValues($AJ24,Questionnaire!$A:$G," ",CHAR(10)&amp;CHAR(10),TRUE),CHAR(10)&amp;CHAR(10))</f>
        <v/>
      </c>
      <c r="AL24" s="20" t="str" cm="1">
        <f t="array" ref="AL24">CreateSearchString($AJ24)</f>
        <v/>
      </c>
      <c r="AM24" s="20" t="str" cm="1">
        <f t="array" ca="1" aca="1" ref="AM24">InverseLookup($A24,Mitigation!$AD$2,Mitigation!$A$2,1,Helper!$B$5,",")</f>
        <v/>
      </c>
      <c r="AN24" s="20" t="str" cm="1">
        <f t="array" ca="1" aca="1" ref="AN24">CreateSearchString(GetValues($AM24,'Attack Steps'!$A:$O,"",",",FALSE))</f>
        <v/>
      </c>
      <c r="AO24" s="20" t="str">
        <f t="shared" si="2"/>
        <v>A21</v>
      </c>
    </row>
    <row r="25" spans="1:41" ht="204.75">
      <c r="A25" s="10" t="s">
        <v>612</v>
      </c>
      <c r="B25" s="13" t="s">
        <v>1605</v>
      </c>
      <c r="C25" s="13" t="s">
        <v>613</v>
      </c>
      <c r="D25" s="13" t="s">
        <v>1607</v>
      </c>
      <c r="E25" s="13" t="str">
        <f>Definitions!$C$4</f>
        <v>acontis techonlogies GmbH</v>
      </c>
      <c r="F25" s="13"/>
      <c r="G25" s="13" t="s">
        <v>610</v>
      </c>
      <c r="H25" s="33" t="str" cm="1">
        <f t="array" ca="1" aca="1" ref="H25">LookupNames(SanitizeInput($G25),'Attack Steps'!$A:$B)</f>
        <v>AS29 Brute-forcing the authentication mechanism over IP</v>
      </c>
      <c r="I25" s="13" t="s">
        <v>467</v>
      </c>
      <c r="J25" s="37" t="str" cm="1">
        <f t="array" ca="1" aca="1" ref="J25">IF($I25="","",SUBSTITUTE(SUBSTITUTE(SUBSTITUTE(SUBSTITUTE(SUBSTITUTE(SUBSTITUTE(SUBSTITUTE(SUBSTITUTE(SUBSTITUTE(GetTransformation(SanitizeInput($I25),'Damage Scenarios'!$A:$J,COLUMNS('Damage Scenarios'!$A:$J),CHAR(10),"[#0][#1][#2]")&amp;"§","[#1][#2]",""),"[#2]",""),"[#0][#1]","[#1]"),"[#0]","Removes:"&amp;CHAR(10)),"[#1]","Transforms:"&amp;CHAR(10)),CHAR(10)&amp;"§",""),"§",""),CHAR(10),CHAR(10)&amp;"   "),"   "&amp;"Transforms:","Transforms:"))</f>
        <v xml:space="preserve">Removes:
   DS1 
   DS2 
   DS4 
   DS5 
   DS6 Life-threatening injury caused by unavailable product
   DS7 Critical environmental damage caused by unavailable product
   DS8 Loss of Critical financial damage caused by unavailable product
   DS9 
   DS10 Life-threatening injury caused by manipulated product
   DS11 Personal data (ruinous)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
   DS16 </v>
      </c>
      <c r="K25" s="13"/>
      <c r="L25" s="13"/>
      <c r="M25" s="13"/>
      <c r="N25" s="13"/>
      <c r="O25" s="13"/>
      <c r="P25" s="33" t="str">
        <f ca="1">IF($A25="","",IFERROR(VLOOKUP($AE25,Definitions!$V:$W,COLUMNS(Definitions!$V:$W),TRUE),""))</f>
        <v>Basic</v>
      </c>
      <c r="Q25" s="13" t="s">
        <v>62</v>
      </c>
      <c r="R25" s="13"/>
      <c r="S25" s="13" t="s">
        <v>614</v>
      </c>
      <c r="T25" s="10" cm="1">
        <f t="array" ref="T25">IF(ROW()=ROW($T$3)+1,0,INDEX($T:$T,ROW()-1))+IF($A25="",0,1)</f>
        <v>22</v>
      </c>
      <c r="U25" s="20" t="b">
        <f ca="1">OR(CheckRelevance(SanitizeInput(F25),Questionnaire!$I:$I),IFERROR(_xlfn.XMATCH("*,"&amp;$A25&amp;",*",Countermeasures!$AG:$AG,2)&gt;0,FALSE))</f>
        <v>0</v>
      </c>
      <c r="V25" s="20" t="b">
        <f>IFERROR(_xlfn.XMATCH("*,"&amp;$A25&amp;",*",Mitigation!$X:$X,2)&gt;0,FALSE)</f>
        <v>0</v>
      </c>
      <c r="W25" s="20" cm="1">
        <f t="array" ref="W25">CreateTaskID($W$3,$W:$W,Tasks!$B$17,$S25)</f>
        <v>0</v>
      </c>
      <c r="X25" s="20" t="str" cm="1">
        <f t="array" ca="1" aca="1" ref="X25">IF(OR($G25="",NOT($U25)),"",","&amp;SanitizeInput($G25))</f>
        <v/>
      </c>
      <c r="Y25" s="20" t="str" cm="1">
        <f t="array" ref="Y25">IF($G25="","",","&amp;SanitizeInput($G25))</f>
        <v>,AS29,</v>
      </c>
      <c r="Z25" s="20">
        <f>IF(K25="",0,VLOOKUP(K25,Definitions!$Z:$AA,COLUMNS(Definitions!$Z:$AA),FALSE))</f>
        <v>0</v>
      </c>
      <c r="AA25" s="20">
        <f>IF(L25="",0,VLOOKUP(L25,Definitions!$Z:$AA,COLUMNS(Definitions!$Z:$AA),FALSE))</f>
        <v>0</v>
      </c>
      <c r="AB25" s="20">
        <f>IF(M25="",0,VLOOKUP(M25,Definitions!$Z:$AA,COLUMNS(Definitions!$Z:$AA),FALSE))</f>
        <v>0</v>
      </c>
      <c r="AC25" s="20">
        <f>IF(N25="",0,VLOOKUP(N25,Definitions!$Z:$AA,COLUMNS(Definitions!$Z:$AA),FALSE))</f>
        <v>0</v>
      </c>
      <c r="AD25" s="20">
        <f>IF(O25="",0,VLOOKUP(O25,Definitions!$Z:$AA,COLUMNS(Definitions!$Z:$AA),FALSE))</f>
        <v>0</v>
      </c>
      <c r="AE25" s="20">
        <f t="shared" ca="1" si="0"/>
        <v>0</v>
      </c>
      <c r="AF25" s="20" t="str" cm="1">
        <f t="array" ref="AF25">SUBSTITUTE(IF($V25,IF($I25="","",","&amp;SanitizeInput($I25)),""),"&gt;",",")</f>
        <v/>
      </c>
      <c r="AG25" s="20" cm="1">
        <f t="array" ca="1" aca="1" ref="AG25">IF(ROW()=ROW($AG$3)+1,0,INDEX($AG:$AG,ROW()-1))+IF(OR($U25,$V25),1,0)</f>
        <v>10</v>
      </c>
      <c r="AH25" s="20" t="str" cm="1">
        <f t="array" ca="1" aca="1" ref="AH25">IF(OR($U25,$V25),IF($Q25="","",","&amp;SanitizeInput($Q25)),"")</f>
        <v/>
      </c>
      <c r="AI25" s="20" t="str">
        <f t="shared" si="1"/>
        <v>SDR 2.8 - No authentication over the IP stack possible [acontis techonlogies GmbH]</v>
      </c>
      <c r="AJ25" s="20" t="str" cm="1">
        <f t="array" ref="AJ25">IF($F25="*","",InverseLookupList(SanitizeInput($F25),Questionnaire!$AA$3,Questionnaire!$A$3,Helper!$B$12,","))</f>
        <v/>
      </c>
      <c r="AK25" s="20" t="str" cm="1">
        <f t="array" ref="AK25">RemoveDelimiter(GetValues($AJ25,Questionnaire!$A:$G," ",CHAR(10)&amp;CHAR(10),TRUE),CHAR(10)&amp;CHAR(10))</f>
        <v/>
      </c>
      <c r="AL25" s="20" t="str" cm="1">
        <f t="array" ref="AL25">CreateSearchString($AJ25)</f>
        <v/>
      </c>
      <c r="AM25" s="20" t="str" cm="1">
        <f t="array" ca="1" aca="1" ref="AM25">InverseLookup($A25,Mitigation!$AD$2,Mitigation!$A$2,1,Helper!$B$5,",")</f>
        <v/>
      </c>
      <c r="AN25" s="20" t="str" cm="1">
        <f t="array" ca="1" aca="1" ref="AN25">CreateSearchString(GetValues($AM25,'Attack Steps'!$A:$O,"",",",FALSE))</f>
        <v/>
      </c>
      <c r="AO25" s="20" t="str">
        <f t="shared" si="2"/>
        <v>A22</v>
      </c>
    </row>
    <row r="26" spans="1:41" ht="45">
      <c r="A26" s="10" t="s">
        <v>772</v>
      </c>
      <c r="B26" s="13" t="s">
        <v>1606</v>
      </c>
      <c r="C26" s="13" t="s">
        <v>773</v>
      </c>
      <c r="D26" s="13" t="s">
        <v>1608</v>
      </c>
      <c r="E26" s="13" t="str">
        <f>Definitions!$C$4</f>
        <v>acontis techonlogies GmbH</v>
      </c>
      <c r="F26" s="13" t="s">
        <v>1051</v>
      </c>
      <c r="G26" s="13"/>
      <c r="H26" s="33" t="str" cm="1">
        <f t="array" ref="H26">LookupNames(SanitizeInput($G26),'Attack Steps'!$A:$B)</f>
        <v/>
      </c>
      <c r="I26" s="13"/>
      <c r="J26" s="37" t="str" cm="1">
        <f t="array" ref="J26">IF($I26="","",SUBSTITUTE(SUBSTITUTE(SUBSTITUTE(SUBSTITUTE(SUBSTITUTE(SUBSTITUTE(SUBSTITUTE(SUBSTITUTE(SUBSTITUTE(GetTransformation(SanitizeInput($I26),'Damage Scenarios'!$A:$J,COLUMNS('Damage Scenarios'!$A:$J),CHAR(10),"[#0][#1][#2]")&amp;"§","[#1][#2]",""),"[#2]",""),"[#0][#1]","[#1]"),"[#0]","Removes:"&amp;CHAR(10)),"[#1]","Transforms:"&amp;CHAR(10)),CHAR(10)&amp;"§",""),"§",""),CHAR(10),CHAR(10)&amp;"   "),"   "&amp;"Transforms:","Transforms:"))</f>
        <v/>
      </c>
      <c r="K26" s="13"/>
      <c r="L26" s="13"/>
      <c r="M26" s="13"/>
      <c r="N26" s="13"/>
      <c r="O26" s="13"/>
      <c r="P26" s="33" t="str">
        <f ca="1">IF($A26="","",IFERROR(VLOOKUP($AE26,Definitions!$V:$W,COLUMNS(Definitions!$V:$W),TRUE),""))</f>
        <v>Basic</v>
      </c>
      <c r="Q26" s="13" t="s">
        <v>62</v>
      </c>
      <c r="R26" s="13"/>
      <c r="S26" s="13"/>
      <c r="T26" s="10" cm="1">
        <f t="array" ref="T26">IF(ROW()=ROW($T$3)+1,0,INDEX($T:$T,ROW()-1))+IF($A26="",0,1)</f>
        <v>23</v>
      </c>
      <c r="U26" s="20" t="b">
        <f ca="1">OR(CheckRelevance(SanitizeInput(F26),Questionnaire!$I:$I),IFERROR(_xlfn.XMATCH("*,"&amp;$A26&amp;",*",Countermeasures!$AG:$AG,2)&gt;0,FALSE))</f>
        <v>0</v>
      </c>
      <c r="V26" s="20" t="b">
        <f>IFERROR(_xlfn.XMATCH("*,"&amp;$A26&amp;",*",Mitigation!$X:$X,2)&gt;0,FALSE)</f>
        <v>0</v>
      </c>
      <c r="W26" s="20" cm="1">
        <f t="array" ref="W26">CreateTaskID($W$3,$W:$W,Tasks!$B$17,$S26)</f>
        <v>0</v>
      </c>
      <c r="X26" s="20" t="str" cm="1">
        <f t="array" ca="1" aca="1" ref="X26">IF(OR($G26="",NOT($U26)),"",","&amp;SanitizeInput($G26))</f>
        <v/>
      </c>
      <c r="Y26" s="20" t="str" cm="1">
        <f t="array" ref="Y26">IF($G26="","",","&amp;SanitizeInput($G26))</f>
        <v/>
      </c>
      <c r="Z26" s="20">
        <f>IF(K26="",0,VLOOKUP(K26,Definitions!$Z:$AA,COLUMNS(Definitions!$Z:$AA),FALSE))</f>
        <v>0</v>
      </c>
      <c r="AA26" s="20">
        <f>IF(L26="",0,VLOOKUP(L26,Definitions!$Z:$AA,COLUMNS(Definitions!$Z:$AA),FALSE))</f>
        <v>0</v>
      </c>
      <c r="AB26" s="20">
        <f>IF(M26="",0,VLOOKUP(M26,Definitions!$Z:$AA,COLUMNS(Definitions!$Z:$AA),FALSE))</f>
        <v>0</v>
      </c>
      <c r="AC26" s="20">
        <f>IF(N26="",0,VLOOKUP(N26,Definitions!$Z:$AA,COLUMNS(Definitions!$Z:$AA),FALSE))</f>
        <v>0</v>
      </c>
      <c r="AD26" s="20">
        <f>IF(O26="",0,VLOOKUP(O26,Definitions!$Z:$AA,COLUMNS(Definitions!$Z:$AA),FALSE))</f>
        <v>0</v>
      </c>
      <c r="AE26" s="20">
        <f t="shared" ca="1" si="0"/>
        <v>0</v>
      </c>
      <c r="AF26" s="20" t="str" cm="1">
        <f t="array" ref="AF26">SUBSTITUTE(IF($V26,IF($I26="","",","&amp;SanitizeInput($I26)),""),"&gt;",",")</f>
        <v/>
      </c>
      <c r="AG26" s="20" cm="1">
        <f t="array" ca="1" aca="1" ref="AG26">IF(ROW()=ROW($AG$3)+1,0,INDEX($AG:$AG,ROW()-1))+IF(OR($U26,$V26),1,0)</f>
        <v>10</v>
      </c>
      <c r="AH26" s="20" t="str" cm="1">
        <f t="array" ca="1" aca="1" ref="AH26">IF(OR($U26,$V26),IF($Q26="","",","&amp;SanitizeInput($Q26)),"")</f>
        <v/>
      </c>
      <c r="AI26" s="20" t="str">
        <f t="shared" si="1"/>
        <v>SDR 2.9 - No configuration interface required [acontis techonlogies GmbH]</v>
      </c>
      <c r="AJ26" s="20" t="str" cm="1">
        <f t="array" ca="1" aca="1" ref="AJ26">IF($F26="*","",InverseLookupList(SanitizeInput($F26),Questionnaire!$AA$3,Questionnaire!$A$3,Helper!$B$12,","))</f>
        <v/>
      </c>
      <c r="AK26" s="20" t="str" cm="1">
        <f t="array" ca="1" aca="1" ref="AK26">RemoveDelimiter(GetValues($AJ26,Questionnaire!$A:$G," ",CHAR(10)&amp;CHAR(10),TRUE),CHAR(10)&amp;CHAR(10))</f>
        <v/>
      </c>
      <c r="AL26" s="20" t="str" cm="1">
        <f t="array" ca="1" aca="1" ref="AL26">CreateSearchString($AJ26)</f>
        <v/>
      </c>
      <c r="AM26" s="20" t="str" cm="1">
        <f t="array" ca="1" aca="1" ref="AM26">InverseLookup($A26,Mitigation!$AD$2,Mitigation!$A$2,1,Helper!$B$5,",")</f>
        <v/>
      </c>
      <c r="AN26" s="20" t="str" cm="1">
        <f t="array" ca="1" aca="1" ref="AN26">CreateSearchString(GetValues($AM26,'Attack Steps'!$A:$O,"",",",FALSE))</f>
        <v/>
      </c>
      <c r="AO26" s="20" t="str">
        <f t="shared" si="2"/>
        <v>A23</v>
      </c>
    </row>
    <row r="27" spans="1:41" ht="45">
      <c r="A27" s="10" t="s">
        <v>942</v>
      </c>
      <c r="B27" s="13" t="s">
        <v>1577</v>
      </c>
      <c r="C27" s="13" t="s">
        <v>943</v>
      </c>
      <c r="D27" s="13" t="s">
        <v>1578</v>
      </c>
      <c r="E27" s="13" t="s">
        <v>372</v>
      </c>
      <c r="F27" s="13" t="s">
        <v>1094</v>
      </c>
      <c r="G27" s="13"/>
      <c r="H27" s="33" t="str" cm="1">
        <f t="array" ref="H27">LookupNames(SanitizeInput($G27),'Attack Steps'!$A:$B)</f>
        <v/>
      </c>
      <c r="I27" s="13"/>
      <c r="J27" s="37" t="str" cm="1">
        <f t="array" ref="J27">IF($I27="","",SUBSTITUTE(SUBSTITUTE(SUBSTITUTE(SUBSTITUTE(SUBSTITUTE(SUBSTITUTE(SUBSTITUTE(SUBSTITUTE(SUBSTITUTE(GetTransformation(SanitizeInput($I27),'Damage Scenarios'!$A:$J,COLUMNS('Damage Scenarios'!$A:$J),CHAR(10),"[#0][#1][#2]")&amp;"§","[#1][#2]",""),"[#2]",""),"[#0][#1]","[#1]"),"[#0]","Removes:"&amp;CHAR(10)),"[#1]","Transforms:"&amp;CHAR(10)),CHAR(10)&amp;"§",""),"§",""),CHAR(10),CHAR(10)&amp;"   "),"   "&amp;"Transforms:","Transforms:"))</f>
        <v/>
      </c>
      <c r="K27" s="13"/>
      <c r="L27" s="13"/>
      <c r="M27" s="13"/>
      <c r="N27" s="13"/>
      <c r="O27" s="13"/>
      <c r="P27" s="33" t="str">
        <f ca="1">IF($A27="","",IFERROR(VLOOKUP($AE27,Definitions!$V:$W,COLUMNS(Definitions!$V:$W),TRUE),""))</f>
        <v>Basic</v>
      </c>
      <c r="Q27" s="13" t="s">
        <v>608</v>
      </c>
      <c r="R27" s="13"/>
      <c r="S27" s="13"/>
      <c r="T27" s="10" cm="1">
        <f t="array" ref="T27">IF(ROW()=ROW($T$3)+1,0,INDEX($T:$T,ROW()-1))+IF($A27="",0,1)</f>
        <v>24</v>
      </c>
      <c r="U27" s="20" t="b">
        <f ca="1">OR(CheckRelevance(SanitizeInput(F27),Questionnaire!$I:$I),IFERROR(_xlfn.XMATCH("*,"&amp;$A27&amp;",*",Countermeasures!$AG:$AG,2)&gt;0,FALSE))</f>
        <v>1</v>
      </c>
      <c r="V27" s="20" t="b">
        <f>IFERROR(_xlfn.XMATCH("*,"&amp;$A27&amp;",*",Mitigation!$X:$X,2)&gt;0,FALSE)</f>
        <v>0</v>
      </c>
      <c r="W27" s="20" cm="1">
        <f t="array" ref="W27">CreateTaskID($W$3,$W:$W,Tasks!$B$17,$S27)</f>
        <v>0</v>
      </c>
      <c r="X27" s="20" t="str" cm="1">
        <f t="array" ca="1" aca="1" ref="X27">IF(OR($G27="",NOT($U27)),"",","&amp;SanitizeInput($G27))</f>
        <v/>
      </c>
      <c r="Y27" s="20" t="str" cm="1">
        <f t="array" ref="Y27">IF($G27="","",","&amp;SanitizeInput($G27))</f>
        <v/>
      </c>
      <c r="Z27" s="20">
        <f>IF(K27="",0,VLOOKUP(K27,Definitions!$Z:$AA,COLUMNS(Definitions!$Z:$AA),FALSE))</f>
        <v>0</v>
      </c>
      <c r="AA27" s="20">
        <f>IF(L27="",0,VLOOKUP(L27,Definitions!$Z:$AA,COLUMNS(Definitions!$Z:$AA),FALSE))</f>
        <v>0</v>
      </c>
      <c r="AB27" s="20">
        <f>IF(M27="",0,VLOOKUP(M27,Definitions!$Z:$AA,COLUMNS(Definitions!$Z:$AA),FALSE))</f>
        <v>0</v>
      </c>
      <c r="AC27" s="20">
        <f>IF(N27="",0,VLOOKUP(N27,Definitions!$Z:$AA,COLUMNS(Definitions!$Z:$AA),FALSE))</f>
        <v>0</v>
      </c>
      <c r="AD27" s="20">
        <f>IF(O27="",0,VLOOKUP(O27,Definitions!$Z:$AA,COLUMNS(Definitions!$Z:$AA),FALSE))</f>
        <v>0</v>
      </c>
      <c r="AE27" s="20">
        <f t="shared" ca="1" si="0"/>
        <v>0</v>
      </c>
      <c r="AF27" s="20" t="str" cm="1">
        <f t="array" ref="AF27">SUBSTITUTE(IF($V27,IF($I27="","",","&amp;SanitizeInput($I27)),""),"&gt;",",")</f>
        <v/>
      </c>
      <c r="AG27" s="20" cm="1">
        <f t="array" ca="1" aca="1" ref="AG27">IF(ROW()=ROW($AG$3)+1,0,INDEX($AG:$AG,ROW()-1))+IF(OR($U27,$V27),1,0)</f>
        <v>11</v>
      </c>
      <c r="AH27" s="20" t="str" cm="1">
        <f t="array" ca="1" aca="1" ref="AH27">IF(OR($U27,$V27),IF($Q27="","",","&amp;SanitizeInput($Q27)),"")</f>
        <v>,e,</v>
      </c>
      <c r="AI27" s="20" t="str">
        <f t="shared" si="1"/>
        <v>SDR 1.21 - Product not storing secrets [Customer]</v>
      </c>
      <c r="AJ27" s="20" t="str" cm="1">
        <f t="array" ca="1" aca="1" ref="AJ27">IF($F27="*","",InverseLookupList(SanitizeInput($F27),Questionnaire!$AA$3,Questionnaire!$A$3,Helper!$B$12,","))</f>
        <v>QI5,</v>
      </c>
      <c r="AK27" s="20" t="str" cm="1">
        <f t="array" ca="1" aca="1" ref="AK27">RemoveDelimiter(GetValues($AJ27,Questionnaire!$A:$G," ",CHAR(10)&amp;CHAR(10),TRUE),CHAR(10)&amp;CHAR(10))</f>
        <v>QI5 Again, the EC-Master stack just transports data but does not process nor store data. The data is opauqe for the EC-Master stack. TLS excluded in this answer.</v>
      </c>
      <c r="AL27" s="20" t="str" cm="1">
        <f t="array" ca="1" aca="1" ref="AL27">CreateSearchString($AJ27)</f>
        <v>,QI5,</v>
      </c>
      <c r="AM27" s="20" t="str" cm="1">
        <f t="array" ca="1" aca="1" ref="AM27">InverseLookup($A27,Mitigation!$AD$2,Mitigation!$A$2,1,Helper!$B$5,",")</f>
        <v/>
      </c>
      <c r="AN27" s="20" t="str" cm="1">
        <f t="array" ca="1" aca="1" ref="AN27">CreateSearchString(GetValues($AM27,'Attack Steps'!$A:$O,"",",",FALSE))</f>
        <v/>
      </c>
      <c r="AO27" s="20" t="str">
        <f t="shared" si="2"/>
        <v>A24</v>
      </c>
    </row>
    <row r="28" spans="1:41" ht="72.75">
      <c r="A28" s="10" t="s">
        <v>974</v>
      </c>
      <c r="B28" s="13" t="s">
        <v>1579</v>
      </c>
      <c r="C28" s="13" t="s">
        <v>975</v>
      </c>
      <c r="D28" s="13" t="s">
        <v>1584</v>
      </c>
      <c r="E28" s="13" t="s">
        <v>372</v>
      </c>
      <c r="F28" s="13"/>
      <c r="G28" s="13" t="s">
        <v>971</v>
      </c>
      <c r="H28" s="33" t="str" cm="1">
        <f t="array" ca="1" aca="1" ref="H28">LookupNames(SanitizeInput($G28),'Attack Steps'!$A:$B)</f>
        <v>AS33 Disclosure of data by an untrusted entity receiving data from the product</v>
      </c>
      <c r="I28" s="13" t="s">
        <v>976</v>
      </c>
      <c r="J28" s="37" t="str" cm="1">
        <f t="array" ca="1" aca="1" ref="J28">IF($I28="","",SUBSTITUTE(SUBSTITUTE(SUBSTITUTE(SUBSTITUTE(SUBSTITUTE(SUBSTITUTE(SUBSTITUTE(SUBSTITUTE(SUBSTITUTE(GetTransformation(SanitizeInput($I28),'Damage Scenarios'!$A:$J,COLUMNS('Damage Scenarios'!$A:$J),CHAR(10),"[#0][#1][#2]")&amp;"§","[#1][#2]",""),"[#2]",""),"[#0][#1]","[#1]"),"[#0]","Removes:"&amp;CHAR(10)),"[#1]","Transforms:"&amp;CHAR(10)),CHAR(10)&amp;"§",""),"§",""),CHAR(10),CHAR(10)&amp;"   "),"   "&amp;"Transforms:","Transforms:"))</f>
        <v xml:space="preserve">Removes:
   DS1 
   DS2 
   DS3 Disclosure of acontis techonlogies GmbH IP (moderately innovative)
   DS4 
   DS5 </v>
      </c>
      <c r="K28" s="13"/>
      <c r="L28" s="13"/>
      <c r="M28" s="13"/>
      <c r="N28" s="13"/>
      <c r="O28" s="13"/>
      <c r="P28" s="33" t="str">
        <f ca="1">IF($A28="","",IFERROR(VLOOKUP($AE28,Definitions!$V:$W,COLUMNS(Definitions!$V:$W),TRUE),""))</f>
        <v>Basic</v>
      </c>
      <c r="Q28" s="13" t="s">
        <v>62</v>
      </c>
      <c r="R28" s="13"/>
      <c r="S28" s="13" t="s">
        <v>1028</v>
      </c>
      <c r="T28" s="10" cm="1">
        <f t="array" ref="T28">IF(ROW()=ROW($T$3)+1,0,INDEX($T:$T,ROW()-1))+IF($A28="",0,1)</f>
        <v>25</v>
      </c>
      <c r="U28" s="20" t="b">
        <f ca="1">OR(CheckRelevance(SanitizeInput(F28),Questionnaire!$I:$I),IFERROR(_xlfn.XMATCH("*,"&amp;$A28&amp;",*",Countermeasures!$AG:$AG,2)&gt;0,FALSE))</f>
        <v>0</v>
      </c>
      <c r="V28" s="20" t="b">
        <f>IFERROR(_xlfn.XMATCH("*,"&amp;$A28&amp;",*",Mitigation!$X:$X,2)&gt;0,FALSE)</f>
        <v>0</v>
      </c>
      <c r="W28" s="20" cm="1">
        <f t="array" ref="W28">CreateTaskID($W$3,$W:$W,Tasks!$B$17,$S28)</f>
        <v>0</v>
      </c>
      <c r="X28" s="20" t="str" cm="1">
        <f t="array" ca="1" aca="1" ref="X28">IF(OR($G28="",NOT($U28)),"",","&amp;SanitizeInput($G28))</f>
        <v/>
      </c>
      <c r="Y28" s="20" t="str" cm="1">
        <f t="array" ref="Y28">IF($G28="","",","&amp;SanitizeInput($G28))</f>
        <v>,AS33,</v>
      </c>
      <c r="Z28" s="20">
        <f>IF(K28="",0,VLOOKUP(K28,Definitions!$Z:$AA,COLUMNS(Definitions!$Z:$AA),FALSE))</f>
        <v>0</v>
      </c>
      <c r="AA28" s="20">
        <f>IF(L28="",0,VLOOKUP(L28,Definitions!$Z:$AA,COLUMNS(Definitions!$Z:$AA),FALSE))</f>
        <v>0</v>
      </c>
      <c r="AB28" s="20">
        <f>IF(M28="",0,VLOOKUP(M28,Definitions!$Z:$AA,COLUMNS(Definitions!$Z:$AA),FALSE))</f>
        <v>0</v>
      </c>
      <c r="AC28" s="20">
        <f>IF(N28="",0,VLOOKUP(N28,Definitions!$Z:$AA,COLUMNS(Definitions!$Z:$AA),FALSE))</f>
        <v>0</v>
      </c>
      <c r="AD28" s="20">
        <f>IF(O28="",0,VLOOKUP(O28,Definitions!$Z:$AA,COLUMNS(Definitions!$Z:$AA),FALSE))</f>
        <v>0</v>
      </c>
      <c r="AE28" s="20">
        <f t="shared" ca="1" si="0"/>
        <v>0</v>
      </c>
      <c r="AF28" s="20" t="str" cm="1">
        <f t="array" ref="AF28">SUBSTITUTE(IF($V28,IF($I28="","",","&amp;SanitizeInput($I28)),""),"&gt;",",")</f>
        <v/>
      </c>
      <c r="AG28" s="20" cm="1">
        <f t="array" ca="1" aca="1" ref="AG28">IF(ROW()=ROW($AG$3)+1,0,INDEX($AG:$AG,ROW()-1))+IF(OR($U28,$V28),1,0)</f>
        <v>11</v>
      </c>
      <c r="AH28" s="20" t="str" cm="1">
        <f t="array" ca="1" aca="1" ref="AH28">IF(OR($U28,$V28),IF($Q28="","",","&amp;SanitizeInput($Q28)),"")</f>
        <v/>
      </c>
      <c r="AI28" s="20" t="str">
        <f t="shared" si="1"/>
        <v>SDR 1.22 - The product does not communicate any confidential data to an external communication partner [Customer]</v>
      </c>
      <c r="AJ28" s="20" t="str" cm="1">
        <f t="array" ref="AJ28">IF($F28="*","",InverseLookupList(SanitizeInput($F28),Questionnaire!$AA$3,Questionnaire!$A$3,Helper!$B$12,","))</f>
        <v/>
      </c>
      <c r="AK28" s="20" t="str" cm="1">
        <f t="array" ref="AK28">RemoveDelimiter(GetValues($AJ28,Questionnaire!$A:$G," ",CHAR(10)&amp;CHAR(10),TRUE),CHAR(10)&amp;CHAR(10))</f>
        <v/>
      </c>
      <c r="AL28" s="20" t="str" cm="1">
        <f t="array" ref="AL28">CreateSearchString($AJ28)</f>
        <v/>
      </c>
      <c r="AM28" s="20" t="str" cm="1">
        <f t="array" ca="1" aca="1" ref="AM28">InverseLookup($A28,Mitigation!$AD$2,Mitigation!$A$2,1,Helper!$B$5,",")</f>
        <v/>
      </c>
      <c r="AN28" s="20" t="str" cm="1">
        <f t="array" ca="1" aca="1" ref="AN28">CreateSearchString(GetValues($AM28,'Attack Steps'!$A:$O,"",",",FALSE))</f>
        <v/>
      </c>
      <c r="AO28" s="20" t="str">
        <f t="shared" si="2"/>
        <v>A25</v>
      </c>
    </row>
    <row r="29" spans="1:41" ht="75">
      <c r="A29" s="10" t="s">
        <v>987</v>
      </c>
      <c r="B29" s="13" t="s">
        <v>1580</v>
      </c>
      <c r="C29" s="13" t="str">
        <f>"As the product does not send any sensitive data (i.e., data that must be confidential or authentic) to an external communication partner, attacks on external communication partners via the link to the "&amp;Definitions!$C$4&amp;" product are not in scope for the analysis."</f>
        <v>As the product does not send any sensitive data (i.e., data that must be confidential or authentic) to an external communication partner, attacks on external communication partners via the link to the acontis techonlogies GmbH product are not in scope for the analysis.</v>
      </c>
      <c r="D29" s="13" t="s">
        <v>1780</v>
      </c>
      <c r="E29" s="13" t="str">
        <f>Definitions!$C$4</f>
        <v>acontis techonlogies GmbH</v>
      </c>
      <c r="F29" s="13"/>
      <c r="G29" s="13" t="s">
        <v>985</v>
      </c>
      <c r="H29" s="33" t="str" cm="1">
        <f t="array" ca="1" aca="1" ref="H29">LookupNames(SanitizeInput($G29),'Attack Steps'!$A:$B)</f>
        <v>AS34 Attacking the product's outgoing communication to an external communication partner over the Internet or a mobile network</v>
      </c>
      <c r="I29" s="13"/>
      <c r="J29" s="37" t="str" cm="1">
        <f t="array" ref="J29">IF($I29="","",SUBSTITUTE(SUBSTITUTE(SUBSTITUTE(SUBSTITUTE(SUBSTITUTE(SUBSTITUTE(SUBSTITUTE(SUBSTITUTE(SUBSTITUTE(GetTransformation(SanitizeInput($I29),'Damage Scenarios'!$A:$J,COLUMNS('Damage Scenarios'!$A:$J),CHAR(10),"[#0][#1][#2]")&amp;"§","[#1][#2]",""),"[#2]",""),"[#0][#1]","[#1]"),"[#0]","Removes:"&amp;CHAR(10)),"[#1]","Transforms:"&amp;CHAR(10)),CHAR(10)&amp;"§",""),"§",""),CHAR(10),CHAR(10)&amp;"   "),"   "&amp;"Transforms:","Transforms:"))</f>
        <v/>
      </c>
      <c r="K29" s="13"/>
      <c r="L29" s="13"/>
      <c r="M29" s="13"/>
      <c r="N29" s="13" t="s">
        <v>151</v>
      </c>
      <c r="O29" s="13"/>
      <c r="P29" s="33" t="str">
        <f ca="1">IF($A29="","",IFERROR(VLOOKUP($AE29,Definitions!$V:$W,COLUMNS(Definitions!$V:$W),TRUE),""))</f>
        <v>Beyond High</v>
      </c>
      <c r="Q29" s="13" t="s">
        <v>62</v>
      </c>
      <c r="R29" s="13"/>
      <c r="S29" s="13" t="s">
        <v>1024</v>
      </c>
      <c r="T29" s="10" cm="1">
        <f t="array" ref="T29">IF(ROW()=ROW($T$3)+1,0,INDEX($T:$T,ROW()-1))+IF($A29="",0,1)</f>
        <v>26</v>
      </c>
      <c r="U29" s="20" t="b">
        <f ca="1">OR(CheckRelevance(SanitizeInput(F29),Questionnaire!$I:$I),IFERROR(_xlfn.XMATCH("*,"&amp;$A29&amp;",*",Countermeasures!$AG:$AG,2)&gt;0,FALSE))</f>
        <v>0</v>
      </c>
      <c r="V29" s="20" t="b">
        <f>IFERROR(_xlfn.XMATCH("*,"&amp;$A29&amp;",*",Mitigation!$X:$X,2)&gt;0,FALSE)</f>
        <v>0</v>
      </c>
      <c r="W29" s="20" cm="1">
        <f t="array" ref="W29">CreateTaskID($W$3,$W:$W,Tasks!$B$17,$S29)</f>
        <v>0</v>
      </c>
      <c r="X29" s="20" t="str" cm="1">
        <f t="array" ca="1" aca="1" ref="X29">IF(OR($G29="",NOT($U29)),"",","&amp;SanitizeInput($G29))</f>
        <v/>
      </c>
      <c r="Y29" s="20" t="str" cm="1">
        <f t="array" ref="Y29">IF($G29="","",","&amp;SanitizeInput($G29))</f>
        <v>,AS34,</v>
      </c>
      <c r="Z29" s="20">
        <f>IF(K29="",0,VLOOKUP(K29,Definitions!$Z:$AA,COLUMNS(Definitions!$Z:$AA),FALSE))</f>
        <v>0</v>
      </c>
      <c r="AA29" s="20">
        <f>IF(L29="",0,VLOOKUP(L29,Definitions!$Z:$AA,COLUMNS(Definitions!$Z:$AA),FALSE))</f>
        <v>0</v>
      </c>
      <c r="AB29" s="20">
        <f>IF(M29="",0,VLOOKUP(M29,Definitions!$Z:$AA,COLUMNS(Definitions!$Z:$AA),FALSE))</f>
        <v>0</v>
      </c>
      <c r="AC29" s="20">
        <f>IF(N29="",0,VLOOKUP(N29,Definitions!$Z:$AA,COLUMNS(Definitions!$Z:$AA),FALSE))</f>
        <v>25</v>
      </c>
      <c r="AD29" s="20">
        <f>IF(O29="",0,VLOOKUP(O29,Definitions!$Z:$AA,COLUMNS(Definitions!$Z:$AA),FALSE))</f>
        <v>0</v>
      </c>
      <c r="AE29" s="20">
        <f t="shared" ca="1" si="0"/>
        <v>25</v>
      </c>
      <c r="AF29" s="20" t="str" cm="1">
        <f t="array" ref="AF29">SUBSTITUTE(IF($V29,IF($I29="","",","&amp;SanitizeInput($I29)),""),"&gt;",",")</f>
        <v/>
      </c>
      <c r="AG29" s="20" cm="1">
        <f t="array" ca="1" aca="1" ref="AG29">IF(ROW()=ROW($AG$3)+1,0,INDEX($AG:$AG,ROW()-1))+IF(OR($U29,$V29),1,0)</f>
        <v>11</v>
      </c>
      <c r="AH29" s="20" t="str" cm="1">
        <f t="array" ca="1" aca="1" ref="AH29">IF(OR($U29,$V29),IF($Q29="","",","&amp;SanitizeInput($Q29)),"")</f>
        <v/>
      </c>
      <c r="AI29" s="20" t="str">
        <f t="shared" si="1"/>
        <v>SDR 1.23 - The product does not send any sensitive data to external communication partners over the Internet or a mobile network [acontis techonlogies GmbH]</v>
      </c>
      <c r="AJ29" s="20" t="str" cm="1">
        <f t="array" ref="AJ29">IF($F29="*","",InverseLookupList(SanitizeInput($F29),Questionnaire!$AA$3,Questionnaire!$A$3,Helper!$B$12,","))</f>
        <v/>
      </c>
      <c r="AK29" s="20" t="str" cm="1">
        <f t="array" ref="AK29">RemoveDelimiter(GetValues($AJ29,Questionnaire!$A:$G," ",CHAR(10)&amp;CHAR(10),TRUE),CHAR(10)&amp;CHAR(10))</f>
        <v/>
      </c>
      <c r="AL29" s="20" t="str" cm="1">
        <f t="array" ref="AL29">CreateSearchString($AJ29)</f>
        <v/>
      </c>
      <c r="AM29" s="20" t="str" cm="1">
        <f t="array" ca="1" aca="1" ref="AM29">InverseLookup($A29,Mitigation!$AD$2,Mitigation!$A$2,1,Helper!$B$5,",")</f>
        <v/>
      </c>
      <c r="AN29" s="20" t="str" cm="1">
        <f t="array" ca="1" aca="1" ref="AN29">CreateSearchString(GetValues($AM29,'Attack Steps'!$A:$O,"",",",FALSE))</f>
        <v/>
      </c>
      <c r="AO29" s="20" t="str">
        <f t="shared" si="2"/>
        <v>A26</v>
      </c>
    </row>
    <row r="30" spans="1:41" ht="75">
      <c r="A30" s="10" t="s">
        <v>988</v>
      </c>
      <c r="B30" s="13" t="s">
        <v>1581</v>
      </c>
      <c r="C30" s="13" t="s">
        <v>1147</v>
      </c>
      <c r="D30" s="13" t="s">
        <v>1585</v>
      </c>
      <c r="E30" s="13" t="str">
        <f>Definitions!$C$4</f>
        <v>acontis techonlogies GmbH</v>
      </c>
      <c r="F30" s="13"/>
      <c r="G30" s="13" t="s">
        <v>1008</v>
      </c>
      <c r="H30" s="33" t="str" cm="1">
        <f t="array" ca="1" aca="1" ref="H30">LookupNames(SanitizeInput($G30),'Attack Steps'!$A:$B)</f>
        <v>AS36 Attacking the product's incoming communication from the Internet or a mobile network</v>
      </c>
      <c r="I30" s="13"/>
      <c r="J30" s="37" t="str" cm="1">
        <f t="array" ref="J30">IF($I30="","",SUBSTITUTE(SUBSTITUTE(SUBSTITUTE(SUBSTITUTE(SUBSTITUTE(SUBSTITUTE(SUBSTITUTE(SUBSTITUTE(SUBSTITUTE(GetTransformation(SanitizeInput($I30),'Damage Scenarios'!$A:$J,COLUMNS('Damage Scenarios'!$A:$J),CHAR(10),"[#0][#1][#2]")&amp;"§","[#1][#2]",""),"[#2]",""),"[#0][#1]","[#1]"),"[#0]","Removes:"&amp;CHAR(10)),"[#1]","Transforms:"&amp;CHAR(10)),CHAR(10)&amp;"§",""),"§",""),CHAR(10),CHAR(10)&amp;"   "),"   "&amp;"Transforms:","Transforms:"))</f>
        <v/>
      </c>
      <c r="K30" s="13"/>
      <c r="L30" s="13"/>
      <c r="M30" s="13"/>
      <c r="N30" s="13" t="s">
        <v>151</v>
      </c>
      <c r="O30" s="13"/>
      <c r="P30" s="33" t="str">
        <f ca="1">IF($A30="","",IFERROR(VLOOKUP($AE30,Definitions!$V:$W,COLUMNS(Definitions!$V:$W),TRUE),""))</f>
        <v>Beyond High</v>
      </c>
      <c r="Q30" s="13" t="s">
        <v>62</v>
      </c>
      <c r="R30" s="13"/>
      <c r="S30" s="13" t="s">
        <v>1148</v>
      </c>
      <c r="T30" s="10" cm="1">
        <f t="array" ref="T30">IF(ROW()=ROW($T$3)+1,0,INDEX($T:$T,ROW()-1))+IF($A30="",0,1)</f>
        <v>27</v>
      </c>
      <c r="U30" s="20" t="b">
        <f ca="1">OR(CheckRelevance(SanitizeInput(F30),Questionnaire!$I:$I),IFERROR(_xlfn.XMATCH("*,"&amp;$A30&amp;",*",Countermeasures!$AG:$AG,2)&gt;0,FALSE))</f>
        <v>0</v>
      </c>
      <c r="V30" s="20" t="b">
        <f>IFERROR(_xlfn.XMATCH("*,"&amp;$A30&amp;",*",Mitigation!$X:$X,2)&gt;0,FALSE)</f>
        <v>0</v>
      </c>
      <c r="W30" s="20" cm="1">
        <f t="array" ref="W30">CreateTaskID($W$3,$W:$W,Tasks!$B$17,$S30)</f>
        <v>0</v>
      </c>
      <c r="X30" s="20" t="str" cm="1">
        <f t="array" ca="1" aca="1" ref="X30">IF(OR($G30="",NOT($U30)),"",","&amp;SanitizeInput($G30))</f>
        <v/>
      </c>
      <c r="Y30" s="20" t="str" cm="1">
        <f t="array" ref="Y30">IF($G30="","",","&amp;SanitizeInput($G30))</f>
        <v>,AS36,</v>
      </c>
      <c r="Z30" s="20">
        <f>IF(K30="",0,VLOOKUP(K30,Definitions!$Z:$AA,COLUMNS(Definitions!$Z:$AA),FALSE))</f>
        <v>0</v>
      </c>
      <c r="AA30" s="20">
        <f>IF(L30="",0,VLOOKUP(L30,Definitions!$Z:$AA,COLUMNS(Definitions!$Z:$AA),FALSE))</f>
        <v>0</v>
      </c>
      <c r="AB30" s="20">
        <f>IF(M30="",0,VLOOKUP(M30,Definitions!$Z:$AA,COLUMNS(Definitions!$Z:$AA),FALSE))</f>
        <v>0</v>
      </c>
      <c r="AC30" s="20">
        <f>IF(N30="",0,VLOOKUP(N30,Definitions!$Z:$AA,COLUMNS(Definitions!$Z:$AA),FALSE))</f>
        <v>25</v>
      </c>
      <c r="AD30" s="20">
        <f>IF(O30="",0,VLOOKUP(O30,Definitions!$Z:$AA,COLUMNS(Definitions!$Z:$AA),FALSE))</f>
        <v>0</v>
      </c>
      <c r="AE30" s="20">
        <f t="shared" ca="1" si="0"/>
        <v>25</v>
      </c>
      <c r="AF30" s="20" t="str" cm="1">
        <f t="array" ref="AF30">SUBSTITUTE(IF($V30,IF($I30="","",","&amp;SanitizeInput($I30)),""),"&gt;",",")</f>
        <v/>
      </c>
      <c r="AG30" s="20" cm="1">
        <f t="array" ca="1" aca="1" ref="AG30">IF(ROW()=ROW($AG$3)+1,0,INDEX($AG:$AG,ROW()-1))+IF(OR($U30,$V30),1,0)</f>
        <v>11</v>
      </c>
      <c r="AH30" s="20" t="str" cm="1">
        <f t="array" ca="1" aca="1" ref="AH30">IF(OR($U30,$V30),IF($Q30="","",","&amp;SanitizeInput($Q30)),"")</f>
        <v/>
      </c>
      <c r="AI30" s="20" t="str">
        <f t="shared" si="1"/>
        <v>SDR 1.24 - The product does not receive any sensitive data (except updates / configuration / debug communication) from external communication partners over the Internet or a mobile network [acontis techonlogies GmbH]</v>
      </c>
      <c r="AJ30" s="20" t="str" cm="1">
        <f t="array" ref="AJ30">IF($F30="*","",InverseLookupList(SanitizeInput($F30),Questionnaire!$AA$3,Questionnaire!$A$3,Helper!$B$12,","))</f>
        <v/>
      </c>
      <c r="AK30" s="20" t="str" cm="1">
        <f t="array" ref="AK30">RemoveDelimiter(GetValues($AJ30,Questionnaire!$A:$G," ",CHAR(10)&amp;CHAR(10),TRUE),CHAR(10)&amp;CHAR(10))</f>
        <v/>
      </c>
      <c r="AL30" s="20" t="str" cm="1">
        <f t="array" ref="AL30">CreateSearchString($AJ30)</f>
        <v/>
      </c>
      <c r="AM30" s="20" t="str" cm="1">
        <f t="array" ca="1" aca="1" ref="AM30">InverseLookup($A30,Mitigation!$AD$2,Mitigation!$A$2,1,Helper!$B$5,",")</f>
        <v/>
      </c>
      <c r="AN30" s="20" t="str" cm="1">
        <f t="array" ca="1" aca="1" ref="AN30">CreateSearchString(GetValues($AM30,'Attack Steps'!$A:$O,"",",",FALSE))</f>
        <v/>
      </c>
      <c r="AO30" s="20" t="str">
        <f t="shared" si="2"/>
        <v>A27</v>
      </c>
    </row>
    <row r="31" spans="1:41" ht="60">
      <c r="A31" s="10" t="s">
        <v>992</v>
      </c>
      <c r="B31" s="13" t="s">
        <v>1582</v>
      </c>
      <c r="C31" s="13" t="s">
        <v>997</v>
      </c>
      <c r="D31" s="13" t="s">
        <v>1586</v>
      </c>
      <c r="E31" s="13" t="s">
        <v>372</v>
      </c>
      <c r="F31" s="13"/>
      <c r="G31" s="13" t="s">
        <v>111</v>
      </c>
      <c r="H31" s="33" t="str" cm="1">
        <f t="array" ca="1" aca="1" ref="H31">LookupNames(SanitizeInput($G31),'Attack Steps'!$A:$B)</f>
        <v>AS5 Eavesdropping on the product's communication</v>
      </c>
      <c r="I31" s="13" t="s">
        <v>162</v>
      </c>
      <c r="J31" s="37" t="str" cm="1">
        <f t="array" ca="1" aca="1" ref="J31">IF($I31="","",SUBSTITUTE(SUBSTITUTE(SUBSTITUTE(SUBSTITUTE(SUBSTITUTE(SUBSTITUTE(SUBSTITUTE(SUBSTITUTE(SUBSTITUTE(GetTransformation(SanitizeInput($I31),'Damage Scenarios'!$A:$J,COLUMNS('Damage Scenarios'!$A:$J),CHAR(10),"[#0][#1][#2]")&amp;"§","[#1][#2]",""),"[#2]",""),"[#0][#1]","[#1]"),"[#0]","Removes:"&amp;CHAR(10)),"[#1]","Transforms:"&amp;CHAR(10)),CHAR(10)&amp;"§",""),"§",""),CHAR(10),CHAR(10)&amp;"   "),"   "&amp;"Transforms:","Transforms:"))</f>
        <v xml:space="preserve">Removes:
   DS5 </v>
      </c>
      <c r="K31" s="13"/>
      <c r="L31" s="13"/>
      <c r="M31" s="13"/>
      <c r="N31" s="13"/>
      <c r="O31" s="13"/>
      <c r="P31" s="33" t="str">
        <f ca="1">IF($A31="","",IFERROR(VLOOKUP($AE31,Definitions!$V:$W,COLUMNS(Definitions!$V:$W),TRUE),""))</f>
        <v>Basic</v>
      </c>
      <c r="Q31" s="13" t="s">
        <v>608</v>
      </c>
      <c r="R31" s="13"/>
      <c r="S31" s="13" t="s">
        <v>1029</v>
      </c>
      <c r="T31" s="10" cm="1">
        <f t="array" ref="T31">IF(ROW()=ROW($T$3)+1,0,INDEX($T:$T,ROW()-1))+IF($A31="",0,1)</f>
        <v>28</v>
      </c>
      <c r="U31" s="20" t="b">
        <f ca="1">OR(CheckRelevance(SanitizeInput(F31),Questionnaire!$I:$I),IFERROR(_xlfn.XMATCH("*,"&amp;$A31&amp;",*",Countermeasures!$AG:$AG,2)&gt;0,FALSE))</f>
        <v>0</v>
      </c>
      <c r="V31" s="20" t="b">
        <f>IFERROR(_xlfn.XMATCH("*,"&amp;$A31&amp;",*",Mitigation!$X:$X,2)&gt;0,FALSE)</f>
        <v>0</v>
      </c>
      <c r="W31" s="20" cm="1">
        <f t="array" ref="W31">CreateTaskID($W$3,$W:$W,Tasks!$B$17,$S31)</f>
        <v>0</v>
      </c>
      <c r="X31" s="20" t="str" cm="1">
        <f t="array" ca="1" aca="1" ref="X31">IF(OR($G31="",NOT($U31)),"",","&amp;SanitizeInput($G31))</f>
        <v/>
      </c>
      <c r="Y31" s="20" t="str" cm="1">
        <f t="array" ref="Y31">IF($G31="","",","&amp;SanitizeInput($G31))</f>
        <v>,AS5,</v>
      </c>
      <c r="Z31" s="20">
        <f>IF(K31="",0,VLOOKUP(K31,Definitions!$Z:$AA,COLUMNS(Definitions!$Z:$AA),FALSE))</f>
        <v>0</v>
      </c>
      <c r="AA31" s="20">
        <f>IF(L31="",0,VLOOKUP(L31,Definitions!$Z:$AA,COLUMNS(Definitions!$Z:$AA),FALSE))</f>
        <v>0</v>
      </c>
      <c r="AB31" s="20">
        <f>IF(M31="",0,VLOOKUP(M31,Definitions!$Z:$AA,COLUMNS(Definitions!$Z:$AA),FALSE))</f>
        <v>0</v>
      </c>
      <c r="AC31" s="20">
        <f>IF(N31="",0,VLOOKUP(N31,Definitions!$Z:$AA,COLUMNS(Definitions!$Z:$AA),FALSE))</f>
        <v>0</v>
      </c>
      <c r="AD31" s="20">
        <f>IF(O31="",0,VLOOKUP(O31,Definitions!$Z:$AA,COLUMNS(Definitions!$Z:$AA),FALSE))</f>
        <v>0</v>
      </c>
      <c r="AE31" s="20">
        <f t="shared" ca="1" si="0"/>
        <v>0</v>
      </c>
      <c r="AF31" s="20" t="str" cm="1">
        <f t="array" ref="AF31">SUBSTITUTE(IF($V31,IF($I31="","",","&amp;SanitizeInput($I31)),""),"&gt;",",")</f>
        <v/>
      </c>
      <c r="AG31" s="20" cm="1">
        <f t="array" ca="1" aca="1" ref="AG31">IF(ROW()=ROW($AG$3)+1,0,INDEX($AG:$AG,ROW()-1))+IF(OR($U31,$V31),1,0)</f>
        <v>11</v>
      </c>
      <c r="AH31" s="20" t="str" cm="1">
        <f t="array" ca="1" aca="1" ref="AH31">IF(OR($U31,$V31),IF($Q31="","",","&amp;SanitizeInput($Q31)),"")</f>
        <v/>
      </c>
      <c r="AI31" s="20" t="str">
        <f t="shared" si="1"/>
        <v>SDR 1.25 - The product does not transmit confidential cryptographic material (such as passwords) [Customer]</v>
      </c>
      <c r="AJ31" s="20" t="str" cm="1">
        <f t="array" ref="AJ31">IF($F31="*","",InverseLookupList(SanitizeInput($F31),Questionnaire!$AA$3,Questionnaire!$A$3,Helper!$B$12,","))</f>
        <v/>
      </c>
      <c r="AK31" s="20" t="str" cm="1">
        <f t="array" ref="AK31">RemoveDelimiter(GetValues($AJ31,Questionnaire!$A:$G," ",CHAR(10)&amp;CHAR(10),TRUE),CHAR(10)&amp;CHAR(10))</f>
        <v/>
      </c>
      <c r="AL31" s="20" t="str" cm="1">
        <f t="array" ref="AL31">CreateSearchString($AJ31)</f>
        <v/>
      </c>
      <c r="AM31" s="20" t="str" cm="1">
        <f t="array" ca="1" aca="1" ref="AM31">InverseLookup($A31,Mitigation!$AD$2,Mitigation!$A$2,1,Helper!$B$5,",")</f>
        <v/>
      </c>
      <c r="AN31" s="20" t="str" cm="1">
        <f t="array" ca="1" aca="1" ref="AN31">CreateSearchString(GetValues($AM31,'Attack Steps'!$A:$O,"",",",FALSE))</f>
        <v/>
      </c>
      <c r="AO31" s="20" t="str">
        <f t="shared" si="2"/>
        <v>A28</v>
      </c>
    </row>
    <row r="32" spans="1:41" ht="75">
      <c r="A32" s="10" t="s">
        <v>995</v>
      </c>
      <c r="B32" s="13" t="s">
        <v>1583</v>
      </c>
      <c r="C32" s="13" t="s">
        <v>996</v>
      </c>
      <c r="D32" s="13" t="s">
        <v>1587</v>
      </c>
      <c r="E32" s="13" t="s">
        <v>372</v>
      </c>
      <c r="F32" s="13"/>
      <c r="G32" s="13" t="s">
        <v>118</v>
      </c>
      <c r="H32" s="33" t="str" cm="1">
        <f t="array" ca="1" aca="1" ref="H32">LookupNames(SanitizeInput($G32),'Attack Steps'!$A:$B)</f>
        <v>AS8 Disrupting the product's communication over the wireless network</v>
      </c>
      <c r="I32" s="13" t="s">
        <v>998</v>
      </c>
      <c r="J32" s="37" t="str" cm="1">
        <f t="array" ca="1" aca="1" ref="J32">IF($I32="","",SUBSTITUTE(SUBSTITUTE(SUBSTITUTE(SUBSTITUTE(SUBSTITUTE(SUBSTITUTE(SUBSTITUTE(SUBSTITUTE(SUBSTITUTE(GetTransformation(SanitizeInput($I32),'Damage Scenarios'!$A:$J,COLUMNS('Damage Scenarios'!$A:$J),CHAR(10),"[#0][#1][#2]")&amp;"§","[#1][#2]",""),"[#2]",""),"[#0][#1]","[#1]"),"[#0]","Removes:"&amp;CHAR(10)),"[#1]","Transforms:"&amp;CHAR(10)),CHAR(10)&amp;"§",""),"§",""),CHAR(10),CHAR(10)&amp;"   "),"   "&amp;"Transforms:","Transforms:"))</f>
        <v xml:space="preserve">Removes:
   DS7 Critical environmental damage caused by unavailable product
   DS9 </v>
      </c>
      <c r="K32" s="13"/>
      <c r="L32" s="13"/>
      <c r="M32" s="13"/>
      <c r="N32" s="13"/>
      <c r="O32" s="13"/>
      <c r="P32" s="33" t="str">
        <f ca="1">IF($A32="","",IFERROR(VLOOKUP($AE32,Definitions!$V:$W,COLUMNS(Definitions!$V:$W),TRUE),""))</f>
        <v>Basic</v>
      </c>
      <c r="Q32" s="13" t="s">
        <v>606</v>
      </c>
      <c r="R32" s="13"/>
      <c r="S32" s="13" t="s">
        <v>1030</v>
      </c>
      <c r="T32" s="10" cm="1">
        <f t="array" ref="T32">IF(ROW()=ROW($T$3)+1,0,INDEX($T:$T,ROW()-1))+IF($A32="",0,1)</f>
        <v>29</v>
      </c>
      <c r="U32" s="20" t="b">
        <f ca="1">OR(CheckRelevance(SanitizeInput(F32),Questionnaire!$I:$I),IFERROR(_xlfn.XMATCH("*,"&amp;$A32&amp;",*",Countermeasures!$AG:$AG,2)&gt;0,FALSE))</f>
        <v>0</v>
      </c>
      <c r="V32" s="20" t="b">
        <f>IFERROR(_xlfn.XMATCH("*,"&amp;$A32&amp;",*",Mitigation!$X:$X,2)&gt;0,FALSE)</f>
        <v>0</v>
      </c>
      <c r="W32" s="20" cm="1">
        <f t="array" ref="W32">CreateTaskID($W$3,$W:$W,Tasks!$B$17,$S32)</f>
        <v>0</v>
      </c>
      <c r="X32" s="20" t="str" cm="1">
        <f t="array" ca="1" aca="1" ref="X32">IF(OR($G32="",NOT($U32)),"",","&amp;SanitizeInput($G32))</f>
        <v/>
      </c>
      <c r="Y32" s="20" t="str" cm="1">
        <f t="array" ref="Y32">IF($G32="","",","&amp;SanitizeInput($G32))</f>
        <v>,AS8,</v>
      </c>
      <c r="Z32" s="20">
        <f>IF(K32="",0,VLOOKUP(K32,Definitions!$Z:$AA,COLUMNS(Definitions!$Z:$AA),FALSE))</f>
        <v>0</v>
      </c>
      <c r="AA32" s="20">
        <f>IF(L32="",0,VLOOKUP(L32,Definitions!$Z:$AA,COLUMNS(Definitions!$Z:$AA),FALSE))</f>
        <v>0</v>
      </c>
      <c r="AB32" s="20">
        <f>IF(M32="",0,VLOOKUP(M32,Definitions!$Z:$AA,COLUMNS(Definitions!$Z:$AA),FALSE))</f>
        <v>0</v>
      </c>
      <c r="AC32" s="20">
        <f>IF(N32="",0,VLOOKUP(N32,Definitions!$Z:$AA,COLUMNS(Definitions!$Z:$AA),FALSE))</f>
        <v>0</v>
      </c>
      <c r="AD32" s="20">
        <f>IF(O32="",0,VLOOKUP(O32,Definitions!$Z:$AA,COLUMNS(Definitions!$Z:$AA),FALSE))</f>
        <v>0</v>
      </c>
      <c r="AE32" s="20">
        <f t="shared" ca="1" si="0"/>
        <v>0</v>
      </c>
      <c r="AF32" s="20" t="str" cm="1">
        <f t="array" ref="AF32">SUBSTITUTE(IF($V32,IF($I32="","",","&amp;SanitizeInput($I32)),""),"&gt;",",")</f>
        <v/>
      </c>
      <c r="AG32" s="20" cm="1">
        <f t="array" ca="1" aca="1" ref="AG32">IF(ROW()=ROW($AG$3)+1,0,INDEX($AG:$AG,ROW()-1))+IF(OR($U32,$V32),1,0)</f>
        <v>11</v>
      </c>
      <c r="AH32" s="20" t="str" cm="1">
        <f t="array" ca="1" aca="1" ref="AH32">IF(OR($U32,$V32),IF($Q32="","",","&amp;SanitizeInput($Q32)),"")</f>
        <v/>
      </c>
      <c r="AI32" s="20" t="str">
        <f t="shared" si="1"/>
        <v>SDR 1.26 - The customer ensures that a loss of wireless communication with the product is manageable [Customer]</v>
      </c>
      <c r="AJ32" s="20" t="str" cm="1">
        <f t="array" ref="AJ32">IF($F32="*","",InverseLookupList(SanitizeInput($F32),Questionnaire!$AA$3,Questionnaire!$A$3,Helper!$B$12,","))</f>
        <v/>
      </c>
      <c r="AK32" s="20" t="str" cm="1">
        <f t="array" ref="AK32">RemoveDelimiter(GetValues($AJ32,Questionnaire!$A:$G," ",CHAR(10)&amp;CHAR(10),TRUE),CHAR(10)&amp;CHAR(10))</f>
        <v/>
      </c>
      <c r="AL32" s="20" t="str" cm="1">
        <f t="array" ref="AL32">CreateSearchString($AJ32)</f>
        <v/>
      </c>
      <c r="AM32" s="20" t="str" cm="1">
        <f t="array" ca="1" aca="1" ref="AM32">InverseLookup($A32,Mitigation!$AD$2,Mitigation!$A$2,1,Helper!$B$5,",")</f>
        <v/>
      </c>
      <c r="AN32" s="20" t="str" cm="1">
        <f t="array" ca="1" aca="1" ref="AN32">CreateSearchString(GetValues($AM32,'Attack Steps'!$A:$O,"",",",FALSE))</f>
        <v/>
      </c>
      <c r="AO32" s="20" t="str">
        <f t="shared" si="2"/>
        <v>A29</v>
      </c>
    </row>
    <row r="33" spans="1:41" ht="60">
      <c r="A33" s="10" t="s">
        <v>1001</v>
      </c>
      <c r="B33" s="13" t="s">
        <v>1574</v>
      </c>
      <c r="C33" s="13" t="s">
        <v>1002</v>
      </c>
      <c r="D33" s="13" t="s">
        <v>1575</v>
      </c>
      <c r="E33" s="13" t="s">
        <v>373</v>
      </c>
      <c r="F33" s="13" t="s">
        <v>418</v>
      </c>
      <c r="G33" s="13"/>
      <c r="H33" s="33" t="str" cm="1">
        <f t="array" ref="H33">LookupNames(SanitizeInput($G33),'Attack Steps'!$A:$B)</f>
        <v/>
      </c>
      <c r="I33" s="13"/>
      <c r="J33" s="37" t="str" cm="1">
        <f t="array" ref="J33">IF($I33="","",SUBSTITUTE(SUBSTITUTE(SUBSTITUTE(SUBSTITUTE(SUBSTITUTE(SUBSTITUTE(SUBSTITUTE(SUBSTITUTE(SUBSTITUTE(GetTransformation(SanitizeInput($I33),'Damage Scenarios'!$A:$J,COLUMNS('Damage Scenarios'!$A:$J),CHAR(10),"[#0][#1][#2]")&amp;"§","[#1][#2]",""),"[#2]",""),"[#0][#1]","[#1]"),"[#0]","Removes:"&amp;CHAR(10)),"[#1]","Transforms:"&amp;CHAR(10)),CHAR(10)&amp;"§",""),"§",""),CHAR(10),CHAR(10)&amp;"   "),"   "&amp;"Transforms:","Transforms:"))</f>
        <v/>
      </c>
      <c r="K33" s="13"/>
      <c r="L33" s="13"/>
      <c r="M33" s="13"/>
      <c r="N33" s="13"/>
      <c r="O33" s="13"/>
      <c r="P33" s="33" t="str">
        <f ca="1">IF($A33="","",IFERROR(VLOOKUP($AE33,Definitions!$V:$W,COLUMNS(Definitions!$V:$W),TRUE),""))</f>
        <v>Basic</v>
      </c>
      <c r="Q33" s="13" t="s">
        <v>62</v>
      </c>
      <c r="R33" s="13"/>
      <c r="S33" s="13" t="s">
        <v>1003</v>
      </c>
      <c r="T33" s="10" cm="1">
        <f t="array" ref="T33">IF(ROW()=ROW($T$3)+1,0,INDEX($T:$T,ROW()-1))+IF($A33="",0,1)</f>
        <v>30</v>
      </c>
      <c r="U33" s="20" t="b">
        <f ca="1">OR(CheckRelevance(SanitizeInput(F33),Questionnaire!$I:$I),IFERROR(_xlfn.XMATCH("*,"&amp;$A33&amp;",*",Countermeasures!$AG:$AG,2)&gt;0,FALSE))</f>
        <v>1</v>
      </c>
      <c r="V33" s="20" t="b">
        <f>IFERROR(_xlfn.XMATCH("*,"&amp;$A33&amp;",*",Mitigation!$X:$X,2)&gt;0,FALSE)</f>
        <v>0</v>
      </c>
      <c r="W33" s="20" cm="1">
        <f t="array" ref="W33">CreateTaskID($W$3,$W:$W,Tasks!$B$17,$S33)</f>
        <v>0</v>
      </c>
      <c r="X33" s="20" t="str" cm="1">
        <f t="array" ca="1" aca="1" ref="X33">IF(OR($G33="",NOT($U33)),"",","&amp;SanitizeInput($G33))</f>
        <v/>
      </c>
      <c r="Y33" s="20" t="str" cm="1">
        <f t="array" ref="Y33">IF($G33="","",","&amp;SanitizeInput($G33))</f>
        <v/>
      </c>
      <c r="Z33" s="20">
        <f>IF(K33="",0,VLOOKUP(K33,Definitions!$Z:$AA,COLUMNS(Definitions!$Z:$AA),FALSE))</f>
        <v>0</v>
      </c>
      <c r="AA33" s="20">
        <f>IF(L33="",0,VLOOKUP(L33,Definitions!$Z:$AA,COLUMNS(Definitions!$Z:$AA),FALSE))</f>
        <v>0</v>
      </c>
      <c r="AB33" s="20">
        <f>IF(M33="",0,VLOOKUP(M33,Definitions!$Z:$AA,COLUMNS(Definitions!$Z:$AA),FALSE))</f>
        <v>0</v>
      </c>
      <c r="AC33" s="20">
        <f>IF(N33="",0,VLOOKUP(N33,Definitions!$Z:$AA,COLUMNS(Definitions!$Z:$AA),FALSE))</f>
        <v>0</v>
      </c>
      <c r="AD33" s="20">
        <f>IF(O33="",0,VLOOKUP(O33,Definitions!$Z:$AA,COLUMNS(Definitions!$Z:$AA),FALSE))</f>
        <v>0</v>
      </c>
      <c r="AE33" s="20">
        <f t="shared" ca="1" si="0"/>
        <v>0</v>
      </c>
      <c r="AF33" s="20" t="str" cm="1">
        <f t="array" ref="AF33">SUBSTITUTE(IF($V33,IF($I33="","",","&amp;SanitizeInput($I33)),""),"&gt;",",")</f>
        <v/>
      </c>
      <c r="AG33" s="20" cm="1">
        <f t="array" ca="1" aca="1" ref="AG33">IF(ROW()=ROW($AG$3)+1,0,INDEX($AG:$AG,ROW()-1))+IF(OR($U33,$V33),1,0)</f>
        <v>12</v>
      </c>
      <c r="AH33" s="20" t="str" cm="1">
        <f t="array" ca="1" aca="1" ref="AH33">IF(OR($U33,$V33),IF($Q33="","",","&amp;SanitizeInput($Q33)),"")</f>
        <v/>
      </c>
      <c r="AI33" s="20" t="str">
        <f t="shared" si="1"/>
        <v>SDR 1.19 - Physical destruction [Other (see comment)]</v>
      </c>
      <c r="AJ33" s="20" t="str" cm="1">
        <f t="array" ref="AJ33">IF($F33="*","",InverseLookupList(SanitizeInput($F33),Questionnaire!$AA$3,Questionnaire!$A$3,Helper!$B$12,","))</f>
        <v/>
      </c>
      <c r="AK33" s="20" t="str" cm="1">
        <f t="array" ref="AK33">RemoveDelimiter(GetValues($AJ33,Questionnaire!$A:$G," ",CHAR(10)&amp;CHAR(10),TRUE),CHAR(10)&amp;CHAR(10))</f>
        <v/>
      </c>
      <c r="AL33" s="20" t="str" cm="1">
        <f t="array" ref="AL33">CreateSearchString($AJ33)</f>
        <v/>
      </c>
      <c r="AM33" s="20" t="str" cm="1">
        <f t="array" ca="1" aca="1" ref="AM33">InverseLookup($A33,Mitigation!$AD$2,Mitigation!$A$2,1,Helper!$B$5,",")</f>
        <v/>
      </c>
      <c r="AN33" s="20" t="str" cm="1">
        <f t="array" ca="1" aca="1" ref="AN33">CreateSearchString(GetValues($AM33,'Attack Steps'!$A:$O,"",",",FALSE))</f>
        <v/>
      </c>
      <c r="AO33" s="20" t="str">
        <f t="shared" si="2"/>
        <v>A30</v>
      </c>
    </row>
    <row r="34" spans="1:41" ht="75">
      <c r="A34" s="10" t="s">
        <v>1005</v>
      </c>
      <c r="B34" s="13" t="s">
        <v>1673</v>
      </c>
      <c r="C34" s="13" t="s">
        <v>1641</v>
      </c>
      <c r="D34" s="13"/>
      <c r="E34" s="13" t="s">
        <v>372</v>
      </c>
      <c r="F34" s="13" t="s">
        <v>1640</v>
      </c>
      <c r="G34" s="13"/>
      <c r="H34" s="33" t="str" cm="1">
        <f t="array" ref="H34">LookupNames(SanitizeInput($G34),'Attack Steps'!$A:$B)</f>
        <v/>
      </c>
      <c r="I34" s="13"/>
      <c r="J34" s="37" t="str" cm="1">
        <f t="array" ref="J34">IF($I34="","",SUBSTITUTE(SUBSTITUTE(SUBSTITUTE(SUBSTITUTE(SUBSTITUTE(SUBSTITUTE(SUBSTITUTE(SUBSTITUTE(SUBSTITUTE(GetTransformation(SanitizeInput($I34),'Damage Scenarios'!$A:$J,COLUMNS('Damage Scenarios'!$A:$J),CHAR(10),"[#0][#1][#2]")&amp;"§","[#1][#2]",""),"[#2]",""),"[#0][#1]","[#1]"),"[#0]","Removes:"&amp;CHAR(10)),"[#1]","Transforms:"&amp;CHAR(10)),CHAR(10)&amp;"§",""),"§",""),CHAR(10),CHAR(10)&amp;"   "),"   "&amp;"Transforms:","Transforms:"))</f>
        <v/>
      </c>
      <c r="K34" s="13"/>
      <c r="L34" s="13"/>
      <c r="M34" s="13"/>
      <c r="N34" s="13"/>
      <c r="O34" s="13"/>
      <c r="P34" s="33" t="str">
        <f ca="1">IF($A34="","",IFERROR(VLOOKUP($AE34,Definitions!$V:$W,COLUMNS(Definitions!$V:$W),TRUE),""))</f>
        <v>Basic</v>
      </c>
      <c r="Q34" s="13" t="s">
        <v>606</v>
      </c>
      <c r="R34" s="13"/>
      <c r="S34" s="13"/>
      <c r="T34" s="10" cm="1">
        <f t="array" ref="T34">IF(ROW()=ROW($T$3)+1,0,INDEX($T:$T,ROW()-1))+IF($A34="",0,1)</f>
        <v>31</v>
      </c>
      <c r="U34" s="20" t="b">
        <f ca="1">OR(CheckRelevance(SanitizeInput(F34),Questionnaire!$I:$I),IFERROR(_xlfn.XMATCH("*,"&amp;$A34&amp;",*",Countermeasures!$AG:$AG,2)&gt;0,FALSE))</f>
        <v>1</v>
      </c>
      <c r="V34" s="20" t="b">
        <f>IFERROR(_xlfn.XMATCH("*,"&amp;$A34&amp;",*",Mitigation!$X:$X,2)&gt;0,FALSE)</f>
        <v>0</v>
      </c>
      <c r="W34" s="20" cm="1">
        <f t="array" ref="W34">CreateTaskID($W$3,$W:$W,Tasks!$B$17,$S34)</f>
        <v>0</v>
      </c>
      <c r="X34" s="20" t="str" cm="1">
        <f t="array" ca="1" aca="1" ref="X34">IF(OR($G34="",NOT($U34)),"",","&amp;SanitizeInput($G34))</f>
        <v/>
      </c>
      <c r="Y34" s="20" t="str" cm="1">
        <f t="array" ref="Y34">IF($G34="","",","&amp;SanitizeInput($G34))</f>
        <v/>
      </c>
      <c r="Z34" s="20">
        <f>IF(K34="",0,VLOOKUP(K34,Definitions!$Z:$AA,COLUMNS(Definitions!$Z:$AA),FALSE))</f>
        <v>0</v>
      </c>
      <c r="AA34" s="20">
        <f>IF(L34="",0,VLOOKUP(L34,Definitions!$Z:$AA,COLUMNS(Definitions!$Z:$AA),FALSE))</f>
        <v>0</v>
      </c>
      <c r="AB34" s="20">
        <f>IF(M34="",0,VLOOKUP(M34,Definitions!$Z:$AA,COLUMNS(Definitions!$Z:$AA),FALSE))</f>
        <v>0</v>
      </c>
      <c r="AC34" s="20">
        <f>IF(N34="",0,VLOOKUP(N34,Definitions!$Z:$AA,COLUMNS(Definitions!$Z:$AA),FALSE))</f>
        <v>0</v>
      </c>
      <c r="AD34" s="20">
        <f>IF(O34="",0,VLOOKUP(O34,Definitions!$Z:$AA,COLUMNS(Definitions!$Z:$AA),FALSE))</f>
        <v>0</v>
      </c>
      <c r="AE34" s="20">
        <f t="shared" ca="1" si="0"/>
        <v>0</v>
      </c>
      <c r="AF34" s="20" t="str" cm="1">
        <f t="array" ref="AF34">SUBSTITUTE(IF($V34,IF($I34="","",","&amp;SanitizeInput($I34)),""),"&gt;",",")</f>
        <v/>
      </c>
      <c r="AG34" s="20" cm="1">
        <f t="array" ca="1" aca="1" ref="AG34">IF(ROW()=ROW($AG$3)+1,0,INDEX($AG:$AG,ROW()-1))+IF(OR($U34,$V34),1,0)</f>
        <v>13</v>
      </c>
      <c r="AH34" s="20" t="str" cm="1">
        <f t="array" ca="1" aca="1" ref="AH34">IF(OR($U34,$V34),IF($Q34="","",","&amp;SanitizeInput($Q34)),"")</f>
        <v>,i,</v>
      </c>
      <c r="AI34" s="20" t="str">
        <f t="shared" si="1"/>
        <v>SDR 1.5 - The product's availability is not relevant for safety [Customer]</v>
      </c>
      <c r="AJ34" s="20" t="str" cm="1">
        <f t="array" ca="1" aca="1" ref="AJ34">IF($F34="*","",InverseLookupList(SanitizeInput($F34),Questionnaire!$AA$3,Questionnaire!$A$3,Helper!$B$12,","))</f>
        <v>QI6,</v>
      </c>
      <c r="AK34" s="20" t="str" cm="1">
        <f t="array" ca="1" aca="1" ref="AK34">RemoveDelimiter(GetValues($AJ34,Questionnaire!$A:$G," ",CHAR(10)&amp;CHAR(10),TRUE),CHAR(10)&amp;CHAR(10))</f>
        <v>QI6 The customer/user must ensure correct and safe usage by applying counter measures. At least by using the product correctly.</v>
      </c>
      <c r="AL34" s="20" t="str" cm="1">
        <f t="array" ca="1" aca="1" ref="AL34">CreateSearchString($AJ34)</f>
        <v>,QI6,</v>
      </c>
      <c r="AM34" s="20" t="str" cm="1">
        <f t="array" ca="1" aca="1" ref="AM34">InverseLookup($A34,Mitigation!$AD$2,Mitigation!$A$2,1,Helper!$B$5,",")</f>
        <v/>
      </c>
      <c r="AN34" s="20" t="str" cm="1">
        <f t="array" ca="1" aca="1" ref="AN34">CreateSearchString(GetValues($AM34,'Attack Steps'!$A:$O,"",",",FALSE))</f>
        <v/>
      </c>
      <c r="AO34" s="20" t="str">
        <f t="shared" si="2"/>
        <v>A31</v>
      </c>
    </row>
    <row r="35" spans="1:41" ht="60">
      <c r="A35" s="10" t="s">
        <v>1109</v>
      </c>
      <c r="B35" s="13" t="s">
        <v>1588</v>
      </c>
      <c r="C35" s="13" t="s">
        <v>1110</v>
      </c>
      <c r="D35" s="13" t="s">
        <v>1590</v>
      </c>
      <c r="E35" s="13" t="s">
        <v>372</v>
      </c>
      <c r="F35" s="13" t="s">
        <v>1111</v>
      </c>
      <c r="G35" s="13"/>
      <c r="H35" s="33" t="str" cm="1">
        <f t="array" ref="H35">LookupNames(SanitizeInput($G35),'Attack Steps'!$A:$B)</f>
        <v/>
      </c>
      <c r="I35" s="13"/>
      <c r="J35" s="37" t="str" cm="1">
        <f t="array" ref="J35">IF($I35="","",SUBSTITUTE(SUBSTITUTE(SUBSTITUTE(SUBSTITUTE(SUBSTITUTE(SUBSTITUTE(SUBSTITUTE(SUBSTITUTE(SUBSTITUTE(GetTransformation(SanitizeInput($I35),'Damage Scenarios'!$A:$J,COLUMNS('Damage Scenarios'!$A:$J),CHAR(10),"[#0][#1][#2]")&amp;"§","[#1][#2]",""),"[#2]",""),"[#0][#1]","[#1]"),"[#0]","Removes:"&amp;CHAR(10)),"[#1]","Transforms:"&amp;CHAR(10)),CHAR(10)&amp;"§",""),"§",""),CHAR(10),CHAR(10)&amp;"   "),"   "&amp;"Transforms:","Transforms:"))</f>
        <v/>
      </c>
      <c r="K35" s="13"/>
      <c r="L35" s="13"/>
      <c r="M35" s="13"/>
      <c r="N35" s="13"/>
      <c r="O35" s="13"/>
      <c r="P35" s="33" t="str">
        <f ca="1">IF($A35="","",IFERROR(VLOOKUP($AE35,Definitions!$V:$W,COLUMNS(Definitions!$V:$W),TRUE),""))</f>
        <v>Basic</v>
      </c>
      <c r="Q35" s="13" t="s">
        <v>62</v>
      </c>
      <c r="R35" s="13"/>
      <c r="S35" s="13"/>
      <c r="T35" s="10" cm="1">
        <f t="array" ref="T35">IF(ROW()=ROW($T$3)+1,0,INDEX($T:$T,ROW()-1))+IF($A35="",0,1)</f>
        <v>32</v>
      </c>
      <c r="U35" s="20" t="b">
        <f ca="1">OR(CheckRelevance(SanitizeInput(F35),Questionnaire!$I:$I),IFERROR(_xlfn.XMATCH("*,"&amp;$A35&amp;",*",Countermeasures!$AG:$AG,2)&gt;0,FALSE))</f>
        <v>0</v>
      </c>
      <c r="V35" s="20" t="b">
        <f>IFERROR(_xlfn.XMATCH("*,"&amp;$A35&amp;",*",Mitigation!$X:$X,2)&gt;0,FALSE)</f>
        <v>0</v>
      </c>
      <c r="W35" s="20" cm="1">
        <f t="array" ref="W35">CreateTaskID($W$3,$W:$W,Tasks!$B$17,$S35)</f>
        <v>0</v>
      </c>
      <c r="X35" s="20" t="str" cm="1">
        <f t="array" ca="1" aca="1" ref="X35">IF(OR($G35="",NOT($U35)),"",","&amp;SanitizeInput($G35))</f>
        <v/>
      </c>
      <c r="Y35" s="20" t="str" cm="1">
        <f t="array" ref="Y35">IF($G35="","",","&amp;SanitizeInput($G35))</f>
        <v/>
      </c>
      <c r="Z35" s="20">
        <f>IF(K35="",0,VLOOKUP(K35,Definitions!$Z:$AA,COLUMNS(Definitions!$Z:$AA),FALSE))</f>
        <v>0</v>
      </c>
      <c r="AA35" s="20">
        <f>IF(L35="",0,VLOOKUP(L35,Definitions!$Z:$AA,COLUMNS(Definitions!$Z:$AA),FALSE))</f>
        <v>0</v>
      </c>
      <c r="AB35" s="20">
        <f>IF(M35="",0,VLOOKUP(M35,Definitions!$Z:$AA,COLUMNS(Definitions!$Z:$AA),FALSE))</f>
        <v>0</v>
      </c>
      <c r="AC35" s="20">
        <f>IF(N35="",0,VLOOKUP(N35,Definitions!$Z:$AA,COLUMNS(Definitions!$Z:$AA),FALSE))</f>
        <v>0</v>
      </c>
      <c r="AD35" s="20">
        <f>IF(O35="",0,VLOOKUP(O35,Definitions!$Z:$AA,COLUMNS(Definitions!$Z:$AA),FALSE))</f>
        <v>0</v>
      </c>
      <c r="AE35" s="20">
        <f t="shared" ca="1" si="0"/>
        <v>0</v>
      </c>
      <c r="AF35" s="20" t="str" cm="1">
        <f t="array" ref="AF35">SUBSTITUTE(IF($V35,IF($I35="","",","&amp;SanitizeInput($I35)),""),"&gt;",",")</f>
        <v/>
      </c>
      <c r="AG35" s="20" cm="1">
        <f t="array" ca="1" aca="1" ref="AG35">IF(ROW()=ROW($AG$3)+1,0,INDEX($AG:$AG,ROW()-1))+IF(OR($U35,$V35),1,0)</f>
        <v>13</v>
      </c>
      <c r="AH35" s="20" t="str" cm="1">
        <f t="array" ca="1" aca="1" ref="AH35">IF(OR($U35,$V35),IF($Q35="","",","&amp;SanitizeInput($Q35)),"")</f>
        <v/>
      </c>
      <c r="AI35" s="20" t="str">
        <f t="shared" si="1"/>
        <v>SDR 1.27 - The product has no access to personal data [Customer]</v>
      </c>
      <c r="AJ35" s="20" t="str" cm="1">
        <f t="array" ca="1" aca="1" ref="AJ35">IF($F35="*","",InverseLookupList(SanitizeInput($F35),Questionnaire!$AA$3,Questionnaire!$A$3,Helper!$B$12,","))</f>
        <v/>
      </c>
      <c r="AK35" s="20" t="str" cm="1">
        <f t="array" ca="1" aca="1" ref="AK35">RemoveDelimiter(GetValues($AJ35,Questionnaire!$A:$G," ",CHAR(10)&amp;CHAR(10),TRUE),CHAR(10)&amp;CHAR(10))</f>
        <v/>
      </c>
      <c r="AL35" s="20" t="str" cm="1">
        <f t="array" ca="1" aca="1" ref="AL35">CreateSearchString($AJ35)</f>
        <v/>
      </c>
      <c r="AM35" s="20" t="str" cm="1">
        <f t="array" ca="1" aca="1" ref="AM35">InverseLookup($A35,Mitigation!$AD$2,Mitigation!$A$2,1,Helper!$B$5,",")</f>
        <v/>
      </c>
      <c r="AN35" s="20" t="str" cm="1">
        <f t="array" ca="1" aca="1" ref="AN35">CreateSearchString(GetValues($AM35,'Attack Steps'!$A:$O,"",",",FALSE))</f>
        <v/>
      </c>
      <c r="AO35" s="20" t="str">
        <f t="shared" si="2"/>
        <v>A32</v>
      </c>
    </row>
    <row r="36" spans="1:41" ht="45">
      <c r="A36" s="10" t="s">
        <v>1113</v>
      </c>
      <c r="B36" s="13" t="s">
        <v>1589</v>
      </c>
      <c r="C36" s="13" t="s">
        <v>1114</v>
      </c>
      <c r="D36" s="13" t="s">
        <v>1591</v>
      </c>
      <c r="E36" s="13" t="s">
        <v>372</v>
      </c>
      <c r="F36" s="13" t="s">
        <v>1115</v>
      </c>
      <c r="G36" s="13"/>
      <c r="H36" s="33" t="str" cm="1">
        <f t="array" ref="H36">LookupNames(SanitizeInput($G36),'Attack Steps'!$A:$B)</f>
        <v/>
      </c>
      <c r="I36" s="13"/>
      <c r="J36" s="37" t="str" cm="1">
        <f t="array" ref="J36">IF($I36="","",SUBSTITUTE(SUBSTITUTE(SUBSTITUTE(SUBSTITUTE(SUBSTITUTE(SUBSTITUTE(SUBSTITUTE(SUBSTITUTE(SUBSTITUTE(GetTransformation(SanitizeInput($I36),'Damage Scenarios'!$A:$J,COLUMNS('Damage Scenarios'!$A:$J),CHAR(10),"[#0][#1][#2]")&amp;"§","[#1][#2]",""),"[#2]",""),"[#0][#1]","[#1]"),"[#0]","Removes:"&amp;CHAR(10)),"[#1]","Transforms:"&amp;CHAR(10)),CHAR(10)&amp;"§",""),"§",""),CHAR(10),CHAR(10)&amp;"   "),"   "&amp;"Transforms:","Transforms:"))</f>
        <v/>
      </c>
      <c r="K36" s="13"/>
      <c r="L36" s="13"/>
      <c r="M36" s="13"/>
      <c r="N36" s="13"/>
      <c r="O36" s="13"/>
      <c r="P36" s="33" t="str">
        <f ca="1">IF($A36="","",IFERROR(VLOOKUP($AE36,Definitions!$V:$W,COLUMNS(Definitions!$V:$W),TRUE),""))</f>
        <v>Basic</v>
      </c>
      <c r="Q36" s="13" t="s">
        <v>62</v>
      </c>
      <c r="R36" s="13"/>
      <c r="S36" s="13"/>
      <c r="T36" s="10" cm="1">
        <f t="array" ref="T36">IF(ROW()=ROW($T$3)+1,0,INDEX($T:$T,ROW()-1))+IF($A36="",0,1)</f>
        <v>33</v>
      </c>
      <c r="U36" s="20" t="b">
        <f ca="1">OR(CheckRelevance(SanitizeInput(F36),Questionnaire!$I:$I),IFERROR(_xlfn.XMATCH("*,"&amp;$A36&amp;",*",Countermeasures!$AG:$AG,2)&gt;0,FALSE))</f>
        <v>0</v>
      </c>
      <c r="V36" s="20" t="b">
        <f>IFERROR(_xlfn.XMATCH("*,"&amp;$A36&amp;",*",Mitigation!$X:$X,2)&gt;0,FALSE)</f>
        <v>0</v>
      </c>
      <c r="W36" s="20" cm="1">
        <f t="array" ref="W36">CreateTaskID($W$3,$W:$W,Tasks!$B$17,$S36)</f>
        <v>0</v>
      </c>
      <c r="X36" s="20" t="str" cm="1">
        <f t="array" ca="1" aca="1" ref="X36">IF(OR($G36="",NOT($U36)),"",","&amp;SanitizeInput($G36))</f>
        <v/>
      </c>
      <c r="Y36" s="20" t="str" cm="1">
        <f t="array" ref="Y36">IF($G36="","",","&amp;SanitizeInput($G36))</f>
        <v/>
      </c>
      <c r="Z36" s="20">
        <f>IF(K36="",0,VLOOKUP(K36,Definitions!$Z:$AA,COLUMNS(Definitions!$Z:$AA),FALSE))</f>
        <v>0</v>
      </c>
      <c r="AA36" s="20">
        <f>IF(L36="",0,VLOOKUP(L36,Definitions!$Z:$AA,COLUMNS(Definitions!$Z:$AA),FALSE))</f>
        <v>0</v>
      </c>
      <c r="AB36" s="20">
        <f>IF(M36="",0,VLOOKUP(M36,Definitions!$Z:$AA,COLUMNS(Definitions!$Z:$AA),FALSE))</f>
        <v>0</v>
      </c>
      <c r="AC36" s="20">
        <f>IF(N36="",0,VLOOKUP(N36,Definitions!$Z:$AA,COLUMNS(Definitions!$Z:$AA),FALSE))</f>
        <v>0</v>
      </c>
      <c r="AD36" s="20">
        <f>IF(O36="",0,VLOOKUP(O36,Definitions!$Z:$AA,COLUMNS(Definitions!$Z:$AA),FALSE))</f>
        <v>0</v>
      </c>
      <c r="AE36" s="20">
        <f t="shared" ca="1" si="0"/>
        <v>0</v>
      </c>
      <c r="AF36" s="20" t="str" cm="1">
        <f t="array" ref="AF36">SUBSTITUTE(IF($V36,IF($I36="","",","&amp;SanitizeInput($I36)),""),"&gt;",",")</f>
        <v/>
      </c>
      <c r="AG36" s="20" cm="1">
        <f t="array" ca="1" aca="1" ref="AG36">IF(ROW()=ROW($AG$3)+1,0,INDEX($AG:$AG,ROW()-1))+IF(OR($U36,$V36),1,0)</f>
        <v>13</v>
      </c>
      <c r="AH36" s="20" t="str" cm="1">
        <f t="array" ca="1" aca="1" ref="AH36">IF(OR($U36,$V36),IF($Q36="","",","&amp;SanitizeInput($Q36)),"")</f>
        <v/>
      </c>
      <c r="AI36" s="20" t="str">
        <f t="shared" si="1"/>
        <v>SDR 1.28 - The product cannot affect the availability of its operational environment [Customer]</v>
      </c>
      <c r="AJ36" s="20" t="str" cm="1">
        <f t="array" ca="1" aca="1" ref="AJ36">IF($F36="*","",InverseLookupList(SanitizeInput($F36),Questionnaire!$AA$3,Questionnaire!$A$3,Helper!$B$12,","))</f>
        <v/>
      </c>
      <c r="AK36" s="20" t="str" cm="1">
        <f t="array" ca="1" aca="1" ref="AK36">RemoveDelimiter(GetValues($AJ36,Questionnaire!$A:$G," ",CHAR(10)&amp;CHAR(10),TRUE),CHAR(10)&amp;CHAR(10))</f>
        <v/>
      </c>
      <c r="AL36" s="20" t="str" cm="1">
        <f t="array" ca="1" aca="1" ref="AL36">CreateSearchString($AJ36)</f>
        <v/>
      </c>
      <c r="AM36" s="20" t="str" cm="1">
        <f t="array" ca="1" aca="1" ref="AM36">InverseLookup($A36,Mitigation!$AD$2,Mitigation!$A$2,1,Helper!$B$5,",")</f>
        <v/>
      </c>
      <c r="AN36" s="20" t="str" cm="1">
        <f t="array" ca="1" aca="1" ref="AN36">CreateSearchString(GetValues($AM36,'Attack Steps'!$A:$O,"",",",FALSE))</f>
        <v/>
      </c>
      <c r="AO36" s="20" t="str">
        <f t="shared" si="2"/>
        <v>A33</v>
      </c>
    </row>
    <row r="37" spans="1:41" ht="60">
      <c r="A37" s="10" t="s">
        <v>1221</v>
      </c>
      <c r="B37" s="13" t="s">
        <v>1609</v>
      </c>
      <c r="C37" s="13" t="s">
        <v>1222</v>
      </c>
      <c r="D37" s="13" t="s">
        <v>1610</v>
      </c>
      <c r="E37" s="13" t="str">
        <f>Definitions!$C$4</f>
        <v>acontis techonlogies GmbH</v>
      </c>
      <c r="F37" s="13" t="s">
        <v>418</v>
      </c>
      <c r="G37" s="13"/>
      <c r="H37" s="33" t="str" cm="1">
        <f t="array" ref="H37">LookupNames(SanitizeInput($G37),'Attack Steps'!$A:$B)</f>
        <v/>
      </c>
      <c r="I37" s="13"/>
      <c r="J37" s="37" t="str" cm="1">
        <f t="array" ref="J37">IF($I37="","",SUBSTITUTE(SUBSTITUTE(SUBSTITUTE(SUBSTITUTE(SUBSTITUTE(SUBSTITUTE(SUBSTITUTE(SUBSTITUTE(SUBSTITUTE(GetTransformation(SanitizeInput($I37),'Damage Scenarios'!$A:$J,COLUMNS('Damage Scenarios'!$A:$J),CHAR(10),"[#0][#1][#2]")&amp;"§","[#1][#2]",""),"[#2]",""),"[#0][#1]","[#1]"),"[#0]","Removes:"&amp;CHAR(10)),"[#1]","Transforms:"&amp;CHAR(10)),CHAR(10)&amp;"§",""),"§",""),CHAR(10),CHAR(10)&amp;"   "),"   "&amp;"Transforms:","Transforms:"))</f>
        <v/>
      </c>
      <c r="K37" s="13"/>
      <c r="L37" s="13"/>
      <c r="M37" s="13"/>
      <c r="N37" s="13"/>
      <c r="O37" s="13"/>
      <c r="P37" s="33" t="str">
        <f ca="1">IF($A37="","",IFERROR(VLOOKUP($AE37,Definitions!$V:$W,COLUMNS(Definitions!$V:$W),TRUE),""))</f>
        <v>Basic</v>
      </c>
      <c r="Q37" s="13" t="s">
        <v>600</v>
      </c>
      <c r="R37" s="13"/>
      <c r="S37" s="13"/>
      <c r="T37" s="10" cm="1">
        <f t="array" ref="T37">IF(ROW()=ROW($T$3)+1,0,INDEX($T:$T,ROW()-1))+IF($A37="",0,1)</f>
        <v>34</v>
      </c>
      <c r="U37" s="20" t="b">
        <f ca="1">OR(CheckRelevance(SanitizeInput(F37),Questionnaire!$I:$I),IFERROR(_xlfn.XMATCH("*,"&amp;$A37&amp;",*",Countermeasures!$AG:$AG,2)&gt;0,FALSE))</f>
        <v>1</v>
      </c>
      <c r="V37" s="20" t="b">
        <f>IFERROR(_xlfn.XMATCH("*,"&amp;$A37&amp;",*",Mitigation!$X:$X,2)&gt;0,FALSE)</f>
        <v>0</v>
      </c>
      <c r="W37" s="20" cm="1">
        <f t="array" ref="W37">CreateTaskID($W$3,$W:$W,Tasks!$B$17,$S37)</f>
        <v>0</v>
      </c>
      <c r="X37" s="20" t="str" cm="1">
        <f t="array" ca="1" aca="1" ref="X37">IF(OR($G37="",NOT($U37)),"",","&amp;SanitizeInput($G37))</f>
        <v/>
      </c>
      <c r="Y37" s="20" t="str" cm="1">
        <f t="array" ref="Y37">IF($G37="","",","&amp;SanitizeInput($G37))</f>
        <v/>
      </c>
      <c r="Z37" s="20">
        <f>IF(K37="",0,VLOOKUP(K37,Definitions!$Z:$AA,COLUMNS(Definitions!$Z:$AA),FALSE))</f>
        <v>0</v>
      </c>
      <c r="AA37" s="20">
        <f>IF(L37="",0,VLOOKUP(L37,Definitions!$Z:$AA,COLUMNS(Definitions!$Z:$AA),FALSE))</f>
        <v>0</v>
      </c>
      <c r="AB37" s="20">
        <f>IF(M37="",0,VLOOKUP(M37,Definitions!$Z:$AA,COLUMNS(Definitions!$Z:$AA),FALSE))</f>
        <v>0</v>
      </c>
      <c r="AC37" s="20">
        <f>IF(N37="",0,VLOOKUP(N37,Definitions!$Z:$AA,COLUMNS(Definitions!$Z:$AA),FALSE))</f>
        <v>0</v>
      </c>
      <c r="AD37" s="20">
        <f>IF(O37="",0,VLOOKUP(O37,Definitions!$Z:$AA,COLUMNS(Definitions!$Z:$AA),FALSE))</f>
        <v>0</v>
      </c>
      <c r="AE37" s="20">
        <f t="shared" ca="1" si="0"/>
        <v>0</v>
      </c>
      <c r="AF37" s="20" t="str" cm="1">
        <f t="array" ref="AF37">SUBSTITUTE(IF($V37,IF($I37="","",","&amp;SanitizeInput($I37)),""),"&gt;",",")</f>
        <v/>
      </c>
      <c r="AG37" s="20" cm="1">
        <f t="array" ca="1" aca="1" ref="AG37">IF(ROW()=ROW($AG$3)+1,0,INDEX($AG:$AG,ROW()-1))+IF(OR($U37,$V37),1,0)</f>
        <v>14</v>
      </c>
      <c r="AH37" s="20" t="str" cm="1">
        <f t="array" ca="1" aca="1" ref="AH37">IF(OR($U37,$V37),IF($Q37="","",","&amp;SanitizeInput($Q37)),"")</f>
        <v>,b,</v>
      </c>
      <c r="AI37" s="20" t="str">
        <f t="shared" si="1"/>
        <v>SDR 2.10 - The product is delivered with a secure by default configuration [acontis techonlogies GmbH]</v>
      </c>
      <c r="AJ37" s="20" t="str" cm="1">
        <f t="array" ref="AJ37">IF($F37="*","",InverseLookupList(SanitizeInput($F37),Questionnaire!$AA$3,Questionnaire!$A$3,Helper!$B$12,","))</f>
        <v/>
      </c>
      <c r="AK37" s="20" t="str" cm="1">
        <f t="array" ref="AK37">RemoveDelimiter(GetValues($AJ37,Questionnaire!$A:$G," ",CHAR(10)&amp;CHAR(10),TRUE),CHAR(10)&amp;CHAR(10))</f>
        <v/>
      </c>
      <c r="AL37" s="20" t="str" cm="1">
        <f t="array" ref="AL37">CreateSearchString($AJ37)</f>
        <v/>
      </c>
      <c r="AM37" s="20" t="str" cm="1">
        <f t="array" ca="1" aca="1" ref="AM37">InverseLookup($A37,Mitigation!$AD$2,Mitigation!$A$2,1,Helper!$B$5,",")</f>
        <v/>
      </c>
      <c r="AN37" s="20" t="str" cm="1">
        <f t="array" ca="1" aca="1" ref="AN37">CreateSearchString(GetValues($AM37,'Attack Steps'!$A:$O,"",",",FALSE))</f>
        <v/>
      </c>
      <c r="AO37" s="20" t="str">
        <f t="shared" si="2"/>
        <v>A34</v>
      </c>
    </row>
    <row r="38" spans="1:41" ht="60">
      <c r="A38" s="10" t="s">
        <v>1237</v>
      </c>
      <c r="B38" s="13" t="s">
        <v>1238</v>
      </c>
      <c r="C38" s="13" t="s">
        <v>1239</v>
      </c>
      <c r="D38" s="13"/>
      <c r="E38" s="13" t="s">
        <v>373</v>
      </c>
      <c r="F38" s="13"/>
      <c r="G38" s="13"/>
      <c r="H38" s="33" t="str" cm="1">
        <f t="array" ref="H38">LookupNames(SanitizeInput($G38),'Attack Steps'!$A:$B)</f>
        <v/>
      </c>
      <c r="I38" s="13"/>
      <c r="J38" s="37" t="str" cm="1">
        <f t="array" ref="J38">IF($I38="","",SUBSTITUTE(SUBSTITUTE(SUBSTITUTE(SUBSTITUTE(SUBSTITUTE(SUBSTITUTE(SUBSTITUTE(SUBSTITUTE(SUBSTITUTE(GetTransformation(SanitizeInput($I38),'Damage Scenarios'!$A:$J,COLUMNS('Damage Scenarios'!$A:$J),CHAR(10),"[#0][#1][#2]")&amp;"§","[#1][#2]",""),"[#2]",""),"[#0][#1]","[#1]"),"[#0]","Removes:"&amp;CHAR(10)),"[#1]","Transforms:"&amp;CHAR(10)),CHAR(10)&amp;"§",""),"§",""),CHAR(10),CHAR(10)&amp;"   "),"   "&amp;"Transforms:","Transforms:"))</f>
        <v/>
      </c>
      <c r="K38" s="13"/>
      <c r="L38" s="13"/>
      <c r="M38" s="13"/>
      <c r="N38" s="13"/>
      <c r="O38" s="13"/>
      <c r="P38" s="33" t="str">
        <f ca="1">IF($A38="","",IFERROR(VLOOKUP($AE38,Definitions!$V:$W,COLUMNS(Definitions!$V:$W),TRUE),""))</f>
        <v>Basic</v>
      </c>
      <c r="Q38" s="13" t="s">
        <v>62</v>
      </c>
      <c r="R38" s="13"/>
      <c r="S38" s="13" t="s">
        <v>1744</v>
      </c>
      <c r="T38" s="10" cm="1">
        <f t="array" ref="T38">IF(ROW()=ROW($T$3)+1,0,INDEX($T:$T,ROW()-1))+IF($A38="",0,1)</f>
        <v>35</v>
      </c>
      <c r="U38" s="20" t="b">
        <f ca="1">OR(CheckRelevance(SanitizeInput(F38),Questionnaire!$I:$I),IFERROR(_xlfn.XMATCH("*,"&amp;$A38&amp;",*",Countermeasures!$AG:$AG,2)&gt;0,FALSE))</f>
        <v>0</v>
      </c>
      <c r="V38" s="20" t="b">
        <f>IFERROR(_xlfn.XMATCH("*,"&amp;$A38&amp;",*",Mitigation!$X:$X,2)&gt;0,FALSE)</f>
        <v>0</v>
      </c>
      <c r="W38" s="20" cm="1">
        <f t="array" ref="W38">CreateTaskID($W$3,$W:$W,Tasks!$B$17,$S38)</f>
        <v>0</v>
      </c>
      <c r="X38" s="20" t="str" cm="1">
        <f t="array" ca="1" aca="1" ref="X38">IF(OR($G38="",NOT($U38)),"",","&amp;SanitizeInput($G38))</f>
        <v/>
      </c>
      <c r="Y38" s="20" t="str" cm="1">
        <f t="array" ref="Y38">IF($G38="","",","&amp;SanitizeInput($G38))</f>
        <v/>
      </c>
      <c r="Z38" s="20">
        <f>IF(K38="",0,VLOOKUP(K38,Definitions!$Z:$AA,COLUMNS(Definitions!$Z:$AA),FALSE))</f>
        <v>0</v>
      </c>
      <c r="AA38" s="20">
        <f>IF(L38="",0,VLOOKUP(L38,Definitions!$Z:$AA,COLUMNS(Definitions!$Z:$AA),FALSE))</f>
        <v>0</v>
      </c>
      <c r="AB38" s="20">
        <f>IF(M38="",0,VLOOKUP(M38,Definitions!$Z:$AA,COLUMNS(Definitions!$Z:$AA),FALSE))</f>
        <v>0</v>
      </c>
      <c r="AC38" s="20">
        <f>IF(N38="",0,VLOOKUP(N38,Definitions!$Z:$AA,COLUMNS(Definitions!$Z:$AA),FALSE))</f>
        <v>0</v>
      </c>
      <c r="AD38" s="20">
        <f>IF(O38="",0,VLOOKUP(O38,Definitions!$Z:$AA,COLUMNS(Definitions!$Z:$AA),FALSE))</f>
        <v>0</v>
      </c>
      <c r="AE38" s="20">
        <f t="shared" ca="1" si="0"/>
        <v>0</v>
      </c>
      <c r="AF38" s="20" t="str" cm="1">
        <f t="array" ref="AF38">SUBSTITUTE(IF($V38,IF($I38="","",","&amp;SanitizeInput($I38)),""),"&gt;",",")</f>
        <v/>
      </c>
      <c r="AG38" s="20" cm="1">
        <f t="array" ca="1" aca="1" ref="AG38">IF(ROW()=ROW($AG$3)+1,0,INDEX($AG:$AG,ROW()-1))+IF(OR($U38,$V38),1,0)</f>
        <v>14</v>
      </c>
      <c r="AH38" s="20" t="str" cm="1">
        <f t="array" ca="1" aca="1" ref="AH38">IF(OR($U38,$V38),IF($Q38="","",","&amp;SanitizeInput($Q38)),"")</f>
        <v/>
      </c>
      <c r="AI38" s="20" t="str">
        <f t="shared" si="1"/>
        <v>Attack path not applicable or not plausible [Other (see comment)]</v>
      </c>
      <c r="AJ38" s="20" t="str" cm="1">
        <f t="array" ref="AJ38">IF($F38="*","",InverseLookupList(SanitizeInput($F38),Questionnaire!$AA$3,Questionnaire!$A$3,Helper!$B$12,","))</f>
        <v/>
      </c>
      <c r="AK38" s="20" t="str" cm="1">
        <f t="array" ref="AK38">RemoveDelimiter(GetValues($AJ38,Questionnaire!$A:$G," ",CHAR(10)&amp;CHAR(10),TRUE),CHAR(10)&amp;CHAR(10))</f>
        <v/>
      </c>
      <c r="AL38" s="20" t="str" cm="1">
        <f t="array" ref="AL38">CreateSearchString($AJ38)</f>
        <v/>
      </c>
      <c r="AM38" s="20" t="str" cm="1">
        <f t="array" ca="1" aca="1" ref="AM38">InverseLookup($A38,Mitigation!$AD$2,Mitigation!$A$2,1,Helper!$B$5,",")</f>
        <v/>
      </c>
      <c r="AN38" s="20" t="str" cm="1">
        <f t="array" ca="1" aca="1" ref="AN38">CreateSearchString(GetValues($AM38,'Attack Steps'!$A:$O,"",",",FALSE))</f>
        <v/>
      </c>
      <c r="AO38" s="20" t="str">
        <f t="shared" si="2"/>
        <v>A35</v>
      </c>
    </row>
    <row r="39" spans="1:41" ht="75">
      <c r="A39" s="10" t="s">
        <v>1254</v>
      </c>
      <c r="B39" s="13" t="s">
        <v>1572</v>
      </c>
      <c r="C39" s="13" t="s">
        <v>1255</v>
      </c>
      <c r="D39" s="13" t="s">
        <v>1573</v>
      </c>
      <c r="E39" s="13" t="s">
        <v>372</v>
      </c>
      <c r="F39" s="13" t="s">
        <v>1256</v>
      </c>
      <c r="G39" s="13" t="s">
        <v>108</v>
      </c>
      <c r="H39" s="33" t="str" cm="1">
        <f t="array" ca="1" aca="1" ref="H39">LookupNames(SanitizeInput($G39),'Attack Steps'!$A:$B)</f>
        <v>AS2 Getting access to a wireless network</v>
      </c>
      <c r="I39" s="13"/>
      <c r="J39" s="37" t="str" cm="1">
        <f t="array" ref="J39">IF($I39="","",SUBSTITUTE(SUBSTITUTE(SUBSTITUTE(SUBSTITUTE(SUBSTITUTE(SUBSTITUTE(SUBSTITUTE(SUBSTITUTE(SUBSTITUTE(GetTransformation(SanitizeInput($I39),'Damage Scenarios'!$A:$J,COLUMNS('Damage Scenarios'!$A:$J),CHAR(10),"[#0][#1][#2]")&amp;"§","[#1][#2]",""),"[#2]",""),"[#0][#1]","[#1]"),"[#0]","Removes:"&amp;CHAR(10)),"[#1]","Transforms:"&amp;CHAR(10)),CHAR(10)&amp;"§",""),"§",""),CHAR(10),CHAR(10)&amp;"   "),"   "&amp;"Transforms:","Transforms:"))</f>
        <v/>
      </c>
      <c r="K39" s="13"/>
      <c r="L39" s="13"/>
      <c r="M39" s="13"/>
      <c r="N39" s="13" t="s">
        <v>151</v>
      </c>
      <c r="O39" s="13"/>
      <c r="P39" s="33" t="str">
        <f ca="1">IF($A39="","",IFERROR(VLOOKUP($AE39,Definitions!$V:$W,COLUMNS(Definitions!$V:$W),TRUE),""))</f>
        <v>Beyond High</v>
      </c>
      <c r="Q39" s="13" t="s">
        <v>1633</v>
      </c>
      <c r="R39" s="13"/>
      <c r="S39" s="13" t="s">
        <v>1257</v>
      </c>
      <c r="T39" s="10" cm="1">
        <f t="array" ref="T39">IF(ROW()=ROW($T$3)+1,0,INDEX($T:$T,ROW()-1))+IF($A39="",0,1)</f>
        <v>36</v>
      </c>
      <c r="U39" s="20" t="b">
        <f ca="1">OR(CheckRelevance(SanitizeInput(F39),Questionnaire!$I:$I),IFERROR(_xlfn.XMATCH("*,"&amp;$A39&amp;",*",Countermeasures!$AG:$AG,2)&gt;0,FALSE))</f>
        <v>1</v>
      </c>
      <c r="V39" s="20" t="b">
        <f>IFERROR(_xlfn.XMATCH("*,"&amp;$A39&amp;",*",Mitigation!$X:$X,2)&gt;0,FALSE)</f>
        <v>0</v>
      </c>
      <c r="W39" s="20" cm="1">
        <f t="array" ref="W39">CreateTaskID($W$3,$W:$W,Tasks!$B$17,$S39)</f>
        <v>0</v>
      </c>
      <c r="X39" s="20" t="str" cm="1">
        <f t="array" ca="1" aca="1" ref="X39">IF(OR($G39="",NOT($U39)),"",","&amp;SanitizeInput($G39))</f>
        <v>,AS2,</v>
      </c>
      <c r="Y39" s="20" t="str" cm="1">
        <f t="array" ref="Y39">IF($G39="","",","&amp;SanitizeInput($G39))</f>
        <v>,AS2,</v>
      </c>
      <c r="Z39" s="20">
        <f>IF(K39="",0,VLOOKUP(K39,Definitions!$Z:$AA,COLUMNS(Definitions!$Z:$AA),FALSE))</f>
        <v>0</v>
      </c>
      <c r="AA39" s="20">
        <f>IF(L39="",0,VLOOKUP(L39,Definitions!$Z:$AA,COLUMNS(Definitions!$Z:$AA),FALSE))</f>
        <v>0</v>
      </c>
      <c r="AB39" s="20">
        <f>IF(M39="",0,VLOOKUP(M39,Definitions!$Z:$AA,COLUMNS(Definitions!$Z:$AA),FALSE))</f>
        <v>0</v>
      </c>
      <c r="AC39" s="20">
        <f>IF(N39="",0,VLOOKUP(N39,Definitions!$Z:$AA,COLUMNS(Definitions!$Z:$AA),FALSE))</f>
        <v>25</v>
      </c>
      <c r="AD39" s="20">
        <f>IF(O39="",0,VLOOKUP(O39,Definitions!$Z:$AA,COLUMNS(Definitions!$Z:$AA),FALSE))</f>
        <v>0</v>
      </c>
      <c r="AE39" s="20">
        <f t="shared" ca="1" si="0"/>
        <v>25</v>
      </c>
      <c r="AF39" s="20" t="str" cm="1">
        <f t="array" ref="AF39">SUBSTITUTE(IF($V39,IF($I39="","",","&amp;SanitizeInput($I39)),""),"&gt;",",")</f>
        <v/>
      </c>
      <c r="AG39" s="20" cm="1">
        <f t="array" ca="1" aca="1" ref="AG39">IF(ROW()=ROW($AG$3)+1,0,INDEX($AG:$AG,ROW()-1))+IF(OR($U39,$V39),1,0)</f>
        <v>15</v>
      </c>
      <c r="AH39" s="20" t="str" cm="1">
        <f t="array" ca="1" aca="1" ref="AH39">IF(OR($U39,$V39),IF($Q39="","",","&amp;SanitizeInput($Q39)),"")</f>
        <v>,d,e,f,</v>
      </c>
      <c r="AI39" s="20" t="str">
        <f t="shared" si="1"/>
        <v>SDR 1.18 - Well-protected trustworthy wireless network [Customer]</v>
      </c>
      <c r="AJ39" s="20" t="str" cm="1">
        <f t="array" ca="1" aca="1" ref="AJ39">IF($F39="*","",InverseLookupList(SanitizeInput($F39),Questionnaire!$AA$3,Questionnaire!$A$3,Helper!$B$12,","))</f>
        <v>QA13,</v>
      </c>
      <c r="AK39" s="20" t="str" cm="1">
        <f t="array" ca="1" aca="1" ref="AK39">RemoveDelimiter(GetValues($AJ39,Questionnaire!$A:$G," ",CHAR(10)&amp;CHAR(10),TRUE),CHAR(10)&amp;CHAR(10))</f>
        <v>QA13 Customer</v>
      </c>
      <c r="AL39" s="20" t="str" cm="1">
        <f t="array" ca="1" aca="1" ref="AL39">CreateSearchString($AJ39)</f>
        <v>,QA13,</v>
      </c>
      <c r="AM39" s="20" t="str" cm="1">
        <f t="array" ca="1" aca="1" ref="AM39">InverseLookup($A39,Mitigation!$AD$2,Mitigation!$A$2,1,Helper!$B$5,",")</f>
        <v/>
      </c>
      <c r="AN39" s="20" t="str" cm="1">
        <f t="array" ca="1" aca="1" ref="AN39">CreateSearchString(GetValues($AM39,'Attack Steps'!$A:$O,"",",",FALSE))</f>
        <v/>
      </c>
      <c r="AO39" s="20" t="str">
        <f t="shared" si="2"/>
        <v>A36</v>
      </c>
    </row>
    <row r="40" spans="1:41" ht="60">
      <c r="A40" s="10" t="s">
        <v>1267</v>
      </c>
      <c r="B40" s="13" t="s">
        <v>1602</v>
      </c>
      <c r="C40" s="13" t="s">
        <v>1268</v>
      </c>
      <c r="D40" s="13" t="s">
        <v>1603</v>
      </c>
      <c r="E40" s="13" t="str">
        <f>Definitions!$C$4</f>
        <v>acontis techonlogies GmbH</v>
      </c>
      <c r="F40" s="13"/>
      <c r="G40" s="13" t="s">
        <v>1269</v>
      </c>
      <c r="H40" s="33" t="str" cm="1">
        <f t="array" ca="1" aca="1" ref="H40">LookupNames(SanitizeInput($G40),'Attack Steps'!$A:$B)</f>
        <v>AS5 Eavesdropping on the product's communication,
AS6 Spoofing / tampering with the product's outgoing communication</v>
      </c>
      <c r="I40" s="13"/>
      <c r="J40" s="37" t="str" cm="1">
        <f t="array" ref="J40">IF($I40="","",SUBSTITUTE(SUBSTITUTE(SUBSTITUTE(SUBSTITUTE(SUBSTITUTE(SUBSTITUTE(SUBSTITUTE(SUBSTITUTE(SUBSTITUTE(GetTransformation(SanitizeInput($I40),'Damage Scenarios'!$A:$J,COLUMNS('Damage Scenarios'!$A:$J),CHAR(10),"[#0][#1][#2]")&amp;"§","[#1][#2]",""),"[#2]",""),"[#0][#1]","[#1]"),"[#0]","Removes:"&amp;CHAR(10)),"[#1]","Transforms:"&amp;CHAR(10)),CHAR(10)&amp;"§",""),"§",""),CHAR(10),CHAR(10)&amp;"   "),"   "&amp;"Transforms:","Transforms:"))</f>
        <v/>
      </c>
      <c r="K40" s="13"/>
      <c r="L40" s="13"/>
      <c r="M40" s="13"/>
      <c r="N40" s="13" t="s">
        <v>150</v>
      </c>
      <c r="O40" s="13"/>
      <c r="P40" s="33" t="str">
        <f ca="1">IF($A40="","",IFERROR(VLOOKUP($AE40,Definitions!$V:$W,COLUMNS(Definitions!$V:$W),TRUE),""))</f>
        <v>Enhanced-Basic</v>
      </c>
      <c r="Q40" s="13" t="s">
        <v>62</v>
      </c>
      <c r="R40" s="13"/>
      <c r="S40" s="13"/>
      <c r="T40" s="10" cm="1">
        <f t="array" ref="T40">IF(ROW()=ROW($T$3)+1,0,INDEX($T:$T,ROW()-1))+IF($A40="",0,1)</f>
        <v>37</v>
      </c>
      <c r="U40" s="20" t="b">
        <f ca="1">OR(CheckRelevance(SanitizeInput(F40),Questionnaire!$I:$I),IFERROR(_xlfn.XMATCH("*,"&amp;$A40&amp;",*",Countermeasures!$AG:$AG,2)&gt;0,FALSE))</f>
        <v>0</v>
      </c>
      <c r="V40" s="20" t="b">
        <f>IFERROR(_xlfn.XMATCH("*,"&amp;$A40&amp;",*",Mitigation!$X:$X,2)&gt;0,FALSE)</f>
        <v>0</v>
      </c>
      <c r="W40" s="20" cm="1">
        <f t="array" ref="W40">CreateTaskID($W$3,$W:$W,Tasks!$B$17,$S40)</f>
        <v>0</v>
      </c>
      <c r="X40" s="20" t="str" cm="1">
        <f t="array" ca="1" aca="1" ref="X40">IF(OR($G40="",NOT($U40)),"",","&amp;SanitizeInput($G40))</f>
        <v/>
      </c>
      <c r="Y40" s="20" t="str" cm="1">
        <f t="array" ref="Y40">IF($G40="","",","&amp;SanitizeInput($G40))</f>
        <v>,AS5,AS6,</v>
      </c>
      <c r="Z40" s="20">
        <f>IF(K40="",0,VLOOKUP(K40,Definitions!$Z:$AA,COLUMNS(Definitions!$Z:$AA),FALSE))</f>
        <v>0</v>
      </c>
      <c r="AA40" s="20">
        <f>IF(L40="",0,VLOOKUP(L40,Definitions!$Z:$AA,COLUMNS(Definitions!$Z:$AA),FALSE))</f>
        <v>0</v>
      </c>
      <c r="AB40" s="20">
        <f>IF(M40="",0,VLOOKUP(M40,Definitions!$Z:$AA,COLUMNS(Definitions!$Z:$AA),FALSE))</f>
        <v>0</v>
      </c>
      <c r="AC40" s="20">
        <f>IF(N40="",0,VLOOKUP(N40,Definitions!$Z:$AA,COLUMNS(Definitions!$Z:$AA),FALSE))</f>
        <v>10</v>
      </c>
      <c r="AD40" s="20">
        <f>IF(O40="",0,VLOOKUP(O40,Definitions!$Z:$AA,COLUMNS(Definitions!$Z:$AA),FALSE))</f>
        <v>0</v>
      </c>
      <c r="AE40" s="20">
        <f t="shared" ca="1" si="0"/>
        <v>10</v>
      </c>
      <c r="AF40" s="20" t="str" cm="1">
        <f t="array" ref="AF40">SUBSTITUTE(IF($V40,IF($I40="","",","&amp;SanitizeInput($I40)),""),"&gt;",",")</f>
        <v/>
      </c>
      <c r="AG40" s="20" cm="1">
        <f t="array" ca="1" aca="1" ref="AG40">IF(ROW()=ROW($AG$3)+1,0,INDEX($AG:$AG,ROW()-1))+IF(OR($U40,$V40),1,0)</f>
        <v>15</v>
      </c>
      <c r="AH40" s="20" t="str" cm="1">
        <f t="array" ca="1" aca="1" ref="AH40">IF(OR($U40,$V40),IF($Q40="","",","&amp;SanitizeInput($Q40)),"")</f>
        <v/>
      </c>
      <c r="AI40" s="20" t="str">
        <f t="shared" si="1"/>
        <v>SDR 2.6 - Limited accessibility of short-range wireless communication [acontis techonlogies GmbH]</v>
      </c>
      <c r="AJ40" s="20" t="str" cm="1">
        <f t="array" ref="AJ40">IF($F40="*","",InverseLookupList(SanitizeInput($F40),Questionnaire!$AA$3,Questionnaire!$A$3,Helper!$B$12,","))</f>
        <v/>
      </c>
      <c r="AK40" s="20" t="str" cm="1">
        <f t="array" ref="AK40">RemoveDelimiter(GetValues($AJ40,Questionnaire!$A:$G," ",CHAR(10)&amp;CHAR(10),TRUE),CHAR(10)&amp;CHAR(10))</f>
        <v/>
      </c>
      <c r="AL40" s="20" t="str" cm="1">
        <f t="array" ref="AL40">CreateSearchString($AJ40)</f>
        <v/>
      </c>
      <c r="AM40" s="20" t="str" cm="1">
        <f t="array" ca="1" aca="1" ref="AM40">InverseLookup($A40,Mitigation!$AD$2,Mitigation!$A$2,1,Helper!$B$5,",")</f>
        <v/>
      </c>
      <c r="AN40" s="20" t="str" cm="1">
        <f t="array" ca="1" aca="1" ref="AN40">CreateSearchString(GetValues($AM40,'Attack Steps'!$A:$O,"",",",FALSE))</f>
        <v/>
      </c>
      <c r="AO40" s="20" t="str">
        <f t="shared" si="2"/>
        <v>A37</v>
      </c>
    </row>
    <row r="41" spans="1:41" ht="150">
      <c r="A41" s="10" t="s">
        <v>1363</v>
      </c>
      <c r="B41" s="13" t="s">
        <v>1576</v>
      </c>
      <c r="C41" s="13" t="str" cm="1">
        <f t="array" ref="C41">"As the credentials stored on the product are exclusively used for the intended purpose, the resulting damages are at most: "&amp;IFERROR(SimpleLookup*(SimpleLookup*(Questions!$A$13,Questionnaire!$A:$E),Definitions!$H:$J),"")&amp;CHAR(10)&amp;CHAR(10)&amp;"The customer applies the principle of least privilege to access rights allowing changes to the product or its configuration:"&amp;CHAR(10)&amp;"Applying the principle of least privilege to access rights that allow changes to the product (including its configuration), the customer prevents workers from disabling safety measures."&amp;" It is up to the customer to ensure that the privileged persons act responsibly and that they do not disable safety measures."</f>
        <v>As the credentials stored on the product are exclusively used for the intended purpose, the resulting damages are at most: 
The customer applies the principle of least privilege to access rights allowing changes to the product or its configuration:
Applying the principle of least privilege to access rights that allow changes to the product (including its configuration), the customer prevents workers from disabling safety measures. It is up to the customer to ensure that the privileged persons act responsibly and that they do not disable safety measures.</v>
      </c>
      <c r="D41" s="13" t="s">
        <v>1642</v>
      </c>
      <c r="E41" s="13" t="s">
        <v>372</v>
      </c>
      <c r="F41" s="13" t="s">
        <v>1643</v>
      </c>
      <c r="G41" s="13"/>
      <c r="H41" s="33" t="str" cm="1">
        <f t="array" ref="H41">LookupNames(SanitizeInput($G41),'Attack Steps'!$A:$B)</f>
        <v/>
      </c>
      <c r="I41" s="13"/>
      <c r="J41" s="37" t="str" cm="1">
        <f t="array" ref="J41">IF($I41="","",SUBSTITUTE(SUBSTITUTE(SUBSTITUTE(SUBSTITUTE(SUBSTITUTE(SUBSTITUTE(SUBSTITUTE(SUBSTITUTE(SUBSTITUTE(GetTransformation(SanitizeInput($I41),'Damage Scenarios'!$A:$J,COLUMNS('Damage Scenarios'!$A:$J),CHAR(10),"[#0][#1][#2]")&amp;"§","[#1][#2]",""),"[#2]",""),"[#0][#1]","[#1]"),"[#0]","Removes:"&amp;CHAR(10)),"[#1]","Transforms:"&amp;CHAR(10)),CHAR(10)&amp;"§",""),"§",""),CHAR(10),CHAR(10)&amp;"   "),"   "&amp;"Transforms:","Transforms:"))</f>
        <v/>
      </c>
      <c r="K41" s="13"/>
      <c r="L41" s="13"/>
      <c r="M41" s="13"/>
      <c r="N41" s="13"/>
      <c r="O41" s="13"/>
      <c r="P41" s="33" t="str">
        <f ca="1">IF($A41="","",IFERROR(VLOOKUP($AE41,Definitions!$V:$W,COLUMNS(Definitions!$V:$W),TRUE),""))</f>
        <v>Basic</v>
      </c>
      <c r="Q41" s="13" t="s">
        <v>637</v>
      </c>
      <c r="R41" s="13"/>
      <c r="S41" s="13" t="str">
        <f>"Note that the effects of this are modeled in countermeasure "&amp;Countermeasures!A6&amp;", as the product must offer the functionality to apply the principle of least privilege."&amp;"
Note that a device with no credentials fulfills this requirement."</f>
        <v>Note that the effects of this are modeled in countermeasure C3, as the product must offer the functionality to apply the principle of least privilege.
Note that a device with no credentials fulfills this requirement.</v>
      </c>
      <c r="T41" s="10" cm="1">
        <f t="array" ref="T41">IF(ROW()=ROW($T$3)+1,0,INDEX($T:$T,ROW()-1))+IF($A41="",0,1)</f>
        <v>38</v>
      </c>
      <c r="U41" s="20" t="b">
        <f ca="1">OR(CheckRelevance(SanitizeInput(F41),Questionnaire!$I:$I),IFERROR(_xlfn.XMATCH("*,"&amp;$A41&amp;",*",Countermeasures!$AG:$AG,2)&gt;0,FALSE))</f>
        <v>1</v>
      </c>
      <c r="V41" s="20" t="b">
        <f>IFERROR(_xlfn.XMATCH("*,"&amp;$A41&amp;",*",Mitigation!$X:$X,2)&gt;0,FALSE)</f>
        <v>0</v>
      </c>
      <c r="W41" s="20" cm="1">
        <f t="array" ref="W41">CreateTaskID($W$3,$W:$W,Tasks!$B$17,$S41)</f>
        <v>0</v>
      </c>
      <c r="X41" s="20" t="str" cm="1">
        <f t="array" ca="1" aca="1" ref="X41">IF(OR($G41="",NOT($U41)),"",","&amp;SanitizeInput($G41))</f>
        <v/>
      </c>
      <c r="Y41" s="20" t="str" cm="1">
        <f t="array" ref="Y41">IF($G41="","",","&amp;SanitizeInput($G41))</f>
        <v/>
      </c>
      <c r="Z41" s="20">
        <f>IF(K41="",0,VLOOKUP(K41,Definitions!$Z:$AA,COLUMNS(Definitions!$Z:$AA),FALSE))</f>
        <v>0</v>
      </c>
      <c r="AA41" s="20">
        <f>IF(L41="",0,VLOOKUP(L41,Definitions!$Z:$AA,COLUMNS(Definitions!$Z:$AA),FALSE))</f>
        <v>0</v>
      </c>
      <c r="AB41" s="20">
        <f>IF(M41="",0,VLOOKUP(M41,Definitions!$Z:$AA,COLUMNS(Definitions!$Z:$AA),FALSE))</f>
        <v>0</v>
      </c>
      <c r="AC41" s="20">
        <f>IF(N41="",0,VLOOKUP(N41,Definitions!$Z:$AA,COLUMNS(Definitions!$Z:$AA),FALSE))</f>
        <v>0</v>
      </c>
      <c r="AD41" s="20">
        <f>IF(O41="",0,VLOOKUP(O41,Definitions!$Z:$AA,COLUMNS(Definitions!$Z:$AA),FALSE))</f>
        <v>0</v>
      </c>
      <c r="AE41" s="20">
        <f t="shared" ca="1" si="0"/>
        <v>0</v>
      </c>
      <c r="AF41" s="20" t="str" cm="1">
        <f t="array" ref="AF41">SUBSTITUTE(IF($V41,IF($I41="","",","&amp;SanitizeInput($I41)),""),"&gt;",",")</f>
        <v/>
      </c>
      <c r="AG41" s="20" cm="1">
        <f t="array" ca="1" aca="1" ref="AG41">IF(ROW()=ROW($AG$3)+1,0,INDEX($AG:$AG,ROW()-1))+IF(OR($U41,$V41),1,0)</f>
        <v>16</v>
      </c>
      <c r="AH41" s="20" t="str" cm="1">
        <f t="array" ca="1" aca="1" ref="AH41">IF(OR($U41,$V41),IF($Q41="","",","&amp;SanitizeInput($Q41)),"")</f>
        <v>,j,</v>
      </c>
      <c r="AI41" s="20" t="str">
        <f t="shared" si="1"/>
        <v>SDR 1.20 - Least privilege for provided credentials [Customer]</v>
      </c>
      <c r="AJ41" s="20" t="str" cm="1">
        <f t="array" ca="1" aca="1" ref="AJ41">IF($F41="*","",InverseLookupList(SanitizeInput($F41),Questionnaire!$AA$3,Questionnaire!$A$3,Helper!$B$12,","))</f>
        <v>QI5,</v>
      </c>
      <c r="AK41" s="20" t="str" cm="1">
        <f t="array" ca="1" aca="1" ref="AK41">RemoveDelimiter(GetValues($AJ41,Questionnaire!$A:$G," ",CHAR(10)&amp;CHAR(10),TRUE),CHAR(10)&amp;CHAR(10))</f>
        <v>QI5 Again, the EC-Master stack just transports data but does not process nor store data. The data is opauqe for the EC-Master stack. TLS excluded in this answer.</v>
      </c>
      <c r="AL41" s="20" t="str" cm="1">
        <f t="array" ca="1" aca="1" ref="AL41">CreateSearchString($AJ41)</f>
        <v>,QI5,</v>
      </c>
      <c r="AM41" s="20" t="str" cm="1">
        <f t="array" ca="1" aca="1" ref="AM41">InverseLookup($A41,Mitigation!$AD$2,Mitigation!$A$2,1,Helper!$B$5,",")</f>
        <v/>
      </c>
      <c r="AN41" s="20" t="str" cm="1">
        <f t="array" ca="1" aca="1" ref="AN41">CreateSearchString(GetValues($AM41,'Attack Steps'!$A:$O,"",",",FALSE))</f>
        <v/>
      </c>
      <c r="AO41" s="20" t="str">
        <f t="shared" si="2"/>
        <v>A38</v>
      </c>
    </row>
    <row r="42" spans="1:41" ht="60">
      <c r="A42" s="10" t="s">
        <v>1390</v>
      </c>
      <c r="B42" s="13" t="str">
        <f>"SDR 2.11 - The customer is trusted not to extract "&amp;Definitions!$C$4&amp;" IP"</f>
        <v>SDR 2.11 - The customer is trusted not to extract acontis techonlogies GmbH IP</v>
      </c>
      <c r="C42" s="13" t="str">
        <f>"Customers buying the product are trusted not to extract "&amp;Definitions!$C$4&amp;" intellectual property from the product. Note that this implies that the product cannot be bought freely by any party, but only by selected customers."</f>
        <v>Customers buying the product are trusted not to extract acontis techonlogies GmbH intellectual property from the product. Note that this implies that the product cannot be bought freely by any party, but only by selected customers.</v>
      </c>
      <c r="D42" s="13" t="str">
        <f>"Customers buying the product are trusted not to extract "&amp;Definitions!$C$4&amp;" intellectual property from the product. This is only valid if the product cannot be bought freely by any party, but only by selected customers."</f>
        <v>Customers buying the product are trusted not to extract acontis techonlogies GmbH intellectual property from the product. This is only valid if the product cannot be bought freely by any party, but only by selected customers.</v>
      </c>
      <c r="E42" s="13" t="str">
        <f>Definitions!$C$4</f>
        <v>acontis techonlogies GmbH</v>
      </c>
      <c r="F42" s="13"/>
      <c r="G42" s="13" t="s">
        <v>332</v>
      </c>
      <c r="H42" s="33" t="str" cm="1">
        <f t="array" ca="1" aca="1" ref="H42">LookupNames(SanitizeInput($G42),'Attack Steps'!$A:$B)</f>
        <v>AS22 Gaining physical access to the product (customer)</v>
      </c>
      <c r="I42" s="13" t="s">
        <v>1391</v>
      </c>
      <c r="J42" s="37" t="str" cm="1">
        <f t="array" ca="1" aca="1" ref="J42">IF($I42="","",SUBSTITUTE(SUBSTITUTE(SUBSTITUTE(SUBSTITUTE(SUBSTITUTE(SUBSTITUTE(SUBSTITUTE(SUBSTITUTE(SUBSTITUTE(GetTransformation(SanitizeInput($I42),'Damage Scenarios'!$A:$J,COLUMNS('Damage Scenarios'!$A:$J),CHAR(10),"[#0][#1][#2]")&amp;"§","[#1][#2]",""),"[#2]",""),"[#0][#1]","[#1]"),"[#0]","Removes:"&amp;CHAR(10)),"[#1]","Transforms:"&amp;CHAR(10)),CHAR(10)&amp;"§",""),"§",""),CHAR(10),CHAR(10)&amp;"   "),"   "&amp;"Transforms:","Transforms:"))</f>
        <v>Removes:
   DS3 Disclosure of acontis techonlogies GmbH IP (moderately innovative)
   DS12 IP (highly innovative) disclosed by manipulated product</v>
      </c>
      <c r="K42" s="13"/>
      <c r="L42" s="13"/>
      <c r="M42" s="13"/>
      <c r="N42" s="13"/>
      <c r="O42" s="13"/>
      <c r="P42" s="33" t="str">
        <f ca="1">IF($A42="","",IFERROR(VLOOKUP($AE42,Definitions!$V:$W,COLUMNS(Definitions!$V:$W),TRUE),""))</f>
        <v>Basic</v>
      </c>
      <c r="Q42" s="13" t="s">
        <v>62</v>
      </c>
      <c r="R42" s="13"/>
      <c r="S42" s="13" t="str" cm="1">
        <f t="array" ca="1" aca="1" ref="S42">"If this assumption is assigned to AS22 in the "&amp;GetSheetName(Mitigation!$P$2)&amp;" sheet, then all attack paths with AS22 as attack preparation ignore IP-related damages."</f>
        <v>If this assumption is assigned to AS22 in the Mitigation sheet, then all attack paths with AS22 as attack preparation ignore IP-related damages.</v>
      </c>
      <c r="T42" s="10" cm="1">
        <f t="array" ref="T42">IF(ROW()=ROW($T$3)+1,0,INDEX($T:$T,ROW()-1))+IF($A42="",0,1)</f>
        <v>39</v>
      </c>
      <c r="U42" s="20" t="b">
        <f ca="1">OR(CheckRelevance(SanitizeInput(F42),Questionnaire!$I:$I),IFERROR(_xlfn.XMATCH("*,"&amp;$A42&amp;",*",Countermeasures!$AG:$AG,2)&gt;0,FALSE))</f>
        <v>0</v>
      </c>
      <c r="V42" s="20" t="b">
        <f>IFERROR(_xlfn.XMATCH("*,"&amp;$A42&amp;",*",Mitigation!$X:$X,2)&gt;0,FALSE)</f>
        <v>0</v>
      </c>
      <c r="W42" s="20" cm="1">
        <f t="array" ca="1" aca="1" ref="W42">CreateTaskID($W$3,$W:$W,Tasks!$B$17,$S42)</f>
        <v>0</v>
      </c>
      <c r="X42" s="20" t="str" cm="1">
        <f t="array" ca="1" aca="1" ref="X42">IF(OR($G42="",NOT($U42)),"",","&amp;SanitizeInput($G42))</f>
        <v/>
      </c>
      <c r="Y42" s="20" t="str" cm="1">
        <f t="array" ref="Y42">IF($G42="","",","&amp;SanitizeInput($G42))</f>
        <v>,AS22,</v>
      </c>
      <c r="Z42" s="20">
        <f>IF(K42="",0,VLOOKUP(K42,Definitions!$Z:$AA,COLUMNS(Definitions!$Z:$AA),FALSE))</f>
        <v>0</v>
      </c>
      <c r="AA42" s="20">
        <f>IF(L42="",0,VLOOKUP(L42,Definitions!$Z:$AA,COLUMNS(Definitions!$Z:$AA),FALSE))</f>
        <v>0</v>
      </c>
      <c r="AB42" s="20">
        <f>IF(M42="",0,VLOOKUP(M42,Definitions!$Z:$AA,COLUMNS(Definitions!$Z:$AA),FALSE))</f>
        <v>0</v>
      </c>
      <c r="AC42" s="20">
        <f>IF(N42="",0,VLOOKUP(N42,Definitions!$Z:$AA,COLUMNS(Definitions!$Z:$AA),FALSE))</f>
        <v>0</v>
      </c>
      <c r="AD42" s="20">
        <f>IF(O42="",0,VLOOKUP(O42,Definitions!$Z:$AA,COLUMNS(Definitions!$Z:$AA),FALSE))</f>
        <v>0</v>
      </c>
      <c r="AE42" s="20">
        <f t="shared" ca="1" si="0"/>
        <v>0</v>
      </c>
      <c r="AF42" s="20" t="str" cm="1">
        <f t="array" ref="AF42">SUBSTITUTE(IF($V42,IF($I42="","",","&amp;SanitizeInput($I42)),""),"&gt;",",")</f>
        <v/>
      </c>
      <c r="AG42" s="20" cm="1">
        <f t="array" ca="1" aca="1" ref="AG42">IF(ROW()=ROW($AG$3)+1,0,INDEX($AG:$AG,ROW()-1))+IF(OR($U42,$V42),1,0)</f>
        <v>16</v>
      </c>
      <c r="AH42" s="20" t="str" cm="1">
        <f t="array" ca="1" aca="1" ref="AH42">IF(OR($U42,$V42),IF($Q42="","",","&amp;SanitizeInput($Q42)),"")</f>
        <v/>
      </c>
      <c r="AI42" s="20" t="str">
        <f t="shared" si="1"/>
        <v>SDR 2.11 - The customer is trusted not to extract acontis techonlogies GmbH IP [acontis techonlogies GmbH]</v>
      </c>
      <c r="AJ42" s="20" t="str" cm="1">
        <f t="array" ref="AJ42">IF($F42="*","",InverseLookupList(SanitizeInput($F42),Questionnaire!$AA$3,Questionnaire!$A$3,Helper!$B$12,","))</f>
        <v/>
      </c>
      <c r="AK42" s="20" t="str" cm="1">
        <f t="array" ref="AK42">RemoveDelimiter(GetValues($AJ42,Questionnaire!$A:$G," ",CHAR(10)&amp;CHAR(10),TRUE),CHAR(10)&amp;CHAR(10))</f>
        <v/>
      </c>
      <c r="AL42" s="20" t="str" cm="1">
        <f t="array" ref="AL42">CreateSearchString($AJ42)</f>
        <v/>
      </c>
      <c r="AM42" s="20" t="str" cm="1">
        <f t="array" ca="1" aca="1" ref="AM42">InverseLookup($A42,Mitigation!$AD$2,Mitigation!$A$2,1,Helper!$B$5,",")</f>
        <v/>
      </c>
      <c r="AN42" s="20" t="str" cm="1">
        <f t="array" ca="1" aca="1" ref="AN42">CreateSearchString(GetValues($AM42,'Attack Steps'!$A:$O,"",",",FALSE))</f>
        <v/>
      </c>
      <c r="AO42" s="20" t="str">
        <f t="shared" si="2"/>
        <v>A39</v>
      </c>
    </row>
    <row r="43" spans="1:41" ht="105">
      <c r="A43" s="10" t="s">
        <v>1478</v>
      </c>
      <c r="B43" s="13" t="s">
        <v>1592</v>
      </c>
      <c r="C43" s="13" t="s">
        <v>1479</v>
      </c>
      <c r="D43" s="13" t="s">
        <v>1593</v>
      </c>
      <c r="E43" s="13" t="str">
        <f>Definitions!$C$4</f>
        <v>acontis techonlogies GmbH</v>
      </c>
      <c r="F43" s="13"/>
      <c r="G43" s="13" t="s">
        <v>989</v>
      </c>
      <c r="H43" s="33" t="str" cm="1">
        <f t="array" ca="1" aca="1" ref="H43">LookupNames(SanitizeInput($G43),'Attack Steps'!$A:$B)</f>
        <v>AS35 Disrupting the product's communication with an external entity (with communication over the Internet or a mobile network)</v>
      </c>
      <c r="I43" s="13" t="s">
        <v>1480</v>
      </c>
      <c r="J43" s="37" t="str" cm="1">
        <f t="array" ca="1" aca="1" ref="J43">IF($I43="","",SUBSTITUTE(SUBSTITUTE(SUBSTITUTE(SUBSTITUTE(SUBSTITUTE(SUBSTITUTE(SUBSTITUTE(SUBSTITUTE(SUBSTITUTE(GetTransformation(SanitizeInput($I43),'Damage Scenarios'!$A:$J,COLUMNS('Damage Scenarios'!$A:$J),CHAR(10),"[#0][#1][#2]")&amp;"§","[#1][#2]",""),"[#2]",""),"[#0][#1]","[#1]"),"[#0]","Removes:"&amp;CHAR(10)),"[#1]","Transforms:"&amp;CHAR(10)),CHAR(10)&amp;"§",""),"§",""),CHAR(10),CHAR(10)&amp;"   "),"   "&amp;"Transforms:","Transforms:"))</f>
        <v>Removes:
   DS6 Life-threatening injury caused by unavailable product
   DS7 Critical environmental damage caused by unavailable product
   DS8 Loss of Critical financial damage caused by unavailable product</v>
      </c>
      <c r="K43" s="13"/>
      <c r="L43" s="13"/>
      <c r="M43" s="13"/>
      <c r="N43" s="13"/>
      <c r="O43" s="13"/>
      <c r="P43" s="33" t="str">
        <f ca="1">IF($A43="","",IFERROR(VLOOKUP($AE43,Definitions!$V:$W,COLUMNS(Definitions!$V:$W),TRUE),""))</f>
        <v>Basic</v>
      </c>
      <c r="Q43" s="13" t="s">
        <v>62</v>
      </c>
      <c r="R43" s="13"/>
      <c r="S43" s="13" t="s">
        <v>1481</v>
      </c>
      <c r="T43" s="10" cm="1">
        <f t="array" ref="T43">IF(ROW()=ROW($T$3)+1,0,INDEX($T:$T,ROW()-1))+IF($A43="",0,1)</f>
        <v>40</v>
      </c>
      <c r="U43" s="20" t="b">
        <f ca="1">OR(CheckRelevance(SanitizeInput(F43),Questionnaire!$I:$I),IFERROR(_xlfn.XMATCH("*,"&amp;$A43&amp;",*",Countermeasures!$AG:$AG,2)&gt;0,FALSE))</f>
        <v>0</v>
      </c>
      <c r="V43" s="20" t="b">
        <f>IFERROR(_xlfn.XMATCH("*,"&amp;$A43&amp;",*",Mitigation!$X:$X,2)&gt;0,FALSE)</f>
        <v>0</v>
      </c>
      <c r="W43" s="20" cm="1">
        <f t="array" ca="1" aca="1" ref="W43">CreateTaskID($W$3,$W:$W,Tasks!$B$17,$S43)</f>
        <v>0</v>
      </c>
      <c r="X43" s="20" t="str" cm="1">
        <f t="array" ca="1" aca="1" ref="X43">IF(OR($G43="",NOT($U43)),"",","&amp;SanitizeInput($G43))</f>
        <v/>
      </c>
      <c r="Y43" s="20" t="str" cm="1">
        <f t="array" ref="Y43">IF($G43="","",","&amp;SanitizeInput($G43))</f>
        <v>,AS35,</v>
      </c>
      <c r="Z43" s="20">
        <f>IF(K43="",0,VLOOKUP(K43,Definitions!$Z:$AA,COLUMNS(Definitions!$Z:$AA),FALSE))</f>
        <v>0</v>
      </c>
      <c r="AA43" s="20">
        <f>IF(L43="",0,VLOOKUP(L43,Definitions!$Z:$AA,COLUMNS(Definitions!$Z:$AA),FALSE))</f>
        <v>0</v>
      </c>
      <c r="AB43" s="20">
        <f>IF(M43="",0,VLOOKUP(M43,Definitions!$Z:$AA,COLUMNS(Definitions!$Z:$AA),FALSE))</f>
        <v>0</v>
      </c>
      <c r="AC43" s="20">
        <f>IF(N43="",0,VLOOKUP(N43,Definitions!$Z:$AA,COLUMNS(Definitions!$Z:$AA),FALSE))</f>
        <v>0</v>
      </c>
      <c r="AD43" s="20">
        <f>IF(O43="",0,VLOOKUP(O43,Definitions!$Z:$AA,COLUMNS(Definitions!$Z:$AA),FALSE))</f>
        <v>0</v>
      </c>
      <c r="AE43" s="20">
        <f t="shared" ca="1" si="0"/>
        <v>0</v>
      </c>
      <c r="AF43" s="20" t="str" cm="1">
        <f t="array" ref="AF43">SUBSTITUTE(IF($V43,IF($I43="","",","&amp;SanitizeInput($I43)),""),"&gt;",",")</f>
        <v/>
      </c>
      <c r="AG43" s="20" cm="1">
        <f t="array" ca="1" aca="1" ref="AG43">IF(ROW()=ROW($AG$3)+1,0,INDEX($AG:$AG,ROW()-1))+IF(OR($U43,$V43),1,0)</f>
        <v>16</v>
      </c>
      <c r="AH43" s="20" t="str" cm="1">
        <f t="array" ca="1" aca="1" ref="AH43">IF(OR($U43,$V43),IF($Q43="","",","&amp;SanitizeInput($Q43)),"")</f>
        <v/>
      </c>
      <c r="AI43" s="20" t="str">
        <f t="shared" si="1"/>
        <v>SDR 1.29 - Loss of external connectivity (Internet, mobile network) only leads to quality-related issues [acontis techonlogies GmbH]</v>
      </c>
      <c r="AJ43" s="20" t="str" cm="1">
        <f t="array" ref="AJ43">IF($F43="*","",InverseLookupList(SanitizeInput($F43),Questionnaire!$AA$3,Questionnaire!$A$3,Helper!$B$12,","))</f>
        <v/>
      </c>
      <c r="AK43" s="20" t="str" cm="1">
        <f t="array" ref="AK43">RemoveDelimiter(GetValues($AJ43,Questionnaire!$A:$G," ",CHAR(10)&amp;CHAR(10),TRUE),CHAR(10)&amp;CHAR(10))</f>
        <v/>
      </c>
      <c r="AL43" s="20" t="str" cm="1">
        <f t="array" ref="AL43">CreateSearchString($AJ43)</f>
        <v/>
      </c>
      <c r="AM43" s="20" t="str" cm="1">
        <f t="array" ca="1" aca="1" ref="AM43">InverseLookup($A43,Mitigation!$AD$2,Mitigation!$A$2,1,Helper!$B$5,",")</f>
        <v/>
      </c>
      <c r="AN43" s="20" t="str" cm="1">
        <f t="array" ca="1" aca="1" ref="AN43">CreateSearchString(GetValues($AM43,'Attack Steps'!$A:$O,"",",",FALSE))</f>
        <v/>
      </c>
      <c r="AO43" s="20" t="str">
        <f t="shared" si="2"/>
        <v>A41</v>
      </c>
    </row>
    <row r="44" spans="1:41" ht="45">
      <c r="A44" s="10" t="s">
        <v>1534</v>
      </c>
      <c r="B44" s="13" t="s">
        <v>1535</v>
      </c>
      <c r="C44" s="13" t="s">
        <v>1541</v>
      </c>
      <c r="D44" s="13" t="s">
        <v>1536</v>
      </c>
      <c r="E44" s="13" t="str">
        <f>Definitions!$C$4</f>
        <v>acontis techonlogies GmbH</v>
      </c>
      <c r="F44" s="13" t="s">
        <v>1637</v>
      </c>
      <c r="G44" s="13"/>
      <c r="H44" s="33" t="str" cm="1">
        <f t="array" ref="H44">LookupNames(SanitizeInput($G44),'Attack Steps'!$A:$B)</f>
        <v/>
      </c>
      <c r="I44" s="13"/>
      <c r="J44" s="37" t="str" cm="1">
        <f t="array" ref="J44">IF($I44="","",SUBSTITUTE(SUBSTITUTE(SUBSTITUTE(SUBSTITUTE(SUBSTITUTE(SUBSTITUTE(SUBSTITUTE(SUBSTITUTE(SUBSTITUTE(GetTransformation(SanitizeInput($I44),'Damage Scenarios'!$A:$J,COLUMNS('Damage Scenarios'!$A:$J),CHAR(10),"[#0][#1][#2]")&amp;"§","[#1][#2]",""),"[#2]",""),"[#0][#1]","[#1]"),"[#0]","Removes:"&amp;CHAR(10)),"[#1]","Transforms:"&amp;CHAR(10)),CHAR(10)&amp;"§",""),"§",""),CHAR(10),CHAR(10)&amp;"   "),"   "&amp;"Transforms:","Transforms:"))</f>
        <v/>
      </c>
      <c r="K44" s="13"/>
      <c r="L44" s="13"/>
      <c r="M44" s="13"/>
      <c r="N44" s="13"/>
      <c r="O44" s="13"/>
      <c r="P44" s="33" t="str">
        <f ca="1">IF($A44="","",IFERROR(VLOOKUP($AE44,Definitions!$V:$W,COLUMNS(Definitions!$V:$W),TRUE),""))</f>
        <v>Basic</v>
      </c>
      <c r="Q44" s="13" t="s">
        <v>62</v>
      </c>
      <c r="R44" s="13"/>
      <c r="S44" s="13" t="s">
        <v>1658</v>
      </c>
      <c r="T44" s="10" cm="1">
        <f t="array" ref="T44">IF(ROW()=ROW($T$3)+1,0,INDEX($T:$T,ROW()-1))+IF($A44="",0,1)</f>
        <v>41</v>
      </c>
      <c r="U44" s="20" t="b">
        <f ca="1">OR(CheckRelevance(SanitizeInput(F44),Questionnaire!$I:$I),IFERROR(_xlfn.XMATCH("*,"&amp;$A44&amp;",*",Countermeasures!$AG:$AG,2)&gt;0,FALSE))</f>
        <v>1</v>
      </c>
      <c r="V44" s="20" t="b">
        <f>IFERROR(_xlfn.XMATCH("*,"&amp;$A44&amp;",*",Mitigation!$X:$X,2)&gt;0,FALSE)</f>
        <v>0</v>
      </c>
      <c r="W44" s="20" cm="1">
        <f t="array" ca="1" aca="1" ref="W44">CreateTaskID($W$3,$W:$W,Tasks!$B$17,$S44)</f>
        <v>0</v>
      </c>
      <c r="X44" s="20" t="str" cm="1">
        <f t="array" ca="1" aca="1" ref="X44">IF(OR($G44="",NOT($U44)),"",","&amp;SanitizeInput($G44))</f>
        <v/>
      </c>
      <c r="Y44" s="20" t="str" cm="1">
        <f t="array" ref="Y44">IF($G44="","",","&amp;SanitizeInput($G44))</f>
        <v/>
      </c>
      <c r="Z44" s="20">
        <f>IF(K44="",0,VLOOKUP(K44,Definitions!$Z:$AA,COLUMNS(Definitions!$Z:$AA),FALSE))</f>
        <v>0</v>
      </c>
      <c r="AA44" s="20">
        <f>IF(L44="",0,VLOOKUP(L44,Definitions!$Z:$AA,COLUMNS(Definitions!$Z:$AA),FALSE))</f>
        <v>0</v>
      </c>
      <c r="AB44" s="20">
        <f>IF(M44="",0,VLOOKUP(M44,Definitions!$Z:$AA,COLUMNS(Definitions!$Z:$AA),FALSE))</f>
        <v>0</v>
      </c>
      <c r="AC44" s="20">
        <f>IF(N44="",0,VLOOKUP(N44,Definitions!$Z:$AA,COLUMNS(Definitions!$Z:$AA),FALSE))</f>
        <v>0</v>
      </c>
      <c r="AD44" s="20">
        <f>IF(O44="",0,VLOOKUP(O44,Definitions!$Z:$AA,COLUMNS(Definitions!$Z:$AA),FALSE))</f>
        <v>0</v>
      </c>
      <c r="AE44" s="20">
        <f t="shared" ca="1" si="0"/>
        <v>0</v>
      </c>
      <c r="AF44" s="20" t="str" cm="1">
        <f t="array" ref="AF44">SUBSTITUTE(IF($V44,IF($I44="","",","&amp;SanitizeInput($I44)),""),"&gt;",",")</f>
        <v/>
      </c>
      <c r="AG44" s="20" cm="1">
        <f t="array" ca="1" aca="1" ref="AG44">IF(ROW()=ROW($AG$3)+1,0,INDEX($AG:$AG,ROW()-1))+IF(OR($U44,$V44),1,0)</f>
        <v>17</v>
      </c>
      <c r="AH44" s="20" t="str" cm="1">
        <f t="array" ca="1" aca="1" ref="AH44">IF(OR($U44,$V44),IF($Q44="","",","&amp;SanitizeInput($Q44)),"")</f>
        <v/>
      </c>
      <c r="AI44" s="20" t="str">
        <f t="shared" si="1"/>
        <v>SDR 1.1 – List all network traffic [acontis techonlogies GmbH]</v>
      </c>
      <c r="AJ44" s="20" t="str" cm="1">
        <f t="array" ca="1" aca="1" ref="AJ44">IF($F44="*","",InverseLookupList(SanitizeInput($F44),Questionnaire!$AA$3,Questionnaire!$A$3,Helper!$B$12,","))</f>
        <v>QA1,</v>
      </c>
      <c r="AK44" s="20" t="str" cm="1">
        <f t="array" ca="1" aca="1" ref="AK44">RemoveDelimiter(GetValues($AJ44,Questionnaire!$A:$G," ",CHAR(10)&amp;CHAR(10),TRUE),CHAR(10)&amp;CHAR(10))</f>
        <v xml:space="preserve">QA1 </v>
      </c>
      <c r="AL44" s="20" t="str" cm="1">
        <f t="array" ca="1" aca="1" ref="AL44">CreateSearchString($AJ44)</f>
        <v>,QA1,</v>
      </c>
      <c r="AM44" s="20" t="str" cm="1">
        <f t="array" ca="1" aca="1" ref="AM44">InverseLookup($A44,Mitigation!$AD$2,Mitigation!$A$2,1,Helper!$B$5,",")</f>
        <v/>
      </c>
      <c r="AN44" s="20" t="str" cm="1">
        <f t="array" ca="1" aca="1" ref="AN44">CreateSearchString(GetValues($AM44,'Attack Steps'!$A:$O,"",",",FALSE))</f>
        <v/>
      </c>
      <c r="AO44" s="20" t="str">
        <f t="shared" si="2"/>
        <v>A42</v>
      </c>
    </row>
    <row r="45" spans="1:41" ht="45">
      <c r="A45" s="10" t="s">
        <v>1571</v>
      </c>
      <c r="B45" s="13" t="s">
        <v>1569</v>
      </c>
      <c r="C45" s="13" t="s">
        <v>1570</v>
      </c>
      <c r="D45" s="13" t="s">
        <v>1638</v>
      </c>
      <c r="E45" s="13" t="str">
        <f>Definitions!$C$4</f>
        <v>acontis techonlogies GmbH</v>
      </c>
      <c r="F45" s="13" t="s">
        <v>418</v>
      </c>
      <c r="G45" s="13"/>
      <c r="H45" s="33" t="str" cm="1">
        <f t="array" ref="H45">LookupNames(SanitizeInput($G45),'Attack Steps'!$A:$B)</f>
        <v/>
      </c>
      <c r="I45" s="13"/>
      <c r="J45" s="37" t="str" cm="1">
        <f t="array" ref="J45">IF($I45="","",SUBSTITUTE(SUBSTITUTE(SUBSTITUTE(SUBSTITUTE(SUBSTITUTE(SUBSTITUTE(SUBSTITUTE(SUBSTITUTE(SUBSTITUTE(GetTransformation(SanitizeInput($I45),'Damage Scenarios'!$A:$J,COLUMNS('Damage Scenarios'!$A:$J),CHAR(10),"[#0][#1][#2]")&amp;"§","[#1][#2]",""),"[#2]",""),"[#0][#1]","[#1]"),"[#0]","Removes:"&amp;CHAR(10)),"[#1]","Transforms:"&amp;CHAR(10)),CHAR(10)&amp;"§",""),"§",""),CHAR(10),CHAR(10)&amp;"   "),"   "&amp;"Transforms:","Transforms:"))</f>
        <v/>
      </c>
      <c r="K45" s="13"/>
      <c r="L45" s="13"/>
      <c r="M45" s="13"/>
      <c r="N45" s="13"/>
      <c r="O45" s="13"/>
      <c r="P45" s="33" t="str">
        <f ca="1">IF($A45="","",IFERROR(VLOOKUP($AE45,Definitions!$V:$W,COLUMNS(Definitions!$V:$W),TRUE),""))</f>
        <v>Basic</v>
      </c>
      <c r="Q45" s="13" t="s">
        <v>62</v>
      </c>
      <c r="R45" s="13"/>
      <c r="S45" s="13"/>
      <c r="T45" s="10" cm="1">
        <f t="array" ref="T45">IF(ROW()=ROW($T$3)+1,0,INDEX($T:$T,ROW()-1))+IF($A45="",0,1)</f>
        <v>42</v>
      </c>
      <c r="U45" s="20" t="b">
        <f ca="1">OR(CheckRelevance(SanitizeInput(F45),Questionnaire!$I:$I),IFERROR(_xlfn.XMATCH("*,"&amp;$A45&amp;",*",Countermeasures!$AG:$AG,2)&gt;0,FALSE))</f>
        <v>1</v>
      </c>
      <c r="V45" s="20" t="b">
        <f>IFERROR(_xlfn.XMATCH("*,"&amp;$A45&amp;",*",Mitigation!$X:$X,2)&gt;0,FALSE)</f>
        <v>0</v>
      </c>
      <c r="W45" s="20" cm="1">
        <f t="array" ca="1" aca="1" ref="W45">CreateTaskID($W$3,$W:$W,Tasks!$B$17,$S45)</f>
        <v>0</v>
      </c>
      <c r="X45" s="20" t="str" cm="1">
        <f t="array" ca="1" aca="1" ref="X45">IF(OR($G45="",NOT($U45)),"",","&amp;SanitizeInput($G45))</f>
        <v/>
      </c>
      <c r="Y45" s="20" t="str" cm="1">
        <f t="array" ref="Y45">IF($G45="","",","&amp;SanitizeInput($G45))</f>
        <v/>
      </c>
      <c r="Z45" s="20">
        <f>IF(K45="",0,VLOOKUP(K45,Definitions!$Z:$AA,COLUMNS(Definitions!$Z:$AA),FALSE))</f>
        <v>0</v>
      </c>
      <c r="AA45" s="20">
        <f>IF(L45="",0,VLOOKUP(L45,Definitions!$Z:$AA,COLUMNS(Definitions!$Z:$AA),FALSE))</f>
        <v>0</v>
      </c>
      <c r="AB45" s="20">
        <f>IF(M45="",0,VLOOKUP(M45,Definitions!$Z:$AA,COLUMNS(Definitions!$Z:$AA),FALSE))</f>
        <v>0</v>
      </c>
      <c r="AC45" s="20">
        <f>IF(N45="",0,VLOOKUP(N45,Definitions!$Z:$AA,COLUMNS(Definitions!$Z:$AA),FALSE))</f>
        <v>0</v>
      </c>
      <c r="AD45" s="20">
        <f>IF(O45="",0,VLOOKUP(O45,Definitions!$Z:$AA,COLUMNS(Definitions!$Z:$AA),FALSE))</f>
        <v>0</v>
      </c>
      <c r="AE45" s="20">
        <f t="shared" ca="1" si="0"/>
        <v>0</v>
      </c>
      <c r="AF45" s="20" t="str" cm="1">
        <f t="array" ref="AF45">SUBSTITUTE(IF($V45,IF($I45="","",","&amp;SanitizeInput($I45)),""),"&gt;",",")</f>
        <v/>
      </c>
      <c r="AG45" s="20" cm="1">
        <f t="array" ca="1" aca="1" ref="AG45">IF(ROW()=ROW($AG$3)+1,0,INDEX($AG:$AG,ROW()-1))+IF(OR($U45,$V45),1,0)</f>
        <v>18</v>
      </c>
      <c r="AH45" s="20" t="str" cm="1">
        <f t="array" ca="1" aca="1" ref="AH45">IF(OR($U45,$V45),IF($Q45="","",","&amp;SanitizeInput($Q45)),"")</f>
        <v/>
      </c>
      <c r="AI45" s="20" t="str">
        <f t="shared" si="1"/>
        <v>SDR 1.17 - Sensing capabilities [acontis techonlogies GmbH]</v>
      </c>
      <c r="AJ45" s="20" t="str" cm="1">
        <f t="array" ref="AJ45">IF($F45="*","",InverseLookupList(SanitizeInput($F45),Questionnaire!$AA$3,Questionnaire!$A$3,Helper!$B$12,","))</f>
        <v/>
      </c>
      <c r="AK45" s="20" t="str" cm="1">
        <f t="array" ref="AK45">RemoveDelimiter(GetValues($AJ45,Questionnaire!$A:$G," ",CHAR(10)&amp;CHAR(10),TRUE),CHAR(10)&amp;CHAR(10))</f>
        <v/>
      </c>
      <c r="AL45" s="20" t="str" cm="1">
        <f t="array" ref="AL45">CreateSearchString($AJ45)</f>
        <v/>
      </c>
      <c r="AM45" s="20" t="str" cm="1">
        <f t="array" ca="1" aca="1" ref="AM45">InverseLookup($A45,Mitigation!$AD$2,Mitigation!$A$2,1,Helper!$B$5,",")</f>
        <v/>
      </c>
      <c r="AN45" s="20" t="str" cm="1">
        <f t="array" ca="1" aca="1" ref="AN45">CreateSearchString(GetValues($AM45,'Attack Steps'!$A:$O,"",",",FALSE))</f>
        <v/>
      </c>
      <c r="AO45" s="20" t="str">
        <f t="shared" si="2"/>
        <v>A43</v>
      </c>
    </row>
    <row r="46" spans="1:41" ht="72.75">
      <c r="A46" s="10" t="s">
        <v>1694</v>
      </c>
      <c r="B46" s="13" t="s">
        <v>1695</v>
      </c>
      <c r="C46" s="13" t="s">
        <v>1696</v>
      </c>
      <c r="D46" s="13"/>
      <c r="E46" s="13" t="s">
        <v>372</v>
      </c>
      <c r="F46" s="13"/>
      <c r="G46" s="13" t="s">
        <v>201</v>
      </c>
      <c r="H46" s="33" t="str" cm="1">
        <f t="array" ca="1" aca="1" ref="H46">LookupNames(SanitizeInput($G46),'Attack Steps'!$A:$B)</f>
        <v>AS14 Disrupting the product's communication over the local network</v>
      </c>
      <c r="I46" s="13" t="s">
        <v>1697</v>
      </c>
      <c r="J46" s="37" t="str" cm="1">
        <f t="array" ca="1" aca="1" ref="J46">IF($I46="","",SUBSTITUTE(SUBSTITUTE(SUBSTITUTE(SUBSTITUTE(SUBSTITUTE(SUBSTITUTE(SUBSTITUTE(SUBSTITUTE(SUBSTITUTE(GetTransformation(SanitizeInput($I46),'Damage Scenarios'!$A:$J,COLUMNS('Damage Scenarios'!$A:$J),CHAR(10),"[#0][#1][#2]")&amp;"§","[#1][#2]",""),"[#2]",""),"[#0][#1]","[#1]"),"[#0]","Removes:"&amp;CHAR(10)),"[#1]","Transforms:"&amp;CHAR(10)),CHAR(10)&amp;"§",""),"§",""),CHAR(10),CHAR(10)&amp;"   "),"   "&amp;"Transforms:","Transforms:"))</f>
        <v>Removes:
   DS7 Critical environmental damage caused by unavailable product
   DS9 
   DS17 Disturbance of function until restore
   DS18 Limited response of the product during DoS attack, recovery afterwards</v>
      </c>
      <c r="K46" s="13"/>
      <c r="L46" s="13"/>
      <c r="M46" s="13"/>
      <c r="N46" s="13"/>
      <c r="O46" s="13"/>
      <c r="P46" s="33" t="str">
        <f ca="1">IF($A46="","",IFERROR(VLOOKUP($AE46,Definitions!$V:$W,COLUMNS(Definitions!$V:$W),TRUE),""))</f>
        <v>Basic</v>
      </c>
      <c r="Q46" s="13"/>
      <c r="R46" s="13"/>
      <c r="S46" s="13"/>
      <c r="T46" s="10" cm="1">
        <f t="array" ref="T46">IF(ROW()=ROW($T$3)+1,0,INDEX($T:$T,ROW()-1))+IF($A46="",0,1)</f>
        <v>43</v>
      </c>
      <c r="U46" s="20" t="b">
        <f ca="1">OR(CheckRelevance(SanitizeInput(F46),Questionnaire!$I:$I),IFERROR(_xlfn.XMATCH("*,"&amp;$A46&amp;",*",Countermeasures!$AG:$AG,2)&gt;0,FALSE))</f>
        <v>0</v>
      </c>
      <c r="V46" s="20" t="b">
        <f>IFERROR(_xlfn.XMATCH("*,"&amp;$A46&amp;",*",Mitigation!$X:$X,2)&gt;0,FALSE)</f>
        <v>0</v>
      </c>
      <c r="W46" s="20" cm="1">
        <f t="array" ca="1" aca="1" ref="W46">CreateTaskID($W$3,$W:$W,Tasks!$B$17,$S46)</f>
        <v>0</v>
      </c>
      <c r="X46" s="20" t="str" cm="1">
        <f t="array" ca="1" aca="1" ref="X46">IF(OR($G46="",NOT($U46)),"",","&amp;SanitizeInput($G46))</f>
        <v/>
      </c>
      <c r="Y46" s="20" t="str" cm="1">
        <f t="array" ref="Y46">IF($G46="","",","&amp;SanitizeInput($G46))</f>
        <v>,AS14,</v>
      </c>
      <c r="Z46" s="20">
        <f>IF(K46="",0,VLOOKUP(K46,Definitions!$Z:$AA,COLUMNS(Definitions!$Z:$AA),FALSE))</f>
        <v>0</v>
      </c>
      <c r="AA46" s="20">
        <f>IF(L46="",0,VLOOKUP(L46,Definitions!$Z:$AA,COLUMNS(Definitions!$Z:$AA),FALSE))</f>
        <v>0</v>
      </c>
      <c r="AB46" s="20">
        <f>IF(M46="",0,VLOOKUP(M46,Definitions!$Z:$AA,COLUMNS(Definitions!$Z:$AA),FALSE))</f>
        <v>0</v>
      </c>
      <c r="AC46" s="20">
        <f>IF(N46="",0,VLOOKUP(N46,Definitions!$Z:$AA,COLUMNS(Definitions!$Z:$AA),FALSE))</f>
        <v>0</v>
      </c>
      <c r="AD46" s="20">
        <f>IF(O46="",0,VLOOKUP(O46,Definitions!$Z:$AA,COLUMNS(Definitions!$Z:$AA),FALSE))</f>
        <v>0</v>
      </c>
      <c r="AE46" s="20">
        <f ca="1">SUM(OFFSET($Z46,0,0,1,COLUMNS($Z:$AD)))</f>
        <v>0</v>
      </c>
      <c r="AF46" s="20" t="str" cm="1">
        <f t="array" ref="AF46">SUBSTITUTE(IF($V46,IF($I46="","",","&amp;SanitizeInput($I46)),""),"&gt;",",")</f>
        <v/>
      </c>
      <c r="AG46" s="20" cm="1">
        <f t="array" ca="1" aca="1" ref="AG46">IF(ROW()=ROW($AG$3)+1,0,INDEX($AG:$AG,ROW()-1))+IF(OR($U46,$V46),1,0)</f>
        <v>18</v>
      </c>
      <c r="AH46" s="20" t="str" cm="1">
        <f t="array" ca="1" aca="1" ref="AH46">IF(OR($U46,$V46),IF($Q46="","",","&amp;SanitizeInput($Q46)),"")</f>
        <v/>
      </c>
      <c r="AI46" s="20" t="str">
        <f>$B46&amp;" ["&amp;$E46&amp;"]"</f>
        <v>Network monitoring [Customer]</v>
      </c>
      <c r="AJ46" s="20" t="str" cm="1">
        <f t="array" ref="AJ46">IF($F46="*","",InverseLookupList(SanitizeInput($F46),Questionnaire!$AA$3,Questionnaire!$A$3,Helper!$B$12,","))</f>
        <v/>
      </c>
      <c r="AK46" s="20" t="str" cm="1">
        <f t="array" ref="AK46">RemoveDelimiter(GetValues($AJ46,Questionnaire!$A:$G," ",CHAR(10)&amp;CHAR(10),TRUE),CHAR(10)&amp;CHAR(10))</f>
        <v/>
      </c>
      <c r="AL46" s="20" t="str" cm="1">
        <f t="array" ref="AL46">CreateSearchString($AJ46)</f>
        <v/>
      </c>
      <c r="AM46" s="20" t="str" cm="1">
        <f t="array" ca="1" aca="1" ref="AM46">InverseLookup($A46,Mitigation!$AD$2,Mitigation!$A$2,1,Helper!$B$5,",")</f>
        <v/>
      </c>
      <c r="AN46" s="20" t="str" cm="1">
        <f t="array" ca="1" aca="1" ref="AN46">CreateSearchString(GetValues($AM46,'Attack Steps'!$A:$O,"",",",FALSE))</f>
        <v/>
      </c>
      <c r="AO46" s="20" t="str">
        <f>IF($A46="","",$A46)</f>
        <v>A44</v>
      </c>
    </row>
    <row r="47" spans="1:41" ht="60">
      <c r="A47" s="10" t="s">
        <v>1702</v>
      </c>
      <c r="B47" s="13" t="s">
        <v>1703</v>
      </c>
      <c r="C47" s="13" t="s">
        <v>1704</v>
      </c>
      <c r="D47" s="13"/>
      <c r="E47" s="13" t="s">
        <v>372</v>
      </c>
      <c r="F47" s="13" t="s">
        <v>1706</v>
      </c>
      <c r="G47" s="13" t="s">
        <v>331</v>
      </c>
      <c r="H47" s="33" t="str" cm="1">
        <f t="array" ca="1" aca="1" ref="H47">LookupNames(SanitizeInput($G47),'Attack Steps'!$A:$B)</f>
        <v>AS21 Gaining physical access to the product (3rd party)</v>
      </c>
      <c r="I47" s="13"/>
      <c r="J47" s="37" t="str" cm="1">
        <f t="array" ref="J47">IF($I47="","",SUBSTITUTE(SUBSTITUTE(SUBSTITUTE(SUBSTITUTE(SUBSTITUTE(SUBSTITUTE(SUBSTITUTE(SUBSTITUTE(SUBSTITUTE(GetTransformation(SanitizeInput($I47),'Damage Scenarios'!$A:$J,COLUMNS('Damage Scenarios'!$A:$J),CHAR(10),"[#0][#1][#2]")&amp;"§","[#1][#2]",""),"[#2]",""),"[#0][#1]","[#1]"),"[#0]","Removes:"&amp;CHAR(10)),"[#1]","Transforms:"&amp;CHAR(10)),CHAR(10)&amp;"§",""),"§",""),CHAR(10),CHAR(10)&amp;"   "),"   "&amp;"Transforms:","Transforms:"))</f>
        <v/>
      </c>
      <c r="K47" s="13"/>
      <c r="L47" s="13"/>
      <c r="M47" s="13"/>
      <c r="N47" s="13" t="s">
        <v>151</v>
      </c>
      <c r="O47" s="13"/>
      <c r="P47" s="33" t="str">
        <f ca="1">IF($A47="","",IFERROR(VLOOKUP($AE47,Definitions!$V:$W,COLUMNS(Definitions!$V:$W),TRUE),""))</f>
        <v>Beyond High</v>
      </c>
      <c r="Q47" s="13"/>
      <c r="R47" s="13"/>
      <c r="S47" s="13" t="s">
        <v>1705</v>
      </c>
      <c r="T47" s="10" cm="1">
        <f t="array" ref="T47">IF(ROW()=ROW($T$3)+1,0,INDEX($T:$T,ROW()-1))+IF($A47="",0,1)</f>
        <v>44</v>
      </c>
      <c r="U47" s="20" t="b">
        <f ca="1">OR(CheckRelevance(SanitizeInput(F47),Questionnaire!$I:$I),IFERROR(_xlfn.XMATCH("*,"&amp;$A47&amp;",*",Countermeasures!$AG:$AG,2)&gt;0,FALSE))</f>
        <v>0</v>
      </c>
      <c r="V47" s="20" t="b">
        <f>IFERROR(_xlfn.XMATCH("*,"&amp;$A47&amp;",*",Mitigation!$X:$X,2)&gt;0,FALSE)</f>
        <v>0</v>
      </c>
      <c r="W47" s="20" cm="1">
        <f t="array" ca="1" aca="1" ref="W47">CreateTaskID($W$3,$W:$W,Tasks!$B$17,$S47)</f>
        <v>0</v>
      </c>
      <c r="X47" s="20" t="str" cm="1">
        <f t="array" ca="1" aca="1" ref="X47">IF(OR($G47="",NOT($U47)),"",","&amp;SanitizeInput($G47))</f>
        <v/>
      </c>
      <c r="Y47" s="20" t="str" cm="1">
        <f t="array" ref="Y47">IF($G47="","",","&amp;SanitizeInput($G47))</f>
        <v>,AS21,</v>
      </c>
      <c r="Z47" s="20">
        <f>IF(K47="",0,VLOOKUP(K47,Definitions!$Z:$AA,COLUMNS(Definitions!$Z:$AA),FALSE))</f>
        <v>0</v>
      </c>
      <c r="AA47" s="20">
        <f>IF(L47="",0,VLOOKUP(L47,Definitions!$Z:$AA,COLUMNS(Definitions!$Z:$AA),FALSE))</f>
        <v>0</v>
      </c>
      <c r="AB47" s="20">
        <f>IF(M47="",0,VLOOKUP(M47,Definitions!$Z:$AA,COLUMNS(Definitions!$Z:$AA),FALSE))</f>
        <v>0</v>
      </c>
      <c r="AC47" s="20">
        <f>IF(N47="",0,VLOOKUP(N47,Definitions!$Z:$AA,COLUMNS(Definitions!$Z:$AA),FALSE))</f>
        <v>25</v>
      </c>
      <c r="AD47" s="20">
        <f>IF(O47="",0,VLOOKUP(O47,Definitions!$Z:$AA,COLUMNS(Definitions!$Z:$AA),FALSE))</f>
        <v>0</v>
      </c>
      <c r="AE47" s="20">
        <f ca="1">SUM(OFFSET($Z47,0,0,1,COLUMNS($Z:$AD)))</f>
        <v>25</v>
      </c>
      <c r="AF47" s="20" t="str" cm="1">
        <f t="array" ref="AF47">SUBSTITUTE(IF($V47,IF($I47="","",","&amp;SanitizeInput($I47)),""),"&gt;",",")</f>
        <v/>
      </c>
      <c r="AG47" s="20" cm="1">
        <f t="array" ca="1" aca="1" ref="AG47">IF(ROW()=ROW($AG$3)+1,0,INDEX($AG:$AG,ROW()-1))+IF(OR($U47,$V47),1,0)</f>
        <v>18</v>
      </c>
      <c r="AH47" s="20" t="str" cm="1">
        <f t="array" ca="1" aca="1" ref="AH47">IF(OR($U47,$V47),IF($Q47="","",","&amp;SanitizeInput($Q47)),"")</f>
        <v/>
      </c>
      <c r="AI47" s="20" t="str">
        <f>$B47&amp;" ["&amp;$E47&amp;"]"</f>
        <v>Physical tampering with the product not plausible [Customer]</v>
      </c>
      <c r="AJ47" s="20" t="str" cm="1">
        <f t="array" ca="1" aca="1" ref="AJ47">IF($F47="*","",InverseLookupList(SanitizeInput($F47),Questionnaire!$AA$3,Questionnaire!$A$3,Helper!$B$12,","))</f>
        <v/>
      </c>
      <c r="AK47" s="20" t="str" cm="1">
        <f t="array" ca="1" aca="1" ref="AK47">RemoveDelimiter(GetValues($AJ47,Questionnaire!$A:$G," ",CHAR(10)&amp;CHAR(10),TRUE),CHAR(10)&amp;CHAR(10))</f>
        <v/>
      </c>
      <c r="AL47" s="20" t="str" cm="1">
        <f t="array" ca="1" aca="1" ref="AL47">CreateSearchString($AJ47)</f>
        <v/>
      </c>
      <c r="AM47" s="20" t="str" cm="1">
        <f t="array" ca="1" aca="1" ref="AM47">InverseLookup($A47,Mitigation!$AD$2,Mitigation!$A$2,1,Helper!$B$5,",")</f>
        <v/>
      </c>
      <c r="AN47" s="20" t="str" cm="1">
        <f t="array" ca="1" aca="1" ref="AN47">CreateSearchString(GetValues($AM47,'Attack Steps'!$A:$O,"",",",FALSE))</f>
        <v/>
      </c>
      <c r="AO47" s="20" t="str">
        <f>IF($A47="","",$A47)</f>
        <v>A45</v>
      </c>
    </row>
  </sheetData>
  <sheetProtection password="EF23" sheet="1" objects="1" scenarios="1"/>
  <conditionalFormatting sqref="A1 A3:A1048576">
    <cfRule type="expression" priority="1" dxfId="65">
      <formula>MATCH(A1,$A:$A,0)&lt;ROW(A1)</formula>
    </cfRule>
  </conditionalFormatting>
  <conditionalFormatting sqref="A1:R1 A3:R1048576">
    <cfRule type="expression" priority="427" dxfId="60">
      <formula>AND(ROW(A1)&gt;ROW($A$3),$U1&lt;&gt;TRUE)</formula>
    </cfRule>
  </conditionalFormatting>
  <conditionalFormatting sqref="S1 S3:S1048576">
    <cfRule type="expression" priority="2" dxfId="685">
      <formula>IFERROR(FIND(Tasks!$B$17,S1)&gt;0,FALSE)</formula>
    </cfRule>
  </conditionalFormatting>
  <dataValidations count="2">
    <dataValidation type="list" allowBlank="1" showInputMessage="1" showErrorMessage="1" sqref="E4:E47">
      <formula1>Definitions!$AO$4:$AO$6</formula1>
    </dataValidation>
    <dataValidation type="list" allowBlank="1" showInputMessage="1" showErrorMessage="1" sqref="K4:O47">
      <formula1>OFFSET(Definitions!$Z$2,MATCH(COLUMN()-COLUMN($K$3)+1,Definitions!$AB:$AB,0)-ROW(Definitions!$Z$2),0,COUNTIF(Definitions!$AB:$AB,COLUMN()-COLUMN($K$3)+1),1)</formula1>
    </dataValidation>
  </dataValidations>
  <pageMargins left="0.7" right="0.7" top="0.75" bottom="0.75" header="0.3" footer="0.3"/>
  <pageSetup orientation="portrait" paperSize="9" r:id="rId2"/>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85BC7C-4A6C-41ED-99E6-EADA5FDFD218}">
  <sheetPr>
    <tabColor theme="6"/>
  </sheetPr>
  <dimension ref="A1:AR66"/>
  <sheetViews>
    <sheetView windowProtection="1" workbookViewId="0" topLeftCell="A1">
      <pane xSplit="3" ySplit="2" topLeftCell="D3" activePane="bottomRight" state="frozen"/>
      <selection pane="topLeft" activeCell="A1" sqref="A1"/>
      <selection pane="bottomLeft" activeCell="A3" sqref="A3"/>
      <selection pane="topRight" activeCell="D1" sqref="D1"/>
      <selection pane="bottomRight" activeCell="A2" sqref="A2"/>
    </sheetView>
  </sheetViews>
  <sheetFormatPr defaultColWidth="9.14428571428571" defaultRowHeight="15" outlineLevelCol="1"/>
  <cols>
    <col min="1" max="1" width="9.14285714285714" style="2"/>
    <col min="2" max="2" width="45.7142857142857" style="2" customWidth="1"/>
    <col min="3" max="3" width="60.7142857142857" style="2" customWidth="1"/>
    <col min="4" max="4" width="30.7142857142857" style="2" customWidth="1"/>
    <col min="5" max="5" width="17.4285714285714" style="2" customWidth="1"/>
    <col min="6" max="6" width="60.7142857142857" style="9" customWidth="1"/>
    <col min="7" max="7" width="10.7142857142857" style="2" customWidth="1"/>
    <col min="8" max="8" width="45.7142857142857" style="9" customWidth="1"/>
    <col min="9" max="9" width="15.7142857142857" style="2" customWidth="1"/>
    <col min="10" max="10" width="45.7142857142857" style="9" customWidth="1"/>
    <col min="11" max="15" width="25.7142857142857" style="2" customWidth="1" outlineLevel="1"/>
    <col min="16" max="16" width="15.7142857142857" style="2" customWidth="1" outlineLevel="1"/>
    <col min="17" max="17" width="30.1428571428571" style="2" bestFit="1" customWidth="1" outlineLevel="1"/>
    <col min="18" max="18" width="20.7142857142857" style="2" customWidth="1" outlineLevel="1"/>
    <col min="19" max="19" width="60.7142857142857" style="2" customWidth="1"/>
    <col min="20" max="20" width="15.4285714285714" style="2" hidden="1" customWidth="1"/>
    <col min="21" max="21" width="21.2857142857143" style="2" hidden="1" customWidth="1"/>
    <col min="22" max="22" width="26.1428571428571" style="2" hidden="1" customWidth="1"/>
    <col min="23" max="23" width="9.14285714285714" style="2" hidden="1" customWidth="1"/>
    <col min="24" max="24" width="19.8571428571429" style="2" hidden="1" customWidth="1"/>
    <col min="25" max="30" width="9.14285714285714" style="2" hidden="1" customWidth="1"/>
    <col min="31" max="31" width="21" style="2" hidden="1" customWidth="1"/>
    <col min="32" max="32" width="42.7142857142857" style="2" hidden="1" customWidth="1"/>
    <col min="33" max="33" width="29" style="2" hidden="1" customWidth="1"/>
    <col min="34" max="34" width="33.1428571428571" style="2" hidden="1" customWidth="1"/>
    <col min="35" max="35" width="26.8571428571429" style="2" hidden="1" customWidth="1"/>
    <col min="36" max="36" width="38.4285714285714" style="2" hidden="1" customWidth="1"/>
    <col min="37" max="38" width="25.7142857142857" style="2" hidden="1" customWidth="1"/>
    <col min="39" max="39" width="22.7142857142857" style="2" hidden="1" customWidth="1"/>
    <col min="40" max="40" width="39.7142857142857" style="2" hidden="1" customWidth="1"/>
    <col min="41" max="41" width="26" style="2" hidden="1" customWidth="1"/>
    <col min="42" max="42" width="23.2857142857143" style="2" hidden="1" customWidth="1"/>
    <col min="43" max="43" width="47" style="2" hidden="1" customWidth="1"/>
    <col min="44" max="44" width="27" style="2" hidden="1" customWidth="1"/>
    <col min="45" max="16384" width="9.14285714285714" style="2"/>
  </cols>
  <sheetData>
    <row r="1" spans="1:19" s="115"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A$2,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B$2,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C$2,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D$2,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E$2,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F$2,README!$E:$E,README!$I$36,README!$B$36)</f>
        <v>◈</v>
      </c>
      <c r="G1" s="115"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G$2,README!$E:$E,README!$I$36,README!$B$36)</f>
        <v>◈</v>
      </c>
      <c r="H1" s="115" t="str" cm="1">
        <f t="array" ca="1" aca="1" ref="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H$2,README!$E:$E,README!$I$36,README!$B$36)</f>
        <v>◈</v>
      </c>
      <c r="I1" s="115" t="str" cm="1">
        <f t="array" ca="1" aca="1" ref="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I$2,README!$E:$E,README!$I$36,README!$B$36)</f>
        <v>◈</v>
      </c>
      <c r="J1" s="115" t="str" cm="1">
        <f t="array" ca="1" aca="1" ref="J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J$2,README!$E:$E,README!$I$36,README!$B$36)</f>
        <v>◈</v>
      </c>
      <c r="K1" s="115" t="str" cm="1">
        <f t="array" ca="1" aca="1" ref="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K$2,README!$E:$E,README!$I$36,README!$B$36)</f>
        <v>◈</v>
      </c>
      <c r="L1" s="115" t="str" cm="1">
        <f t="array" ca="1" aca="1" ref="L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L$2,README!$E:$E,README!$I$36,README!$B$36)</f>
        <v>◈</v>
      </c>
      <c r="M1" s="115"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M$2,README!$E:$E,README!$I$36,README!$B$36)</f>
        <v>◈</v>
      </c>
      <c r="N1" s="115" t="str" cm="1">
        <f t="array" ca="1" aca="1" ref="N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N$2,README!$E:$E,README!$I$36,README!$B$36)</f>
        <v>◈</v>
      </c>
      <c r="O1" s="115" t="str" cm="1">
        <f t="array" ca="1" aca="1" ref="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O$2,README!$E:$E,README!$I$36,README!$B$36)</f>
        <v>◈</v>
      </c>
      <c r="P1" s="115" t="str" cm="1">
        <f t="array" ca="1" aca="1" ref="P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P$2,README!$E:$E,README!$I$36,README!$B$36)</f>
        <v>◈</v>
      </c>
      <c r="Q1" s="115" t="str" cm="1">
        <f t="array" ca="1" aca="1" ref="Q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Q$2,README!$E:$E,README!$I$36,README!$B$36)</f>
        <v>◈</v>
      </c>
      <c r="R1" s="115" t="str" cm="1">
        <f t="array" ca="1" aca="1" ref="R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R$2,README!$E:$E,README!$I$36,README!$B$36)</f>
        <v>◈</v>
      </c>
      <c r="S1" s="115" t="str" cm="1">
        <f t="array" ca="1" aca="1" ref="S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$8,S$2,README!$E:$E,README!$I$36,README!$B$36)</f>
        <v>◈</v>
      </c>
    </row>
    <row r="2" spans="1:44" ht="15">
      <c r="A2" s="10" t="s">
        <v>53</v>
      </c>
      <c r="B2" s="10" t="s">
        <v>274</v>
      </c>
      <c r="C2" s="10" t="s">
        <v>218</v>
      </c>
      <c r="D2" s="10" t="s">
        <v>119</v>
      </c>
      <c r="E2" s="10" t="s">
        <v>966</v>
      </c>
      <c r="F2" s="15" t="s">
        <v>965</v>
      </c>
      <c r="G2" s="10" t="s">
        <v>416</v>
      </c>
      <c r="H2" s="15" t="s">
        <v>417</v>
      </c>
      <c r="I2" s="10" t="s">
        <v>424</v>
      </c>
      <c r="J2" s="15" t="s">
        <v>425</v>
      </c>
      <c r="K2" s="10" t="s">
        <v>131</v>
      </c>
      <c r="L2" s="10" t="s">
        <v>138</v>
      </c>
      <c r="M2" s="10" t="s">
        <v>143</v>
      </c>
      <c r="N2" s="10" t="s">
        <v>147</v>
      </c>
      <c r="O2" s="10" t="s">
        <v>152</v>
      </c>
      <c r="P2" s="15" t="s">
        <v>188</v>
      </c>
      <c r="Q2" s="10" t="s">
        <v>1630</v>
      </c>
      <c r="R2" s="10" t="s">
        <v>1715</v>
      </c>
      <c r="S2" s="10" t="s">
        <v>3</v>
      </c>
      <c r="T2" s="10" t="s">
        <v>54</v>
      </c>
      <c r="U2" s="10" t="s">
        <v>437</v>
      </c>
      <c r="V2" s="10" t="s">
        <v>438</v>
      </c>
      <c r="W2" s="10" t="s">
        <v>230</v>
      </c>
      <c r="X2" s="10" t="s">
        <v>283</v>
      </c>
      <c r="Y2" s="10" t="s">
        <v>44</v>
      </c>
      <c r="Z2" s="10" t="s">
        <v>45</v>
      </c>
      <c r="AA2" s="10" t="s">
        <v>46</v>
      </c>
      <c r="AB2" s="10" t="s">
        <v>47</v>
      </c>
      <c r="AC2" s="10" t="s">
        <v>48</v>
      </c>
      <c r="AD2" s="10" t="s">
        <v>78</v>
      </c>
      <c r="AE2" s="10" t="s">
        <v>486</v>
      </c>
      <c r="AF2" s="10" t="s">
        <v>485</v>
      </c>
      <c r="AG2" s="10" t="s">
        <v>430</v>
      </c>
      <c r="AH2" s="10" t="s">
        <v>436</v>
      </c>
      <c r="AI2" s="10" t="s">
        <v>484</v>
      </c>
      <c r="AJ2" s="10" t="s">
        <v>638</v>
      </c>
      <c r="AK2" s="10" t="s">
        <v>652</v>
      </c>
      <c r="AL2" s="10" t="s">
        <v>1664</v>
      </c>
      <c r="AM2" s="10" t="s">
        <v>703</v>
      </c>
      <c r="AN2" s="10" t="s">
        <v>690</v>
      </c>
      <c r="AO2" s="10" t="s">
        <v>704</v>
      </c>
      <c r="AP2" s="10" t="s">
        <v>718</v>
      </c>
      <c r="AQ2" s="10" t="s">
        <v>719</v>
      </c>
      <c r="AR2" s="10" t="s">
        <v>1428</v>
      </c>
    </row>
    <row r="3" spans="1:44" ht="15">
      <c r="A3" s="10" t="s">
        <v>1773</v>
      </c>
      <c r="B3" s="13" t="s">
        <v>1772</v>
      </c>
      <c r="C3" s="13" t="s">
        <v>1745</v>
      </c>
      <c r="D3" s="13" t="s">
        <v>418</v>
      </c>
      <c r="E3" s="13"/>
      <c r="F3" s="16" t="str" cm="1">
        <f t="array" ref="F3">LookupNames(SanitizeInput($E3),'Attack Steps'!$A:$B)</f>
        <v/>
      </c>
      <c r="G3" s="13"/>
      <c r="H3" s="16" t="str" cm="1">
        <f t="array" ref="H3">RemoveDelimiter(GetValuesWithFallback(SanitizeInput($G3),$A:$B,Assumptions!$A:$B," ",","&amp;CHAR(10),TRUE),","&amp;CHAR(10))</f>
        <v/>
      </c>
      <c r="I3" s="13"/>
      <c r="J3" s="36" t="str" cm="1">
        <f t="array" ref="J3">IF($I3="","",SUBSTITUTE(SUBSTITUTE(SUBSTITUTE(SUBSTITUTE(SUBSTITUTE(SUBSTITUTE(SUBSTITUTE(SUBSTITUTE(SUBSTITUTE(GetTransformation(SanitizeInput($I3),'Damage Scenarios'!$A:$J,COLUMNS('Damage Scenarios'!$A:$J),CHAR(10),"[#0][#1][#2]")&amp;"§","[#1][#2]",""),"[#2]",""),"[#0][#1]","[#1]"),"[#0]","Removes:"&amp;CHAR(10)),"[#1]","Transforms:"&amp;CHAR(10)),CHAR(10)&amp;"§",""),"§",""),CHAR(10),CHAR(10)&amp;"   "),"   "&amp;"Transforms:","Transforms:"))</f>
        <v/>
      </c>
      <c r="K3" s="13"/>
      <c r="L3" s="13"/>
      <c r="M3" s="13"/>
      <c r="N3" s="13"/>
      <c r="O3" s="13"/>
      <c r="P3" s="16" t="str">
        <f ca="1">IF($A3="","",IFERROR(VLOOKUP($AD3,Definitions!$V:$W,COLUMNS(Definitions!$V:$W),TRUE),""))</f>
        <v>Basic</v>
      </c>
      <c r="Q3" s="13" t="s">
        <v>62</v>
      </c>
      <c r="R3" s="13"/>
      <c r="S3" s="13"/>
      <c r="T3" s="10" cm="1">
        <f t="array" ref="T3">IF(ROW()=ROW($T$2)+1,0,INDEX($T:$T,ROW()-1))+IF($A3="",0,1)</f>
        <v>1</v>
      </c>
      <c r="U3" s="14" t="b" cm="1">
        <f t="array" ref="U3">CheckRelevance(SanitizeInput(E3),Questionnaire!$I:$I)</f>
        <v>0</v>
      </c>
      <c r="V3" s="14" t="b">
        <f>IFERROR(_xlfn.XMATCH("*,"&amp;$A3&amp;",*",Mitigation!$X:$X,2)&gt;0,FALSE)</f>
        <v>0</v>
      </c>
      <c r="W3" s="14" cm="1">
        <f t="array" ref="W3">CreateTaskID($W$2,$W:$W,Tasks!$B$17,$S3)</f>
        <v>0</v>
      </c>
      <c r="X3" s="14" t="str" cm="1">
        <f t="array" ref="X3">IF($E3="","",","&amp;SanitizeInput($E3))</f>
        <v/>
      </c>
      <c r="Y3" s="20">
        <f>IF(K3="",0,VLOOKUP(K3,Definitions!$Z:$AA,COLUMNS(Definitions!$Z:$AA),FALSE))</f>
        <v>0</v>
      </c>
      <c r="Z3" s="20">
        <f>IF(L3="",0,VLOOKUP(L3,Definitions!$Z:$AA,COLUMNS(Definitions!$Z:$AA),FALSE))</f>
        <v>0</v>
      </c>
      <c r="AA3" s="20">
        <f>IF(M3="",0,VLOOKUP(M3,Definitions!$Z:$AA,COLUMNS(Definitions!$Z:$AA),FALSE))</f>
        <v>0</v>
      </c>
      <c r="AB3" s="20">
        <f>IF(N3="",0,VLOOKUP(N3,Definitions!$Z:$AA,COLUMNS(Definitions!$Z:$AA),FALSE))</f>
        <v>0</v>
      </c>
      <c r="AC3" s="20">
        <f>IF(O3="",0,VLOOKUP(O3,Definitions!$Z:$AA,COLUMNS(Definitions!$Z:$AA),FALSE))</f>
        <v>0</v>
      </c>
      <c r="AD3" s="20">
        <f ca="1" t="shared" si="0" ref="AD3:AD34">SUM(OFFSET($Y3,0,0,1,COLUMNS($Y:$AC)))</f>
        <v>0</v>
      </c>
      <c r="AE3" s="20" t="str" cm="1">
        <f t="array" ref="AE3">IF($G3="","",","&amp;SanitizeInput($G3))</f>
        <v/>
      </c>
      <c r="AF3" s="20" t="b" cm="1">
        <f t="array" ca="1" aca="1" ref="AF3">OR($AK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AE$2,$A$2,Helper!$B$4,",",$A:$V,$A:$AK,InverseLookup($A3,$AE$2,$A$2,1,Helper!$B$4,",")))</f>
        <v>1</v>
      </c>
      <c r="AG3" s="20" t="str" cm="1">
        <f t="array" ca="1" aca="1" ref="AG3">IF(OR($V3,$AF3,$AK3),IF($G3="","",","&amp;SanitizeInput($G3)),"")</f>
        <v/>
      </c>
      <c r="AH3" s="20" t="str" cm="1">
        <f t="array" ref="AH3">SUBSTITUTE(IF($V3,IF($I3="","",","&amp;SanitizeInput($I3)),""),"&gt;",",")</f>
        <v/>
      </c>
      <c r="AI3" s="20" cm="1">
        <f t="array" ca="1" aca="1" ref="AI3">IF(ROW()=ROW($AI$2)+1,0,INDEX($AI:$AI,ROW()-1))+IF($AF3,1,0)</f>
        <v>1</v>
      </c>
      <c r="AJ3" s="20" t="str" cm="1">
        <f t="array" ca="1" aca="1" ref="AJ3">IF($AF3,IF($Q3="","",","&amp;SanitizeInput($Q3)),"")</f>
        <v/>
      </c>
      <c r="AK3" s="20" t="b">
        <f>OR(CheckRelevance(SanitizeInput($D3),Questionnaire!$I:$I),CheckRelevance(SanitizeInput($D3),Questionnaire!$J:$J))</f>
        <v>1</v>
      </c>
      <c r="AL3" s="20" t="str" cm="1">
        <f t="array" ref="AL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Questionnaire!$AA:$AA,",")</f>
        <v>*,</v>
      </c>
      <c r="AM3" s="20" t="str" cm="1">
        <f t="array" ref="AM3">IF($D3="*","",InverseLookupList($AL3,Questionnaire!$AA$3,Questionnaire!$A$3,Helper!$B$12,","))</f>
        <v/>
      </c>
      <c r="AN3" s="20" t="str" cm="1">
        <f t="array" ref="AN3">RemoveDelimiter(GetValues($AM3,Questionnaire!$A:$G," ",CHAR(10)&amp;CHAR(10),TRUE),CHAR(10)&amp;CHAR(10))</f>
        <v/>
      </c>
      <c r="AO3" s="20" t="str" cm="1">
        <f t="array" ref="AO3">CreateSearchString($AM3)</f>
        <v/>
      </c>
      <c r="AP3" s="20" t="str" cm="1">
        <f t="array" ca="1" aca="1" ref="AP3">InverseLookup($A3,Mitigation!$AD$2,Mitigation!$A$2,1,Helper!$B$5,",")</f>
        <v/>
      </c>
      <c r="AQ3" s="20" t="str" cm="1">
        <f t="array" ca="1" aca="1" ref="AQ3">CreateSearchString(GetValues($AP3,'Attack Steps'!$A:$O,"",",",FALSE))</f>
        <v/>
      </c>
      <c r="AR3" s="20" t="str">
        <f t="shared" si="1" ref="AR3:AR32">IF($A3="","",$A3)</f>
        <v>C0</v>
      </c>
    </row>
    <row r="4" spans="1:44" ht="15">
      <c r="A4" s="10" t="s">
        <v>275</v>
      </c>
      <c r="B4" s="13" t="s">
        <v>726</v>
      </c>
      <c r="C4" s="13" t="s">
        <v>1774</v>
      </c>
      <c r="D4" s="13"/>
      <c r="E4" s="13"/>
      <c r="F4" s="33" t="str" cm="1">
        <f t="array" ref="F4">LookupNames(SanitizeInput($E4),'Attack Steps'!$A:$B)</f>
        <v/>
      </c>
      <c r="G4" s="23"/>
      <c r="H4" s="33" t="str" cm="1">
        <f t="array" ref="H4">RemoveDelimiter(GetValuesWithFallback(SanitizeInput($G4),$A:$B,Assumptions!$A:$B," ",","&amp;CHAR(10),TRUE),","&amp;CHAR(10))</f>
        <v/>
      </c>
      <c r="I4" s="23"/>
      <c r="J4" s="37" t="str" cm="1">
        <f t="array" ref="J4">IF($I4="","",SUBSTITUTE(SUBSTITUTE(SUBSTITUTE(SUBSTITUTE(SUBSTITUTE(SUBSTITUTE(SUBSTITUTE(SUBSTITUTE(SUBSTITUTE(GetTransformation(SanitizeInput($I4),'Damage Scenarios'!$A:$J,COLUMNS('Damage Scenarios'!$A:$J),CHAR(10),"[#0][#1][#2]")&amp;"§","[#1][#2]",""),"[#2]",""),"[#0][#1]","[#1]"),"[#0]","Removes:"&amp;CHAR(10)),"[#1]","Transforms:"&amp;CHAR(10)),CHAR(10)&amp;"§",""),"§",""),CHAR(10),CHAR(10)&amp;"   "),"   "&amp;"Transforms:","Transforms:"))</f>
        <v/>
      </c>
      <c r="K4" s="13"/>
      <c r="L4" s="13"/>
      <c r="M4" s="13"/>
      <c r="N4" s="13"/>
      <c r="O4" s="13"/>
      <c r="P4" s="33" t="str">
        <f ca="1">IF($A4="","",IFERROR(VLOOKUP($AD4,Definitions!$V:$W,COLUMNS(Definitions!$V:$W),TRUE),""))</f>
        <v>Basic</v>
      </c>
      <c r="Q4" s="23" t="s">
        <v>603</v>
      </c>
      <c r="R4" s="23"/>
      <c r="S4" s="13"/>
      <c r="T4" s="10" cm="1">
        <f t="array" ref="T4">IF(ROW()=ROW($T$2)+1,0,INDEX($T:$T,ROW()-1))+IF($A4="",0,1)</f>
        <v>2</v>
      </c>
      <c r="U4" s="20" t="b" cm="1">
        <f t="array" ref="U4">CheckRelevance(SanitizeInput(E4),Questionnaire!$I:$I)</f>
        <v>0</v>
      </c>
      <c r="V4" s="20" t="b">
        <f>IFERROR(_xlfn.XMATCH("*,"&amp;$A4&amp;",*",Mitigation!$X:$X,2)&gt;0,FALSE)</f>
        <v>0</v>
      </c>
      <c r="W4" s="20" cm="1">
        <f t="array" ref="W4">CreateTaskID($W$2,$W:$W,Tasks!$B$17,$S4)</f>
        <v>0</v>
      </c>
      <c r="X4" s="20" t="str" cm="1">
        <f t="array" ref="X4">IF($E4="","",","&amp;SanitizeInput($E4))</f>
        <v/>
      </c>
      <c r="Y4" s="20">
        <f>IF(K4="",0,VLOOKUP(K4,Definitions!$Z:$AA,COLUMNS(Definitions!$Z:$AA),FALSE))</f>
        <v>0</v>
      </c>
      <c r="Z4" s="20">
        <f>IF(L4="",0,VLOOKUP(L4,Definitions!$Z:$AA,COLUMNS(Definitions!$Z:$AA),FALSE))</f>
        <v>0</v>
      </c>
      <c r="AA4" s="20">
        <f>IF(M4="",0,VLOOKUP(M4,Definitions!$Z:$AA,COLUMNS(Definitions!$Z:$AA),FALSE))</f>
        <v>0</v>
      </c>
      <c r="AB4" s="20">
        <f>IF(N4="",0,VLOOKUP(N4,Definitions!$Z:$AA,COLUMNS(Definitions!$Z:$AA),FALSE))</f>
        <v>0</v>
      </c>
      <c r="AC4" s="20">
        <f>IF(O4="",0,VLOOKUP(O4,Definitions!$Z:$AA,COLUMNS(Definitions!$Z:$AA),FALSE))</f>
        <v>0</v>
      </c>
      <c r="AD4" s="20">
        <f t="shared" ca="1" si="0"/>
        <v>0</v>
      </c>
      <c r="AE4" s="20" t="str" cm="1">
        <f t="array" ref="AE4">IF($G4="","",","&amp;SanitizeInput($G4))</f>
        <v/>
      </c>
      <c r="AF4" s="20" t="b" cm="1">
        <f t="array" ca="1" aca="1" ref="AF4">OR($AK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AE$2,$A$2,Helper!$B$4,",",$A:$V,$A:$AK,InverseLookup($A4,$AE$2,$A$2,1,Helper!$B$4,",")))</f>
        <v>0</v>
      </c>
      <c r="AG4" s="20" t="str" cm="1">
        <f t="array" ca="1" aca="1" ref="AG4">IF(OR($V4,$AF4,$AK4),IF($G4="","",","&amp;SanitizeInput($G4)),"")</f>
        <v/>
      </c>
      <c r="AH4" s="20" t="str" cm="1">
        <f t="array" ref="AH4">SUBSTITUTE(IF($V4,IF($I4="","",","&amp;SanitizeInput($I4)),""),"&gt;",",")</f>
        <v/>
      </c>
      <c r="AI4" s="20" cm="1">
        <f t="array" ca="1" aca="1" ref="AI4">IF(ROW()=ROW($AI$2)+1,0,INDEX($AI:$AI,ROW()-1))+IF($AF4,1,0)</f>
        <v>1</v>
      </c>
      <c r="AJ4" s="20" t="str" cm="1">
        <f t="array" ca="1" aca="1" ref="AJ4">IF($AF4,IF($Q4="","",","&amp;SanitizeInput($Q4)),"")</f>
        <v/>
      </c>
      <c r="AK4" s="20" t="b">
        <f>OR(CheckRelevance(SanitizeInput($D4),Questionnaire!$I:$I),CheckRelevance(SanitizeInput($D4),Questionnaire!$J:$J))</f>
        <v>0</v>
      </c>
      <c r="AL4" s="20" t="str" cm="1">
        <f t="array" ref="AL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Questionnaire!$AA:$AA,",")</f>
        <v/>
      </c>
      <c r="AM4" s="20" t="str" cm="1">
        <f t="array" ref="AM4">IF($D4="*","",InverseLookupList($AL4,Questionnaire!$AA$3,Questionnaire!$A$3,Helper!$B$12,","))</f>
        <v/>
      </c>
      <c r="AN4" s="20" t="str" cm="1">
        <f t="array" ref="AN4">RemoveDelimiter(GetValues($AM4,Questionnaire!$A:$G," ",CHAR(10)&amp;CHAR(10),TRUE),CHAR(10)&amp;CHAR(10))</f>
        <v/>
      </c>
      <c r="AO4" s="20" t="str" cm="1">
        <f t="array" ref="AO4">CreateSearchString($AM4)</f>
        <v/>
      </c>
      <c r="AP4" s="20" t="str" cm="1">
        <f t="array" ca="1" aca="1" ref="AP4">InverseLookup($A4,Mitigation!$AD$2,Mitigation!$A$2,1,Helper!$B$5,",")</f>
        <v/>
      </c>
      <c r="AQ4" s="20" t="str" cm="1">
        <f t="array" ca="1" aca="1" ref="AQ4">CreateSearchString(GetValues($AP4,'Attack Steps'!$A:$O,"",",",FALSE))</f>
        <v/>
      </c>
      <c r="AR4" s="20" t="str">
        <f t="shared" si="1"/>
        <v>C1</v>
      </c>
    </row>
    <row r="5" spans="1:44" ht="75">
      <c r="A5" s="10" t="s">
        <v>277</v>
      </c>
      <c r="B5" s="13" t="s">
        <v>727</v>
      </c>
      <c r="C5" s="13" t="s">
        <v>1774</v>
      </c>
      <c r="D5" s="13" t="s">
        <v>1067</v>
      </c>
      <c r="E5" s="13"/>
      <c r="F5" s="33" t="str" cm="1">
        <f t="array" ref="F5">LookupNames(SanitizeInput($E5),'Attack Steps'!$A:$B)</f>
        <v/>
      </c>
      <c r="G5" s="23"/>
      <c r="H5" s="33" t="str" cm="1">
        <f t="array" ref="H5">RemoveDelimiter(GetValuesWithFallback(SanitizeInput($G5),$A:$B,Assumptions!$A:$B," ",","&amp;CHAR(10),TRUE),","&amp;CHAR(10))</f>
        <v/>
      </c>
      <c r="I5" s="23"/>
      <c r="J5" s="37" t="str" cm="1">
        <f t="array" ref="J5">IF($I5="","",SUBSTITUTE(SUBSTITUTE(SUBSTITUTE(SUBSTITUTE(SUBSTITUTE(SUBSTITUTE(SUBSTITUTE(SUBSTITUTE(SUBSTITUTE(GetTransformation(SanitizeInput($I5),'Damage Scenarios'!$A:$J,COLUMNS('Damage Scenarios'!$A:$J),CHAR(10),"[#0][#1][#2]")&amp;"§","[#1][#2]",""),"[#2]",""),"[#0][#1]","[#1]"),"[#0]","Removes:"&amp;CHAR(10)),"[#1]","Transforms:"&amp;CHAR(10)),CHAR(10)&amp;"§",""),"§",""),CHAR(10),CHAR(10)&amp;"   "),"   "&amp;"Transforms:","Transforms:"))</f>
        <v/>
      </c>
      <c r="K5" s="13"/>
      <c r="L5" s="13"/>
      <c r="M5" s="13"/>
      <c r="N5" s="13"/>
      <c r="O5" s="13"/>
      <c r="P5" s="33" t="str">
        <f ca="1">IF($A5="","",IFERROR(VLOOKUP($AD5,Definitions!$V:$W,COLUMNS(Definitions!$V:$W),TRUE),""))</f>
        <v>Basic</v>
      </c>
      <c r="Q5" s="23"/>
      <c r="R5" s="23"/>
      <c r="S5" s="13" t="s">
        <v>1259</v>
      </c>
      <c r="T5" s="10" cm="1">
        <f t="array" ref="T5">IF(ROW()=ROW($T$2)+1,0,INDEX($T:$T,ROW()-1))+IF($A5="",0,1)</f>
        <v>3</v>
      </c>
      <c r="U5" s="20" t="b" cm="1">
        <f t="array" ref="U5">CheckRelevance(SanitizeInput(E5),Questionnaire!$I:$I)</f>
        <v>0</v>
      </c>
      <c r="V5" s="20" t="b">
        <f>IFERROR(_xlfn.XMATCH("*,"&amp;$A5&amp;",*",Mitigation!$X:$X,2)&gt;0,FALSE)</f>
        <v>0</v>
      </c>
      <c r="W5" s="20" cm="1">
        <f t="array" ref="W5">CreateTaskID($W$2,$W:$W,Tasks!$B$17,$S5)</f>
        <v>0</v>
      </c>
      <c r="X5" s="20" t="str" cm="1">
        <f t="array" ref="X5">IF($E5="","",","&amp;SanitizeInput($E5))</f>
        <v/>
      </c>
      <c r="Y5" s="20">
        <f>IF(K5="",0,VLOOKUP(K5,Definitions!$Z:$AA,COLUMNS(Definitions!$Z:$AA),FALSE))</f>
        <v>0</v>
      </c>
      <c r="Z5" s="20">
        <f>IF(L5="",0,VLOOKUP(L5,Definitions!$Z:$AA,COLUMNS(Definitions!$Z:$AA),FALSE))</f>
        <v>0</v>
      </c>
      <c r="AA5" s="20">
        <f>IF(M5="",0,VLOOKUP(M5,Definitions!$Z:$AA,COLUMNS(Definitions!$Z:$AA),FALSE))</f>
        <v>0</v>
      </c>
      <c r="AB5" s="20">
        <f>IF(N5="",0,VLOOKUP(N5,Definitions!$Z:$AA,COLUMNS(Definitions!$Z:$AA),FALSE))</f>
        <v>0</v>
      </c>
      <c r="AC5" s="20">
        <f>IF(O5="",0,VLOOKUP(O5,Definitions!$Z:$AA,COLUMNS(Definitions!$Z:$AA),FALSE))</f>
        <v>0</v>
      </c>
      <c r="AD5" s="20">
        <f t="shared" ca="1" si="0"/>
        <v>0</v>
      </c>
      <c r="AE5" s="20" t="str" cm="1">
        <f t="array" ref="AE5">IF($G5="","",","&amp;SanitizeInput($G5))</f>
        <v/>
      </c>
      <c r="AF5" s="20" t="b" cm="1">
        <f t="array" ca="1" aca="1" ref="AF5">OR($AK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AE$2,$A$2,Helper!$B$4,",",$A:$V,$A:$AK,InverseLookup($A5,$AE$2,$A$2,1,Helper!$B$4,",")))</f>
        <v>1</v>
      </c>
      <c r="AG5" s="20" t="str" cm="1">
        <f t="array" ca="1" aca="1" ref="AG5">IF(OR($V5,$AF5,$AK5),IF($G5="","",","&amp;SanitizeInput($G5)),"")</f>
        <v/>
      </c>
      <c r="AH5" s="20" t="str" cm="1">
        <f t="array" ref="AH5">SUBSTITUTE(IF($V5,IF($I5="","",","&amp;SanitizeInput($I5)),""),"&gt;",",")</f>
        <v/>
      </c>
      <c r="AI5" s="20" cm="1">
        <f t="array" ca="1" aca="1" ref="AI5">IF(ROW()=ROW($AI$2)+1,0,INDEX($AI:$AI,ROW()-1))+IF($AF5,1,0)</f>
        <v>2</v>
      </c>
      <c r="AJ5" s="20" t="str" cm="1">
        <f t="array" ca="1" aca="1" ref="AJ5">IF($AF5,IF($Q5="","",","&amp;SanitizeInput($Q5)),"")</f>
        <v/>
      </c>
      <c r="AK5" s="20" t="b">
        <f ca="1">OR(CheckRelevance(SanitizeInput($D5),Questionnaire!$I:$I),CheckRelevance(SanitizeInput($D5),Questionnaire!$J:$J))</f>
        <v>1</v>
      </c>
      <c r="AL5" s="20" t="str" cm="1">
        <f t="array" ca="1" aca="1" ref="AL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Questionnaire!$AA:$AA,",")</f>
        <v>QA15[No],QA16[No],</v>
      </c>
      <c r="AM5" s="20" t="str" cm="1">
        <f t="array" ca="1" aca="1" ref="AM5">IF($D5="*","",InverseLookupList($AL5,Questionnaire!$AA$3,Questionnaire!$A$3,Helper!$B$12,","))</f>
        <v>QA15,QA16,</v>
      </c>
      <c r="AN5" s="20" t="str" cm="1">
        <f t="array" ca="1" aca="1" ref="AN5">RemoveDelimiter(GetValues($AM5,Questionnaire!$A:$G," ",CHAR(10)&amp;CHAR(10),TRUE),CHAR(10)&amp;CHAR(10))</f>
        <v xml:space="preserve">QA15 
QA16 </v>
      </c>
      <c r="AO5" s="20" t="str" cm="1">
        <f t="array" ca="1" aca="1" ref="AO5">CreateSearchString($AM5)</f>
        <v>,QA15,QA16,</v>
      </c>
      <c r="AP5" s="20" t="str" cm="1">
        <f t="array" ca="1" aca="1" ref="AP5">InverseLookup($A5,Mitigation!$AD$2,Mitigation!$A$2,1,Helper!$B$5,",")</f>
        <v/>
      </c>
      <c r="AQ5" s="20" t="str" cm="1">
        <f t="array" ca="1" aca="1" ref="AQ5">CreateSearchString(GetValues($AP5,'Attack Steps'!$A:$O,"",",",FALSE))</f>
        <v/>
      </c>
      <c r="AR5" s="20" t="str">
        <f t="shared" si="1"/>
        <v>C2</v>
      </c>
    </row>
    <row r="6" spans="1:44" ht="60.75">
      <c r="A6" s="10" t="s">
        <v>368</v>
      </c>
      <c r="B6" s="13" t="s">
        <v>728</v>
      </c>
      <c r="C6" s="13" t="s">
        <v>1774</v>
      </c>
      <c r="D6" s="13"/>
      <c r="E6" s="13" t="s">
        <v>332</v>
      </c>
      <c r="F6" s="33" t="str" cm="1">
        <f t="array" ca="1" aca="1" ref="F6">LookupNames(SanitizeInput($E6),'Attack Steps'!$A:$B)</f>
        <v>AS22 Gaining physical access to the product (customer)</v>
      </c>
      <c r="G6" s="23" t="s">
        <v>1363</v>
      </c>
      <c r="H6" s="33" t="str" cm="1">
        <f t="array" ca="1" aca="1" ref="H6">RemoveDelimiter(GetValuesWithFallback(SanitizeInput($G6),$A:$B,Assumptions!$A:$B," ",","&amp;CHAR(10),TRUE),","&amp;CHAR(10))</f>
        <v>A38 SDR 1.20 - Least privilege for provided credentials</v>
      </c>
      <c r="I6" s="23" t="s">
        <v>1407</v>
      </c>
      <c r="J6" s="37" t="str" cm="1">
        <f t="array" ca="1" aca="1" ref="J6">IF($I6="","",SUBSTITUTE(SUBSTITUTE(SUBSTITUTE(SUBSTITUTE(SUBSTITUTE(SUBSTITUTE(SUBSTITUTE(SUBSTITUTE(SUBSTITUTE(GetTransformation(SanitizeInput($I6),'Damage Scenarios'!$A:$J,COLUMNS('Damage Scenarios'!$A:$J),CHAR(10),"[#0][#1][#2]")&amp;"§","[#1][#2]",""),"[#2]",""),"[#0][#1]","[#1]"),"[#0]","Removes:"&amp;CHAR(10)),"[#1]","Transforms:"&amp;CHAR(10)),CHAR(10)&amp;"§",""),"§",""),CHAR(10),CHAR(10)&amp;"   "),"   "&amp;"Transforms:","Transforms:"))</f>
        <v>Removes:
   DS6 Life-threatening injury caused by unavailable product
   DS10 Life-threatening injury caused by manipulated product</v>
      </c>
      <c r="K6" s="13"/>
      <c r="L6" s="13"/>
      <c r="M6" s="13"/>
      <c r="N6" s="13"/>
      <c r="O6" s="13"/>
      <c r="P6" s="33" t="str">
        <f ca="1">IF($A6="","",IFERROR(VLOOKUP($AD6,Definitions!$V:$W,COLUMNS(Definitions!$V:$W),TRUE),""))</f>
        <v>Basic</v>
      </c>
      <c r="Q6" s="23" t="s">
        <v>606</v>
      </c>
      <c r="R6" s="23"/>
      <c r="S6" s="13" t="s">
        <v>1408</v>
      </c>
      <c r="T6" s="10" cm="1">
        <f t="array" ref="T6">IF(ROW()=ROW($T$2)+1,0,INDEX($T:$T,ROW()-1))+IF($A6="",0,1)</f>
        <v>4</v>
      </c>
      <c r="U6" s="20" t="b" cm="1">
        <f t="array" ca="1" aca="1" ref="U6">CheckRelevance(SanitizeInput(E6),Questionnaire!$I:$I)</f>
        <v>0</v>
      </c>
      <c r="V6" s="20" t="b">
        <f>IFERROR(_xlfn.XMATCH("*,"&amp;$A6&amp;",*",Mitigation!$X:$X,2)&gt;0,FALSE)</f>
        <v>0</v>
      </c>
      <c r="W6" s="20" cm="1">
        <f t="array" ref="W6">CreateTaskID($W$2,$W:$W,Tasks!$B$17,$S6)</f>
        <v>0</v>
      </c>
      <c r="X6" s="20" t="str" cm="1">
        <f t="array" ref="X6">IF($E6="","",","&amp;SanitizeInput($E6))</f>
        <v>,AS22,</v>
      </c>
      <c r="Y6" s="20">
        <f>IF(K6="",0,VLOOKUP(K6,Definitions!$Z:$AA,COLUMNS(Definitions!$Z:$AA),FALSE))</f>
        <v>0</v>
      </c>
      <c r="Z6" s="20">
        <f>IF(L6="",0,VLOOKUP(L6,Definitions!$Z:$AA,COLUMNS(Definitions!$Z:$AA),FALSE))</f>
        <v>0</v>
      </c>
      <c r="AA6" s="20">
        <f>IF(M6="",0,VLOOKUP(M6,Definitions!$Z:$AA,COLUMNS(Definitions!$Z:$AA),FALSE))</f>
        <v>0</v>
      </c>
      <c r="AB6" s="20">
        <f>IF(N6="",0,VLOOKUP(N6,Definitions!$Z:$AA,COLUMNS(Definitions!$Z:$AA),FALSE))</f>
        <v>0</v>
      </c>
      <c r="AC6" s="20">
        <f>IF(O6="",0,VLOOKUP(O6,Definitions!$Z:$AA,COLUMNS(Definitions!$Z:$AA),FALSE))</f>
        <v>0</v>
      </c>
      <c r="AD6" s="20">
        <f t="shared" ca="1" si="0"/>
        <v>0</v>
      </c>
      <c r="AE6" s="20" t="str" cm="1">
        <f t="array" ref="AE6">IF($G6="","",","&amp;SanitizeInput($G6))</f>
        <v>,A38,</v>
      </c>
      <c r="AF6" s="20" t="b" cm="1">
        <f t="array" ca="1" aca="1" ref="AF6">OR($AK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AE$2,$A$2,Helper!$B$4,",",$A:$V,$A:$AK,InverseLookup($A6,$AE$2,$A$2,1,Helper!$B$4,",")))</f>
        <v>0</v>
      </c>
      <c r="AG6" s="20" t="str" cm="1">
        <f t="array" ca="1" aca="1" ref="AG6">IF(OR($V6,$AF6,$AK6),IF($G6="","",","&amp;SanitizeInput($G6)),"")</f>
        <v/>
      </c>
      <c r="AH6" s="20" t="str" cm="1">
        <f t="array" ref="AH6">SUBSTITUTE(IF($V6,IF($I6="","",","&amp;SanitizeInput($I6)),""),"&gt;",",")</f>
        <v/>
      </c>
      <c r="AI6" s="20" cm="1">
        <f t="array" ca="1" aca="1" ref="AI6">IF(ROW()=ROW($AI$2)+1,0,INDEX($AI:$AI,ROW()-1))+IF($AF6,1,0)</f>
        <v>2</v>
      </c>
      <c r="AJ6" s="20" t="str" cm="1">
        <f t="array" ca="1" aca="1" ref="AJ6">IF($AF6,IF($Q6="","",","&amp;SanitizeInput($Q6)),"")</f>
        <v/>
      </c>
      <c r="AK6" s="20" t="b">
        <f>OR(CheckRelevance(SanitizeInput($D6),Questionnaire!$I:$I),CheckRelevance(SanitizeInput($D6),Questionnaire!$J:$J))</f>
        <v>0</v>
      </c>
      <c r="AL6" s="20" t="str" cm="1">
        <f t="array" ref="AL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Questionnaire!$AA:$AA,",")</f>
        <v/>
      </c>
      <c r="AM6" s="20" t="str" cm="1">
        <f t="array" ref="AM6">IF($D6="*","",InverseLookupList($AL6,Questionnaire!$AA$3,Questionnaire!$A$3,Helper!$B$12,","))</f>
        <v/>
      </c>
      <c r="AN6" s="20" t="str" cm="1">
        <f t="array" ref="AN6">RemoveDelimiter(GetValues($AM6,Questionnaire!$A:$G," ",CHAR(10)&amp;CHAR(10),TRUE),CHAR(10)&amp;CHAR(10))</f>
        <v/>
      </c>
      <c r="AO6" s="20" t="str" cm="1">
        <f t="array" ref="AO6">CreateSearchString($AM6)</f>
        <v/>
      </c>
      <c r="AP6" s="20" t="str" cm="1">
        <f t="array" ca="1" aca="1" ref="AP6">InverseLookup($A6,Mitigation!$AD$2,Mitigation!$A$2,1,Helper!$B$5,",")</f>
        <v/>
      </c>
      <c r="AQ6" s="20" t="str" cm="1">
        <f t="array" ca="1" aca="1" ref="AQ6">CreateSearchString(GetValues($AP6,'Attack Steps'!$A:$O,"",",",FALSE))</f>
        <v/>
      </c>
      <c r="AR6" s="20" t="str">
        <f t="shared" si="1"/>
        <v>C3</v>
      </c>
    </row>
    <row r="7" spans="1:44" ht="105">
      <c r="A7" s="10" t="s">
        <v>369</v>
      </c>
      <c r="B7" s="13" t="s">
        <v>729</v>
      </c>
      <c r="C7" s="13" t="s">
        <v>1745</v>
      </c>
      <c r="D7" s="13"/>
      <c r="E7" s="13"/>
      <c r="F7" s="33" t="str" cm="1">
        <f t="array" ref="F7">LookupNames(SanitizeInput($E7),'Attack Steps'!$A:$B)</f>
        <v/>
      </c>
      <c r="G7" s="23" t="s">
        <v>1149</v>
      </c>
      <c r="H7" s="33" t="str" cm="1">
        <f t="array" ca="1" aca="1" ref="H7">RemoveDelimiter(GetValuesWithFallback(SanitizeInput($G7),$A:$B,Assumptions!$A:$B," ",","&amp;CHAR(10),TRUE),","&amp;CHAR(10))</f>
        <v>C1 CCSC 1: Support of essential functions,
C3 CCSC 3: Least privilege,
C5 CR 1.3 – Account management,
C6 CR 1.4 – Identifier management,
C7 CR 1.12 – System use notification,
C8 CR 2.1 – Authorization enforcement,
C28 CR 1.5 – Authenticator management</v>
      </c>
      <c r="I7" s="23"/>
      <c r="J7" s="37" t="str" cm="1">
        <f t="array" ref="J7">IF($I7="","",SUBSTITUTE(SUBSTITUTE(SUBSTITUTE(SUBSTITUTE(SUBSTITUTE(SUBSTITUTE(SUBSTITUTE(SUBSTITUTE(SUBSTITUTE(GetTransformation(SanitizeInput($I7),'Damage Scenarios'!$A:$J,COLUMNS('Damage Scenarios'!$A:$J),CHAR(10),"[#0][#1][#2]")&amp;"§","[#1][#2]",""),"[#2]",""),"[#0][#1]","[#1]"),"[#0]","Removes:"&amp;CHAR(10)),"[#1]","Transforms:"&amp;CHAR(10)),CHAR(10)&amp;"§",""),"§",""),CHAR(10),CHAR(10)&amp;"   "),"   "&amp;"Transforms:","Transforms:"))</f>
        <v/>
      </c>
      <c r="K7" s="13"/>
      <c r="L7" s="13"/>
      <c r="M7" s="13"/>
      <c r="N7" s="13"/>
      <c r="O7" s="13"/>
      <c r="P7" s="33" t="str">
        <f ca="1">IF($A7="","",IFERROR(VLOOKUP($AD7,Definitions!$V:$W,COLUMNS(Definitions!$V:$W),TRUE),""))</f>
        <v>Basic</v>
      </c>
      <c r="Q7" s="23" t="s">
        <v>607</v>
      </c>
      <c r="R7" s="23"/>
      <c r="S7" s="13"/>
      <c r="T7" s="10" cm="1">
        <f t="array" ref="T7">IF(ROW()=ROW($T$2)+1,0,INDEX($T:$T,ROW()-1))+IF($A7="",0,1)</f>
        <v>5</v>
      </c>
      <c r="U7" s="20" t="b" cm="1">
        <f t="array" ref="U7">CheckRelevance(SanitizeInput(E7),Questionnaire!$I:$I)</f>
        <v>0</v>
      </c>
      <c r="V7" s="20" t="b">
        <f>IFERROR(_xlfn.XMATCH("*,"&amp;$A7&amp;",*",Mitigation!$X:$X,2)&gt;0,FALSE)</f>
        <v>0</v>
      </c>
      <c r="W7" s="20" cm="1">
        <f t="array" ref="W7">CreateTaskID($W$2,$W:$W,Tasks!$B$17,$S7)</f>
        <v>0</v>
      </c>
      <c r="X7" s="20" t="str" cm="1">
        <f t="array" ref="X7">IF($E7="","",","&amp;SanitizeInput($E7))</f>
        <v/>
      </c>
      <c r="Y7" s="20">
        <f>IF(K7="",0,VLOOKUP(K7,Definitions!$Z:$AA,COLUMNS(Definitions!$Z:$AA),FALSE))</f>
        <v>0</v>
      </c>
      <c r="Z7" s="20">
        <f>IF(L7="",0,VLOOKUP(L7,Definitions!$Z:$AA,COLUMNS(Definitions!$Z:$AA),FALSE))</f>
        <v>0</v>
      </c>
      <c r="AA7" s="20">
        <f>IF(M7="",0,VLOOKUP(M7,Definitions!$Z:$AA,COLUMNS(Definitions!$Z:$AA),FALSE))</f>
        <v>0</v>
      </c>
      <c r="AB7" s="20">
        <f>IF(N7="",0,VLOOKUP(N7,Definitions!$Z:$AA,COLUMNS(Definitions!$Z:$AA),FALSE))</f>
        <v>0</v>
      </c>
      <c r="AC7" s="20">
        <f>IF(O7="",0,VLOOKUP(O7,Definitions!$Z:$AA,COLUMNS(Definitions!$Z:$AA),FALSE))</f>
        <v>0</v>
      </c>
      <c r="AD7" s="20">
        <f t="shared" ca="1" si="0"/>
        <v>0</v>
      </c>
      <c r="AE7" s="20" t="str" cm="1">
        <f t="array" ref="AE7">IF($G7="","",","&amp;SanitizeInput($G7))</f>
        <v>,C1,C3,C5,C6,C7,C8,C28,</v>
      </c>
      <c r="AF7" s="20" t="b" cm="1">
        <f t="array" ca="1" aca="1" ref="AF7">OR($AK7,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7,$AE$2,$A$2,Helper!$B$4,",",$A:$V,$A:$AK,InverseLookup($A7,$AE$2,$A$2,1,Helper!$B$4,",")))</f>
        <v>0</v>
      </c>
      <c r="AG7" s="20" t="str" cm="1">
        <f t="array" ca="1" aca="1" ref="AG7">IF(OR($V7,$AF7,$AK7),IF($G7="","",","&amp;SanitizeInput($G7)),"")</f>
        <v/>
      </c>
      <c r="AH7" s="20" t="str" cm="1">
        <f t="array" ref="AH7">SUBSTITUTE(IF($V7,IF($I7="","",","&amp;SanitizeInput($I7)),""),"&gt;",",")</f>
        <v/>
      </c>
      <c r="AI7" s="20" cm="1">
        <f t="array" ca="1" aca="1" ref="AI7">IF(ROW()=ROW($AI$2)+1,0,INDEX($AI:$AI,ROW()-1))+IF($AF7,1,0)</f>
        <v>2</v>
      </c>
      <c r="AJ7" s="20" t="str" cm="1">
        <f t="array" ca="1" aca="1" ref="AJ7">IF($AF7,IF($Q7="","",","&amp;SanitizeInput($Q7)),"")</f>
        <v/>
      </c>
      <c r="AK7" s="20" t="b">
        <f>OR(CheckRelevance(SanitizeInput($D7),Questionnaire!$I:$I),CheckRelevance(SanitizeInput($D7),Questionnaire!$J:$J))</f>
        <v>0</v>
      </c>
      <c r="AL7" s="20" t="str" cm="1">
        <f t="array" ref="AL7">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7),Questionnaire!$AA:$AA,",")</f>
        <v/>
      </c>
      <c r="AM7" s="20" t="str" cm="1">
        <f t="array" ref="AM7">IF($D7="*","",InverseLookupList($AL7,Questionnaire!$AA$3,Questionnaire!$A$3,Helper!$B$12,","))</f>
        <v/>
      </c>
      <c r="AN7" s="20" t="str" cm="1">
        <f t="array" ref="AN7">RemoveDelimiter(GetValues($AM7,Questionnaire!$A:$G," ",CHAR(10)&amp;CHAR(10),TRUE),CHAR(10)&amp;CHAR(10))</f>
        <v/>
      </c>
      <c r="AO7" s="20" t="str" cm="1">
        <f t="array" ref="AO7">CreateSearchString($AM7)</f>
        <v/>
      </c>
      <c r="AP7" s="20" t="str" cm="1">
        <f t="array" ca="1" aca="1" ref="AP7">InverseLookup($A7,Mitigation!$AD$2,Mitigation!$A$2,1,Helper!$B$5,",")</f>
        <v/>
      </c>
      <c r="AQ7" s="20" t="str" cm="1">
        <f t="array" ca="1" aca="1" ref="AQ7">CreateSearchString(GetValues($AP7,'Attack Steps'!$A:$O,"",",",FALSE))</f>
        <v/>
      </c>
      <c r="AR7" s="20" t="str">
        <f t="shared" si="1"/>
        <v>C4</v>
      </c>
    </row>
    <row r="8" spans="1:44" ht="15">
      <c r="A8" s="10" t="s">
        <v>399</v>
      </c>
      <c r="B8" s="13" t="s">
        <v>730</v>
      </c>
      <c r="C8" s="13" t="s">
        <v>1745</v>
      </c>
      <c r="D8" s="13"/>
      <c r="E8" s="13"/>
      <c r="F8" s="33" t="str" cm="1">
        <f t="array" ref="F8">LookupNames(SanitizeInput($E8),'Attack Steps'!$A:$B)</f>
        <v/>
      </c>
      <c r="G8" s="23"/>
      <c r="H8" s="33" t="str" cm="1">
        <f t="array" ref="H8">RemoveDelimiter(GetValuesWithFallback(SanitizeInput($G8),$A:$B,Assumptions!$A:$B," ",","&amp;CHAR(10),TRUE),","&amp;CHAR(10))</f>
        <v/>
      </c>
      <c r="I8" s="23"/>
      <c r="J8" s="37" t="str" cm="1">
        <f t="array" ref="J8">IF($I8="","",SUBSTITUTE(SUBSTITUTE(SUBSTITUTE(SUBSTITUTE(SUBSTITUTE(SUBSTITUTE(SUBSTITUTE(SUBSTITUTE(SUBSTITUTE(GetTransformation(SanitizeInput($I8),'Damage Scenarios'!$A:$J,COLUMNS('Damage Scenarios'!$A:$J),CHAR(10),"[#0][#1][#2]")&amp;"§","[#1][#2]",""),"[#2]",""),"[#0][#1]","[#1]"),"[#0]","Removes:"&amp;CHAR(10)),"[#1]","Transforms:"&amp;CHAR(10)),CHAR(10)&amp;"§",""),"§",""),CHAR(10),CHAR(10)&amp;"   "),"   "&amp;"Transforms:","Transforms:"))</f>
        <v/>
      </c>
      <c r="K8" s="13"/>
      <c r="L8" s="13"/>
      <c r="M8" s="13"/>
      <c r="N8" s="13"/>
      <c r="O8" s="13"/>
      <c r="P8" s="33" t="str">
        <f ca="1">IF($A8="","",IFERROR(VLOOKUP($AD8,Definitions!$V:$W,COLUMNS(Definitions!$V:$W),TRUE),""))</f>
        <v>Basic</v>
      </c>
      <c r="Q8" s="23" t="s">
        <v>607</v>
      </c>
      <c r="R8" s="23"/>
      <c r="S8" s="13"/>
      <c r="T8" s="10" cm="1">
        <f t="array" ref="T8">IF(ROW()=ROW($T$2)+1,0,INDEX($T:$T,ROW()-1))+IF($A8="",0,1)</f>
        <v>6</v>
      </c>
      <c r="U8" s="20" t="b" cm="1">
        <f t="array" ref="U8">CheckRelevance(SanitizeInput(E8),Questionnaire!$I:$I)</f>
        <v>0</v>
      </c>
      <c r="V8" s="20" t="b">
        <f>IFERROR(_xlfn.XMATCH("*,"&amp;$A8&amp;",*",Mitigation!$X:$X,2)&gt;0,FALSE)</f>
        <v>0</v>
      </c>
      <c r="W8" s="20" cm="1">
        <f t="array" ref="W8">CreateTaskID($W$2,$W:$W,Tasks!$B$17,$S8)</f>
        <v>0</v>
      </c>
      <c r="X8" s="20" t="str" cm="1">
        <f t="array" ref="X8">IF($E8="","",","&amp;SanitizeInput($E8))</f>
        <v/>
      </c>
      <c r="Y8" s="20">
        <f>IF(K8="",0,VLOOKUP(K8,Definitions!$Z:$AA,COLUMNS(Definitions!$Z:$AA),FALSE))</f>
        <v>0</v>
      </c>
      <c r="Z8" s="20">
        <f>IF(L8="",0,VLOOKUP(L8,Definitions!$Z:$AA,COLUMNS(Definitions!$Z:$AA),FALSE))</f>
        <v>0</v>
      </c>
      <c r="AA8" s="20">
        <f>IF(M8="",0,VLOOKUP(M8,Definitions!$Z:$AA,COLUMNS(Definitions!$Z:$AA),FALSE))</f>
        <v>0</v>
      </c>
      <c r="AB8" s="20">
        <f>IF(N8="",0,VLOOKUP(N8,Definitions!$Z:$AA,COLUMNS(Definitions!$Z:$AA),FALSE))</f>
        <v>0</v>
      </c>
      <c r="AC8" s="20">
        <f>IF(O8="",0,VLOOKUP(O8,Definitions!$Z:$AA,COLUMNS(Definitions!$Z:$AA),FALSE))</f>
        <v>0</v>
      </c>
      <c r="AD8" s="20">
        <f t="shared" ca="1" si="0"/>
        <v>0</v>
      </c>
      <c r="AE8" s="20" t="str" cm="1">
        <f t="array" ref="AE8">IF($G8="","",","&amp;SanitizeInput($G8))</f>
        <v/>
      </c>
      <c r="AF8" s="20" t="b" cm="1">
        <f t="array" ca="1" aca="1" ref="AF8">OR($AK8,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8,$AE$2,$A$2,Helper!$B$4,",",$A:$V,$A:$AK,InverseLookup($A8,$AE$2,$A$2,1,Helper!$B$4,",")))</f>
        <v>0</v>
      </c>
      <c r="AG8" s="20" t="str" cm="1">
        <f t="array" ca="1" aca="1" ref="AG8">IF(OR($V8,$AF8,$AK8),IF($G8="","",","&amp;SanitizeInput($G8)),"")</f>
        <v/>
      </c>
      <c r="AH8" s="20" t="str" cm="1">
        <f t="array" ref="AH8">SUBSTITUTE(IF($V8,IF($I8="","",","&amp;SanitizeInput($I8)),""),"&gt;",",")</f>
        <v/>
      </c>
      <c r="AI8" s="20" cm="1">
        <f t="array" ca="1" aca="1" ref="AI8">IF(ROW()=ROW($AI$2)+1,0,INDEX($AI:$AI,ROW()-1))+IF($AF8,1,0)</f>
        <v>2</v>
      </c>
      <c r="AJ8" s="20" t="str" cm="1">
        <f t="array" ca="1" aca="1" ref="AJ8">IF($AF8,IF($Q8="","",","&amp;SanitizeInput($Q8)),"")</f>
        <v/>
      </c>
      <c r="AK8" s="20" t="b">
        <f>OR(CheckRelevance(SanitizeInput($D8),Questionnaire!$I:$I),CheckRelevance(SanitizeInput($D8),Questionnaire!$J:$J))</f>
        <v>0</v>
      </c>
      <c r="AL8" s="20" t="str" cm="1">
        <f t="array" ref="AL8">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8),Questionnaire!$AA:$AA,",")</f>
        <v/>
      </c>
      <c r="AM8" s="20" t="str" cm="1">
        <f t="array" ref="AM8">IF($D8="*","",InverseLookupList($AL8,Questionnaire!$AA$3,Questionnaire!$A$3,Helper!$B$12,","))</f>
        <v/>
      </c>
      <c r="AN8" s="20" t="str" cm="1">
        <f t="array" ref="AN8">RemoveDelimiter(GetValues($AM8,Questionnaire!$A:$G," ",CHAR(10)&amp;CHAR(10),TRUE),CHAR(10)&amp;CHAR(10))</f>
        <v/>
      </c>
      <c r="AO8" s="20" t="str" cm="1">
        <f t="array" ref="AO8">CreateSearchString($AM8)</f>
        <v/>
      </c>
      <c r="AP8" s="20" t="str" cm="1">
        <f t="array" ca="1" aca="1" ref="AP8">InverseLookup($A8,Mitigation!$AD$2,Mitigation!$A$2,1,Helper!$B$5,",")</f>
        <v/>
      </c>
      <c r="AQ8" s="20" t="str" cm="1">
        <f t="array" ca="1" aca="1" ref="AQ8">CreateSearchString(GetValues($AP8,'Attack Steps'!$A:$O,"",",",FALSE))</f>
        <v/>
      </c>
      <c r="AR8" s="20" t="str">
        <f t="shared" si="1"/>
        <v>C5</v>
      </c>
    </row>
    <row r="9" spans="1:44" ht="15">
      <c r="A9" s="10" t="s">
        <v>400</v>
      </c>
      <c r="B9" s="13" t="s">
        <v>731</v>
      </c>
      <c r="C9" s="13" t="s">
        <v>1745</v>
      </c>
      <c r="D9" s="13"/>
      <c r="E9" s="13"/>
      <c r="F9" s="33" t="str" cm="1">
        <f t="array" ref="F9">LookupNames(SanitizeInput($E9),'Attack Steps'!$A:$B)</f>
        <v/>
      </c>
      <c r="G9" s="23"/>
      <c r="H9" s="33" t="str" cm="1">
        <f t="array" ref="H9">RemoveDelimiter(GetValuesWithFallback(SanitizeInput($G9),$A:$B,Assumptions!$A:$B," ",","&amp;CHAR(10),TRUE),","&amp;CHAR(10))</f>
        <v/>
      </c>
      <c r="I9" s="23"/>
      <c r="J9" s="37" t="str" cm="1">
        <f t="array" ref="J9">IF($I9="","",SUBSTITUTE(SUBSTITUTE(SUBSTITUTE(SUBSTITUTE(SUBSTITUTE(SUBSTITUTE(SUBSTITUTE(SUBSTITUTE(SUBSTITUTE(GetTransformation(SanitizeInput($I9),'Damage Scenarios'!$A:$J,COLUMNS('Damage Scenarios'!$A:$J),CHAR(10),"[#0][#1][#2]")&amp;"§","[#1][#2]",""),"[#2]",""),"[#0][#1]","[#1]"),"[#0]","Removes:"&amp;CHAR(10)),"[#1]","Transforms:"&amp;CHAR(10)),CHAR(10)&amp;"§",""),"§",""),CHAR(10),CHAR(10)&amp;"   "),"   "&amp;"Transforms:","Transforms:"))</f>
        <v/>
      </c>
      <c r="K9" s="13"/>
      <c r="L9" s="13"/>
      <c r="M9" s="13"/>
      <c r="N9" s="13"/>
      <c r="O9" s="13"/>
      <c r="P9" s="33" t="str">
        <f ca="1">IF($A9="","",IFERROR(VLOOKUP($AD9,Definitions!$V:$W,COLUMNS(Definitions!$V:$W),TRUE),""))</f>
        <v>Basic</v>
      </c>
      <c r="Q9" s="23" t="s">
        <v>607</v>
      </c>
      <c r="R9" s="23"/>
      <c r="S9" s="13"/>
      <c r="T9" s="10" cm="1">
        <f t="array" ref="T9">IF(ROW()=ROW($T$2)+1,0,INDEX($T:$T,ROW()-1))+IF($A9="",0,1)</f>
        <v>7</v>
      </c>
      <c r="U9" s="20" t="b" cm="1">
        <f t="array" ref="U9">CheckRelevance(SanitizeInput(E9),Questionnaire!$I:$I)</f>
        <v>0</v>
      </c>
      <c r="V9" s="20" t="b">
        <f>IFERROR(_xlfn.XMATCH("*,"&amp;$A9&amp;",*",Mitigation!$X:$X,2)&gt;0,FALSE)</f>
        <v>0</v>
      </c>
      <c r="W9" s="20" cm="1">
        <f t="array" ref="W9">CreateTaskID($W$2,$W:$W,Tasks!$B$17,$S9)</f>
        <v>0</v>
      </c>
      <c r="X9" s="20" t="str" cm="1">
        <f t="array" ref="X9">IF($E9="","",","&amp;SanitizeInput($E9))</f>
        <v/>
      </c>
      <c r="Y9" s="20">
        <f>IF(K9="",0,VLOOKUP(K9,Definitions!$Z:$AA,COLUMNS(Definitions!$Z:$AA),FALSE))</f>
        <v>0</v>
      </c>
      <c r="Z9" s="20">
        <f>IF(L9="",0,VLOOKUP(L9,Definitions!$Z:$AA,COLUMNS(Definitions!$Z:$AA),FALSE))</f>
        <v>0</v>
      </c>
      <c r="AA9" s="20">
        <f>IF(M9="",0,VLOOKUP(M9,Definitions!$Z:$AA,COLUMNS(Definitions!$Z:$AA),FALSE))</f>
        <v>0</v>
      </c>
      <c r="AB9" s="20">
        <f>IF(N9="",0,VLOOKUP(N9,Definitions!$Z:$AA,COLUMNS(Definitions!$Z:$AA),FALSE))</f>
        <v>0</v>
      </c>
      <c r="AC9" s="20">
        <f>IF(O9="",0,VLOOKUP(O9,Definitions!$Z:$AA,COLUMNS(Definitions!$Z:$AA),FALSE))</f>
        <v>0</v>
      </c>
      <c r="AD9" s="20">
        <f t="shared" ca="1" si="0"/>
        <v>0</v>
      </c>
      <c r="AE9" s="20" t="str" cm="1">
        <f t="array" ref="AE9">IF($G9="","",","&amp;SanitizeInput($G9))</f>
        <v/>
      </c>
      <c r="AF9" s="20" t="b" cm="1">
        <f t="array" ca="1" aca="1" ref="AF9">OR($AK9,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9,$AE$2,$A$2,Helper!$B$4,",",$A:$V,$A:$AK,InverseLookup($A9,$AE$2,$A$2,1,Helper!$B$4,",")))</f>
        <v>0</v>
      </c>
      <c r="AG9" s="20" t="str" cm="1">
        <f t="array" ca="1" aca="1" ref="AG9">IF(OR($V9,$AF9,$AK9),IF($G9="","",","&amp;SanitizeInput($G9)),"")</f>
        <v/>
      </c>
      <c r="AH9" s="20" t="str" cm="1">
        <f t="array" ref="AH9">SUBSTITUTE(IF($V9,IF($I9="","",","&amp;SanitizeInput($I9)),""),"&gt;",",")</f>
        <v/>
      </c>
      <c r="AI9" s="20" cm="1">
        <f t="array" ca="1" aca="1" ref="AI9">IF(ROW()=ROW($AI$2)+1,0,INDEX($AI:$AI,ROW()-1))+IF($AF9,1,0)</f>
        <v>2</v>
      </c>
      <c r="AJ9" s="20" t="str" cm="1">
        <f t="array" ca="1" aca="1" ref="AJ9">IF($AF9,IF($Q9="","",","&amp;SanitizeInput($Q9)),"")</f>
        <v/>
      </c>
      <c r="AK9" s="20" t="b">
        <f>OR(CheckRelevance(SanitizeInput($D9),Questionnaire!$I:$I),CheckRelevance(SanitizeInput($D9),Questionnaire!$J:$J))</f>
        <v>0</v>
      </c>
      <c r="AL9" s="20" t="str" cm="1">
        <f t="array" ref="AL9">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9),Questionnaire!$AA:$AA,",")</f>
        <v/>
      </c>
      <c r="AM9" s="20" t="str" cm="1">
        <f t="array" ref="AM9">IF($D9="*","",InverseLookupList($AL9,Questionnaire!$AA$3,Questionnaire!$A$3,Helper!$B$12,","))</f>
        <v/>
      </c>
      <c r="AN9" s="20" t="str" cm="1">
        <f t="array" ref="AN9">RemoveDelimiter(GetValues($AM9,Questionnaire!$A:$G," ",CHAR(10)&amp;CHAR(10),TRUE),CHAR(10)&amp;CHAR(10))</f>
        <v/>
      </c>
      <c r="AO9" s="20" t="str" cm="1">
        <f t="array" ref="AO9">CreateSearchString($AM9)</f>
        <v/>
      </c>
      <c r="AP9" s="20" t="str" cm="1">
        <f t="array" ca="1" aca="1" ref="AP9">InverseLookup($A9,Mitigation!$AD$2,Mitigation!$A$2,1,Helper!$B$5,",")</f>
        <v/>
      </c>
      <c r="AQ9" s="20" t="str" cm="1">
        <f t="array" ca="1" aca="1" ref="AQ9">CreateSearchString(GetValues($AP9,'Attack Steps'!$A:$O,"",",",FALSE))</f>
        <v/>
      </c>
      <c r="AR9" s="20" t="str">
        <f t="shared" si="1"/>
        <v>C6</v>
      </c>
    </row>
    <row r="10" spans="1:44" ht="30">
      <c r="A10" s="10" t="s">
        <v>401</v>
      </c>
      <c r="B10" s="13" t="s">
        <v>732</v>
      </c>
      <c r="C10" s="13" t="s">
        <v>1745</v>
      </c>
      <c r="D10" s="13" t="s">
        <v>1382</v>
      </c>
      <c r="E10" s="13"/>
      <c r="F10" s="33" t="str" cm="1">
        <f t="array" ref="F10">LookupNames(SanitizeInput($E10),'Attack Steps'!$A:$B)</f>
        <v/>
      </c>
      <c r="G10" s="23"/>
      <c r="H10" s="33" t="str" cm="1">
        <f t="array" ref="H10">RemoveDelimiter(GetValuesWithFallback(SanitizeInput($G10),$A:$B,Assumptions!$A:$B," ",","&amp;CHAR(10),TRUE),","&amp;CHAR(10))</f>
        <v/>
      </c>
      <c r="I10" s="23"/>
      <c r="J10" s="37" t="str" cm="1">
        <f t="array" ref="J10">IF($I10="","",SUBSTITUTE(SUBSTITUTE(SUBSTITUTE(SUBSTITUTE(SUBSTITUTE(SUBSTITUTE(SUBSTITUTE(SUBSTITUTE(SUBSTITUTE(GetTransformation(SanitizeInput($I10),'Damage Scenarios'!$A:$J,COLUMNS('Damage Scenarios'!$A:$J),CHAR(10),"[#0][#1][#2]")&amp;"§","[#1][#2]",""),"[#2]",""),"[#0][#1]","[#1]"),"[#0]","Removes:"&amp;CHAR(10)),"[#1]","Transforms:"&amp;CHAR(10)),CHAR(10)&amp;"§",""),"§",""),CHAR(10),CHAR(10)&amp;"   "),"   "&amp;"Transforms:","Transforms:"))</f>
        <v/>
      </c>
      <c r="K10" s="13"/>
      <c r="L10" s="13"/>
      <c r="M10" s="13"/>
      <c r="N10" s="13"/>
      <c r="O10" s="13"/>
      <c r="P10" s="33" t="str">
        <f ca="1">IF($A10="","",IFERROR(VLOOKUP($AD10,Definitions!$V:$W,COLUMNS(Definitions!$V:$W),TRUE),""))</f>
        <v>Basic</v>
      </c>
      <c r="Q10" s="23" t="s">
        <v>609</v>
      </c>
      <c r="R10" s="23"/>
      <c r="S10" s="13"/>
      <c r="T10" s="10" cm="1">
        <f t="array" ref="T10">IF(ROW()=ROW($T$2)+1,0,INDEX($T:$T,ROW()-1))+IF($A10="",0,1)</f>
        <v>8</v>
      </c>
      <c r="U10" s="20" t="b" cm="1">
        <f t="array" ref="U10">CheckRelevance(SanitizeInput(E10),Questionnaire!$I:$I)</f>
        <v>0</v>
      </c>
      <c r="V10" s="20" t="b">
        <f>IFERROR(_xlfn.XMATCH("*,"&amp;$A10&amp;",*",Mitigation!$X:$X,2)&gt;0,FALSE)</f>
        <v>0</v>
      </c>
      <c r="W10" s="20" cm="1">
        <f t="array" ref="W10">CreateTaskID($W$2,$W:$W,Tasks!$B$17,$S10)</f>
        <v>0</v>
      </c>
      <c r="X10" s="20" t="str" cm="1">
        <f t="array" ref="X10">IF($E10="","",","&amp;SanitizeInput($E10))</f>
        <v/>
      </c>
      <c r="Y10" s="20">
        <f>IF(K10="",0,VLOOKUP(K10,Definitions!$Z:$AA,COLUMNS(Definitions!$Z:$AA),FALSE))</f>
        <v>0</v>
      </c>
      <c r="Z10" s="20">
        <f>IF(L10="",0,VLOOKUP(L10,Definitions!$Z:$AA,COLUMNS(Definitions!$Z:$AA),FALSE))</f>
        <v>0</v>
      </c>
      <c r="AA10" s="20">
        <f>IF(M10="",0,VLOOKUP(M10,Definitions!$Z:$AA,COLUMNS(Definitions!$Z:$AA),FALSE))</f>
        <v>0</v>
      </c>
      <c r="AB10" s="20">
        <f>IF(N10="",0,VLOOKUP(N10,Definitions!$Z:$AA,COLUMNS(Definitions!$Z:$AA),FALSE))</f>
        <v>0</v>
      </c>
      <c r="AC10" s="20">
        <f>IF(O10="",0,VLOOKUP(O10,Definitions!$Z:$AA,COLUMNS(Definitions!$Z:$AA),FALSE))</f>
        <v>0</v>
      </c>
      <c r="AD10" s="20">
        <f t="shared" ca="1" si="0"/>
        <v>0</v>
      </c>
      <c r="AE10" s="20" t="str" cm="1">
        <f t="array" ref="AE10">IF($G10="","",","&amp;SanitizeInput($G10))</f>
        <v/>
      </c>
      <c r="AF10" s="20" t="b" cm="1">
        <f t="array" ca="1" aca="1" ref="AF10">OR($AK10,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10,$AE$2,$A$2,Helper!$B$4,",",$A:$V,$A:$AK,InverseLookup($A10,$AE$2,$A$2,1,Helper!$B$4,",")))</f>
        <v>1</v>
      </c>
      <c r="AG10" s="20" t="str" cm="1">
        <f t="array" ca="1" aca="1" ref="AG10">IF(OR($V10,$AF10,$AK10),IF($G10="","",","&amp;SanitizeInput($G10)),"")</f>
        <v/>
      </c>
      <c r="AH10" s="20" t="str" cm="1">
        <f t="array" ref="AH10">SUBSTITUTE(IF($V10,IF($I10="","",","&amp;SanitizeInput($I10)),""),"&gt;",",")</f>
        <v/>
      </c>
      <c r="AI10" s="20" cm="1">
        <f t="array" ca="1" aca="1" ref="AI10">IF(ROW()=ROW($AI$2)+1,0,INDEX($AI:$AI,ROW()-1))+IF($AF10,1,0)</f>
        <v>3</v>
      </c>
      <c r="AJ10" s="20" t="str" cm="1">
        <f t="array" ca="1" aca="1" ref="AJ10">IF($AF10,IF($Q10="","",","&amp;SanitizeInput($Q10)),"")</f>
        <v>,g,</v>
      </c>
      <c r="AK10" s="20" t="b">
        <f ca="1">OR(CheckRelevance(SanitizeInput($D10),Questionnaire!$I:$I),CheckRelevance(SanitizeInput($D10),Questionnaire!$J:$J))</f>
        <v>1</v>
      </c>
      <c r="AL10" s="20" t="str" cm="1">
        <f t="array" ca="1" aca="1" ref="AL10">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10),Questionnaire!$AA:$AA,",")</f>
        <v>QA8[Yes|*],</v>
      </c>
      <c r="AM10" s="20" t="str" cm="1">
        <f t="array" ca="1" aca="1" ref="AM10">IF($D10="*","",InverseLookupList($AL10,Questionnaire!$AA$3,Questionnaire!$A$3,Helper!$B$12,","))</f>
        <v>QA8,</v>
      </c>
      <c r="AN10" s="20" t="str" cm="1">
        <f t="array" ca="1" aca="1" ref="AN10">RemoveDelimiter(GetValues($AM10,Questionnaire!$A:$G," ",CHAR(10)&amp;CHAR(10),TRUE),CHAR(10)&amp;CHAR(10))</f>
        <v xml:space="preserve">QA8 </v>
      </c>
      <c r="AO10" s="20" t="str" cm="1">
        <f t="array" ca="1" aca="1" ref="AO10">CreateSearchString($AM10)</f>
        <v>,QA8,</v>
      </c>
      <c r="AP10" s="20" t="str" cm="1">
        <f t="array" ca="1" aca="1" ref="AP10">InverseLookup($A10,Mitigation!$AD$2,Mitigation!$A$2,1,Helper!$B$5,",")</f>
        <v/>
      </c>
      <c r="AQ10" s="20" t="str" cm="1">
        <f t="array" ca="1" aca="1" ref="AQ10">CreateSearchString(GetValues($AP10,'Attack Steps'!$A:$O,"",",",FALSE))</f>
        <v/>
      </c>
      <c r="AR10" s="20" t="str">
        <f t="shared" si="1"/>
        <v>C7</v>
      </c>
    </row>
    <row r="11" spans="1:44" ht="15">
      <c r="A11" s="10" t="s">
        <v>402</v>
      </c>
      <c r="B11" s="13" t="s">
        <v>733</v>
      </c>
      <c r="C11" s="13" t="s">
        <v>1745</v>
      </c>
      <c r="D11" s="13"/>
      <c r="E11" s="13"/>
      <c r="F11" s="33" t="str" cm="1">
        <f t="array" ref="F11">LookupNames(SanitizeInput($E11),'Attack Steps'!$A:$B)</f>
        <v/>
      </c>
      <c r="G11" s="23"/>
      <c r="H11" s="33" t="str" cm="1">
        <f t="array" ref="H11">RemoveDelimiter(GetValuesWithFallback(SanitizeInput($G11),$A:$B,Assumptions!$A:$B," ",","&amp;CHAR(10),TRUE),","&amp;CHAR(10))</f>
        <v/>
      </c>
      <c r="I11" s="23"/>
      <c r="J11" s="37" t="str" cm="1">
        <f t="array" ref="J11">IF($I11="","",SUBSTITUTE(SUBSTITUTE(SUBSTITUTE(SUBSTITUTE(SUBSTITUTE(SUBSTITUTE(SUBSTITUTE(SUBSTITUTE(SUBSTITUTE(GetTransformation(SanitizeInput($I11),'Damage Scenarios'!$A:$J,COLUMNS('Damage Scenarios'!$A:$J),CHAR(10),"[#0][#1][#2]")&amp;"§","[#1][#2]",""),"[#2]",""),"[#0][#1]","[#1]"),"[#0]","Removes:"&amp;CHAR(10)),"[#1]","Transforms:"&amp;CHAR(10)),CHAR(10)&amp;"§",""),"§",""),CHAR(10),CHAR(10)&amp;"   "),"   "&amp;"Transforms:","Transforms:"))</f>
        <v/>
      </c>
      <c r="K11" s="13"/>
      <c r="L11" s="13"/>
      <c r="M11" s="13"/>
      <c r="N11" s="13"/>
      <c r="O11" s="13"/>
      <c r="P11" s="33" t="str">
        <f ca="1">IF($A11="","",IFERROR(VLOOKUP($AD11,Definitions!$V:$W,COLUMNS(Definitions!$V:$W),TRUE),""))</f>
        <v>Basic</v>
      </c>
      <c r="Q11" s="23" t="s">
        <v>607</v>
      </c>
      <c r="R11" s="23"/>
      <c r="S11" s="13"/>
      <c r="T11" s="10" cm="1">
        <f t="array" ref="T11">IF(ROW()=ROW($T$2)+1,0,INDEX($T:$T,ROW()-1))+IF($A11="",0,1)</f>
        <v>9</v>
      </c>
      <c r="U11" s="20" t="b" cm="1">
        <f t="array" ref="U11">CheckRelevance(SanitizeInput(E11),Questionnaire!$I:$I)</f>
        <v>0</v>
      </c>
      <c r="V11" s="20" t="b">
        <f>IFERROR(_xlfn.XMATCH("*,"&amp;$A11&amp;",*",Mitigation!$X:$X,2)&gt;0,FALSE)</f>
        <v>0</v>
      </c>
      <c r="W11" s="20" cm="1">
        <f t="array" ref="W11">CreateTaskID($W$2,$W:$W,Tasks!$B$17,$S11)</f>
        <v>0</v>
      </c>
      <c r="X11" s="20" t="str" cm="1">
        <f t="array" ref="X11">IF($E11="","",","&amp;SanitizeInput($E11))</f>
        <v/>
      </c>
      <c r="Y11" s="20">
        <f>IF(K11="",0,VLOOKUP(K11,Definitions!$Z:$AA,COLUMNS(Definitions!$Z:$AA),FALSE))</f>
        <v>0</v>
      </c>
      <c r="Z11" s="20">
        <f>IF(L11="",0,VLOOKUP(L11,Definitions!$Z:$AA,COLUMNS(Definitions!$Z:$AA),FALSE))</f>
        <v>0</v>
      </c>
      <c r="AA11" s="20">
        <f>IF(M11="",0,VLOOKUP(M11,Definitions!$Z:$AA,COLUMNS(Definitions!$Z:$AA),FALSE))</f>
        <v>0</v>
      </c>
      <c r="AB11" s="20">
        <f>IF(N11="",0,VLOOKUP(N11,Definitions!$Z:$AA,COLUMNS(Definitions!$Z:$AA),FALSE))</f>
        <v>0</v>
      </c>
      <c r="AC11" s="20">
        <f>IF(O11="",0,VLOOKUP(O11,Definitions!$Z:$AA,COLUMNS(Definitions!$Z:$AA),FALSE))</f>
        <v>0</v>
      </c>
      <c r="AD11" s="20">
        <f t="shared" ca="1" si="0"/>
        <v>0</v>
      </c>
      <c r="AE11" s="20" t="str" cm="1">
        <f t="array" ref="AE11">IF($G11="","",","&amp;SanitizeInput($G11))</f>
        <v/>
      </c>
      <c r="AF11" s="20" t="b" cm="1">
        <f t="array" ca="1" aca="1" ref="AF11">OR($AK11,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11,$AE$2,$A$2,Helper!$B$4,",",$A:$V,$A:$AK,InverseLookup($A11,$AE$2,$A$2,1,Helper!$B$4,",")))</f>
        <v>0</v>
      </c>
      <c r="AG11" s="20" t="str" cm="1">
        <f t="array" ca="1" aca="1" ref="AG11">IF(OR($V11,$AF11,$AK11),IF($G11="","",","&amp;SanitizeInput($G11)),"")</f>
        <v/>
      </c>
      <c r="AH11" s="20" t="str" cm="1">
        <f t="array" ref="AH11">SUBSTITUTE(IF($V11,IF($I11="","",","&amp;SanitizeInput($I11)),""),"&gt;",",")</f>
        <v/>
      </c>
      <c r="AI11" s="20" cm="1">
        <f t="array" ca="1" aca="1" ref="AI11">IF(ROW()=ROW($AI$2)+1,0,INDEX($AI:$AI,ROW()-1))+IF($AF11,1,0)</f>
        <v>3</v>
      </c>
      <c r="AJ11" s="20" t="str" cm="1">
        <f t="array" ca="1" aca="1" ref="AJ11">IF($AF11,IF($Q11="","",","&amp;SanitizeInput($Q11)),"")</f>
        <v/>
      </c>
      <c r="AK11" s="20" t="b">
        <f>OR(CheckRelevance(SanitizeInput($D11),Questionnaire!$I:$I),CheckRelevance(SanitizeInput($D11),Questionnaire!$J:$J))</f>
        <v>0</v>
      </c>
      <c r="AL11" s="20" t="str" cm="1">
        <f t="array" ref="AL1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11),Questionnaire!$AA:$AA,",")</f>
        <v/>
      </c>
      <c r="AM11" s="20" t="str" cm="1">
        <f t="array" ref="AM11">IF($D11="*","",InverseLookupList($AL11,Questionnaire!$AA$3,Questionnaire!$A$3,Helper!$B$12,","))</f>
        <v/>
      </c>
      <c r="AN11" s="20" t="str" cm="1">
        <f t="array" ref="AN11">RemoveDelimiter(GetValues($AM11,Questionnaire!$A:$G," ",CHAR(10)&amp;CHAR(10),TRUE),CHAR(10)&amp;CHAR(10))</f>
        <v/>
      </c>
      <c r="AO11" s="20" t="str" cm="1">
        <f t="array" ref="AO11">CreateSearchString($AM11)</f>
        <v/>
      </c>
      <c r="AP11" s="20" t="str" cm="1">
        <f t="array" ca="1" aca="1" ref="AP11">InverseLookup($A11,Mitigation!$AD$2,Mitigation!$A$2,1,Helper!$B$5,",")</f>
        <v/>
      </c>
      <c r="AQ11" s="20" t="str" cm="1">
        <f t="array" ca="1" aca="1" ref="AQ11">CreateSearchString(GetValues($AP11,'Attack Steps'!$A:$O,"",",",FALSE))</f>
        <v/>
      </c>
      <c r="AR11" s="20" t="str">
        <f t="shared" si="1"/>
        <v>C8</v>
      </c>
    </row>
    <row r="12" spans="1:44" ht="15">
      <c r="A12" s="10" t="s">
        <v>403</v>
      </c>
      <c r="B12" s="13" t="s">
        <v>734</v>
      </c>
      <c r="C12" s="13" t="s">
        <v>1745</v>
      </c>
      <c r="D12" s="13" t="s">
        <v>1699</v>
      </c>
      <c r="E12" s="13"/>
      <c r="F12" s="33" t="str" cm="1">
        <f t="array" ref="F12">LookupNames(SanitizeInput($E12),'Attack Steps'!$A:$B)</f>
        <v/>
      </c>
      <c r="G12" s="23"/>
      <c r="H12" s="33" t="str" cm="1">
        <f t="array" ref="H12">RemoveDelimiter(GetValuesWithFallback(SanitizeInput($G12),$A:$B,Assumptions!$A:$B," ",","&amp;CHAR(10),TRUE),","&amp;CHAR(10))</f>
        <v/>
      </c>
      <c r="I12" s="23"/>
      <c r="J12" s="37" t="str" cm="1">
        <f t="array" ref="J12">IF($I12="","",SUBSTITUTE(SUBSTITUTE(SUBSTITUTE(SUBSTITUTE(SUBSTITUTE(SUBSTITUTE(SUBSTITUTE(SUBSTITUTE(SUBSTITUTE(GetTransformation(SanitizeInput($I12),'Damage Scenarios'!$A:$J,COLUMNS('Damage Scenarios'!$A:$J),CHAR(10),"[#0][#1][#2]")&amp;"§","[#1][#2]",""),"[#2]",""),"[#0][#1]","[#1]"),"[#0]","Removes:"&amp;CHAR(10)),"[#1]","Transforms:"&amp;CHAR(10)),CHAR(10)&amp;"§",""),"§",""),CHAR(10),CHAR(10)&amp;"   "),"   "&amp;"Transforms:","Transforms:"))</f>
        <v/>
      </c>
      <c r="K12" s="13"/>
      <c r="L12" s="13"/>
      <c r="M12" s="13"/>
      <c r="N12" s="13"/>
      <c r="O12" s="13"/>
      <c r="P12" s="33" t="str">
        <f ca="1">IF($A12="","",IFERROR(VLOOKUP($AD12,Definitions!$V:$W,COLUMNS(Definitions!$V:$W),TRUE),""))</f>
        <v>Basic</v>
      </c>
      <c r="Q12" s="23" t="s">
        <v>1632</v>
      </c>
      <c r="R12" s="23"/>
      <c r="S12" s="13"/>
      <c r="T12" s="10" cm="1">
        <f t="array" ref="T12">IF(ROW()=ROW($T$2)+1,0,INDEX($T:$T,ROW()-1))+IF($A12="",0,1)</f>
        <v>10</v>
      </c>
      <c r="U12" s="20" t="b" cm="1">
        <f t="array" ref="U12">CheckRelevance(SanitizeInput(E12),Questionnaire!$I:$I)</f>
        <v>0</v>
      </c>
      <c r="V12" s="20" t="b">
        <f>IFERROR(_xlfn.XMATCH("*,"&amp;$A12&amp;",*",Mitigation!$X:$X,2)&gt;0,FALSE)</f>
        <v>0</v>
      </c>
      <c r="W12" s="20" cm="1">
        <f t="array" ref="W12">CreateTaskID($W$2,$W:$W,Tasks!$B$17,$S12)</f>
        <v>0</v>
      </c>
      <c r="X12" s="20" t="str" cm="1">
        <f t="array" ref="X12">IF($E12="","",","&amp;SanitizeInput($E12))</f>
        <v/>
      </c>
      <c r="Y12" s="20">
        <f>IF(K12="",0,VLOOKUP(K12,Definitions!$Z:$AA,COLUMNS(Definitions!$Z:$AA),FALSE))</f>
        <v>0</v>
      </c>
      <c r="Z12" s="20">
        <f>IF(L12="",0,VLOOKUP(L12,Definitions!$Z:$AA,COLUMNS(Definitions!$Z:$AA),FALSE))</f>
        <v>0</v>
      </c>
      <c r="AA12" s="20">
        <f>IF(M12="",0,VLOOKUP(M12,Definitions!$Z:$AA,COLUMNS(Definitions!$Z:$AA),FALSE))</f>
        <v>0</v>
      </c>
      <c r="AB12" s="20">
        <f>IF(N12="",0,VLOOKUP(N12,Definitions!$Z:$AA,COLUMNS(Definitions!$Z:$AA),FALSE))</f>
        <v>0</v>
      </c>
      <c r="AC12" s="20">
        <f>IF(O12="",0,VLOOKUP(O12,Definitions!$Z:$AA,COLUMNS(Definitions!$Z:$AA),FALSE))</f>
        <v>0</v>
      </c>
      <c r="AD12" s="20">
        <f t="shared" ca="1" si="0"/>
        <v>0</v>
      </c>
      <c r="AE12" s="20" t="str" cm="1">
        <f t="array" ref="AE12">IF($G12="","",","&amp;SanitizeInput($G12))</f>
        <v/>
      </c>
      <c r="AF12" s="20" t="b" cm="1">
        <f t="array" ca="1" aca="1" ref="AF12">OR($AK12,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12,$AE$2,$A$2,Helper!$B$4,",",$A:$V,$A:$AK,InverseLookup($A12,$AE$2,$A$2,1,Helper!$B$4,",")))</f>
        <v>0</v>
      </c>
      <c r="AG12" s="20" t="str" cm="1">
        <f t="array" ca="1" aca="1" ref="AG12">IF(OR($V12,$AF12,$AK12),IF($G12="","",","&amp;SanitizeInput($G12)),"")</f>
        <v/>
      </c>
      <c r="AH12" s="20" t="str" cm="1">
        <f t="array" ref="AH12">SUBSTITUTE(IF($V12,IF($I12="","",","&amp;SanitizeInput($I12)),""),"&gt;",",")</f>
        <v/>
      </c>
      <c r="AI12" s="20" cm="1">
        <f t="array" ca="1" aca="1" ref="AI12">IF(ROW()=ROW($AI$2)+1,0,INDEX($AI:$AI,ROW()-1))+IF($AF12,1,0)</f>
        <v>3</v>
      </c>
      <c r="AJ12" s="20" t="str" cm="1">
        <f t="array" ca="1" aca="1" ref="AJ12">IF($AF12,IF($Q12="","",","&amp;SanitizeInput($Q12)),"")</f>
        <v/>
      </c>
      <c r="AK12" s="20" t="b">
        <f ca="1">OR(CheckRelevance(SanitizeInput($D12),Questionnaire!$I:$I),CheckRelevance(SanitizeInput($D12),Questionnaire!$J:$J))</f>
        <v>0</v>
      </c>
      <c r="AL12" s="20" t="str" cm="1">
        <f t="array" ca="1" aca="1" ref="AL12">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12),Questionnaire!$AA:$AA,",")</f>
        <v/>
      </c>
      <c r="AM12" s="20" t="str" cm="1">
        <f t="array" ca="1" aca="1" ref="AM12">IF($D12="*","",InverseLookupList($AL12,Questionnaire!$AA$3,Questionnaire!$A$3,Helper!$B$12,","))</f>
        <v/>
      </c>
      <c r="AN12" s="20" t="str" cm="1">
        <f t="array" ca="1" aca="1" ref="AN12">RemoveDelimiter(GetValues($AM12,Questionnaire!$A:$G," ",CHAR(10)&amp;CHAR(10),TRUE),CHAR(10)&amp;CHAR(10))</f>
        <v/>
      </c>
      <c r="AO12" s="20" t="str" cm="1">
        <f t="array" ca="1" aca="1" ref="AO12">CreateSearchString($AM12)</f>
        <v/>
      </c>
      <c r="AP12" s="20" t="str" cm="1">
        <f t="array" ca="1" aca="1" ref="AP12">InverseLookup($A12,Mitigation!$AD$2,Mitigation!$A$2,1,Helper!$B$5,",")</f>
        <v/>
      </c>
      <c r="AQ12" s="20" t="str" cm="1">
        <f t="array" ca="1" aca="1" ref="AQ12">CreateSearchString(GetValues($AP12,'Attack Steps'!$A:$O,"",",",FALSE))</f>
        <v/>
      </c>
      <c r="AR12" s="20" t="str">
        <f t="shared" si="1"/>
        <v>C9</v>
      </c>
    </row>
    <row r="13" spans="1:44" ht="45">
      <c r="A13" s="10" t="s">
        <v>404</v>
      </c>
      <c r="B13" s="13" t="s">
        <v>735</v>
      </c>
      <c r="C13" s="13" t="s">
        <v>1745</v>
      </c>
      <c r="D13" s="13" t="s">
        <v>1677</v>
      </c>
      <c r="E13" s="13"/>
      <c r="F13" s="33" t="str" cm="1">
        <f t="array" ref="F13">LookupNames(SanitizeInput($E13),'Attack Steps'!$A:$B)</f>
        <v/>
      </c>
      <c r="G13" s="23" t="s">
        <v>767</v>
      </c>
      <c r="H13" s="33" t="str" cm="1">
        <f t="array" ca="1" aca="1" ref="H13">RemoveDelimiter(GetValuesWithFallback(SanitizeInput($G13),$A:$B,Assumptions!$A:$B," ",","&amp;CHAR(10),TRUE),","&amp;CHAR(10))</f>
        <v>C11 CR 2.10 – Response to audit processing failures,
C12 CR 2.11 – Timestamps</v>
      </c>
      <c r="I13" s="23"/>
      <c r="J13" s="37" t="str" cm="1">
        <f t="array" ref="J13">IF($I13="","",SUBSTITUTE(SUBSTITUTE(SUBSTITUTE(SUBSTITUTE(SUBSTITUTE(SUBSTITUTE(SUBSTITUTE(SUBSTITUTE(SUBSTITUTE(GetTransformation(SanitizeInput($I13),'Damage Scenarios'!$A:$J,COLUMNS('Damage Scenarios'!$A:$J),CHAR(10),"[#0][#1][#2]")&amp;"§","[#1][#2]",""),"[#2]",""),"[#0][#1]","[#1]"),"[#0]","Removes:"&amp;CHAR(10)),"[#1]","Transforms:"&amp;CHAR(10)),CHAR(10)&amp;"§",""),"§",""),CHAR(10),CHAR(10)&amp;"   "),"   "&amp;"Transforms:","Transforms:"))</f>
        <v/>
      </c>
      <c r="K13" s="13"/>
      <c r="L13" s="13"/>
      <c r="M13" s="13"/>
      <c r="N13" s="13"/>
      <c r="O13" s="13"/>
      <c r="P13" s="33" t="str">
        <f ca="1">IF($A13="","",IFERROR(VLOOKUP($AD13,Definitions!$V:$W,COLUMNS(Definitions!$V:$W),TRUE),""))</f>
        <v>Basic</v>
      </c>
      <c r="Q13" s="23" t="s">
        <v>1613</v>
      </c>
      <c r="R13" s="23"/>
      <c r="S13" s="13"/>
      <c r="T13" s="10" cm="1">
        <f t="array" ref="T13">IF(ROW()=ROW($T$2)+1,0,INDEX($T:$T,ROW()-1))+IF($A13="",0,1)</f>
        <v>11</v>
      </c>
      <c r="U13" s="20" t="b" cm="1">
        <f t="array" ref="U13">CheckRelevance(SanitizeInput(E13),Questionnaire!$I:$I)</f>
        <v>0</v>
      </c>
      <c r="V13" s="20" t="b">
        <f>IFERROR(_xlfn.XMATCH("*,"&amp;$A13&amp;",*",Mitigation!$X:$X,2)&gt;0,FALSE)</f>
        <v>0</v>
      </c>
      <c r="W13" s="20" cm="1">
        <f t="array" ref="W13">CreateTaskID($W$2,$W:$W,Tasks!$B$17,$S13)</f>
        <v>0</v>
      </c>
      <c r="X13" s="20" t="str" cm="1">
        <f t="array" ref="X13">IF($E13="","",","&amp;SanitizeInput($E13))</f>
        <v/>
      </c>
      <c r="Y13" s="20">
        <f>IF(K13="",0,VLOOKUP(K13,Definitions!$Z:$AA,COLUMNS(Definitions!$Z:$AA),FALSE))</f>
        <v>0</v>
      </c>
      <c r="Z13" s="20">
        <f>IF(L13="",0,VLOOKUP(L13,Definitions!$Z:$AA,COLUMNS(Definitions!$Z:$AA),FALSE))</f>
        <v>0</v>
      </c>
      <c r="AA13" s="20">
        <f>IF(M13="",0,VLOOKUP(M13,Definitions!$Z:$AA,COLUMNS(Definitions!$Z:$AA),FALSE))</f>
        <v>0</v>
      </c>
      <c r="AB13" s="20">
        <f>IF(N13="",0,VLOOKUP(N13,Definitions!$Z:$AA,COLUMNS(Definitions!$Z:$AA),FALSE))</f>
        <v>0</v>
      </c>
      <c r="AC13" s="20">
        <f>IF(O13="",0,VLOOKUP(O13,Definitions!$Z:$AA,COLUMNS(Definitions!$Z:$AA),FALSE))</f>
        <v>0</v>
      </c>
      <c r="AD13" s="20">
        <f t="shared" ca="1" si="0"/>
        <v>0</v>
      </c>
      <c r="AE13" s="20" t="str" cm="1">
        <f t="array" ref="AE13">IF($G13="","",","&amp;SanitizeInput($G13))</f>
        <v>,C11,C12,</v>
      </c>
      <c r="AF13" s="20" t="b" cm="1">
        <f t="array" ca="1" aca="1" ref="AF13">OR($AK13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13,$AE$2,$A$2,Helper!$B$4,",",$A:$V,$A:$AK,InverseLookup($A13,$AE$2,$A$2,1,Helper!$B$4,",")))</f>
        <v>1</v>
      </c>
      <c r="AG13" s="20" t="str" cm="1">
        <f t="array" ca="1" aca="1" ref="AG13">IF(OR($V13,$AF13,$AK13),IF($G13="","",","&amp;SanitizeInput($G13)),"")</f>
        <v>,C11,C12,</v>
      </c>
      <c r="AH13" s="20" t="str" cm="1">
        <f t="array" ref="AH13">SUBSTITUTE(IF($V13,IF($I13="","",","&amp;SanitizeInput($I13)),""),"&gt;",",")</f>
        <v/>
      </c>
      <c r="AI13" s="20" cm="1">
        <f t="array" ca="1" aca="1" ref="AI13">IF(ROW()=ROW($AI$2)+1,0,INDEX($AI:$AI,ROW()-1))+IF($AF13,1,0)</f>
        <v>4</v>
      </c>
      <c r="AJ13" s="20" t="str" cm="1">
        <f t="array" ca="1" aca="1" ref="AJ13">IF($AF13,IF($Q13="","",","&amp;SanitizeInput($Q13)),"")</f>
        <v>,l,</v>
      </c>
      <c r="AK13" s="20" t="b">
        <f ca="1">OR(CheckRelevance(SanitizeInput($D13),Questionnaire!$I:$I),CheckRelevance(SanitizeInput($D13),Questionnaire!$J:$J))</f>
        <v>1</v>
      </c>
      <c r="AL13" s="20" t="str" cm="1">
        <f t="array" ca="1" aca="1" ref="AL1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13),Questionnaire!$AA:$AA,",")</f>
        <v>QA2[Yes|*],</v>
      </c>
      <c r="AM13" s="20" t="str" cm="1">
        <f t="array" ca="1" aca="1" ref="AM13">IF($D13="*","",InverseLookupList($AL13,Questionnaire!$AA$3,Questionnaire!$A$3,Helper!$B$12,","))</f>
        <v>QA2,</v>
      </c>
      <c r="AN13" s="20" t="str" cm="1">
        <f t="array" ca="1" aca="1" ref="AN13">RemoveDelimiter(GetValues($AM13,Questionnaire!$A:$G," ",CHAR(10)&amp;CHAR(10),TRUE),CHAR(10)&amp;CHAR(10))</f>
        <v xml:space="preserve">QA2 </v>
      </c>
      <c r="AO13" s="20" t="str" cm="1">
        <f t="array" ca="1" aca="1" ref="AO13">CreateSearchString($AM13)</f>
        <v>,QA2,</v>
      </c>
      <c r="AP13" s="20" t="str" cm="1">
        <f t="array" ca="1" aca="1" ref="AP13">InverseLookup($A13,Mitigation!$AD$2,Mitigation!$A$2,1,Helper!$B$5,",")</f>
        <v/>
      </c>
      <c r="AQ13" s="20" t="str" cm="1">
        <f t="array" ca="1" aca="1" ref="AQ13">CreateSearchString(GetValues($AP13,'Attack Steps'!$A:$O,"",",",FALSE))</f>
        <v/>
      </c>
      <c r="AR13" s="20" t="str">
        <f t="shared" si="1"/>
        <v>C10</v>
      </c>
    </row>
    <row r="14" spans="1:44" ht="15">
      <c r="A14" s="10" t="s">
        <v>405</v>
      </c>
      <c r="B14" s="13" t="s">
        <v>736</v>
      </c>
      <c r="C14" s="13" t="s">
        <v>1745</v>
      </c>
      <c r="D14" s="13"/>
      <c r="E14" s="13"/>
      <c r="F14" s="33" t="str" cm="1">
        <f t="array" ref="F14">LookupNames(SanitizeInput($E14),'Attack Steps'!$A:$B)</f>
        <v/>
      </c>
      <c r="G14" s="23"/>
      <c r="H14" s="33" t="str" cm="1">
        <f t="array" ref="H14">RemoveDelimiter(GetValuesWithFallback(SanitizeInput($G14),$A:$B,Assumptions!$A:$B," ",","&amp;CHAR(10),TRUE),","&amp;CHAR(10))</f>
        <v/>
      </c>
      <c r="I14" s="23"/>
      <c r="J14" s="37" t="str" cm="1">
        <f t="array" ref="J14">IF($I14="","",SUBSTITUTE(SUBSTITUTE(SUBSTITUTE(SUBSTITUTE(SUBSTITUTE(SUBSTITUTE(SUBSTITUTE(SUBSTITUTE(SUBSTITUTE(GetTransformation(SanitizeInput($I14),'Damage Scenarios'!$A:$J,COLUMNS('Damage Scenarios'!$A:$J),CHAR(10),"[#0][#1][#2]")&amp;"§","[#1][#2]",""),"[#2]",""),"[#0][#1]","[#1]"),"[#0]","Removes:"&amp;CHAR(10)),"[#1]","Transforms:"&amp;CHAR(10)),CHAR(10)&amp;"§",""),"§",""),CHAR(10),CHAR(10)&amp;"   "),"   "&amp;"Transforms:","Transforms:"))</f>
        <v/>
      </c>
      <c r="K14" s="13"/>
      <c r="L14" s="13"/>
      <c r="M14" s="13"/>
      <c r="N14" s="13"/>
      <c r="O14" s="13"/>
      <c r="P14" s="33" t="str">
        <f ca="1">IF($A14="","",IFERROR(VLOOKUP($AD14,Definitions!$V:$W,COLUMNS(Definitions!$V:$W),TRUE),""))</f>
        <v>Basic</v>
      </c>
      <c r="Q14" s="23" t="s">
        <v>606</v>
      </c>
      <c r="R14" s="23"/>
      <c r="S14" s="13"/>
      <c r="T14" s="10" cm="1">
        <f t="array" ref="T14">IF(ROW()=ROW($T$2)+1,0,INDEX($T:$T,ROW()-1))+IF($A14="",0,1)</f>
        <v>12</v>
      </c>
      <c r="U14" s="20" t="b" cm="1">
        <f t="array" ref="U14">CheckRelevance(SanitizeInput(E14),Questionnaire!$I:$I)</f>
        <v>0</v>
      </c>
      <c r="V14" s="20" t="b">
        <f>IFERROR(_xlfn.XMATCH("*,"&amp;$A14&amp;",*",Mitigation!$X:$X,2)&gt;0,FALSE)</f>
        <v>0</v>
      </c>
      <c r="W14" s="20" cm="1">
        <f t="array" ref="W14">CreateTaskID($W$2,$W:$W,Tasks!$B$17,$S14)</f>
        <v>0</v>
      </c>
      <c r="X14" s="20" t="str" cm="1">
        <f t="array" ref="X14">IF($E14="","",","&amp;SanitizeInput($E14))</f>
        <v/>
      </c>
      <c r="Y14" s="20">
        <f>IF(K14="",0,VLOOKUP(K14,Definitions!$Z:$AA,COLUMNS(Definitions!$Z:$AA),FALSE))</f>
        <v>0</v>
      </c>
      <c r="Z14" s="20">
        <f>IF(L14="",0,VLOOKUP(L14,Definitions!$Z:$AA,COLUMNS(Definitions!$Z:$AA),FALSE))</f>
        <v>0</v>
      </c>
      <c r="AA14" s="20">
        <f>IF(M14="",0,VLOOKUP(M14,Definitions!$Z:$AA,COLUMNS(Definitions!$Z:$AA),FALSE))</f>
        <v>0</v>
      </c>
      <c r="AB14" s="20">
        <f>IF(N14="",0,VLOOKUP(N14,Definitions!$Z:$AA,COLUMNS(Definitions!$Z:$AA),FALSE))</f>
        <v>0</v>
      </c>
      <c r="AC14" s="20">
        <f>IF(O14="",0,VLOOKUP(O14,Definitions!$Z:$AA,COLUMNS(Definitions!$Z:$AA),FALSE))</f>
        <v>0</v>
      </c>
      <c r="AD14" s="20">
        <f t="shared" ca="1" si="0"/>
        <v>0</v>
      </c>
      <c r="AE14" s="20" t="str" cm="1">
        <f t="array" ref="AE14">IF($G14="","",","&amp;SanitizeInput($G14))</f>
        <v/>
      </c>
      <c r="AF14" s="20" t="b" cm="1">
        <f t="array" ca="1" aca="1" ref="AF14">OR($AK14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14,$AE$2,$A$2,Helper!$B$4,",",$A:$V,$A:$AK,InverseLookup($A14,$AE$2,$A$2,1,Helper!$B$4,",")))</f>
        <v>1</v>
      </c>
      <c r="AG14" s="20" t="str" cm="1">
        <f t="array" ca="1" aca="1" ref="AG14">IF(OR($V14,$AF14,$AK14),IF($G14="","",","&amp;SanitizeInput($G14)),"")</f>
        <v/>
      </c>
      <c r="AH14" s="20" t="str" cm="1">
        <f t="array" ref="AH14">SUBSTITUTE(IF($V14,IF($I14="","",","&amp;SanitizeInput($I14)),""),"&gt;",",")</f>
        <v/>
      </c>
      <c r="AI14" s="20" cm="1">
        <f t="array" ca="1" aca="1" ref="AI14">IF(ROW()=ROW($AI$2)+1,0,INDEX($AI:$AI,ROW()-1))+IF($AF14,1,0)</f>
        <v>5</v>
      </c>
      <c r="AJ14" s="20" t="str" cm="1">
        <f t="array" ca="1" aca="1" ref="AJ14">IF($AF14,IF($Q14="","",","&amp;SanitizeInput($Q14)),"")</f>
        <v>,i,</v>
      </c>
      <c r="AK14" s="20" t="b">
        <f>OR(CheckRelevance(SanitizeInput($D14),Questionnaire!$I:$I),CheckRelevance(SanitizeInput($D14),Questionnaire!$J:$J))</f>
        <v>0</v>
      </c>
      <c r="AL14" s="20" t="str" cm="1">
        <f t="array" ref="AL1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14),Questionnaire!$AA:$AA,",")</f>
        <v/>
      </c>
      <c r="AM14" s="20" t="str" cm="1">
        <f t="array" ref="AM14">IF($D14="*","",InverseLookupList($AL14,Questionnaire!$AA$3,Questionnaire!$A$3,Helper!$B$12,","))</f>
        <v/>
      </c>
      <c r="AN14" s="20" t="str" cm="1">
        <f t="array" ref="AN14">RemoveDelimiter(GetValues($AM14,Questionnaire!$A:$G," ",CHAR(10)&amp;CHAR(10),TRUE),CHAR(10)&amp;CHAR(10))</f>
        <v/>
      </c>
      <c r="AO14" s="20" t="str" cm="1">
        <f t="array" ref="AO14">CreateSearchString($AM14)</f>
        <v/>
      </c>
      <c r="AP14" s="20" t="str" cm="1">
        <f t="array" ca="1" aca="1" ref="AP14">InverseLookup($A14,Mitigation!$AD$2,Mitigation!$A$2,1,Helper!$B$5,",")</f>
        <v/>
      </c>
      <c r="AQ14" s="20" t="str" cm="1">
        <f t="array" ca="1" aca="1" ref="AQ14">CreateSearchString(GetValues($AP14,'Attack Steps'!$A:$O,"",",",FALSE))</f>
        <v/>
      </c>
      <c r="AR14" s="20" t="str">
        <f t="shared" si="1"/>
        <v>C11</v>
      </c>
    </row>
    <row r="15" spans="1:44" ht="15">
      <c r="A15" s="10" t="s">
        <v>406</v>
      </c>
      <c r="B15" s="13" t="s">
        <v>1758</v>
      </c>
      <c r="C15" s="13" t="s">
        <v>1745</v>
      </c>
      <c r="D15" s="13"/>
      <c r="E15" s="13"/>
      <c r="F15" s="33" t="str" cm="1">
        <f t="array" ref="F15">LookupNames(SanitizeInput($E15),'Attack Steps'!$A:$B)</f>
        <v/>
      </c>
      <c r="G15" s="23"/>
      <c r="H15" s="33" t="str" cm="1">
        <f t="array" ref="H15">RemoveDelimiter(GetValuesWithFallback(SanitizeInput($G15),$A:$B,Assumptions!$A:$B," ",","&amp;CHAR(10),TRUE),","&amp;CHAR(10))</f>
        <v/>
      </c>
      <c r="I15" s="23"/>
      <c r="J15" s="37" t="str" cm="1">
        <f t="array" ref="J15">IF($I15="","",SUBSTITUTE(SUBSTITUTE(SUBSTITUTE(SUBSTITUTE(SUBSTITUTE(SUBSTITUTE(SUBSTITUTE(SUBSTITUTE(SUBSTITUTE(GetTransformation(SanitizeInput($I15),'Damage Scenarios'!$A:$J,COLUMNS('Damage Scenarios'!$A:$J),CHAR(10),"[#0][#1][#2]")&amp;"§","[#1][#2]",""),"[#2]",""),"[#0][#1]","[#1]"),"[#0]","Removes:"&amp;CHAR(10)),"[#1]","Transforms:"&amp;CHAR(10)),CHAR(10)&amp;"§",""),"§",""),CHAR(10),CHAR(10)&amp;"   "),"   "&amp;"Transforms:","Transforms:"))</f>
        <v/>
      </c>
      <c r="K15" s="13"/>
      <c r="L15" s="13"/>
      <c r="M15" s="13"/>
      <c r="N15" s="13"/>
      <c r="O15" s="13"/>
      <c r="P15" s="33" t="str">
        <f ca="1">IF($A15="","",IFERROR(VLOOKUP($AD15,Definitions!$V:$W,COLUMNS(Definitions!$V:$W),TRUE),""))</f>
        <v>Basic</v>
      </c>
      <c r="Q15" s="23" t="s">
        <v>1613</v>
      </c>
      <c r="R15" s="23"/>
      <c r="S15" s="13"/>
      <c r="T15" s="10" cm="1">
        <f t="array" ref="T15">IF(ROW()=ROW($T$2)+1,0,INDEX($T:$T,ROW()-1))+IF($A15="",0,1)</f>
        <v>13</v>
      </c>
      <c r="U15" s="20" t="b" cm="1">
        <f t="array" ref="U15">CheckRelevance(SanitizeInput(E15),Questionnaire!$I:$I)</f>
        <v>0</v>
      </c>
      <c r="V15" s="20" t="b">
        <f>IFERROR(_xlfn.XMATCH("*,"&amp;$A15&amp;",*",Mitigation!$X:$X,2)&gt;0,FALSE)</f>
        <v>0</v>
      </c>
      <c r="W15" s="20" cm="1">
        <f t="array" ref="W15">CreateTaskID($W$2,$W:$W,Tasks!$B$17,$S15)</f>
        <v>0</v>
      </c>
      <c r="X15" s="20" t="str" cm="1">
        <f t="array" ref="X15">IF($E15="","",","&amp;SanitizeInput($E15))</f>
        <v/>
      </c>
      <c r="Y15" s="20">
        <f>IF(K15="",0,VLOOKUP(K15,Definitions!$Z:$AA,COLUMNS(Definitions!$Z:$AA),FALSE))</f>
        <v>0</v>
      </c>
      <c r="Z15" s="20">
        <f>IF(L15="",0,VLOOKUP(L15,Definitions!$Z:$AA,COLUMNS(Definitions!$Z:$AA),FALSE))</f>
        <v>0</v>
      </c>
      <c r="AA15" s="20">
        <f>IF(M15="",0,VLOOKUP(M15,Definitions!$Z:$AA,COLUMNS(Definitions!$Z:$AA),FALSE))</f>
        <v>0</v>
      </c>
      <c r="AB15" s="20">
        <f>IF(N15="",0,VLOOKUP(N15,Definitions!$Z:$AA,COLUMNS(Definitions!$Z:$AA),FALSE))</f>
        <v>0</v>
      </c>
      <c r="AC15" s="20">
        <f>IF(O15="",0,VLOOKUP(O15,Definitions!$Z:$AA,COLUMNS(Definitions!$Z:$AA),FALSE))</f>
        <v>0</v>
      </c>
      <c r="AD15" s="20">
        <f t="shared" ca="1" si="0"/>
        <v>0</v>
      </c>
      <c r="AE15" s="20" t="str" cm="1">
        <f t="array" ref="AE15">IF($G15="","",","&amp;SanitizeInput($G15))</f>
        <v/>
      </c>
      <c r="AF15" s="20" t="b" cm="1">
        <f t="array" ca="1" aca="1" ref="AF15">OR($AK15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15,$AE$2,$A$2,Helper!$B$4,",",$A:$V,$A:$AK,InverseLookup($A15,$AE$2,$A$2,1,Helper!$B$4,",")))</f>
        <v>1</v>
      </c>
      <c r="AG15" s="20" t="str" cm="1">
        <f t="array" ca="1" aca="1" ref="AG15">IF(OR($V15,$AF15,$AK15),IF($G15="","",","&amp;SanitizeInput($G15)),"")</f>
        <v/>
      </c>
      <c r="AH15" s="20" t="str" cm="1">
        <f t="array" ref="AH15">SUBSTITUTE(IF($V15,IF($I15="","",","&amp;SanitizeInput($I15)),""),"&gt;",",")</f>
        <v/>
      </c>
      <c r="AI15" s="20" cm="1">
        <f t="array" ca="1" aca="1" ref="AI15">IF(ROW()=ROW($AI$2)+1,0,INDEX($AI:$AI,ROW()-1))+IF($AF15,1,0)</f>
        <v>6</v>
      </c>
      <c r="AJ15" s="20" t="str" cm="1">
        <f t="array" ca="1" aca="1" ref="AJ15">IF($AF15,IF($Q15="","",","&amp;SanitizeInput($Q15)),"")</f>
        <v>,l,</v>
      </c>
      <c r="AK15" s="20" t="b">
        <f>OR(CheckRelevance(SanitizeInput($D15),Questionnaire!$I:$I),CheckRelevance(SanitizeInput($D15),Questionnaire!$J:$J))</f>
        <v>0</v>
      </c>
      <c r="AL15" s="20" t="str" cm="1">
        <f t="array" ref="AL1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15),Questionnaire!$AA:$AA,",")</f>
        <v/>
      </c>
      <c r="AM15" s="20" t="str" cm="1">
        <f t="array" ref="AM15">IF($D15="*","",InverseLookupList($AL15,Questionnaire!$AA$3,Questionnaire!$A$3,Helper!$B$12,","))</f>
        <v/>
      </c>
      <c r="AN15" s="20" t="str" cm="1">
        <f t="array" ref="AN15">RemoveDelimiter(GetValues($AM15,Questionnaire!$A:$G," ",CHAR(10)&amp;CHAR(10),TRUE),CHAR(10)&amp;CHAR(10))</f>
        <v/>
      </c>
      <c r="AO15" s="20" t="str" cm="1">
        <f t="array" ref="AO15">CreateSearchString($AM15)</f>
        <v/>
      </c>
      <c r="AP15" s="20" t="str" cm="1">
        <f t="array" ca="1" aca="1" ref="AP15">InverseLookup($A15,Mitigation!$AD$2,Mitigation!$A$2,1,Helper!$B$5,",")</f>
        <v/>
      </c>
      <c r="AQ15" s="20" t="str" cm="1">
        <f t="array" ca="1" aca="1" ref="AQ15">CreateSearchString(GetValues($AP15,'Attack Steps'!$A:$O,"",",",FALSE))</f>
        <v/>
      </c>
      <c r="AR15" s="20" t="str">
        <f t="shared" si="1"/>
        <v>C12</v>
      </c>
    </row>
    <row r="16" spans="1:44" ht="15">
      <c r="A16" s="10" t="s">
        <v>407</v>
      </c>
      <c r="B16" s="13" t="s">
        <v>737</v>
      </c>
      <c r="C16" s="13" t="s">
        <v>1745</v>
      </c>
      <c r="D16" s="13" t="s">
        <v>418</v>
      </c>
      <c r="E16" s="13"/>
      <c r="F16" s="33" t="str" cm="1">
        <f t="array" ref="F16">LookupNames(SanitizeInput($E16),'Attack Steps'!$A:$B)</f>
        <v/>
      </c>
      <c r="G16" s="23"/>
      <c r="H16" s="33" t="str" cm="1">
        <f t="array" ref="H16">RemoveDelimiter(GetValuesWithFallback(SanitizeInput($G16),$A:$B,Assumptions!$A:$B," ",","&amp;CHAR(10),TRUE),","&amp;CHAR(10))</f>
        <v/>
      </c>
      <c r="I16" s="23"/>
      <c r="J16" s="37" t="str" cm="1">
        <f t="array" ref="J16">IF($I16="","",SUBSTITUTE(SUBSTITUTE(SUBSTITUTE(SUBSTITUTE(SUBSTITUTE(SUBSTITUTE(SUBSTITUTE(SUBSTITUTE(SUBSTITUTE(GetTransformation(SanitizeInput($I16),'Damage Scenarios'!$A:$J,COLUMNS('Damage Scenarios'!$A:$J),CHAR(10),"[#0][#1][#2]")&amp;"§","[#1][#2]",""),"[#2]",""),"[#0][#1]","[#1]"),"[#0]","Removes:"&amp;CHAR(10)),"[#1]","Transforms:"&amp;CHAR(10)),CHAR(10)&amp;"§",""),"§",""),CHAR(10),CHAR(10)&amp;"   "),"   "&amp;"Transforms:","Transforms:"))</f>
        <v/>
      </c>
      <c r="K16" s="13"/>
      <c r="L16" s="13"/>
      <c r="M16" s="13"/>
      <c r="N16" s="13"/>
      <c r="O16" s="13"/>
      <c r="P16" s="33" t="str">
        <f ca="1">IF($A16="","",IFERROR(VLOOKUP($AD16,Definitions!$V:$W,COLUMNS(Definitions!$V:$W),TRUE),""))</f>
        <v>Basic</v>
      </c>
      <c r="Q16" s="23" t="s">
        <v>604</v>
      </c>
      <c r="R16" s="23"/>
      <c r="S16" s="13"/>
      <c r="T16" s="10" cm="1">
        <f t="array" ref="T16">IF(ROW()=ROW($T$2)+1,0,INDEX($T:$T,ROW()-1))+IF($A16="",0,1)</f>
        <v>14</v>
      </c>
      <c r="U16" s="20" t="b" cm="1">
        <f t="array" ref="U16">CheckRelevance(SanitizeInput(E16),Questionnaire!$I:$I)</f>
        <v>0</v>
      </c>
      <c r="V16" s="20" t="b">
        <f>IFERROR(_xlfn.XMATCH("*,"&amp;$A16&amp;",*",Mitigation!$X:$X,2)&gt;0,FALSE)</f>
        <v>0</v>
      </c>
      <c r="W16" s="20" cm="1">
        <f t="array" ref="W16">CreateTaskID($W$2,$W:$W,Tasks!$B$17,$S16)</f>
        <v>0</v>
      </c>
      <c r="X16" s="20" t="str" cm="1">
        <f t="array" ref="X16">IF($E16="","",","&amp;SanitizeInput($E16))</f>
        <v/>
      </c>
      <c r="Y16" s="20">
        <f>IF(K16="",0,VLOOKUP(K16,Definitions!$Z:$AA,COLUMNS(Definitions!$Z:$AA),FALSE))</f>
        <v>0</v>
      </c>
      <c r="Z16" s="20">
        <f>IF(L16="",0,VLOOKUP(L16,Definitions!$Z:$AA,COLUMNS(Definitions!$Z:$AA),FALSE))</f>
        <v>0</v>
      </c>
      <c r="AA16" s="20">
        <f>IF(M16="",0,VLOOKUP(M16,Definitions!$Z:$AA,COLUMNS(Definitions!$Z:$AA),FALSE))</f>
        <v>0</v>
      </c>
      <c r="AB16" s="20">
        <f>IF(N16="",0,VLOOKUP(N16,Definitions!$Z:$AA,COLUMNS(Definitions!$Z:$AA),FALSE))</f>
        <v>0</v>
      </c>
      <c r="AC16" s="20">
        <f>IF(O16="",0,VLOOKUP(O16,Definitions!$Z:$AA,COLUMNS(Definitions!$Z:$AA),FALSE))</f>
        <v>0</v>
      </c>
      <c r="AD16" s="20">
        <f t="shared" ca="1" si="0"/>
        <v>0</v>
      </c>
      <c r="AE16" s="20" t="str" cm="1">
        <f t="array" ref="AE16">IF($G16="","",","&amp;SanitizeInput($G16))</f>
        <v/>
      </c>
      <c r="AF16" s="20" t="b" cm="1">
        <f t="array" ca="1" aca="1" ref="AF16">OR($AK16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16,$AE$2,$A$2,Helper!$B$4,",",$A:$V,$A:$AK,InverseLookup($A16,$AE$2,$A$2,1,Helper!$B$4,",")))</f>
        <v>1</v>
      </c>
      <c r="AG16" s="20" t="str" cm="1">
        <f t="array" ca="1" aca="1" ref="AG16">IF(OR($V16,$AF16,$AK16),IF($G16="","",","&amp;SanitizeInput($G16)),"")</f>
        <v/>
      </c>
      <c r="AH16" s="20" t="str" cm="1">
        <f t="array" ref="AH16">SUBSTITUTE(IF($V16,IF($I16="","",","&amp;SanitizeInput($I16)),""),"&gt;",",")</f>
        <v/>
      </c>
      <c r="AI16" s="20" cm="1">
        <f t="array" ca="1" aca="1" ref="AI16">IF(ROW()=ROW($AI$2)+1,0,INDEX($AI:$AI,ROW()-1))+IF($AF16,1,0)</f>
        <v>7</v>
      </c>
      <c r="AJ16" s="20" t="str" cm="1">
        <f t="array" ca="1" aca="1" ref="AJ16">IF($AF16,IF($Q16="","",","&amp;SanitizeInput($Q16)),"")</f>
        <v>,f,</v>
      </c>
      <c r="AK16" s="20" t="b">
        <f>OR(CheckRelevance(SanitizeInput($D16),Questionnaire!$I:$I),CheckRelevance(SanitizeInput($D16),Questionnaire!$J:$J))</f>
        <v>1</v>
      </c>
      <c r="AL16" s="20" t="str" cm="1">
        <f t="array" ref="AL1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16),Questionnaire!$AA:$AA,",")</f>
        <v>*,</v>
      </c>
      <c r="AM16" s="20" t="str" cm="1">
        <f t="array" ref="AM16">IF($D16="*","",InverseLookupList($AL16,Questionnaire!$AA$3,Questionnaire!$A$3,Helper!$B$12,","))</f>
        <v/>
      </c>
      <c r="AN16" s="20" t="str" cm="1">
        <f t="array" ref="AN16">RemoveDelimiter(GetValues($AM16,Questionnaire!$A:$G," ",CHAR(10)&amp;CHAR(10),TRUE),CHAR(10)&amp;CHAR(10))</f>
        <v/>
      </c>
      <c r="AO16" s="20" t="str" cm="1">
        <f t="array" ref="AO16">CreateSearchString($AM16)</f>
        <v/>
      </c>
      <c r="AP16" s="20" t="str" cm="1">
        <f t="array" ca="1" aca="1" ref="AP16">InverseLookup($A16,Mitigation!$AD$2,Mitigation!$A$2,1,Helper!$B$5,",")</f>
        <v/>
      </c>
      <c r="AQ16" s="20" t="str" cm="1">
        <f t="array" ca="1" aca="1" ref="AQ16">CreateSearchString(GetValues($AP16,'Attack Steps'!$A:$O,"",",",FALSE))</f>
        <v/>
      </c>
      <c r="AR16" s="20" t="str">
        <f t="shared" si="1"/>
        <v>C13</v>
      </c>
    </row>
    <row r="17" spans="1:44" ht="30">
      <c r="A17" s="10" t="s">
        <v>408</v>
      </c>
      <c r="B17" s="13" t="s">
        <v>738</v>
      </c>
      <c r="C17" s="13" t="s">
        <v>1745</v>
      </c>
      <c r="D17" s="13" t="s">
        <v>1677</v>
      </c>
      <c r="E17" s="13"/>
      <c r="F17" s="33" t="str" cm="1">
        <f t="array" ref="F17">LookupNames(SanitizeInput($E17),'Attack Steps'!$A:$B)</f>
        <v/>
      </c>
      <c r="G17" s="23"/>
      <c r="H17" s="33" t="str" cm="1">
        <f t="array" ref="H17">RemoveDelimiter(GetValuesWithFallback(SanitizeInput($G17),$A:$B,Assumptions!$A:$B," ",","&amp;CHAR(10),TRUE),","&amp;CHAR(10))</f>
        <v/>
      </c>
      <c r="I17" s="23"/>
      <c r="J17" s="37" t="str" cm="1">
        <f t="array" ref="J17">IF($I17="","",SUBSTITUTE(SUBSTITUTE(SUBSTITUTE(SUBSTITUTE(SUBSTITUTE(SUBSTITUTE(SUBSTITUTE(SUBSTITUTE(SUBSTITUTE(GetTransformation(SanitizeInput($I17),'Damage Scenarios'!$A:$J,COLUMNS('Damage Scenarios'!$A:$J),CHAR(10),"[#0][#1][#2]")&amp;"§","[#1][#2]",""),"[#2]",""),"[#0][#1]","[#1]"),"[#0]","Removes:"&amp;CHAR(10)),"[#1]","Transforms:"&amp;CHAR(10)),CHAR(10)&amp;"§",""),"§",""),CHAR(10),CHAR(10)&amp;"   "),"   "&amp;"Transforms:","Transforms:"))</f>
        <v/>
      </c>
      <c r="K17" s="13"/>
      <c r="L17" s="13"/>
      <c r="M17" s="13"/>
      <c r="N17" s="13"/>
      <c r="O17" s="13"/>
      <c r="P17" s="33" t="str">
        <f ca="1">IF($A17="","",IFERROR(VLOOKUP($AD17,Definitions!$V:$W,COLUMNS(Definitions!$V:$W),TRUE),""))</f>
        <v>Basic</v>
      </c>
      <c r="Q17" s="23" t="s">
        <v>604</v>
      </c>
      <c r="R17" s="23"/>
      <c r="S17" s="13"/>
      <c r="T17" s="10" cm="1">
        <f t="array" ref="T17">IF(ROW()=ROW($T$2)+1,0,INDEX($T:$T,ROW()-1))+IF($A17="",0,1)</f>
        <v>15</v>
      </c>
      <c r="U17" s="20" t="b" cm="1">
        <f t="array" ref="U17">CheckRelevance(SanitizeInput(E17),Questionnaire!$I:$I)</f>
        <v>0</v>
      </c>
      <c r="V17" s="20" t="b">
        <f>IFERROR(_xlfn.XMATCH("*,"&amp;$A17&amp;",*",Mitigation!$X:$X,2)&gt;0,FALSE)</f>
        <v>0</v>
      </c>
      <c r="W17" s="20" cm="1">
        <f t="array" ref="W17">CreateTaskID($W$2,$W:$W,Tasks!$B$17,$S17)</f>
        <v>0</v>
      </c>
      <c r="X17" s="20" t="str" cm="1">
        <f t="array" ref="X17">IF($E17="","",","&amp;SanitizeInput($E17))</f>
        <v/>
      </c>
      <c r="Y17" s="20">
        <f>IF(K17="",0,VLOOKUP(K17,Definitions!$Z:$AA,COLUMNS(Definitions!$Z:$AA),FALSE))</f>
        <v>0</v>
      </c>
      <c r="Z17" s="20">
        <f>IF(L17="",0,VLOOKUP(L17,Definitions!$Z:$AA,COLUMNS(Definitions!$Z:$AA),FALSE))</f>
        <v>0</v>
      </c>
      <c r="AA17" s="20">
        <f>IF(M17="",0,VLOOKUP(M17,Definitions!$Z:$AA,COLUMNS(Definitions!$Z:$AA),FALSE))</f>
        <v>0</v>
      </c>
      <c r="AB17" s="20">
        <f>IF(N17="",0,VLOOKUP(N17,Definitions!$Z:$AA,COLUMNS(Definitions!$Z:$AA),FALSE))</f>
        <v>0</v>
      </c>
      <c r="AC17" s="20">
        <f>IF(O17="",0,VLOOKUP(O17,Definitions!$Z:$AA,COLUMNS(Definitions!$Z:$AA),FALSE))</f>
        <v>0</v>
      </c>
      <c r="AD17" s="20">
        <f t="shared" ca="1" si="0"/>
        <v>0</v>
      </c>
      <c r="AE17" s="20" t="str" cm="1">
        <f t="array" ref="AE17">IF($G17="","",","&amp;SanitizeInput($G17))</f>
        <v/>
      </c>
      <c r="AF17" s="20" t="b" cm="1">
        <f t="array" ca="1" aca="1" ref="AF17">OR($AK17,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17,$AE$2,$A$2,Helper!$B$4,",",$A:$V,$A:$AK,InverseLookup($A17,$AE$2,$A$2,1,Helper!$B$4,",")))</f>
        <v>1</v>
      </c>
      <c r="AG17" s="20" t="str" cm="1">
        <f t="array" ca="1" aca="1" ref="AG17">IF(OR($V17,$AF17,$AK17),IF($G17="","",","&amp;SanitizeInput($G17)),"")</f>
        <v/>
      </c>
      <c r="AH17" s="20" t="str" cm="1">
        <f t="array" ref="AH17">SUBSTITUTE(IF($V17,IF($I17="","",","&amp;SanitizeInput($I17)),""),"&gt;",",")</f>
        <v/>
      </c>
      <c r="AI17" s="20" cm="1">
        <f t="array" ca="1" aca="1" ref="AI17">IF(ROW()=ROW($AI$2)+1,0,INDEX($AI:$AI,ROW()-1))+IF($AF17,1,0)</f>
        <v>8</v>
      </c>
      <c r="AJ17" s="20" t="str" cm="1">
        <f t="array" ca="1" aca="1" ref="AJ17">IF($AF17,IF($Q17="","",","&amp;SanitizeInput($Q17)),"")</f>
        <v>,f,</v>
      </c>
      <c r="AK17" s="20" t="b">
        <f ca="1">OR(CheckRelevance(SanitizeInput($D17),Questionnaire!$I:$I),CheckRelevance(SanitizeInput($D17),Questionnaire!$J:$J))</f>
        <v>1</v>
      </c>
      <c r="AL17" s="20" t="str" cm="1">
        <f t="array" ca="1" aca="1" ref="AL17">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17),Questionnaire!$AA:$AA,",")</f>
        <v>QA2[Yes|*],</v>
      </c>
      <c r="AM17" s="20" t="str" cm="1">
        <f t="array" ca="1" aca="1" ref="AM17">IF($D17="*","",InverseLookupList($AL17,Questionnaire!$AA$3,Questionnaire!$A$3,Helper!$B$12,","))</f>
        <v>QA2,</v>
      </c>
      <c r="AN17" s="20" t="str" cm="1">
        <f t="array" ca="1" aca="1" ref="AN17">RemoveDelimiter(GetValues($AM17,Questionnaire!$A:$G," ",CHAR(10)&amp;CHAR(10),TRUE),CHAR(10)&amp;CHAR(10))</f>
        <v xml:space="preserve">QA2 </v>
      </c>
      <c r="AO17" s="20" t="str" cm="1">
        <f t="array" ca="1" aca="1" ref="AO17">CreateSearchString($AM17)</f>
        <v>,QA2,</v>
      </c>
      <c r="AP17" s="20" t="str" cm="1">
        <f t="array" ca="1" aca="1" ref="AP17">InverseLookup($A17,Mitigation!$AD$2,Mitigation!$A$2,1,Helper!$B$5,",")</f>
        <v/>
      </c>
      <c r="AQ17" s="20" t="str" cm="1">
        <f t="array" ca="1" aca="1" ref="AQ17">CreateSearchString(GetValues($AP17,'Attack Steps'!$A:$O,"",",",FALSE))</f>
        <v/>
      </c>
      <c r="AR17" s="20" t="str">
        <f t="shared" si="1"/>
        <v>C14</v>
      </c>
    </row>
    <row r="18" spans="1:44" ht="90">
      <c r="A18" s="10" t="s">
        <v>409</v>
      </c>
      <c r="B18" s="13" t="s">
        <v>739</v>
      </c>
      <c r="C18" s="13" t="s">
        <v>1745</v>
      </c>
      <c r="D18" s="13" t="s">
        <v>418</v>
      </c>
      <c r="E18" s="13" t="s">
        <v>472</v>
      </c>
      <c r="F18" s="33" t="str" cm="1">
        <f t="array" ca="1" aca="1" ref="F18">LookupNames(SanitizeInput($E18),'Attack Steps'!$A:$B)</f>
        <v>AS12 Compromising an untrusted device that communicates directly with the product,
AS17 Sending manipulated or malicious data to the product (from an untrusted source)</v>
      </c>
      <c r="G18" s="23"/>
      <c r="H18" s="33" t="str" cm="1">
        <f t="array" ref="H18">RemoveDelimiter(GetValuesWithFallback(SanitizeInput($G18),$A:$B,Assumptions!$A:$B," ",","&amp;CHAR(10),TRUE),","&amp;CHAR(10))</f>
        <v/>
      </c>
      <c r="I18" s="23"/>
      <c r="J18" s="37" t="str" cm="1">
        <f t="array" ref="J18">IF($I18="","",SUBSTITUTE(SUBSTITUTE(SUBSTITUTE(SUBSTITUTE(SUBSTITUTE(SUBSTITUTE(SUBSTITUTE(SUBSTITUTE(SUBSTITUTE(GetTransformation(SanitizeInput($I18),'Damage Scenarios'!$A:$J,COLUMNS('Damage Scenarios'!$A:$J),CHAR(10),"[#0][#1][#2]")&amp;"§","[#1][#2]",""),"[#2]",""),"[#0][#1]","[#1]"),"[#0]","Removes:"&amp;CHAR(10)),"[#1]","Transforms:"&amp;CHAR(10)),CHAR(10)&amp;"§",""),"§",""),CHAR(10),CHAR(10)&amp;"   "),"   "&amp;"Transforms:","Transforms:"))</f>
        <v/>
      </c>
      <c r="K18" s="13" t="s">
        <v>133</v>
      </c>
      <c r="L18" s="13" t="s">
        <v>141</v>
      </c>
      <c r="M18" s="13" t="s">
        <v>146</v>
      </c>
      <c r="N18" s="13"/>
      <c r="O18" s="13"/>
      <c r="P18" s="33" t="str">
        <f ca="1">IF($A18="","",IFERROR(VLOOKUP($AD18,Definitions!$V:$W,COLUMNS(Definitions!$V:$W),TRUE),""))</f>
        <v>Moderate</v>
      </c>
      <c r="Q18" s="23" t="s">
        <v>1627</v>
      </c>
      <c r="R18" s="23"/>
      <c r="S18" s="13" t="s">
        <v>1252</v>
      </c>
      <c r="T18" s="10" cm="1">
        <f t="array" ref="T18">IF(ROW()=ROW($T$2)+1,0,INDEX($T:$T,ROW()-1))+IF($A18="",0,1)</f>
        <v>16</v>
      </c>
      <c r="U18" s="20" t="b" cm="1">
        <f t="array" ca="1" aca="1" ref="U18">CheckRelevance(SanitizeInput(E18),Questionnaire!$I:$I)</f>
        <v>0</v>
      </c>
      <c r="V18" s="20" t="b">
        <f>IFERROR(_xlfn.XMATCH("*,"&amp;$A18&amp;",*",Mitigation!$X:$X,2)&gt;0,FALSE)</f>
        <v>0</v>
      </c>
      <c r="W18" s="20" cm="1">
        <f t="array" ref="W18">CreateTaskID($W$2,$W:$W,Tasks!$B$17,$S18)</f>
        <v>0</v>
      </c>
      <c r="X18" s="20" t="str" cm="1">
        <f t="array" ref="X18">IF($E18="","",","&amp;SanitizeInput($E18))</f>
        <v>,AS12,AS17,</v>
      </c>
      <c r="Y18" s="20">
        <f>IF(K18="",0,VLOOKUP(K18,Definitions!$Z:$AA,COLUMNS(Definitions!$Z:$AA),FALSE))</f>
        <v>1</v>
      </c>
      <c r="Z18" s="20">
        <f>IF(L18="",0,VLOOKUP(L18,Definitions!$Z:$AA,COLUMNS(Definitions!$Z:$AA),FALSE))</f>
        <v>6</v>
      </c>
      <c r="AA18" s="20">
        <f>IF(M18="",0,VLOOKUP(M18,Definitions!$Z:$AA,COLUMNS(Definitions!$Z:$AA),FALSE))</f>
        <v>7</v>
      </c>
      <c r="AB18" s="20">
        <f>IF(N18="",0,VLOOKUP(N18,Definitions!$Z:$AA,COLUMNS(Definitions!$Z:$AA),FALSE))</f>
        <v>0</v>
      </c>
      <c r="AC18" s="20">
        <f>IF(O18="",0,VLOOKUP(O18,Definitions!$Z:$AA,COLUMNS(Definitions!$Z:$AA),FALSE))</f>
        <v>0</v>
      </c>
      <c r="AD18" s="20">
        <f t="shared" ca="1" si="0"/>
        <v>14</v>
      </c>
      <c r="AE18" s="20" t="str" cm="1">
        <f t="array" ref="AE18">IF($G18="","",","&amp;SanitizeInput($G18))</f>
        <v/>
      </c>
      <c r="AF18" s="20" t="b" cm="1">
        <f t="array" ca="1" aca="1" ref="AF18">OR($AK18,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18,$AE$2,$A$2,Helper!$B$4,",",$A:$V,$A:$AK,InverseLookup($A18,$AE$2,$A$2,1,Helper!$B$4,",")))</f>
        <v>1</v>
      </c>
      <c r="AG18" s="20" t="str" cm="1">
        <f t="array" ca="1" aca="1" ref="AG18">IF(OR($V18,$AF18,$AK18),IF($G18="","",","&amp;SanitizeInput($G18)),"")</f>
        <v/>
      </c>
      <c r="AH18" s="20" t="str" cm="1">
        <f t="array" ref="AH18">SUBSTITUTE(IF($V18,IF($I18="","",","&amp;SanitizeInput($I18)),""),"&gt;",",")</f>
        <v/>
      </c>
      <c r="AI18" s="20" cm="1">
        <f t="array" ca="1" aca="1" ref="AI18">IF(ROW()=ROW($AI$2)+1,0,INDEX($AI:$AI,ROW()-1))+IF($AF18,1,0)</f>
        <v>9</v>
      </c>
      <c r="AJ18" s="20" t="str" cm="1">
        <f t="array" ca="1" aca="1" ref="AJ18">IF($AF18,IF($Q18="","",","&amp;SanitizeInput($Q18)),"")</f>
        <v>,j,k,</v>
      </c>
      <c r="AK18" s="20" t="b">
        <f>OR(CheckRelevance(SanitizeInput($D18),Questionnaire!$I:$I),CheckRelevance(SanitizeInput($D18),Questionnaire!$J:$J))</f>
        <v>1</v>
      </c>
      <c r="AL18" s="20" t="str" cm="1">
        <f t="array" ref="AL18">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18),Questionnaire!$AA:$AA,",")</f>
        <v>*,</v>
      </c>
      <c r="AM18" s="20" t="str" cm="1">
        <f t="array" ref="AM18">IF($D18="*","",InverseLookupList($AL18,Questionnaire!$AA$3,Questionnaire!$A$3,Helper!$B$12,","))</f>
        <v/>
      </c>
      <c r="AN18" s="20" t="str" cm="1">
        <f t="array" ref="AN18">RemoveDelimiter(GetValues($AM18,Questionnaire!$A:$G," ",CHAR(10)&amp;CHAR(10),TRUE),CHAR(10)&amp;CHAR(10))</f>
        <v/>
      </c>
      <c r="AO18" s="20" t="str" cm="1">
        <f t="array" ref="AO18">CreateSearchString($AM18)</f>
        <v/>
      </c>
      <c r="AP18" s="20" t="str" cm="1">
        <f t="array" ca="1" aca="1" ref="AP18">InverseLookup($A18,Mitigation!$AD$2,Mitigation!$A$2,1,Helper!$B$5,",")</f>
        <v/>
      </c>
      <c r="AQ18" s="20" t="str" cm="1">
        <f t="array" ca="1" aca="1" ref="AQ18">CreateSearchString(GetValues($AP18,'Attack Steps'!$A:$O,"",",",FALSE))</f>
        <v/>
      </c>
      <c r="AR18" s="20" t="str">
        <f t="shared" si="1"/>
        <v>C15</v>
      </c>
    </row>
    <row r="19" spans="1:44" ht="15">
      <c r="A19" s="10" t="s">
        <v>410</v>
      </c>
      <c r="B19" s="13" t="s">
        <v>740</v>
      </c>
      <c r="C19" s="13" t="s">
        <v>1745</v>
      </c>
      <c r="D19" s="13" t="s">
        <v>1663</v>
      </c>
      <c r="E19" s="13"/>
      <c r="F19" s="33" t="str" cm="1">
        <f t="array" ref="F19">LookupNames(SanitizeInput($E19),'Attack Steps'!$A:$B)</f>
        <v/>
      </c>
      <c r="G19" s="23"/>
      <c r="H19" s="33" t="str" cm="1">
        <f t="array" ref="H19">RemoveDelimiter(GetValuesWithFallback(SanitizeInput($G19),$A:$B,Assumptions!$A:$B," ",","&amp;CHAR(10),TRUE),","&amp;CHAR(10))</f>
        <v/>
      </c>
      <c r="I19" s="23"/>
      <c r="J19" s="37" t="str" cm="1">
        <f t="array" ref="J19">IF($I19="","",SUBSTITUTE(SUBSTITUTE(SUBSTITUTE(SUBSTITUTE(SUBSTITUTE(SUBSTITUTE(SUBSTITUTE(SUBSTITUTE(SUBSTITUTE(GetTransformation(SanitizeInput($I19),'Damage Scenarios'!$A:$J,COLUMNS('Damage Scenarios'!$A:$J),CHAR(10),"[#0][#1][#2]")&amp;"§","[#1][#2]",""),"[#2]",""),"[#0][#1]","[#1]"),"[#0]","Removes:"&amp;CHAR(10)),"[#1]","Transforms:"&amp;CHAR(10)),CHAR(10)&amp;"§",""),"§",""),CHAR(10),CHAR(10)&amp;"   "),"   "&amp;"Transforms:","Transforms:"))</f>
        <v/>
      </c>
      <c r="K19" s="13"/>
      <c r="L19" s="13"/>
      <c r="M19" s="13"/>
      <c r="N19" s="13"/>
      <c r="O19" s="13"/>
      <c r="P19" s="33" t="str">
        <f ca="1">IF($A19="","",IFERROR(VLOOKUP($AD19,Definitions!$V:$W,COLUMNS(Definitions!$V:$W),TRUE),""))</f>
        <v>Basic</v>
      </c>
      <c r="Q19" s="23" t="s">
        <v>604</v>
      </c>
      <c r="R19" s="23"/>
      <c r="S19" s="13"/>
      <c r="T19" s="10" cm="1">
        <f t="array" ref="T19">IF(ROW()=ROW($T$2)+1,0,INDEX($T:$T,ROW()-1))+IF($A19="",0,1)</f>
        <v>17</v>
      </c>
      <c r="U19" s="20" t="b" cm="1">
        <f t="array" ref="U19">CheckRelevance(SanitizeInput(E19),Questionnaire!$I:$I)</f>
        <v>0</v>
      </c>
      <c r="V19" s="20" t="b">
        <f>IFERROR(_xlfn.XMATCH("*,"&amp;$A19&amp;",*",Mitigation!$X:$X,2)&gt;0,FALSE)</f>
        <v>0</v>
      </c>
      <c r="W19" s="20" cm="1">
        <f t="array" ref="W19">CreateTaskID($W$2,$W:$W,Tasks!$B$17,$S19)</f>
        <v>0</v>
      </c>
      <c r="X19" s="20" t="str" cm="1">
        <f t="array" ref="X19">IF($E19="","",","&amp;SanitizeInput($E19))</f>
        <v/>
      </c>
      <c r="Y19" s="20">
        <f>IF(K19="",0,VLOOKUP(K19,Definitions!$Z:$AA,COLUMNS(Definitions!$Z:$AA),FALSE))</f>
        <v>0</v>
      </c>
      <c r="Z19" s="20">
        <f>IF(L19="",0,VLOOKUP(L19,Definitions!$Z:$AA,COLUMNS(Definitions!$Z:$AA),FALSE))</f>
        <v>0</v>
      </c>
      <c r="AA19" s="20">
        <f>IF(M19="",0,VLOOKUP(M19,Definitions!$Z:$AA,COLUMNS(Definitions!$Z:$AA),FALSE))</f>
        <v>0</v>
      </c>
      <c r="AB19" s="20">
        <f>IF(N19="",0,VLOOKUP(N19,Definitions!$Z:$AA,COLUMNS(Definitions!$Z:$AA),FALSE))</f>
        <v>0</v>
      </c>
      <c r="AC19" s="20">
        <f>IF(O19="",0,VLOOKUP(O19,Definitions!$Z:$AA,COLUMNS(Definitions!$Z:$AA),FALSE))</f>
        <v>0</v>
      </c>
      <c r="AD19" s="20">
        <f t="shared" ca="1" si="0"/>
        <v>0</v>
      </c>
      <c r="AE19" s="20" t="str" cm="1">
        <f t="array" ref="AE19">IF($G19="","",","&amp;SanitizeInput($G19))</f>
        <v/>
      </c>
      <c r="AF19" s="20" t="b" cm="1">
        <f t="array" ca="1" aca="1" ref="AF19">OR($AK19,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19,$AE$2,$A$2,Helper!$B$4,",",$A:$V,$A:$AK,InverseLookup($A19,$AE$2,$A$2,1,Helper!$B$4,",")))</f>
        <v>1</v>
      </c>
      <c r="AG19" s="20" t="str" cm="1">
        <f t="array" ca="1" aca="1" ref="AG19">IF(OR($V19,$AF19,$AK19),IF($G19="","",","&amp;SanitizeInput($G19)),"")</f>
        <v/>
      </c>
      <c r="AH19" s="20" t="str" cm="1">
        <f t="array" ref="AH19">SUBSTITUTE(IF($V19,IF($I19="","",","&amp;SanitizeInput($I19)),""),"&gt;",",")</f>
        <v/>
      </c>
      <c r="AI19" s="20" cm="1">
        <f t="array" ca="1" aca="1" ref="AI19">IF(ROW()=ROW($AI$2)+1,0,INDEX($AI:$AI,ROW()-1))+IF($AF19,1,0)</f>
        <v>10</v>
      </c>
      <c r="AJ19" s="20" t="str" cm="1">
        <f t="array" ca="1" aca="1" ref="AJ19">IF($AF19,IF($Q19="","",","&amp;SanitizeInput($Q19)),"")</f>
        <v>,f,</v>
      </c>
      <c r="AK19" s="20" t="b">
        <f ca="1">OR(CheckRelevance(SanitizeInput($D19),Questionnaire!$I:$I),CheckRelevance(SanitizeInput($D19),Questionnaire!$J:$J))</f>
        <v>1</v>
      </c>
      <c r="AL19" s="20" t="str" cm="1">
        <f t="array" ca="1" aca="1" ref="AL19">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19),Questionnaire!$AA:$AA,",")</f>
        <v>QI7[Yes|*],QI14[Yes|*],</v>
      </c>
      <c r="AM19" s="20" t="str" cm="1">
        <f t="array" ca="1" aca="1" ref="AM19">IF($D19="*","",InverseLookupList($AL19,Questionnaire!$AA$3,Questionnaire!$A$3,Helper!$B$12,","))</f>
        <v>QI7,QI14,</v>
      </c>
      <c r="AN19" s="20" t="str" cm="1">
        <f t="array" ca="1" aca="1" ref="AN19">RemoveDelimiter(GetValues($AM19,Questionnaire!$A:$G," ",CHAR(10)&amp;CHAR(10),TRUE),CHAR(10)&amp;CHAR(10))</f>
        <v>QI7 EC-Master can be used in all conceivable systems, from large industrial plants (e.g. nuclear power stations) to defence systems, medical equipment and consumer devices.
QI14 see QI7</v>
      </c>
      <c r="AO19" s="20" t="str" cm="1">
        <f t="array" ca="1" aca="1" ref="AO19">CreateSearchString($AM19)</f>
        <v>,QI7,QI14,</v>
      </c>
      <c r="AP19" s="20" t="str" cm="1">
        <f t="array" ca="1" aca="1" ref="AP19">InverseLookup($A19,Mitigation!$AD$2,Mitigation!$A$2,1,Helper!$B$5,",")</f>
        <v/>
      </c>
      <c r="AQ19" s="20" t="str" cm="1">
        <f t="array" ca="1" aca="1" ref="AQ19">CreateSearchString(GetValues($AP19,'Attack Steps'!$A:$O,"",",",FALSE))</f>
        <v/>
      </c>
      <c r="AR19" s="20" t="str">
        <f t="shared" si="1"/>
        <v>C16</v>
      </c>
    </row>
    <row r="20" spans="1:44" ht="60">
      <c r="A20" s="10" t="s">
        <v>411</v>
      </c>
      <c r="B20" s="13" t="s">
        <v>741</v>
      </c>
      <c r="C20" s="13" t="s">
        <v>1745</v>
      </c>
      <c r="D20" s="13"/>
      <c r="E20" s="13" t="s">
        <v>1672</v>
      </c>
      <c r="F20" s="33" t="str" cm="1">
        <f t="array" ca="1" aca="1" ref="F20">LookupNames(SanitizeInput($E20),'Attack Steps'!$A:$B)</f>
        <v>AS30 Extracting information from a decommissioned or second-hand device's persistent memory,
AS41 Extracting information from a decommissioned or second-hand device's RAM</v>
      </c>
      <c r="G20" s="23" t="s">
        <v>275</v>
      </c>
      <c r="H20" s="33" t="str" cm="1">
        <f t="array" ca="1" aca="1" ref="H20">RemoveDelimiter(GetValuesWithFallback(SanitizeInput($G20),$A:$B,Assumptions!$A:$B," ",","&amp;CHAR(10),TRUE),","&amp;CHAR(10))</f>
        <v>C1 CCSC 1: Support of essential functions</v>
      </c>
      <c r="I20" s="23"/>
      <c r="J20" s="37" t="str" cm="1">
        <f t="array" ref="J20">IF($I20="","",SUBSTITUTE(SUBSTITUTE(SUBSTITUTE(SUBSTITUTE(SUBSTITUTE(SUBSTITUTE(SUBSTITUTE(SUBSTITUTE(SUBSTITUTE(GetTransformation(SanitizeInput($I20),'Damage Scenarios'!$A:$J,COLUMNS('Damage Scenarios'!$A:$J),CHAR(10),"[#0][#1][#2]")&amp;"§","[#1][#2]",""),"[#2]",""),"[#0][#1]","[#1]"),"[#0]","Removes:"&amp;CHAR(10)),"[#1]","Transforms:"&amp;CHAR(10)),CHAR(10)&amp;"§",""),"§",""),CHAR(10),CHAR(10)&amp;"   "),"   "&amp;"Transforms:","Transforms:"))</f>
        <v/>
      </c>
      <c r="K20" s="13"/>
      <c r="L20" s="13"/>
      <c r="M20" s="13"/>
      <c r="N20" s="13" t="s">
        <v>151</v>
      </c>
      <c r="O20" s="13"/>
      <c r="P20" s="33" t="str">
        <f ca="1">IF($A20="","",IFERROR(VLOOKUP($AD20,Definitions!$V:$W,COLUMNS(Definitions!$V:$W),TRUE),""))</f>
        <v>Beyond High</v>
      </c>
      <c r="Q20" s="23" t="s">
        <v>1614</v>
      </c>
      <c r="R20" s="23"/>
      <c r="S20" s="13" t="s">
        <v>1612</v>
      </c>
      <c r="T20" s="10" cm="1">
        <f t="array" ref="T20">IF(ROW()=ROW($T$2)+1,0,INDEX($T:$T,ROW()-1))+IF($A20="",0,1)</f>
        <v>18</v>
      </c>
      <c r="U20" s="20" t="b" cm="1">
        <f t="array" ca="1" aca="1" ref="U20">CheckRelevance(SanitizeInput(E20),Questionnaire!$I:$I)</f>
        <v>0</v>
      </c>
      <c r="V20" s="20" t="b">
        <f>IFERROR(_xlfn.XMATCH("*,"&amp;$A20&amp;",*",Mitigation!$X:$X,2)&gt;0,FALSE)</f>
        <v>0</v>
      </c>
      <c r="W20" s="20" cm="1">
        <f t="array" ref="W20">CreateTaskID($W$2,$W:$W,Tasks!$B$17,$S20)</f>
        <v>0</v>
      </c>
      <c r="X20" s="20" t="str" cm="1">
        <f t="array" ref="X20">IF($E20="","",","&amp;SanitizeInput($E20))</f>
        <v>,AS30,AS41,</v>
      </c>
      <c r="Y20" s="20">
        <f>IF(K20="",0,VLOOKUP(K20,Definitions!$Z:$AA,COLUMNS(Definitions!$Z:$AA),FALSE))</f>
        <v>0</v>
      </c>
      <c r="Z20" s="20">
        <f>IF(L20="",0,VLOOKUP(L20,Definitions!$Z:$AA,COLUMNS(Definitions!$Z:$AA),FALSE))</f>
        <v>0</v>
      </c>
      <c r="AA20" s="20">
        <f>IF(M20="",0,VLOOKUP(M20,Definitions!$Z:$AA,COLUMNS(Definitions!$Z:$AA),FALSE))</f>
        <v>0</v>
      </c>
      <c r="AB20" s="20">
        <f>IF(N20="",0,VLOOKUP(N20,Definitions!$Z:$AA,COLUMNS(Definitions!$Z:$AA),FALSE))</f>
        <v>25</v>
      </c>
      <c r="AC20" s="20">
        <f>IF(O20="",0,VLOOKUP(O20,Definitions!$Z:$AA,COLUMNS(Definitions!$Z:$AA),FALSE))</f>
        <v>0</v>
      </c>
      <c r="AD20" s="20">
        <f t="shared" ca="1" si="0"/>
        <v>25</v>
      </c>
      <c r="AE20" s="20" t="str" cm="1">
        <f t="array" ref="AE20">IF($G20="","",","&amp;SanitizeInput($G20))</f>
        <v>,C1,</v>
      </c>
      <c r="AF20" s="20" t="b" cm="1">
        <f t="array" ca="1" aca="1" ref="AF20">OR($AK20,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20,$AE$2,$A$2,Helper!$B$4,",",$A:$V,$A:$AK,InverseLookup($A20,$AE$2,$A$2,1,Helper!$B$4,",")))</f>
        <v>0</v>
      </c>
      <c r="AG20" s="20" t="str" cm="1">
        <f t="array" ca="1" aca="1" ref="AG20">IF(OR($V20,$AF20,$AK20),IF($G20="","",","&amp;SanitizeInput($G20)),"")</f>
        <v/>
      </c>
      <c r="AH20" s="20" t="str" cm="1">
        <f t="array" ref="AH20">SUBSTITUTE(IF($V20,IF($I20="","",","&amp;SanitizeInput($I20)),""),"&gt;",",")</f>
        <v/>
      </c>
      <c r="AI20" s="20" cm="1">
        <f t="array" ca="1" aca="1" ref="AI20">IF(ROW()=ROW($AI$2)+1,0,INDEX($AI:$AI,ROW()-1))+IF($AF20,1,0)</f>
        <v>10</v>
      </c>
      <c r="AJ20" s="20" t="str" cm="1">
        <f t="array" ca="1" aca="1" ref="AJ20">IF($AF20,IF($Q20="","",","&amp;SanitizeInput($Q20)),"")</f>
        <v/>
      </c>
      <c r="AK20" s="20" t="b">
        <f>OR(CheckRelevance(SanitizeInput($D20),Questionnaire!$I:$I),CheckRelevance(SanitizeInput($D20),Questionnaire!$J:$J))</f>
        <v>0</v>
      </c>
      <c r="AL20" s="20" t="str" cm="1">
        <f t="array" ref="AL20">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20),Questionnaire!$AA:$AA,",")</f>
        <v/>
      </c>
      <c r="AM20" s="20" t="str" cm="1">
        <f t="array" ref="AM20">IF($D20="*","",InverseLookupList($AL20,Questionnaire!$AA$3,Questionnaire!$A$3,Helper!$B$12,","))</f>
        <v/>
      </c>
      <c r="AN20" s="20" t="str" cm="1">
        <f t="array" ref="AN20">RemoveDelimiter(GetValues($AM20,Questionnaire!$A:$G," ",CHAR(10)&amp;CHAR(10),TRUE),CHAR(10)&amp;CHAR(10))</f>
        <v/>
      </c>
      <c r="AO20" s="20" t="str" cm="1">
        <f t="array" ref="AO20">CreateSearchString($AM20)</f>
        <v/>
      </c>
      <c r="AP20" s="20" t="str" cm="1">
        <f t="array" ca="1" aca="1" ref="AP20">InverseLookup($A20,Mitigation!$AD$2,Mitigation!$A$2,1,Helper!$B$5,",")</f>
        <v/>
      </c>
      <c r="AQ20" s="20" t="str" cm="1">
        <f t="array" ca="1" aca="1" ref="AQ20">CreateSearchString(GetValues($AP20,'Attack Steps'!$A:$O,"",",",FALSE))</f>
        <v/>
      </c>
      <c r="AR20" s="20" t="str">
        <f t="shared" si="1"/>
        <v>C17</v>
      </c>
    </row>
    <row r="21" spans="1:44" ht="15">
      <c r="A21" s="10" t="s">
        <v>412</v>
      </c>
      <c r="B21" s="13" t="s">
        <v>742</v>
      </c>
      <c r="C21" s="13" t="s">
        <v>1745</v>
      </c>
      <c r="D21" s="13"/>
      <c r="E21" s="13"/>
      <c r="F21" s="33" t="str" cm="1">
        <f t="array" ref="F21">LookupNames(SanitizeInput($E21),'Attack Steps'!$A:$B)</f>
        <v/>
      </c>
      <c r="G21" s="23"/>
      <c r="H21" s="33" t="str" cm="1">
        <f t="array" ref="H21">RemoveDelimiter(GetValuesWithFallback(SanitizeInput($G21),$A:$B,Assumptions!$A:$B," ",","&amp;CHAR(10),TRUE),","&amp;CHAR(10))</f>
        <v/>
      </c>
      <c r="I21" s="23"/>
      <c r="J21" s="37" t="str" cm="1">
        <f t="array" ref="J21">IF($I21="","",SUBSTITUTE(SUBSTITUTE(SUBSTITUTE(SUBSTITUTE(SUBSTITUTE(SUBSTITUTE(SUBSTITUTE(SUBSTITUTE(SUBSTITUTE(GetTransformation(SanitizeInput($I21),'Damage Scenarios'!$A:$J,COLUMNS('Damage Scenarios'!$A:$J),CHAR(10),"[#0][#1][#2]")&amp;"§","[#1][#2]",""),"[#2]",""),"[#0][#1]","[#1]"),"[#0]","Removes:"&amp;CHAR(10)),"[#1]","Transforms:"&amp;CHAR(10)),CHAR(10)&amp;"§",""),"§",""),CHAR(10),CHAR(10)&amp;"   "),"   "&amp;"Transforms:","Transforms:"))</f>
        <v/>
      </c>
      <c r="K21" s="13"/>
      <c r="L21" s="13"/>
      <c r="M21" s="13"/>
      <c r="N21" s="13"/>
      <c r="O21" s="13"/>
      <c r="P21" s="33" t="str">
        <f ca="1">IF($A21="","",IFERROR(VLOOKUP($AD21,Definitions!$V:$W,COLUMNS(Definitions!$V:$W),TRUE),""))</f>
        <v>Basic</v>
      </c>
      <c r="Q21" s="23" t="s">
        <v>600</v>
      </c>
      <c r="R21" s="23"/>
      <c r="S21" s="13"/>
      <c r="T21" s="10" cm="1">
        <f t="array" ref="T21">IF(ROW()=ROW($T$2)+1,0,INDEX($T:$T,ROW()-1))+IF($A21="",0,1)</f>
        <v>19</v>
      </c>
      <c r="U21" s="20" t="b" cm="1">
        <f t="array" ref="U21">CheckRelevance(SanitizeInput(E21),Questionnaire!$I:$I)</f>
        <v>0</v>
      </c>
      <c r="V21" s="20" t="b">
        <f>IFERROR(_xlfn.XMATCH("*,"&amp;$A21&amp;",*",Mitigation!$X:$X,2)&gt;0,FALSE)</f>
        <v>0</v>
      </c>
      <c r="W21" s="20" cm="1">
        <f t="array" ref="W21">CreateTaskID($W$2,$W:$W,Tasks!$B$17,$S21)</f>
        <v>0</v>
      </c>
      <c r="X21" s="20" t="str" cm="1">
        <f t="array" ref="X21">IF($E21="","",","&amp;SanitizeInput($E21))</f>
        <v/>
      </c>
      <c r="Y21" s="20">
        <f>IF(K21="",0,VLOOKUP(K21,Definitions!$Z:$AA,COLUMNS(Definitions!$Z:$AA),FALSE))</f>
        <v>0</v>
      </c>
      <c r="Z21" s="20">
        <f>IF(L21="",0,VLOOKUP(L21,Definitions!$Z:$AA,COLUMNS(Definitions!$Z:$AA),FALSE))</f>
        <v>0</v>
      </c>
      <c r="AA21" s="20">
        <f>IF(M21="",0,VLOOKUP(M21,Definitions!$Z:$AA,COLUMNS(Definitions!$Z:$AA),FALSE))</f>
        <v>0</v>
      </c>
      <c r="AB21" s="20">
        <f>IF(N21="",0,VLOOKUP(N21,Definitions!$Z:$AA,COLUMNS(Definitions!$Z:$AA),FALSE))</f>
        <v>0</v>
      </c>
      <c r="AC21" s="20">
        <f>IF(O21="",0,VLOOKUP(O21,Definitions!$Z:$AA,COLUMNS(Definitions!$Z:$AA),FALSE))</f>
        <v>0</v>
      </c>
      <c r="AD21" s="20">
        <f t="shared" ca="1" si="0"/>
        <v>0</v>
      </c>
      <c r="AE21" s="20" t="str" cm="1">
        <f t="array" ref="AE21">IF($G21="","",","&amp;SanitizeInput($G21))</f>
        <v/>
      </c>
      <c r="AF21" s="20" t="b" cm="1">
        <f t="array" ca="1" aca="1" ref="AF21">OR($AK21,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21,$AE$2,$A$2,Helper!$B$4,",",$A:$V,$A:$AK,InverseLookup($A21,$AE$2,$A$2,1,Helper!$B$4,",")))</f>
        <v>0</v>
      </c>
      <c r="AG21" s="20" t="str" cm="1">
        <f t="array" ca="1" aca="1" ref="AG21">IF(OR($V21,$AF21,$AK21),IF($G21="","",","&amp;SanitizeInput($G21)),"")</f>
        <v/>
      </c>
      <c r="AH21" s="20" t="str" cm="1">
        <f t="array" ref="AH21">SUBSTITUTE(IF($V21,IF($I21="","",","&amp;SanitizeInput($I21)),""),"&gt;",",")</f>
        <v/>
      </c>
      <c r="AI21" s="20" cm="1">
        <f t="array" ca="1" aca="1" ref="AI21">IF(ROW()=ROW($AI$2)+1,0,INDEX($AI:$AI,ROW()-1))+IF($AF21,1,0)</f>
        <v>10</v>
      </c>
      <c r="AJ21" s="20" t="str" cm="1">
        <f t="array" ca="1" aca="1" ref="AJ21">IF($AF21,IF($Q21="","",","&amp;SanitizeInput($Q21)),"")</f>
        <v/>
      </c>
      <c r="AK21" s="20" t="b">
        <f>OR(CheckRelevance(SanitizeInput($D21),Questionnaire!$I:$I),CheckRelevance(SanitizeInput($D21),Questionnaire!$J:$J))</f>
        <v>0</v>
      </c>
      <c r="AL21" s="20" t="str" cm="1">
        <f t="array" ref="AL2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21),Questionnaire!$AA:$AA,",")</f>
        <v/>
      </c>
      <c r="AM21" s="20" t="str" cm="1">
        <f t="array" ref="AM21">IF($D21="*","",InverseLookupList($AL21,Questionnaire!$AA$3,Questionnaire!$A$3,Helper!$B$12,","))</f>
        <v/>
      </c>
      <c r="AN21" s="20" t="str" cm="1">
        <f t="array" ref="AN21">RemoveDelimiter(GetValues($AM21,Questionnaire!$A:$G," ",CHAR(10)&amp;CHAR(10),TRUE),CHAR(10)&amp;CHAR(10))</f>
        <v/>
      </c>
      <c r="AO21" s="20" t="str" cm="1">
        <f t="array" ref="AO21">CreateSearchString($AM21)</f>
        <v/>
      </c>
      <c r="AP21" s="20" t="str" cm="1">
        <f t="array" ca="1" aca="1" ref="AP21">InverseLookup($A21,Mitigation!$AD$2,Mitigation!$A$2,1,Helper!$B$5,",")</f>
        <v/>
      </c>
      <c r="AQ21" s="20" t="str" cm="1">
        <f t="array" ca="1" aca="1" ref="AQ21">CreateSearchString(GetValues($AP21,'Attack Steps'!$A:$O,"",",",FALSE))</f>
        <v/>
      </c>
      <c r="AR21" s="20" t="str">
        <f t="shared" si="1"/>
        <v>C18</v>
      </c>
    </row>
    <row r="22" spans="1:44" ht="15">
      <c r="A22" s="10" t="s">
        <v>413</v>
      </c>
      <c r="B22" s="13" t="s">
        <v>743</v>
      </c>
      <c r="C22" s="13" t="s">
        <v>1745</v>
      </c>
      <c r="D22" s="13" t="s">
        <v>1053</v>
      </c>
      <c r="E22" s="13"/>
      <c r="F22" s="33" t="str" cm="1">
        <f t="array" ref="F22">LookupNames(SanitizeInput($E22),'Attack Steps'!$A:$B)</f>
        <v/>
      </c>
      <c r="G22" s="23"/>
      <c r="H22" s="33" t="str" cm="1">
        <f t="array" ref="H22">RemoveDelimiter(GetValuesWithFallback(SanitizeInput($G22),$A:$B,Assumptions!$A:$B," ",","&amp;CHAR(10),TRUE),","&amp;CHAR(10))</f>
        <v/>
      </c>
      <c r="I22" s="23"/>
      <c r="J22" s="37" t="str" cm="1">
        <f t="array" ref="J22">IF($I22="","",SUBSTITUTE(SUBSTITUTE(SUBSTITUTE(SUBSTITUTE(SUBSTITUTE(SUBSTITUTE(SUBSTITUTE(SUBSTITUTE(SUBSTITUTE(GetTransformation(SanitizeInput($I22),'Damage Scenarios'!$A:$J,COLUMNS('Damage Scenarios'!$A:$J),CHAR(10),"[#0][#1][#2]")&amp;"§","[#1][#2]",""),"[#2]",""),"[#0][#1]","[#1]"),"[#0]","Removes:"&amp;CHAR(10)),"[#1]","Transforms:"&amp;CHAR(10)),CHAR(10)&amp;"§",""),"§",""),CHAR(10),CHAR(10)&amp;"   "),"   "&amp;"Transforms:","Transforms:"))</f>
        <v/>
      </c>
      <c r="K22" s="13"/>
      <c r="L22" s="13"/>
      <c r="M22" s="13"/>
      <c r="N22" s="13"/>
      <c r="O22" s="13"/>
      <c r="P22" s="33" t="str">
        <f ca="1">IF($A22="","",IFERROR(VLOOKUP($AD22,Definitions!$V:$W,COLUMNS(Definitions!$V:$W),TRUE),""))</f>
        <v>Basic</v>
      </c>
      <c r="Q22" s="23" t="s">
        <v>637</v>
      </c>
      <c r="R22" s="23"/>
      <c r="S22" s="13"/>
      <c r="T22" s="10" cm="1">
        <f t="array" ref="T22">IF(ROW()=ROW($T$2)+1,0,INDEX($T:$T,ROW()-1))+IF($A22="",0,1)</f>
        <v>20</v>
      </c>
      <c r="U22" s="20" t="b" cm="1">
        <f t="array" ref="U22">CheckRelevance(SanitizeInput(E22),Questionnaire!$I:$I)</f>
        <v>0</v>
      </c>
      <c r="V22" s="20" t="b">
        <f>IFERROR(_xlfn.XMATCH("*,"&amp;$A22&amp;",*",Mitigation!$X:$X,2)&gt;0,FALSE)</f>
        <v>0</v>
      </c>
      <c r="W22" s="20" cm="1">
        <f t="array" ref="W22">CreateTaskID($W$2,$W:$W,Tasks!$B$17,$S22)</f>
        <v>0</v>
      </c>
      <c r="X22" s="20" t="str" cm="1">
        <f t="array" ref="X22">IF($E22="","",","&amp;SanitizeInput($E22))</f>
        <v/>
      </c>
      <c r="Y22" s="20">
        <f>IF(K22="",0,VLOOKUP(K22,Definitions!$Z:$AA,COLUMNS(Definitions!$Z:$AA),FALSE))</f>
        <v>0</v>
      </c>
      <c r="Z22" s="20">
        <f>IF(L22="",0,VLOOKUP(L22,Definitions!$Z:$AA,COLUMNS(Definitions!$Z:$AA),FALSE))</f>
        <v>0</v>
      </c>
      <c r="AA22" s="20">
        <f>IF(M22="",0,VLOOKUP(M22,Definitions!$Z:$AA,COLUMNS(Definitions!$Z:$AA),FALSE))</f>
        <v>0</v>
      </c>
      <c r="AB22" s="20">
        <f>IF(N22="",0,VLOOKUP(N22,Definitions!$Z:$AA,COLUMNS(Definitions!$Z:$AA),FALSE))</f>
        <v>0</v>
      </c>
      <c r="AC22" s="20">
        <f>IF(O22="",0,VLOOKUP(O22,Definitions!$Z:$AA,COLUMNS(Definitions!$Z:$AA),FALSE))</f>
        <v>0</v>
      </c>
      <c r="AD22" s="20">
        <f t="shared" ca="1" si="0"/>
        <v>0</v>
      </c>
      <c r="AE22" s="20" t="str" cm="1">
        <f t="array" ref="AE22">IF($G22="","",","&amp;SanitizeInput($G22))</f>
        <v/>
      </c>
      <c r="AF22" s="20" t="b" cm="1">
        <f t="array" ca="1" aca="1" ref="AF22">OR($AK22,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22,$AE$2,$A$2,Helper!$B$4,",",$A:$V,$A:$AK,InverseLookup($A22,$AE$2,$A$2,1,Helper!$B$4,",")))</f>
        <v>1</v>
      </c>
      <c r="AG22" s="20" t="str" cm="1">
        <f t="array" ca="1" aca="1" ref="AG22">IF(OR($V22,$AF22,$AK22),IF($G22="","",","&amp;SanitizeInput($G22)),"")</f>
        <v/>
      </c>
      <c r="AH22" s="20" t="str" cm="1">
        <f t="array" ref="AH22">SUBSTITUTE(IF($V22,IF($I22="","",","&amp;SanitizeInput($I22)),""),"&gt;",",")</f>
        <v/>
      </c>
      <c r="AI22" s="20" cm="1">
        <f t="array" ca="1" aca="1" ref="AI22">IF(ROW()=ROW($AI$2)+1,0,INDEX($AI:$AI,ROW()-1))+IF($AF22,1,0)</f>
        <v>11</v>
      </c>
      <c r="AJ22" s="20" t="str" cm="1">
        <f t="array" ca="1" aca="1" ref="AJ22">IF($AF22,IF($Q22="","",","&amp;SanitizeInput($Q22)),"")</f>
        <v>,j,</v>
      </c>
      <c r="AK22" s="20" t="b">
        <f ca="1">OR(CheckRelevance(SanitizeInput($D22),Questionnaire!$I:$I),CheckRelevance(SanitizeInput($D22),Questionnaire!$J:$J))</f>
        <v>1</v>
      </c>
      <c r="AL22" s="20" t="str" cm="1">
        <f t="array" ca="1" aca="1" ref="AL22">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22),Questionnaire!$AA:$AA,",")</f>
        <v>QA9[Yes],</v>
      </c>
      <c r="AM22" s="20" t="str" cm="1">
        <f t="array" ca="1" aca="1" ref="AM22">IF($D22="*","",InverseLookupList($AL22,Questionnaire!$AA$3,Questionnaire!$A$3,Helper!$B$12,","))</f>
        <v>QA9,</v>
      </c>
      <c r="AN22" s="20" t="str" cm="1">
        <f t="array" ca="1" aca="1" ref="AN22">RemoveDelimiter(GetValues($AM22,Questionnaire!$A:$G," ",CHAR(10)&amp;CHAR(10),TRUE),CHAR(10)&amp;CHAR(10))</f>
        <v>QA9 RAS, Layer 2 switch, EtherCAT</v>
      </c>
      <c r="AO22" s="20" t="str" cm="1">
        <f t="array" ca="1" aca="1" ref="AO22">CreateSearchString($AM22)</f>
        <v>,QA9,</v>
      </c>
      <c r="AP22" s="20" t="str" cm="1">
        <f t="array" ca="1" aca="1" ref="AP22">InverseLookup($A22,Mitigation!$AD$2,Mitigation!$A$2,1,Helper!$B$5,",")</f>
        <v/>
      </c>
      <c r="AQ22" s="20" t="str" cm="1">
        <f t="array" ca="1" aca="1" ref="AQ22">CreateSearchString(GetValues($AP22,'Attack Steps'!$A:$O,"",",",FALSE))</f>
        <v/>
      </c>
      <c r="AR22" s="20" t="str">
        <f t="shared" si="1"/>
        <v>C19</v>
      </c>
    </row>
    <row r="23" spans="1:44" ht="108.75">
      <c r="A23" s="10" t="s">
        <v>414</v>
      </c>
      <c r="B23" s="13" t="s">
        <v>744</v>
      </c>
      <c r="C23" s="13" t="s">
        <v>1745</v>
      </c>
      <c r="D23" s="13"/>
      <c r="E23" s="13" t="s">
        <v>110</v>
      </c>
      <c r="F23" s="33" t="str" cm="1">
        <f t="array" ca="1" aca="1" ref="F23">LookupNames(SanitizeInput($E23),'Attack Steps'!$A:$B)</f>
        <v>AS4 Interrupting the product with a denial of service attack</v>
      </c>
      <c r="G23" s="23" t="s">
        <v>469</v>
      </c>
      <c r="H23" s="33" t="str" cm="1">
        <f t="array" ca="1" aca="1" ref="H23">RemoveDelimiter(GetValuesWithFallback(SanitizeInput($G23),$A:$B,Assumptions!$A:$B," ",","&amp;CHAR(10),TRUE),","&amp;CHAR(10))</f>
        <v>C22 CR 7.2 – Resource management</v>
      </c>
      <c r="I23" s="23" t="s">
        <v>771</v>
      </c>
      <c r="J23" s="37" t="str" cm="1">
        <f t="array" ca="1" aca="1" ref="J23">IF($I23="","",SUBSTITUTE(SUBSTITUTE(SUBSTITUTE(SUBSTITUTE(SUBSTITUTE(SUBSTITUTE(SUBSTITUTE(SUBSTITUTE(SUBSTITUTE(GetTransformation(SanitizeInput($I23),'Damage Scenarios'!$A:$J,COLUMNS('Damage Scenarios'!$A:$J),CHAR(10),"[#0][#1][#2]")&amp;"§","[#1][#2]",""),"[#2]",""),"[#0][#1]","[#1]"),"[#0]","Removes:"&amp;CHAR(10)),"[#1]","Transforms:"&amp;CHAR(10)),CHAR(10)&amp;"§",""),"§",""),CHAR(10),CHAR(10)&amp;"   "),"   "&amp;"Transforms:","Transforms:"))</f>
        <v>Transforms:
   DS6 Life-threatening injury caused by unavailable product
   -----&gt; DS18 Limited response of the product during DoS attack, recovery afterwards
   DS7 Critical environmental damage caused by unavailable product
   -----&gt; DS18 Limited response of the product during DoS attack, recovery afterwards</v>
      </c>
      <c r="K23" s="13" t="s">
        <v>133</v>
      </c>
      <c r="L23" s="13" t="s">
        <v>141</v>
      </c>
      <c r="M23" s="13" t="s">
        <v>145</v>
      </c>
      <c r="N23" s="13"/>
      <c r="O23" s="13"/>
      <c r="P23" s="33" t="str">
        <f ca="1">IF($A23="","",IFERROR(VLOOKUP($AD23,Definitions!$V:$W,COLUMNS(Definitions!$V:$W),TRUE),""))</f>
        <v>Enhanced-Basic</v>
      </c>
      <c r="Q23" s="23" t="s">
        <v>603</v>
      </c>
      <c r="R23" s="23"/>
      <c r="S23" s="13" t="s">
        <v>1693</v>
      </c>
      <c r="T23" s="10" cm="1">
        <f t="array" ref="T23">IF(ROW()=ROW($T$2)+1,0,INDEX($T:$T,ROW()-1))+IF($A23="",0,1)</f>
        <v>21</v>
      </c>
      <c r="U23" s="20" t="b" cm="1">
        <f t="array" ca="1" aca="1" ref="U23">CheckRelevance(SanitizeInput(E23),Questionnaire!$I:$I)</f>
        <v>0</v>
      </c>
      <c r="V23" s="20" t="b">
        <f>IFERROR(_xlfn.XMATCH("*,"&amp;$A23&amp;",*",Mitigation!$X:$X,2)&gt;0,FALSE)</f>
        <v>0</v>
      </c>
      <c r="W23" s="20" cm="1">
        <f t="array" ref="W23">CreateTaskID($W$2,$W:$W,Tasks!$B$17,$S23)</f>
        <v>0</v>
      </c>
      <c r="X23" s="20" t="str" cm="1">
        <f t="array" ref="X23">IF($E23="","",","&amp;SanitizeInput($E23))</f>
        <v>,AS4,</v>
      </c>
      <c r="Y23" s="20">
        <f>IF(K23="",0,VLOOKUP(K23,Definitions!$Z:$AA,COLUMNS(Definitions!$Z:$AA),FALSE))</f>
        <v>1</v>
      </c>
      <c r="Z23" s="20">
        <f>IF(L23="",0,VLOOKUP(L23,Definitions!$Z:$AA,COLUMNS(Definitions!$Z:$AA),FALSE))</f>
        <v>6</v>
      </c>
      <c r="AA23" s="20">
        <f>IF(M23="",0,VLOOKUP(M23,Definitions!$Z:$AA,COLUMNS(Definitions!$Z:$AA),FALSE))</f>
        <v>3</v>
      </c>
      <c r="AB23" s="20">
        <f>IF(N23="",0,VLOOKUP(N23,Definitions!$Z:$AA,COLUMNS(Definitions!$Z:$AA),FALSE))</f>
        <v>0</v>
      </c>
      <c r="AC23" s="20">
        <f>IF(O23="",0,VLOOKUP(O23,Definitions!$Z:$AA,COLUMNS(Definitions!$Z:$AA),FALSE))</f>
        <v>0</v>
      </c>
      <c r="AD23" s="20">
        <f t="shared" ca="1" si="0"/>
        <v>10</v>
      </c>
      <c r="AE23" s="20" t="str" cm="1">
        <f t="array" ref="AE23">IF($G23="","",","&amp;SanitizeInput($G23))</f>
        <v>,C22,</v>
      </c>
      <c r="AF23" s="20" t="b" cm="1">
        <f t="array" ca="1" aca="1" ref="AF23">OR($AK23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23,$AE$2,$A$2,Helper!$B$4,",",$A:$V,$A:$AK,InverseLookup($A23,$AE$2,$A$2,1,Helper!$B$4,",")))</f>
        <v>0</v>
      </c>
      <c r="AG23" s="20" t="str" cm="1">
        <f t="array" ca="1" aca="1" ref="AG23">IF(OR($V23,$AF23,$AK23),IF($G23="","",","&amp;SanitizeInput($G23)),"")</f>
        <v/>
      </c>
      <c r="AH23" s="20" t="str" cm="1">
        <f t="array" ref="AH23">SUBSTITUTE(IF($V23,IF($I23="","",","&amp;SanitizeInput($I23)),""),"&gt;",",")</f>
        <v/>
      </c>
      <c r="AI23" s="20" cm="1">
        <f t="array" ca="1" aca="1" ref="AI23">IF(ROW()=ROW($AI$2)+1,0,INDEX($AI:$AI,ROW()-1))+IF($AF23,1,0)</f>
        <v>11</v>
      </c>
      <c r="AJ23" s="20" t="str" cm="1">
        <f t="array" ca="1" aca="1" ref="AJ23">IF($AF23,IF($Q23="","",","&amp;SanitizeInput($Q23)),"")</f>
        <v/>
      </c>
      <c r="AK23" s="20" t="b">
        <f>OR(CheckRelevance(SanitizeInput($D23),Questionnaire!$I:$I),CheckRelevance(SanitizeInput($D23),Questionnaire!$J:$J))</f>
        <v>0</v>
      </c>
      <c r="AL23" s="20" t="str" cm="1">
        <f t="array" ref="AL2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23),Questionnaire!$AA:$AA,",")</f>
        <v/>
      </c>
      <c r="AM23" s="20" t="str" cm="1">
        <f t="array" ref="AM23">IF($D23="*","",InverseLookupList($AL23,Questionnaire!$AA$3,Questionnaire!$A$3,Helper!$B$12,","))</f>
        <v/>
      </c>
      <c r="AN23" s="20" t="str" cm="1">
        <f t="array" ref="AN23">RemoveDelimiter(GetValues($AM23,Questionnaire!$A:$G," ",CHAR(10)&amp;CHAR(10),TRUE),CHAR(10)&amp;CHAR(10))</f>
        <v/>
      </c>
      <c r="AO23" s="20" t="str" cm="1">
        <f t="array" ref="AO23">CreateSearchString($AM23)</f>
        <v/>
      </c>
      <c r="AP23" s="20" t="str" cm="1">
        <f t="array" ca="1" aca="1" ref="AP23">InverseLookup($A23,Mitigation!$AD$2,Mitigation!$A$2,1,Helper!$B$5,",")</f>
        <v/>
      </c>
      <c r="AQ23" s="20" t="str" cm="1">
        <f t="array" ca="1" aca="1" ref="AQ23">CreateSearchString(GetValues($AP23,'Attack Steps'!$A:$O,"",",",FALSE))</f>
        <v/>
      </c>
      <c r="AR23" s="20" t="str">
        <f t="shared" si="1"/>
        <v>C20</v>
      </c>
    </row>
    <row r="24" spans="1:44" ht="192.75">
      <c r="A24" s="10" t="s">
        <v>415</v>
      </c>
      <c r="B24" s="13" t="s">
        <v>745</v>
      </c>
      <c r="C24" s="13" t="s">
        <v>1745</v>
      </c>
      <c r="D24" s="13"/>
      <c r="E24" s="13" t="s">
        <v>110</v>
      </c>
      <c r="F24" s="33" t="str" cm="1">
        <f t="array" ca="1" aca="1" ref="F24">LookupNames(SanitizeInput($E24),'Attack Steps'!$A:$B)</f>
        <v>AS4 Interrupting the product with a denial of service attack</v>
      </c>
      <c r="G24" s="23" t="s">
        <v>414</v>
      </c>
      <c r="H24" s="33" t="str" cm="1">
        <f t="array" ca="1" aca="1" ref="H24">RemoveDelimiter(GetValuesWithFallback(SanitizeInput($G24),$A:$B,Assumptions!$A:$B," ",","&amp;CHAR(10),TRUE),","&amp;CHAR(10))</f>
        <v>C20 CR 7.1 – Denial of service protection</v>
      </c>
      <c r="I24" s="23" t="s">
        <v>443</v>
      </c>
      <c r="J24" s="37" t="str" cm="1">
        <f t="array" ca="1" aca="1" ref="J24">IF($I24="","",SUBSTITUTE(SUBSTITUTE(SUBSTITUTE(SUBSTITUTE(SUBSTITUTE(SUBSTITUTE(SUBSTITUTE(SUBSTITUTE(SUBSTITUTE(GetTransformation(SanitizeInput($I24),'Damage Scenarios'!$A:$J,COLUMNS('Damage Scenarios'!$A:$J),CHAR(10),"[#0][#1][#2]")&amp;"§","[#1][#2]",""),"[#2]",""),"[#0][#1]","[#1]"),"[#0]","Removes:"&amp;CHAR(10)),"[#1]","Transforms:"&amp;CHAR(10)),CHAR(10)&amp;"§",""),"§",""),CHAR(10),CHAR(10)&amp;"   "),"   "&amp;"Transforms:","Transforms:"))</f>
        <v>Transforms:
   DS6 Life-threatening injury caused by unavailable product
   -----&gt; DS18 Limited response of the product during DoS attack, recovery afterwards
   DS7 Critical environmental damage caused by unavailable product
   -----&gt; DS18 Limited response of the product during DoS attack, recovery afterwards
   DS8 Loss of Critical financial damage caused by unavailable product
   -----&gt; DS18 Limited response of the product during DoS attack, recovery afterwards
   DS9 
   -----&gt; DS18 Limited response of the product during DoS attack, recovery afterwards</v>
      </c>
      <c r="K24" s="13"/>
      <c r="L24" s="13"/>
      <c r="M24" s="13"/>
      <c r="N24" s="13"/>
      <c r="O24" s="13"/>
      <c r="P24" s="33" t="str">
        <f ca="1">IF($A24="","",IFERROR(VLOOKUP($AD24,Definitions!$V:$W,COLUMNS(Definitions!$V:$W),TRUE),""))</f>
        <v>Basic</v>
      </c>
      <c r="Q24" s="23" t="s">
        <v>603</v>
      </c>
      <c r="R24" s="23"/>
      <c r="S24" s="13" t="s">
        <v>1031</v>
      </c>
      <c r="T24" s="10" cm="1">
        <f t="array" ref="T24">IF(ROW()=ROW($T$2)+1,0,INDEX($T:$T,ROW()-1))+IF($A24="",0,1)</f>
        <v>22</v>
      </c>
      <c r="U24" s="20" t="b" cm="1">
        <f t="array" ca="1" aca="1" ref="U24">CheckRelevance(SanitizeInput(E24),Questionnaire!$I:$I)</f>
        <v>0</v>
      </c>
      <c r="V24" s="20" t="b">
        <f>IFERROR(_xlfn.XMATCH("*,"&amp;$A24&amp;",*",Mitigation!$X:$X,2)&gt;0,FALSE)</f>
        <v>0</v>
      </c>
      <c r="W24" s="20" cm="1">
        <f t="array" ref="W24">CreateTaskID($W$2,$W:$W,Tasks!$B$17,$S24)</f>
        <v>0</v>
      </c>
      <c r="X24" s="20" t="str" cm="1">
        <f t="array" ref="X24">IF($E24="","",","&amp;SanitizeInput($E24))</f>
        <v>,AS4,</v>
      </c>
      <c r="Y24" s="20">
        <f>IF(K24="",0,VLOOKUP(K24,Definitions!$Z:$AA,COLUMNS(Definitions!$Z:$AA),FALSE))</f>
        <v>0</v>
      </c>
      <c r="Z24" s="20">
        <f>IF(L24="",0,VLOOKUP(L24,Definitions!$Z:$AA,COLUMNS(Definitions!$Z:$AA),FALSE))</f>
        <v>0</v>
      </c>
      <c r="AA24" s="20">
        <f>IF(M24="",0,VLOOKUP(M24,Definitions!$Z:$AA,COLUMNS(Definitions!$Z:$AA),FALSE))</f>
        <v>0</v>
      </c>
      <c r="AB24" s="20">
        <f>IF(N24="",0,VLOOKUP(N24,Definitions!$Z:$AA,COLUMNS(Definitions!$Z:$AA),FALSE))</f>
        <v>0</v>
      </c>
      <c r="AC24" s="20">
        <f>IF(O24="",0,VLOOKUP(O24,Definitions!$Z:$AA,COLUMNS(Definitions!$Z:$AA),FALSE))</f>
        <v>0</v>
      </c>
      <c r="AD24" s="20">
        <f t="shared" ca="1" si="0"/>
        <v>0</v>
      </c>
      <c r="AE24" s="20" t="str" cm="1">
        <f t="array" ref="AE24">IF($G24="","",","&amp;SanitizeInput($G24))</f>
        <v>,C20,</v>
      </c>
      <c r="AF24" s="20" t="b" cm="1">
        <f t="array" ca="1" aca="1" ref="AF24">OR($AK24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24,$AE$2,$A$2,Helper!$B$4,",",$A:$V,$A:$AK,InverseLookup($A24,$AE$2,$A$2,1,Helper!$B$4,",")))</f>
        <v>0</v>
      </c>
      <c r="AG24" s="20" t="str" cm="1">
        <f t="array" ca="1" aca="1" ref="AG24">IF(OR($V24,$AF24,$AK24),IF($G24="","",","&amp;SanitizeInput($G24)),"")</f>
        <v/>
      </c>
      <c r="AH24" s="20" t="str" cm="1">
        <f t="array" ref="AH24">SUBSTITUTE(IF($V24,IF($I24="","",","&amp;SanitizeInput($I24)),""),"&gt;",",")</f>
        <v/>
      </c>
      <c r="AI24" s="20" cm="1">
        <f t="array" ca="1" aca="1" ref="AI24">IF(ROW()=ROW($AI$2)+1,0,INDEX($AI:$AI,ROW()-1))+IF($AF24,1,0)</f>
        <v>11</v>
      </c>
      <c r="AJ24" s="20" t="str" cm="1">
        <f t="array" ca="1" aca="1" ref="AJ24">IF($AF24,IF($Q24="","",","&amp;SanitizeInput($Q24)),"")</f>
        <v/>
      </c>
      <c r="AK24" s="20" t="b">
        <f>OR(CheckRelevance(SanitizeInput($D24),Questionnaire!$I:$I),CheckRelevance(SanitizeInput($D24),Questionnaire!$J:$J))</f>
        <v>0</v>
      </c>
      <c r="AL24" s="20" t="str" cm="1">
        <f t="array" ref="AL2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24),Questionnaire!$AA:$AA,",")</f>
        <v/>
      </c>
      <c r="AM24" s="20" t="str" cm="1">
        <f t="array" ref="AM24">IF($D24="*","",InverseLookupList($AL24,Questionnaire!$AA$3,Questionnaire!$A$3,Helper!$B$12,","))</f>
        <v/>
      </c>
      <c r="AN24" s="20" t="str" cm="1">
        <f t="array" ref="AN24">RemoveDelimiter(GetValues($AM24,Questionnaire!$A:$G," ",CHAR(10)&amp;CHAR(10),TRUE),CHAR(10)&amp;CHAR(10))</f>
        <v/>
      </c>
      <c r="AO24" s="20" t="str" cm="1">
        <f t="array" ref="AO24">CreateSearchString($AM24)</f>
        <v/>
      </c>
      <c r="AP24" s="20" t="str" cm="1">
        <f t="array" ca="1" aca="1" ref="AP24">InverseLookup($A24,Mitigation!$AD$2,Mitigation!$A$2,1,Helper!$B$5,",")</f>
        <v/>
      </c>
      <c r="AQ24" s="20" t="str" cm="1">
        <f t="array" ca="1" aca="1" ref="AQ24">CreateSearchString(GetValues($AP24,'Attack Steps'!$A:$O,"",",",FALSE))</f>
        <v/>
      </c>
      <c r="AR24" s="20" t="str">
        <f t="shared" si="1"/>
        <v>C21</v>
      </c>
    </row>
    <row r="25" spans="1:44" ht="15">
      <c r="A25" s="10" t="s">
        <v>469</v>
      </c>
      <c r="B25" s="13" t="s">
        <v>746</v>
      </c>
      <c r="C25" s="13" t="s">
        <v>1745</v>
      </c>
      <c r="D25" s="13"/>
      <c r="E25" s="13"/>
      <c r="F25" s="33" t="str" cm="1">
        <f t="array" ref="F25">LookupNames(SanitizeInput($E25),'Attack Steps'!$A:$B)</f>
        <v/>
      </c>
      <c r="G25" s="23"/>
      <c r="H25" s="33" t="str" cm="1">
        <f t="array" ref="H25">RemoveDelimiter(GetValuesWithFallback(SanitizeInput($G25),$A:$B,Assumptions!$A:$B," ",","&amp;CHAR(10),TRUE),","&amp;CHAR(10))</f>
        <v/>
      </c>
      <c r="I25" s="23"/>
      <c r="J25" s="37" t="str" cm="1">
        <f t="array" ref="J25">IF($I25="","",SUBSTITUTE(SUBSTITUTE(SUBSTITUTE(SUBSTITUTE(SUBSTITUTE(SUBSTITUTE(SUBSTITUTE(SUBSTITUTE(SUBSTITUTE(GetTransformation(SanitizeInput($I25),'Damage Scenarios'!$A:$J,COLUMNS('Damage Scenarios'!$A:$J),CHAR(10),"[#0][#1][#2]")&amp;"§","[#1][#2]",""),"[#2]",""),"[#0][#1]","[#1]"),"[#0]","Removes:"&amp;CHAR(10)),"[#1]","Transforms:"&amp;CHAR(10)),CHAR(10)&amp;"§",""),"§",""),CHAR(10),CHAR(10)&amp;"   "),"   "&amp;"Transforms:","Transforms:"))</f>
        <v/>
      </c>
      <c r="K25" s="13"/>
      <c r="L25" s="13"/>
      <c r="M25" s="13"/>
      <c r="N25" s="13"/>
      <c r="O25" s="13"/>
      <c r="P25" s="33" t="str">
        <f ca="1">IF($A25="","",IFERROR(VLOOKUP($AD25,Definitions!$V:$W,COLUMNS(Definitions!$V:$W),TRUE),""))</f>
        <v>Basic</v>
      </c>
      <c r="Q25" s="23" t="s">
        <v>603</v>
      </c>
      <c r="R25" s="23"/>
      <c r="S25" s="13"/>
      <c r="T25" s="10" cm="1">
        <f t="array" ref="T25">IF(ROW()=ROW($T$2)+1,0,INDEX($T:$T,ROW()-1))+IF($A25="",0,1)</f>
        <v>23</v>
      </c>
      <c r="U25" s="20" t="b" cm="1">
        <f t="array" ref="U25">CheckRelevance(SanitizeInput(E25),Questionnaire!$I:$I)</f>
        <v>0</v>
      </c>
      <c r="V25" s="20" t="b">
        <f>IFERROR(_xlfn.XMATCH("*,"&amp;$A25&amp;",*",Mitigation!$X:$X,2)&gt;0,FALSE)</f>
        <v>0</v>
      </c>
      <c r="W25" s="20" cm="1">
        <f t="array" ref="W25">CreateTaskID($W$2,$W:$W,Tasks!$B$17,$S25)</f>
        <v>0</v>
      </c>
      <c r="X25" s="20" t="str" cm="1">
        <f t="array" ref="X25">IF($E25="","",","&amp;SanitizeInput($E25))</f>
        <v/>
      </c>
      <c r="Y25" s="20">
        <f>IF(K25="",0,VLOOKUP(K25,Definitions!$Z:$AA,COLUMNS(Definitions!$Z:$AA),FALSE))</f>
        <v>0</v>
      </c>
      <c r="Z25" s="20">
        <f>IF(L25="",0,VLOOKUP(L25,Definitions!$Z:$AA,COLUMNS(Definitions!$Z:$AA),FALSE))</f>
        <v>0</v>
      </c>
      <c r="AA25" s="20">
        <f>IF(M25="",0,VLOOKUP(M25,Definitions!$Z:$AA,COLUMNS(Definitions!$Z:$AA),FALSE))</f>
        <v>0</v>
      </c>
      <c r="AB25" s="20">
        <f>IF(N25="",0,VLOOKUP(N25,Definitions!$Z:$AA,COLUMNS(Definitions!$Z:$AA),FALSE))</f>
        <v>0</v>
      </c>
      <c r="AC25" s="20">
        <f>IF(O25="",0,VLOOKUP(O25,Definitions!$Z:$AA,COLUMNS(Definitions!$Z:$AA),FALSE))</f>
        <v>0</v>
      </c>
      <c r="AD25" s="20">
        <f t="shared" ca="1" si="0"/>
        <v>0</v>
      </c>
      <c r="AE25" s="20" t="str" cm="1">
        <f t="array" ref="AE25">IF($G25="","",","&amp;SanitizeInput($G25))</f>
        <v/>
      </c>
      <c r="AF25" s="20" t="b" cm="1">
        <f t="array" ca="1" aca="1" ref="AF25">OR($AK25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25,$AE$2,$A$2,Helper!$B$4,",",$A:$V,$A:$AK,InverseLookup($A25,$AE$2,$A$2,1,Helper!$B$4,",")))</f>
        <v>0</v>
      </c>
      <c r="AG25" s="20" t="str" cm="1">
        <f t="array" ca="1" aca="1" ref="AG25">IF(OR($V25,$AF25,$AK25),IF($G25="","",","&amp;SanitizeInput($G25)),"")</f>
        <v/>
      </c>
      <c r="AH25" s="20" t="str" cm="1">
        <f t="array" ref="AH25">SUBSTITUTE(IF($V25,IF($I25="","",","&amp;SanitizeInput($I25)),""),"&gt;",",")</f>
        <v/>
      </c>
      <c r="AI25" s="20" cm="1">
        <f t="array" ca="1" aca="1" ref="AI25">IF(ROW()=ROW($AI$2)+1,0,INDEX($AI:$AI,ROW()-1))+IF($AF25,1,0)</f>
        <v>11</v>
      </c>
      <c r="AJ25" s="20" t="str" cm="1">
        <f t="array" ca="1" aca="1" ref="AJ25">IF($AF25,IF($Q25="","",","&amp;SanitizeInput($Q25)),"")</f>
        <v/>
      </c>
      <c r="AK25" s="20" t="b">
        <f>OR(CheckRelevance(SanitizeInput($D25),Questionnaire!$I:$I),CheckRelevance(SanitizeInput($D25),Questionnaire!$J:$J))</f>
        <v>0</v>
      </c>
      <c r="AL25" s="20" t="str" cm="1">
        <f t="array" ref="AL2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25),Questionnaire!$AA:$AA,",")</f>
        <v/>
      </c>
      <c r="AM25" s="20" t="str" cm="1">
        <f t="array" ref="AM25">IF($D25="*","",InverseLookupList($AL25,Questionnaire!$AA$3,Questionnaire!$A$3,Helper!$B$12,","))</f>
        <v/>
      </c>
      <c r="AN25" s="20" t="str" cm="1">
        <f t="array" ref="AN25">RemoveDelimiter(GetValues($AM25,Questionnaire!$A:$G," ",CHAR(10)&amp;CHAR(10),TRUE),CHAR(10)&amp;CHAR(10))</f>
        <v/>
      </c>
      <c r="AO25" s="20" t="str" cm="1">
        <f t="array" ref="AO25">CreateSearchString($AM25)</f>
        <v/>
      </c>
      <c r="AP25" s="20" t="str" cm="1">
        <f t="array" ca="1" aca="1" ref="AP25">InverseLookup($A25,Mitigation!$AD$2,Mitigation!$A$2,1,Helper!$B$5,",")</f>
        <v/>
      </c>
      <c r="AQ25" s="20" t="str" cm="1">
        <f t="array" ca="1" aca="1" ref="AQ25">CreateSearchString(GetValues($AP25,'Attack Steps'!$A:$O,"",",",FALSE))</f>
        <v/>
      </c>
      <c r="AR25" s="20" t="str">
        <f t="shared" si="1"/>
        <v>C22</v>
      </c>
    </row>
    <row r="26" spans="1:44" ht="30">
      <c r="A26" s="10" t="s">
        <v>470</v>
      </c>
      <c r="B26" s="13" t="s">
        <v>747</v>
      </c>
      <c r="C26" s="13" t="s">
        <v>1745</v>
      </c>
      <c r="D26" s="13" t="s">
        <v>1050</v>
      </c>
      <c r="E26" s="13"/>
      <c r="F26" s="33" t="str" cm="1">
        <f t="array" ref="F26">LookupNames(SanitizeInput($E26),'Attack Steps'!$A:$B)</f>
        <v/>
      </c>
      <c r="G26" s="23"/>
      <c r="H26" s="33" t="str" cm="1">
        <f t="array" ref="H26">RemoveDelimiter(GetValuesWithFallback(SanitizeInput($G26),$A:$B,Assumptions!$A:$B," ",","&amp;CHAR(10),TRUE),","&amp;CHAR(10))</f>
        <v/>
      </c>
      <c r="I26" s="23"/>
      <c r="J26" s="37" t="str" cm="1">
        <f t="array" ref="J26">IF($I26="","",SUBSTITUTE(SUBSTITUTE(SUBSTITUTE(SUBSTITUTE(SUBSTITUTE(SUBSTITUTE(SUBSTITUTE(SUBSTITUTE(SUBSTITUTE(GetTransformation(SanitizeInput($I26),'Damage Scenarios'!$A:$J,COLUMNS('Damage Scenarios'!$A:$J),CHAR(10),"[#0][#1][#2]")&amp;"§","[#1][#2]",""),"[#2]",""),"[#0][#1]","[#1]"),"[#0]","Removes:"&amp;CHAR(10)),"[#1]","Transforms:"&amp;CHAR(10)),CHAR(10)&amp;"§",""),"§",""),CHAR(10),CHAR(10)&amp;"   "),"   "&amp;"Transforms:","Transforms:"))</f>
        <v/>
      </c>
      <c r="K26" s="13"/>
      <c r="L26" s="13"/>
      <c r="M26" s="13"/>
      <c r="N26" s="13"/>
      <c r="O26" s="13"/>
      <c r="P26" s="33" t="str">
        <f ca="1">IF($A26="","",IFERROR(VLOOKUP($AD26,Definitions!$V:$W,COLUMNS(Definitions!$V:$W),TRUE),""))</f>
        <v>Basic</v>
      </c>
      <c r="Q26" s="23" t="s">
        <v>637</v>
      </c>
      <c r="R26" s="23"/>
      <c r="S26" s="13"/>
      <c r="T26" s="10" cm="1">
        <f t="array" ref="T26">IF(ROW()=ROW($T$2)+1,0,INDEX($T:$T,ROW()-1))+IF($A26="",0,1)</f>
        <v>24</v>
      </c>
      <c r="U26" s="20" t="b" cm="1">
        <f t="array" ref="U26">CheckRelevance(SanitizeInput(E26),Questionnaire!$I:$I)</f>
        <v>0</v>
      </c>
      <c r="V26" s="20" t="b">
        <f>IFERROR(_xlfn.XMATCH("*,"&amp;$A26&amp;",*",Mitigation!$X:$X,2)&gt;0,FALSE)</f>
        <v>0</v>
      </c>
      <c r="W26" s="20" cm="1">
        <f t="array" ref="W26">CreateTaskID($W$2,$W:$W,Tasks!$B$17,$S26)</f>
        <v>0</v>
      </c>
      <c r="X26" s="20" t="str" cm="1">
        <f t="array" ref="X26">IF($E26="","",","&amp;SanitizeInput($E26))</f>
        <v/>
      </c>
      <c r="Y26" s="20">
        <f>IF(K26="",0,VLOOKUP(K26,Definitions!$Z:$AA,COLUMNS(Definitions!$Z:$AA),FALSE))</f>
        <v>0</v>
      </c>
      <c r="Z26" s="20">
        <f>IF(L26="",0,VLOOKUP(L26,Definitions!$Z:$AA,COLUMNS(Definitions!$Z:$AA),FALSE))</f>
        <v>0</v>
      </c>
      <c r="AA26" s="20">
        <f>IF(M26="",0,VLOOKUP(M26,Definitions!$Z:$AA,COLUMNS(Definitions!$Z:$AA),FALSE))</f>
        <v>0</v>
      </c>
      <c r="AB26" s="20">
        <f>IF(N26="",0,VLOOKUP(N26,Definitions!$Z:$AA,COLUMNS(Definitions!$Z:$AA),FALSE))</f>
        <v>0</v>
      </c>
      <c r="AC26" s="20">
        <f>IF(O26="",0,VLOOKUP(O26,Definitions!$Z:$AA,COLUMNS(Definitions!$Z:$AA),FALSE))</f>
        <v>0</v>
      </c>
      <c r="AD26" s="20">
        <f t="shared" ca="1" si="0"/>
        <v>0</v>
      </c>
      <c r="AE26" s="20" t="str" cm="1">
        <f t="array" ref="AE26">IF($G26="","",","&amp;SanitizeInput($G26))</f>
        <v/>
      </c>
      <c r="AF26" s="20" t="b" cm="1">
        <f t="array" ca="1" aca="1" ref="AF26">OR($AK26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26,$AE$2,$A$2,Helper!$B$4,",",$A:$V,$A:$AK,InverseLookup($A26,$AE$2,$A$2,1,Helper!$B$4,",")))</f>
        <v>1</v>
      </c>
      <c r="AG26" s="20" t="str" cm="1">
        <f t="array" ca="1" aca="1" ref="AG26">IF(OR($V26,$AF26,$AK26),IF($G26="","",","&amp;SanitizeInput($G26)),"")</f>
        <v/>
      </c>
      <c r="AH26" s="20" t="str" cm="1">
        <f t="array" ref="AH26">SUBSTITUTE(IF($V26,IF($I26="","",","&amp;SanitizeInput($I26)),""),"&gt;",",")</f>
        <v/>
      </c>
      <c r="AI26" s="20" cm="1">
        <f t="array" ca="1" aca="1" ref="AI26">IF(ROW()=ROW($AI$2)+1,0,INDEX($AI:$AI,ROW()-1))+IF($AF26,1,0)</f>
        <v>12</v>
      </c>
      <c r="AJ26" s="20" t="str" cm="1">
        <f t="array" ca="1" aca="1" ref="AJ26">IF($AF26,IF($Q26="","",","&amp;SanitizeInput($Q26)),"")</f>
        <v>,j,</v>
      </c>
      <c r="AK26" s="20" t="b">
        <f ca="1">OR(CheckRelevance(SanitizeInput($D26),Questionnaire!$I:$I),CheckRelevance(SanitizeInput($D26),Questionnaire!$J:$J))</f>
        <v>1</v>
      </c>
      <c r="AL26" s="20" t="str" cm="1">
        <f t="array" ca="1" aca="1" ref="AL2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26),Questionnaire!$AA:$AA,",")</f>
        <v>QA8[Yes|*],</v>
      </c>
      <c r="AM26" s="20" t="str" cm="1">
        <f t="array" ca="1" aca="1" ref="AM26">IF($D26="*","",InverseLookupList($AL26,Questionnaire!$AA$3,Questionnaire!$A$3,Helper!$B$12,","))</f>
        <v>QA8,</v>
      </c>
      <c r="AN26" s="20" t="str" cm="1">
        <f t="array" ca="1" aca="1" ref="AN26">RemoveDelimiter(GetValues($AM26,Questionnaire!$A:$G," ",CHAR(10)&amp;CHAR(10),TRUE),CHAR(10)&amp;CHAR(10))</f>
        <v xml:space="preserve">QA8 </v>
      </c>
      <c r="AO26" s="20" t="str" cm="1">
        <f t="array" ca="1" aca="1" ref="AO26">CreateSearchString($AM26)</f>
        <v>,QA8,</v>
      </c>
      <c r="AP26" s="20" t="str" cm="1">
        <f t="array" ca="1" aca="1" ref="AP26">InverseLookup($A26,Mitigation!$AD$2,Mitigation!$A$2,1,Helper!$B$5,",")</f>
        <v/>
      </c>
      <c r="AQ26" s="20" t="str" cm="1">
        <f t="array" ca="1" aca="1" ref="AQ26">CreateSearchString(GetValues($AP26,'Attack Steps'!$A:$O,"",",",FALSE))</f>
        <v/>
      </c>
      <c r="AR26" s="20" t="str">
        <f t="shared" si="1"/>
        <v>C23</v>
      </c>
    </row>
    <row r="27" spans="1:44" ht="15">
      <c r="A27" s="10" t="s">
        <v>471</v>
      </c>
      <c r="B27" s="13" t="s">
        <v>748</v>
      </c>
      <c r="C27" s="13" t="s">
        <v>1745</v>
      </c>
      <c r="D27" s="13" t="s">
        <v>418</v>
      </c>
      <c r="E27" s="13"/>
      <c r="F27" s="33" t="str" cm="1">
        <f t="array" ref="F27">LookupNames(SanitizeInput($E27),'Attack Steps'!$A:$B)</f>
        <v/>
      </c>
      <c r="G27" s="23"/>
      <c r="H27" s="33" t="str" cm="1">
        <f t="array" ref="H27">RemoveDelimiter(GetValuesWithFallback(SanitizeInput($G27),$A:$B,Assumptions!$A:$B," ",","&amp;CHAR(10),TRUE),","&amp;CHAR(10))</f>
        <v/>
      </c>
      <c r="I27" s="23"/>
      <c r="J27" s="37" t="str" cm="1">
        <f t="array" ref="J27">IF($I27="","",SUBSTITUTE(SUBSTITUTE(SUBSTITUTE(SUBSTITUTE(SUBSTITUTE(SUBSTITUTE(SUBSTITUTE(SUBSTITUTE(SUBSTITUTE(GetTransformation(SanitizeInput($I27),'Damage Scenarios'!$A:$J,COLUMNS('Damage Scenarios'!$A:$J),CHAR(10),"[#0][#1][#2]")&amp;"§","[#1][#2]",""),"[#2]",""),"[#0][#1]","[#1]"),"[#0]","Removes:"&amp;CHAR(10)),"[#1]","Transforms:"&amp;CHAR(10)),CHAR(10)&amp;"§",""),"§",""),CHAR(10),CHAR(10)&amp;"   "),"   "&amp;"Transforms:","Transforms:"))</f>
        <v/>
      </c>
      <c r="K27" s="13"/>
      <c r="L27" s="13"/>
      <c r="M27" s="13"/>
      <c r="N27" s="13"/>
      <c r="O27" s="13"/>
      <c r="P27" s="33" t="str">
        <f ca="1">IF($A27="","",IFERROR(VLOOKUP($AD27,Definitions!$V:$W,COLUMNS(Definitions!$V:$W),TRUE),""))</f>
        <v>Basic</v>
      </c>
      <c r="Q27" s="23" t="s">
        <v>637</v>
      </c>
      <c r="R27" s="23"/>
      <c r="S27" s="13"/>
      <c r="T27" s="10" cm="1">
        <f t="array" ref="T27">IF(ROW()=ROW($T$2)+1,0,INDEX($T:$T,ROW()-1))+IF($A27="",0,1)</f>
        <v>25</v>
      </c>
      <c r="U27" s="20" t="b" cm="1">
        <f t="array" ref="U27">CheckRelevance(SanitizeInput(E27),Questionnaire!$I:$I)</f>
        <v>0</v>
      </c>
      <c r="V27" s="20" t="b">
        <f>IFERROR(_xlfn.XMATCH("*,"&amp;$A27&amp;",*",Mitigation!$X:$X,2)&gt;0,FALSE)</f>
        <v>0</v>
      </c>
      <c r="W27" s="20" cm="1">
        <f t="array" ref="W27">CreateTaskID($W$2,$W:$W,Tasks!$B$17,$S27)</f>
        <v>0</v>
      </c>
      <c r="X27" s="20" t="str" cm="1">
        <f t="array" ref="X27">IF($E27="","",","&amp;SanitizeInput($E27))</f>
        <v/>
      </c>
      <c r="Y27" s="20">
        <f>IF(K27="",0,VLOOKUP(K27,Definitions!$Z:$AA,COLUMNS(Definitions!$Z:$AA),FALSE))</f>
        <v>0</v>
      </c>
      <c r="Z27" s="20">
        <f>IF(L27="",0,VLOOKUP(L27,Definitions!$Z:$AA,COLUMNS(Definitions!$Z:$AA),FALSE))</f>
        <v>0</v>
      </c>
      <c r="AA27" s="20">
        <f>IF(M27="",0,VLOOKUP(M27,Definitions!$Z:$AA,COLUMNS(Definitions!$Z:$AA),FALSE))</f>
        <v>0</v>
      </c>
      <c r="AB27" s="20">
        <f>IF(N27="",0,VLOOKUP(N27,Definitions!$Z:$AA,COLUMNS(Definitions!$Z:$AA),FALSE))</f>
        <v>0</v>
      </c>
      <c r="AC27" s="20">
        <f>IF(O27="",0,VLOOKUP(O27,Definitions!$Z:$AA,COLUMNS(Definitions!$Z:$AA),FALSE))</f>
        <v>0</v>
      </c>
      <c r="AD27" s="20">
        <f t="shared" ca="1" si="0"/>
        <v>0</v>
      </c>
      <c r="AE27" s="20" t="str" cm="1">
        <f t="array" ref="AE27">IF($G27="","",","&amp;SanitizeInput($G27))</f>
        <v/>
      </c>
      <c r="AF27" s="20" t="b" cm="1">
        <f t="array" ca="1" aca="1" ref="AF27">OR($AK27,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27,$AE$2,$A$2,Helper!$B$4,",",$A:$V,$A:$AK,InverseLookup($A27,$AE$2,$A$2,1,Helper!$B$4,",")))</f>
        <v>1</v>
      </c>
      <c r="AG27" s="20" t="str" cm="1">
        <f t="array" ca="1" aca="1" ref="AG27">IF(OR($V27,$AF27,$AK27),IF($G27="","",","&amp;SanitizeInput($G27)),"")</f>
        <v/>
      </c>
      <c r="AH27" s="20" t="str" cm="1">
        <f t="array" ref="AH27">SUBSTITUTE(IF($V27,IF($I27="","",","&amp;SanitizeInput($I27)),""),"&gt;",",")</f>
        <v/>
      </c>
      <c r="AI27" s="20" cm="1">
        <f t="array" ca="1" aca="1" ref="AI27">IF(ROW()=ROW($AI$2)+1,0,INDEX($AI:$AI,ROW()-1))+IF($AF27,1,0)</f>
        <v>13</v>
      </c>
      <c r="AJ27" s="20" t="str" cm="1">
        <f t="array" ca="1" aca="1" ref="AJ27">IF($AF27,IF($Q27="","",","&amp;SanitizeInput($Q27)),"")</f>
        <v>,j,</v>
      </c>
      <c r="AK27" s="20" t="b">
        <f>OR(CheckRelevance(SanitizeInput($D27),Questionnaire!$I:$I),CheckRelevance(SanitizeInput($D27),Questionnaire!$J:$J))</f>
        <v>1</v>
      </c>
      <c r="AL27" s="20" t="str" cm="1">
        <f t="array" ref="AL27">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27),Questionnaire!$AA:$AA,",")</f>
        <v>*,</v>
      </c>
      <c r="AM27" s="20" t="str" cm="1">
        <f t="array" ref="AM27">IF($D27="*","",InverseLookupList($AL27,Questionnaire!$AA$3,Questionnaire!$A$3,Helper!$B$12,","))</f>
        <v/>
      </c>
      <c r="AN27" s="20" t="str" cm="1">
        <f t="array" ref="AN27">RemoveDelimiter(GetValues($AM27,Questionnaire!$A:$G," ",CHAR(10)&amp;CHAR(10),TRUE),CHAR(10)&amp;CHAR(10))</f>
        <v/>
      </c>
      <c r="AO27" s="20" t="str" cm="1">
        <f t="array" ref="AO27">CreateSearchString($AM27)</f>
        <v/>
      </c>
      <c r="AP27" s="20" t="str" cm="1">
        <f t="array" ca="1" aca="1" ref="AP27">InverseLookup($A27,Mitigation!$AD$2,Mitigation!$A$2,1,Helper!$B$5,",")</f>
        <v/>
      </c>
      <c r="AQ27" s="20" t="str" cm="1">
        <f t="array" ca="1" aca="1" ref="AQ27">CreateSearchString(GetValues($AP27,'Attack Steps'!$A:$O,"",",",FALSE))</f>
        <v/>
      </c>
      <c r="AR27" s="20" t="str">
        <f t="shared" si="1"/>
        <v>C24</v>
      </c>
    </row>
    <row r="28" spans="1:44" ht="345">
      <c r="A28" s="10" t="s">
        <v>474</v>
      </c>
      <c r="B28" s="13" t="s">
        <v>776</v>
      </c>
      <c r="C28" s="13" t="s">
        <v>1745</v>
      </c>
      <c r="D28" s="13"/>
      <c r="E28" s="13"/>
      <c r="F28" s="33" t="str" cm="1">
        <f t="array" ref="F28">LookupNames(SanitizeInput($E28),'Attack Steps'!$A:$B)</f>
        <v/>
      </c>
      <c r="G28" s="23"/>
      <c r="H28" s="33" t="str" cm="1">
        <f t="array" ref="H28">RemoveDelimiter(GetValuesWithFallback(SanitizeInput($G28),$A:$B,Assumptions!$A:$B," ",","&amp;CHAR(10),TRUE),","&amp;CHAR(10))</f>
        <v/>
      </c>
      <c r="I28" s="23"/>
      <c r="J28" s="37" t="str" cm="1">
        <f t="array" ref="J28">IF($I28="","",SUBSTITUTE(SUBSTITUTE(SUBSTITUTE(SUBSTITUTE(SUBSTITUTE(SUBSTITUTE(SUBSTITUTE(SUBSTITUTE(SUBSTITUTE(GetTransformation(SanitizeInput($I28),'Damage Scenarios'!$A:$J,COLUMNS('Damage Scenarios'!$A:$J),CHAR(10),"[#0][#1][#2]")&amp;"§","[#1][#2]",""),"[#2]",""),"[#0][#1]","[#1]"),"[#0]","Removes:"&amp;CHAR(10)),"[#1]","Transforms:"&amp;CHAR(10)),CHAR(10)&amp;"§",""),"§",""),CHAR(10),CHAR(10)&amp;"   "),"   "&amp;"Transforms:","Transforms:"))</f>
        <v/>
      </c>
      <c r="K28" s="13"/>
      <c r="L28" s="13"/>
      <c r="M28" s="13"/>
      <c r="N28" s="13"/>
      <c r="O28" s="13"/>
      <c r="P28" s="33" t="str">
        <f ca="1">IF($A28="","",IFERROR(VLOOKUP($AD28,Definitions!$V:$W,COLUMNS(Definitions!$V:$W),TRUE),""))</f>
        <v>Basic</v>
      </c>
      <c r="Q28" s="23" t="s">
        <v>601</v>
      </c>
      <c r="R28" s="23"/>
      <c r="S28" s="13" t="s">
        <v>1529</v>
      </c>
      <c r="T28" s="10" cm="1">
        <f t="array" ref="T28">IF(ROW()=ROW($T$2)+1,0,INDEX($T:$T,ROW()-1))+IF($A28="",0,1)</f>
        <v>26</v>
      </c>
      <c r="U28" s="20" t="b" cm="1">
        <f t="array" ref="U28">CheckRelevance(SanitizeInput(E28),Questionnaire!$I:$I)</f>
        <v>0</v>
      </c>
      <c r="V28" s="20" t="b">
        <f>IFERROR(_xlfn.XMATCH("*,"&amp;$A28&amp;",*",Mitigation!$X:$X,2)&gt;0,FALSE)</f>
        <v>0</v>
      </c>
      <c r="W28" s="20" cm="1">
        <f t="array" ref="W28">CreateTaskID($W$2,$W:$W,Tasks!$B$17,$S28)</f>
        <v>0</v>
      </c>
      <c r="X28" s="20" t="str" cm="1">
        <f t="array" ref="X28">IF($E28="","",","&amp;SanitizeInput($E28))</f>
        <v/>
      </c>
      <c r="Y28" s="20">
        <f>IF(K28="",0,VLOOKUP(K28,Definitions!$Z:$AA,COLUMNS(Definitions!$Z:$AA),FALSE))</f>
        <v>0</v>
      </c>
      <c r="Z28" s="20">
        <f>IF(L28="",0,VLOOKUP(L28,Definitions!$Z:$AA,COLUMNS(Definitions!$Z:$AA),FALSE))</f>
        <v>0</v>
      </c>
      <c r="AA28" s="20">
        <f>IF(M28="",0,VLOOKUP(M28,Definitions!$Z:$AA,COLUMNS(Definitions!$Z:$AA),FALSE))</f>
        <v>0</v>
      </c>
      <c r="AB28" s="20">
        <f>IF(N28="",0,VLOOKUP(N28,Definitions!$Z:$AA,COLUMNS(Definitions!$Z:$AA),FALSE))</f>
        <v>0</v>
      </c>
      <c r="AC28" s="20">
        <f>IF(O28="",0,VLOOKUP(O28,Definitions!$Z:$AA,COLUMNS(Definitions!$Z:$AA),FALSE))</f>
        <v>0</v>
      </c>
      <c r="AD28" s="20">
        <f t="shared" ca="1" si="0"/>
        <v>0</v>
      </c>
      <c r="AE28" s="20" t="str" cm="1">
        <f t="array" ref="AE28">IF($G28="","",","&amp;SanitizeInput($G28))</f>
        <v/>
      </c>
      <c r="AF28" s="20" t="b" cm="1">
        <f t="array" ca="1" aca="1" ref="AF28">OR($AK28,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28,$AE$2,$A$2,Helper!$B$4,",",$A:$V,$A:$AK,InverseLookup($A28,$AE$2,$A$2,1,Helper!$B$4,",")))</f>
        <v>0</v>
      </c>
      <c r="AG28" s="20" t="str" cm="1">
        <f t="array" ca="1" aca="1" ref="AG28">IF(OR($V28,$AF28,$AK28),IF($G28="","",","&amp;SanitizeInput($G28)),"")</f>
        <v/>
      </c>
      <c r="AH28" s="20" t="str" cm="1">
        <f t="array" ref="AH28">SUBSTITUTE(IF($V28,IF($I28="","",","&amp;SanitizeInput($I28)),""),"&gt;",",")</f>
        <v/>
      </c>
      <c r="AI28" s="20" cm="1">
        <f t="array" ca="1" aca="1" ref="AI28">IF(ROW()=ROW($AI$2)+1,0,INDEX($AI:$AI,ROW()-1))+IF($AF28,1,0)</f>
        <v>13</v>
      </c>
      <c r="AJ28" s="20" t="str" cm="1">
        <f t="array" ca="1" aca="1" ref="AJ28">IF($AF28,IF($Q28="","",","&amp;SanitizeInput($Q28)),"")</f>
        <v/>
      </c>
      <c r="AK28" s="20" t="b">
        <f>OR(CheckRelevance(SanitizeInput($D28),Questionnaire!$I:$I),CheckRelevance(SanitizeInput($D28),Questionnaire!$J:$J))</f>
        <v>0</v>
      </c>
      <c r="AL28" s="20" t="str" cm="1">
        <f t="array" ref="AL28">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28),Questionnaire!$AA:$AA,",")</f>
        <v/>
      </c>
      <c r="AM28" s="20" t="str" cm="1">
        <f t="array" ref="AM28">IF($D28="*","",InverseLookupList($AL28,Questionnaire!$AA$3,Questionnaire!$A$3,Helper!$B$12,","))</f>
        <v/>
      </c>
      <c r="AN28" s="20" t="str" cm="1">
        <f t="array" ref="AN28">RemoveDelimiter(GetValues($AM28,Questionnaire!$A:$G," ",CHAR(10)&amp;CHAR(10),TRUE),CHAR(10)&amp;CHAR(10))</f>
        <v/>
      </c>
      <c r="AO28" s="20" t="str" cm="1">
        <f t="array" ref="AO28">CreateSearchString($AM28)</f>
        <v/>
      </c>
      <c r="AP28" s="20" t="str" cm="1">
        <f t="array" ca="1" aca="1" ref="AP28">InverseLookup($A28,Mitigation!$AD$2,Mitigation!$A$2,1,Helper!$B$5,",")</f>
        <v/>
      </c>
      <c r="AQ28" s="20" t="str" cm="1">
        <f t="array" ca="1" aca="1" ref="AQ28">CreateSearchString(GetValues($AP28,'Attack Steps'!$A:$O,"",",",FALSE))</f>
        <v/>
      </c>
      <c r="AR28" s="20" t="str">
        <f t="shared" si="1"/>
        <v>C25</v>
      </c>
    </row>
    <row r="29" spans="1:44" ht="240">
      <c r="A29" s="10" t="s">
        <v>654</v>
      </c>
      <c r="B29" s="13" t="s">
        <v>778</v>
      </c>
      <c r="C29" s="13" t="s">
        <v>1745</v>
      </c>
      <c r="D29" s="13" t="s">
        <v>1070</v>
      </c>
      <c r="E29" s="13"/>
      <c r="F29" s="33" t="str" cm="1">
        <f t="array" ref="F29">LookupNames(SanitizeInput($E29),'Attack Steps'!$A:$B)</f>
        <v/>
      </c>
      <c r="G29" s="23"/>
      <c r="H29" s="33" t="str" cm="1">
        <f t="array" ref="H29">RemoveDelimiter(GetValuesWithFallback(SanitizeInput($G29),$A:$B,Assumptions!$A:$B," ",","&amp;CHAR(10),TRUE),","&amp;CHAR(10))</f>
        <v/>
      </c>
      <c r="I29" s="23"/>
      <c r="J29" s="37" t="str" cm="1">
        <f t="array" ref="J29">IF($I29="","",SUBSTITUTE(SUBSTITUTE(SUBSTITUTE(SUBSTITUTE(SUBSTITUTE(SUBSTITUTE(SUBSTITUTE(SUBSTITUTE(SUBSTITUTE(GetTransformation(SanitizeInput($I29),'Damage Scenarios'!$A:$J,COLUMNS('Damage Scenarios'!$A:$J),CHAR(10),"[#0][#1][#2]")&amp;"§","[#1][#2]",""),"[#2]",""),"[#0][#1]","[#1]"),"[#0]","Removes:"&amp;CHAR(10)),"[#1]","Transforms:"&amp;CHAR(10)),CHAR(10)&amp;"§",""),"§",""),CHAR(10),CHAR(10)&amp;"   "),"   "&amp;"Transforms:","Transforms:"))</f>
        <v/>
      </c>
      <c r="K29" s="13"/>
      <c r="L29" s="13"/>
      <c r="M29" s="13"/>
      <c r="N29" s="13"/>
      <c r="O29" s="13"/>
      <c r="P29" s="33" t="str">
        <f ca="1">IF($A29="","",IFERROR(VLOOKUP($AD29,Definitions!$V:$W,COLUMNS(Definitions!$V:$W),TRUE),""))</f>
        <v>Basic</v>
      </c>
      <c r="Q29" s="23" t="s">
        <v>607</v>
      </c>
      <c r="R29" s="23"/>
      <c r="S29" s="13" t="s">
        <v>1530</v>
      </c>
      <c r="T29" s="10" cm="1">
        <f t="array" ref="T29">IF(ROW()=ROW($T$2)+1,0,INDEX($T:$T,ROW()-1))+IF($A29="",0,1)</f>
        <v>27</v>
      </c>
      <c r="U29" s="20" t="b" cm="1">
        <f t="array" ref="U29">CheckRelevance(SanitizeInput(E29),Questionnaire!$I:$I)</f>
        <v>0</v>
      </c>
      <c r="V29" s="20" t="b">
        <f>IFERROR(_xlfn.XMATCH("*,"&amp;$A29&amp;",*",Mitigation!$X:$X,2)&gt;0,FALSE)</f>
        <v>0</v>
      </c>
      <c r="W29" s="20" cm="1">
        <f t="array" ref="W29">CreateTaskID($W$2,$W:$W,Tasks!$B$17,$S29)</f>
        <v>0</v>
      </c>
      <c r="X29" s="20" t="str" cm="1">
        <f t="array" ref="X29">IF($E29="","",","&amp;SanitizeInput($E29))</f>
        <v/>
      </c>
      <c r="Y29" s="20">
        <f>IF(K29="",0,VLOOKUP(K29,Definitions!$Z:$AA,COLUMNS(Definitions!$Z:$AA),FALSE))</f>
        <v>0</v>
      </c>
      <c r="Z29" s="20">
        <f>IF(L29="",0,VLOOKUP(L29,Definitions!$Z:$AA,COLUMNS(Definitions!$Z:$AA),FALSE))</f>
        <v>0</v>
      </c>
      <c r="AA29" s="20">
        <f>IF(M29="",0,VLOOKUP(M29,Definitions!$Z:$AA,COLUMNS(Definitions!$Z:$AA),FALSE))</f>
        <v>0</v>
      </c>
      <c r="AB29" s="20">
        <f>IF(N29="",0,VLOOKUP(N29,Definitions!$Z:$AA,COLUMNS(Definitions!$Z:$AA),FALSE))</f>
        <v>0</v>
      </c>
      <c r="AC29" s="20">
        <f>IF(O29="",0,VLOOKUP(O29,Definitions!$Z:$AA,COLUMNS(Definitions!$Z:$AA),FALSE))</f>
        <v>0</v>
      </c>
      <c r="AD29" s="20">
        <f t="shared" ca="1" si="0"/>
        <v>0</v>
      </c>
      <c r="AE29" s="20" t="str" cm="1">
        <f t="array" ref="AE29">IF($G29="","",","&amp;SanitizeInput($G29))</f>
        <v/>
      </c>
      <c r="AF29" s="20" t="b" cm="1">
        <f t="array" ca="1" aca="1" ref="AF29">OR($AK29,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29,$AE$2,$A$2,Helper!$B$4,",",$A:$V,$A:$AK,InverseLookup($A29,$AE$2,$A$2,1,Helper!$B$4,",")))</f>
        <v>0</v>
      </c>
      <c r="AG29" s="20" t="str" cm="1">
        <f t="array" ca="1" aca="1" ref="AG29">IF(OR($V29,$AF29,$AK29),IF($G29="","",","&amp;SanitizeInput($G29)),"")</f>
        <v/>
      </c>
      <c r="AH29" s="20" t="str" cm="1">
        <f t="array" ref="AH29">SUBSTITUTE(IF($V29,IF($I29="","",","&amp;SanitizeInput($I29)),""),"&gt;",",")</f>
        <v/>
      </c>
      <c r="AI29" s="20" cm="1">
        <f t="array" ca="1" aca="1" ref="AI29">IF(ROW()=ROW($AI$2)+1,0,INDEX($AI:$AI,ROW()-1))+IF($AF29,1,0)</f>
        <v>13</v>
      </c>
      <c r="AJ29" s="20" t="str" cm="1">
        <f t="array" ca="1" aca="1" ref="AJ29">IF($AF29,IF($Q29="","",","&amp;SanitizeInput($Q29)),"")</f>
        <v/>
      </c>
      <c r="AK29" s="20" t="b">
        <f ca="1">OR(CheckRelevance(SanitizeInput($D29),Questionnaire!$I:$I),CheckRelevance(SanitizeInput($D29),Questionnaire!$J:$J))</f>
        <v>0</v>
      </c>
      <c r="AL29" s="20" t="str" cm="1">
        <f t="array" ca="1" aca="1" ref="AL29">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29),Questionnaire!$AA:$AA,",")</f>
        <v/>
      </c>
      <c r="AM29" s="20" t="str" cm="1">
        <f t="array" ca="1" aca="1" ref="AM29">IF($D29="*","",InverseLookupList($AL29,Questionnaire!$AA$3,Questionnaire!$A$3,Helper!$B$12,","))</f>
        <v/>
      </c>
      <c r="AN29" s="20" t="str" cm="1">
        <f t="array" ca="1" aca="1" ref="AN29">RemoveDelimiter(GetValues($AM29,Questionnaire!$A:$G," ",CHAR(10)&amp;CHAR(10),TRUE),CHAR(10)&amp;CHAR(10))</f>
        <v/>
      </c>
      <c r="AO29" s="20" t="str" cm="1">
        <f t="array" ca="1" aca="1" ref="AO29">CreateSearchString($AM29)</f>
        <v/>
      </c>
      <c r="AP29" s="20" t="str" cm="1">
        <f t="array" ca="1" aca="1" ref="AP29">InverseLookup($A29,Mitigation!$AD$2,Mitigation!$A$2,1,Helper!$B$5,",")</f>
        <v/>
      </c>
      <c r="AQ29" s="20" t="str" cm="1">
        <f t="array" ca="1" aca="1" ref="AQ29">CreateSearchString(GetValues($AP29,'Attack Steps'!$A:$O,"",",",FALSE))</f>
        <v/>
      </c>
      <c r="AR29" s="20" t="str">
        <f t="shared" si="1"/>
        <v>C26</v>
      </c>
    </row>
    <row r="30" spans="1:44" ht="270">
      <c r="A30" s="10" t="s">
        <v>749</v>
      </c>
      <c r="B30" s="13" t="s">
        <v>777</v>
      </c>
      <c r="C30" s="13" t="s">
        <v>1745</v>
      </c>
      <c r="D30" s="13" t="s">
        <v>1383</v>
      </c>
      <c r="E30" s="13" t="s">
        <v>1371</v>
      </c>
      <c r="F30" s="33" t="str" cm="1">
        <f t="array" ca="1" aca="1" ref="F30">LookupNames(SanitizeInput($E30),'Attack Steps'!$A:$B)</f>
        <v>AS40 Abusing the lack of a software update functionality to exploit an unpatched vulnerability</v>
      </c>
      <c r="G30" s="23"/>
      <c r="H30" s="33" t="str" cm="1">
        <f t="array" ref="H30">RemoveDelimiter(GetValuesWithFallback(SanitizeInput($G30),$A:$B,Assumptions!$A:$B," ",","&amp;CHAR(10),TRUE),","&amp;CHAR(10))</f>
        <v/>
      </c>
      <c r="I30" s="23"/>
      <c r="J30" s="37" t="str" cm="1">
        <f t="array" ref="J30">IF($I30="","",SUBSTITUTE(SUBSTITUTE(SUBSTITUTE(SUBSTITUTE(SUBSTITUTE(SUBSTITUTE(SUBSTITUTE(SUBSTITUTE(SUBSTITUTE(GetTransformation(SanitizeInput($I30),'Damage Scenarios'!$A:$J,COLUMNS('Damage Scenarios'!$A:$J),CHAR(10),"[#0][#1][#2]")&amp;"§","[#1][#2]",""),"[#2]",""),"[#0][#1]","[#1]"),"[#0]","Removes:"&amp;CHAR(10)),"[#1]","Transforms:"&amp;CHAR(10)),CHAR(10)&amp;"§",""),"§",""),CHAR(10),CHAR(10)&amp;"   "),"   "&amp;"Transforms:","Transforms:"))</f>
        <v/>
      </c>
      <c r="K30" s="13"/>
      <c r="L30" s="13"/>
      <c r="M30" s="13"/>
      <c r="N30" s="13" t="s">
        <v>151</v>
      </c>
      <c r="O30" s="13"/>
      <c r="P30" s="33" t="str">
        <f ca="1">IF($A30="","",IFERROR(VLOOKUP($AD30,Definitions!$V:$W,COLUMNS(Definitions!$V:$W),TRUE),""))</f>
        <v>Beyond High</v>
      </c>
      <c r="Q30" s="23" t="s">
        <v>605</v>
      </c>
      <c r="R30" s="23"/>
      <c r="S30" s="13" t="s">
        <v>1531</v>
      </c>
      <c r="T30" s="10" cm="1">
        <f t="array" ref="T30">IF(ROW()=ROW($T$2)+1,0,INDEX($T:$T,ROW()-1))+IF($A30="",0,1)</f>
        <v>28</v>
      </c>
      <c r="U30" s="20" t="b" cm="1">
        <f t="array" ca="1" aca="1" ref="U30">CheckRelevance(SanitizeInput(E30),Questionnaire!$I:$I)</f>
        <v>0</v>
      </c>
      <c r="V30" s="20" t="b">
        <f>IFERROR(_xlfn.XMATCH("*,"&amp;$A30&amp;",*",Mitigation!$X:$X,2)&gt;0,FALSE)</f>
        <v>0</v>
      </c>
      <c r="W30" s="20" cm="1">
        <f t="array" ref="W30">CreateTaskID($W$2,$W:$W,Tasks!$B$17,$S30)</f>
        <v>0</v>
      </c>
      <c r="X30" s="20" t="str" cm="1">
        <f t="array" ref="X30">IF($E30="","",","&amp;SanitizeInput($E30))</f>
        <v>,AS40,</v>
      </c>
      <c r="Y30" s="20">
        <f>IF(K30="",0,VLOOKUP(K30,Definitions!$Z:$AA,COLUMNS(Definitions!$Z:$AA),FALSE))</f>
        <v>0</v>
      </c>
      <c r="Z30" s="20">
        <f>IF(L30="",0,VLOOKUP(L30,Definitions!$Z:$AA,COLUMNS(Definitions!$Z:$AA),FALSE))</f>
        <v>0</v>
      </c>
      <c r="AA30" s="20">
        <f>IF(M30="",0,VLOOKUP(M30,Definitions!$Z:$AA,COLUMNS(Definitions!$Z:$AA),FALSE))</f>
        <v>0</v>
      </c>
      <c r="AB30" s="20">
        <f>IF(N30="",0,VLOOKUP(N30,Definitions!$Z:$AA,COLUMNS(Definitions!$Z:$AA),FALSE))</f>
        <v>25</v>
      </c>
      <c r="AC30" s="20">
        <f>IF(O30="",0,VLOOKUP(O30,Definitions!$Z:$AA,COLUMNS(Definitions!$Z:$AA),FALSE))</f>
        <v>0</v>
      </c>
      <c r="AD30" s="20">
        <f t="shared" ca="1" si="0"/>
        <v>25</v>
      </c>
      <c r="AE30" s="20" t="str" cm="1">
        <f t="array" ref="AE30">IF($G30="","",","&amp;SanitizeInput($G30))</f>
        <v/>
      </c>
      <c r="AF30" s="20" t="b" cm="1">
        <f t="array" ca="1" aca="1" ref="AF30">OR($AK30,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30,$AE$2,$A$2,Helper!$B$4,",",$A:$V,$A:$AK,InverseLookup($A30,$AE$2,$A$2,1,Helper!$B$4,",")))</f>
        <v>0</v>
      </c>
      <c r="AG30" s="20" t="str" cm="1">
        <f t="array" ca="1" aca="1" ref="AG30">IF(OR($V30,$AF30,$AK30),IF($G30="","",","&amp;SanitizeInput($G30)),"")</f>
        <v/>
      </c>
      <c r="AH30" s="20" t="str" cm="1">
        <f t="array" ref="AH30">SUBSTITUTE(IF($V30,IF($I30="","",","&amp;SanitizeInput($I30)),""),"&gt;",",")</f>
        <v/>
      </c>
      <c r="AI30" s="20" cm="1">
        <f t="array" ca="1" aca="1" ref="AI30">IF(ROW()=ROW($AI$2)+1,0,INDEX($AI:$AI,ROW()-1))+IF($AF30,1,0)</f>
        <v>13</v>
      </c>
      <c r="AJ30" s="20" t="str" cm="1">
        <f t="array" ca="1" aca="1" ref="AJ30">IF($AF30,IF($Q30="","",","&amp;SanitizeInput($Q30)),"")</f>
        <v/>
      </c>
      <c r="AK30" s="20" t="b">
        <f ca="1">OR(CheckRelevance(SanitizeInput($D30),Questionnaire!$I:$I),CheckRelevance(SanitizeInput($D30),Questionnaire!$J:$J))</f>
        <v>0</v>
      </c>
      <c r="AL30" s="20" t="str" cm="1">
        <f t="array" ca="1" aca="1" ref="AL30">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30),Questionnaire!$AA:$AA,",")</f>
        <v/>
      </c>
      <c r="AM30" s="20" t="str" cm="1">
        <f t="array" ca="1" aca="1" ref="AM30">IF($D30="*","",InverseLookupList($AL30,Questionnaire!$AA$3,Questionnaire!$A$3,Helper!$B$12,","))</f>
        <v/>
      </c>
      <c r="AN30" s="20" t="str" cm="1">
        <f t="array" ca="1" aca="1" ref="AN30">RemoveDelimiter(GetValues($AM30,Questionnaire!$A:$G," ",CHAR(10)&amp;CHAR(10),TRUE),CHAR(10)&amp;CHAR(10))</f>
        <v/>
      </c>
      <c r="AO30" s="20" t="str" cm="1">
        <f t="array" ca="1" aca="1" ref="AO30">CreateSearchString($AM30)</f>
        <v/>
      </c>
      <c r="AP30" s="20" t="str" cm="1">
        <f t="array" ca="1" aca="1" ref="AP30">InverseLookup($A30,Mitigation!$AD$2,Mitigation!$A$2,1,Helper!$B$5,",")</f>
        <v/>
      </c>
      <c r="AQ30" s="20" t="str" cm="1">
        <f t="array" ca="1" aca="1" ref="AQ30">CreateSearchString(GetValues($AP30,'Attack Steps'!$A:$O,"",",",FALSE))</f>
        <v/>
      </c>
      <c r="AR30" s="20" t="str">
        <f t="shared" si="1"/>
        <v>C27</v>
      </c>
    </row>
    <row r="31" spans="1:44" ht="15">
      <c r="A31" s="10" t="s">
        <v>750</v>
      </c>
      <c r="B31" s="13" t="s">
        <v>1768</v>
      </c>
      <c r="C31" s="13" t="s">
        <v>1745</v>
      </c>
      <c r="D31" s="13"/>
      <c r="E31" s="13"/>
      <c r="F31" s="33" t="str" cm="1">
        <f t="array" ref="F31">LookupNames(SanitizeInput($E31),'Attack Steps'!$A:$B)</f>
        <v/>
      </c>
      <c r="G31" s="23"/>
      <c r="H31" s="33" t="str" cm="1">
        <f t="array" ref="H31">RemoveDelimiter(GetValuesWithFallback(SanitizeInput($G31),$A:$B,Assumptions!$A:$B," ",","&amp;CHAR(10),TRUE),","&amp;CHAR(10))</f>
        <v/>
      </c>
      <c r="I31" s="23"/>
      <c r="J31" s="37" t="str" cm="1">
        <f t="array" ref="J31">IF($I31="","",SUBSTITUTE(SUBSTITUTE(SUBSTITUTE(SUBSTITUTE(SUBSTITUTE(SUBSTITUTE(SUBSTITUTE(SUBSTITUTE(SUBSTITUTE(GetTransformation(SanitizeInput($I31),'Damage Scenarios'!$A:$J,COLUMNS('Damage Scenarios'!$A:$J),CHAR(10),"[#0][#1][#2]")&amp;"§","[#1][#2]",""),"[#2]",""),"[#0][#1]","[#1]"),"[#0]","Removes:"&amp;CHAR(10)),"[#1]","Transforms:"&amp;CHAR(10)),CHAR(10)&amp;"§",""),"§",""),CHAR(10),CHAR(10)&amp;"   "),"   "&amp;"Transforms:","Transforms:"))</f>
        <v/>
      </c>
      <c r="K31" s="13"/>
      <c r="L31" s="13"/>
      <c r="M31" s="13"/>
      <c r="N31" s="13"/>
      <c r="O31" s="13"/>
      <c r="P31" s="33" t="str">
        <f ca="1">IF($A31="","",IFERROR(VLOOKUP($AD31,Definitions!$V:$W,COLUMNS(Definitions!$V:$W),TRUE),""))</f>
        <v>Basic</v>
      </c>
      <c r="Q31" s="23" t="s">
        <v>607</v>
      </c>
      <c r="R31" s="23"/>
      <c r="S31" s="13"/>
      <c r="T31" s="10" cm="1">
        <f t="array" ref="T31">IF(ROW()=ROW($T$2)+1,0,INDEX($T:$T,ROW()-1))+IF($A31="",0,1)</f>
        <v>29</v>
      </c>
      <c r="U31" s="20" t="b" cm="1">
        <f t="array" ref="U31">CheckRelevance(SanitizeInput(E31),Questionnaire!$I:$I)</f>
        <v>0</v>
      </c>
      <c r="V31" s="20" t="b">
        <f>IFERROR(_xlfn.XMATCH("*,"&amp;$A31&amp;",*",Mitigation!$X:$X,2)&gt;0,FALSE)</f>
        <v>0</v>
      </c>
      <c r="W31" s="20" cm="1">
        <f t="array" ref="W31">CreateTaskID($W$2,$W:$W,Tasks!$B$17,$S31)</f>
        <v>0</v>
      </c>
      <c r="X31" s="20" t="str" cm="1">
        <f t="array" ref="X31">IF($E31="","",","&amp;SanitizeInput($E31))</f>
        <v/>
      </c>
      <c r="Y31" s="20">
        <f>IF(K31="",0,VLOOKUP(K31,Definitions!$Z:$AA,COLUMNS(Definitions!$Z:$AA),FALSE))</f>
        <v>0</v>
      </c>
      <c r="Z31" s="20">
        <f>IF(L31="",0,VLOOKUP(L31,Definitions!$Z:$AA,COLUMNS(Definitions!$Z:$AA),FALSE))</f>
        <v>0</v>
      </c>
      <c r="AA31" s="20">
        <f>IF(M31="",0,VLOOKUP(M31,Definitions!$Z:$AA,COLUMNS(Definitions!$Z:$AA),FALSE))</f>
        <v>0</v>
      </c>
      <c r="AB31" s="20">
        <f>IF(N31="",0,VLOOKUP(N31,Definitions!$Z:$AA,COLUMNS(Definitions!$Z:$AA),FALSE))</f>
        <v>0</v>
      </c>
      <c r="AC31" s="20">
        <f>IF(O31="",0,VLOOKUP(O31,Definitions!$Z:$AA,COLUMNS(Definitions!$Z:$AA),FALSE))</f>
        <v>0</v>
      </c>
      <c r="AD31" s="20">
        <f t="shared" ca="1" si="0"/>
        <v>0</v>
      </c>
      <c r="AE31" s="20" t="str" cm="1">
        <f t="array" ref="AE31">IF($G31="","",","&amp;SanitizeInput($G31))</f>
        <v/>
      </c>
      <c r="AF31" s="20" t="b" cm="1">
        <f t="array" ca="1" aca="1" ref="AF31">OR($AK31,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31,$AE$2,$A$2,Helper!$B$4,",",$A:$V,$A:$AK,InverseLookup($A31,$AE$2,$A$2,1,Helper!$B$4,",")))</f>
        <v>0</v>
      </c>
      <c r="AG31" s="20" t="str" cm="1">
        <f t="array" ca="1" aca="1" ref="AG31">IF(OR($V31,$AF31,$AK31),IF($G31="","",","&amp;SanitizeInput($G31)),"")</f>
        <v/>
      </c>
      <c r="AH31" s="20" t="str" cm="1">
        <f t="array" ref="AH31">SUBSTITUTE(IF($V31,IF($I31="","",","&amp;SanitizeInput($I31)),""),"&gt;",",")</f>
        <v/>
      </c>
      <c r="AI31" s="20" cm="1">
        <f t="array" ca="1" aca="1" ref="AI31">IF(ROW()=ROW($AI$2)+1,0,INDEX($AI:$AI,ROW()-1))+IF($AF31,1,0)</f>
        <v>13</v>
      </c>
      <c r="AJ31" s="20" t="str" cm="1">
        <f t="array" ca="1" aca="1" ref="AJ31">IF($AF31,IF($Q31="","",","&amp;SanitizeInput($Q31)),"")</f>
        <v/>
      </c>
      <c r="AK31" s="20" t="b">
        <f>OR(CheckRelevance(SanitizeInput($D31),Questionnaire!$I:$I),CheckRelevance(SanitizeInput($D31),Questionnaire!$J:$J))</f>
        <v>0</v>
      </c>
      <c r="AL31" s="20" t="str" cm="1">
        <f t="array" ref="AL3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31),Questionnaire!$AA:$AA,",")</f>
        <v/>
      </c>
      <c r="AM31" s="20" t="str" cm="1">
        <f t="array" ref="AM31">IF($D31="*","",InverseLookupList($AL31,Questionnaire!$AA$3,Questionnaire!$A$3,Helper!$B$12,","))</f>
        <v/>
      </c>
      <c r="AN31" s="20" t="str" cm="1">
        <f t="array" ref="AN31">RemoveDelimiter(GetValues($AM31,Questionnaire!$A:$G," ",CHAR(10)&amp;CHAR(10),TRUE),CHAR(10)&amp;CHAR(10))</f>
        <v/>
      </c>
      <c r="AO31" s="20" t="str" cm="1">
        <f t="array" ref="AO31">CreateSearchString($AM31)</f>
        <v/>
      </c>
      <c r="AP31" s="20" t="str" cm="1">
        <f t="array" ca="1" aca="1" ref="AP31">InverseLookup($A31,Mitigation!$AD$2,Mitigation!$A$2,1,Helper!$B$5,",")</f>
        <v/>
      </c>
      <c r="AQ31" s="20" t="str" cm="1">
        <f t="array" ca="1" aca="1" ref="AQ31">CreateSearchString(GetValues($AP31,'Attack Steps'!$A:$O,"",",",FALSE))</f>
        <v/>
      </c>
      <c r="AR31" s="20" t="str">
        <f t="shared" si="1"/>
        <v>C28</v>
      </c>
    </row>
    <row r="32" spans="1:44" ht="120">
      <c r="A32" s="10" t="s">
        <v>751</v>
      </c>
      <c r="B32" s="13" t="s">
        <v>1769</v>
      </c>
      <c r="C32" s="13" t="s">
        <v>1745</v>
      </c>
      <c r="D32" s="13"/>
      <c r="E32" s="13" t="s">
        <v>111</v>
      </c>
      <c r="F32" s="33" t="str" cm="1">
        <f t="array" ca="1" aca="1" ref="F32">LookupNames(SanitizeInput($E32),'Attack Steps'!$A:$B)</f>
        <v>AS5 Eavesdropping on the product's communication</v>
      </c>
      <c r="G32" s="23" t="s">
        <v>412</v>
      </c>
      <c r="H32" s="33" t="str" cm="1">
        <f t="array" ca="1" aca="1" ref="H32">RemoveDelimiter(GetValuesWithFallback(SanitizeInput($G32),$A:$B,Assumptions!$A:$B," ",","&amp;CHAR(10),TRUE),","&amp;CHAR(10))</f>
        <v>C18 CR 4.3 – Use of cryptography</v>
      </c>
      <c r="I32" s="23"/>
      <c r="J32" s="37" t="str" cm="1">
        <f t="array" ref="J32">IF($I32="","",SUBSTITUTE(SUBSTITUTE(SUBSTITUTE(SUBSTITUTE(SUBSTITUTE(SUBSTITUTE(SUBSTITUTE(SUBSTITUTE(SUBSTITUTE(GetTransformation(SanitizeInput($I32),'Damage Scenarios'!$A:$J,COLUMNS('Damage Scenarios'!$A:$J),CHAR(10),"[#0][#1][#2]")&amp;"§","[#1][#2]",""),"[#2]",""),"[#0][#1]","[#1]"),"[#0]","Removes:"&amp;CHAR(10)),"[#1]","Transforms:"&amp;CHAR(10)),CHAR(10)&amp;"§",""),"§",""),CHAR(10),CHAR(10)&amp;"   "),"   "&amp;"Transforms:","Transforms:"))</f>
        <v/>
      </c>
      <c r="K32" s="13" t="s">
        <v>137</v>
      </c>
      <c r="L32" s="13"/>
      <c r="M32" s="13"/>
      <c r="N32" s="13"/>
      <c r="O32" s="13"/>
      <c r="P32" s="33" t="str">
        <f ca="1">IF($A32="","",IFERROR(VLOOKUP($AD32,Definitions!$V:$W,COLUMNS(Definitions!$V:$W),TRUE),""))</f>
        <v>Beyond High</v>
      </c>
      <c r="Q32" s="23" t="s">
        <v>608</v>
      </c>
      <c r="R32" s="23"/>
      <c r="S32" s="13" t="s">
        <v>1700</v>
      </c>
      <c r="T32" s="10" cm="1">
        <f t="array" ref="T32">IF(ROW()=ROW($T$2)+1,0,INDEX($T:$T,ROW()-1))+IF($A32="",0,1)</f>
        <v>30</v>
      </c>
      <c r="U32" s="20" t="b" cm="1">
        <f t="array" ca="1" aca="1" ref="U32">CheckRelevance(SanitizeInput(E32),Questionnaire!$I:$I)</f>
        <v>0</v>
      </c>
      <c r="V32" s="20" t="b">
        <f>IFERROR(_xlfn.XMATCH("*,"&amp;$A32&amp;",*",Mitigation!$X:$X,2)&gt;0,FALSE)</f>
        <v>0</v>
      </c>
      <c r="W32" s="20" cm="1">
        <f t="array" ref="W32">CreateTaskID($W$2,$W:$W,Tasks!$B$17,$S32)</f>
        <v>0</v>
      </c>
      <c r="X32" s="20" t="str" cm="1">
        <f t="array" ref="X32">IF($E32="","",","&amp;SanitizeInput($E32))</f>
        <v>,AS5,</v>
      </c>
      <c r="Y32" s="20">
        <f>IF(K32="",0,VLOOKUP(K32,Definitions!$Z:$AA,COLUMNS(Definitions!$Z:$AA),FALSE))</f>
        <v>25</v>
      </c>
      <c r="Z32" s="20">
        <f>IF(L32="",0,VLOOKUP(L32,Definitions!$Z:$AA,COLUMNS(Definitions!$Z:$AA),FALSE))</f>
        <v>0</v>
      </c>
      <c r="AA32" s="20">
        <f>IF(M32="",0,VLOOKUP(M32,Definitions!$Z:$AA,COLUMNS(Definitions!$Z:$AA),FALSE))</f>
        <v>0</v>
      </c>
      <c r="AB32" s="20">
        <f>IF(N32="",0,VLOOKUP(N32,Definitions!$Z:$AA,COLUMNS(Definitions!$Z:$AA),FALSE))</f>
        <v>0</v>
      </c>
      <c r="AC32" s="20">
        <f>IF(O32="",0,VLOOKUP(O32,Definitions!$Z:$AA,COLUMNS(Definitions!$Z:$AA),FALSE))</f>
        <v>0</v>
      </c>
      <c r="AD32" s="20">
        <f t="shared" ca="1" si="0"/>
        <v>25</v>
      </c>
      <c r="AE32" s="20" t="str" cm="1">
        <f t="array" ref="AE32">IF($G32="","",","&amp;SanitizeInput($G32))</f>
        <v>,C18,</v>
      </c>
      <c r="AF32" s="20" t="b" cm="1">
        <f t="array" ca="1" aca="1" ref="AF32">OR($AK32,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32,$AE$2,$A$2,Helper!$B$4,",",$A:$V,$A:$AK,InverseLookup($A32,$AE$2,$A$2,1,Helper!$B$4,",")))</f>
        <v>0</v>
      </c>
      <c r="AG32" s="20" t="str" cm="1">
        <f t="array" ca="1" aca="1" ref="AG32">IF(OR($V32,$AF32,$AK32),IF($G32="","",","&amp;SanitizeInput($G32)),"")</f>
        <v/>
      </c>
      <c r="AH32" s="20" t="str" cm="1">
        <f t="array" ref="AH32">SUBSTITUTE(IF($V32,IF($I32="","",","&amp;SanitizeInput($I32)),""),"&gt;",",")</f>
        <v/>
      </c>
      <c r="AI32" s="20" cm="1">
        <f t="array" ca="1" aca="1" ref="AI32">IF(ROW()=ROW($AI$2)+1,0,INDEX($AI:$AI,ROW()-1))+IF($AF32,1,0)</f>
        <v>13</v>
      </c>
      <c r="AJ32" s="20" t="str" cm="1">
        <f t="array" ca="1" aca="1" ref="AJ32">IF($AF32,IF($Q32="","",","&amp;SanitizeInput($Q32)),"")</f>
        <v/>
      </c>
      <c r="AK32" s="20" t="b">
        <f>OR(CheckRelevance(SanitizeInput($D32),Questionnaire!$I:$I),CheckRelevance(SanitizeInput($D32),Questionnaire!$J:$J))</f>
        <v>0</v>
      </c>
      <c r="AL32" s="20" t="str" cm="1">
        <f t="array" ref="AL32">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32),Questionnaire!$AA:$AA,",")</f>
        <v/>
      </c>
      <c r="AM32" s="20" t="str" cm="1">
        <f t="array" ref="AM32">IF($D32="*","",InverseLookupList($AL32,Questionnaire!$AA$3,Questionnaire!$A$3,Helper!$B$12,","))</f>
        <v/>
      </c>
      <c r="AN32" s="20" t="str" cm="1">
        <f t="array" ref="AN32">RemoveDelimiter(GetValues($AM32,Questionnaire!$A:$G," ",CHAR(10)&amp;CHAR(10),TRUE),CHAR(10)&amp;CHAR(10))</f>
        <v/>
      </c>
      <c r="AO32" s="20" t="str" cm="1">
        <f t="array" ref="AO32">CreateSearchString($AM32)</f>
        <v/>
      </c>
      <c r="AP32" s="20" t="str" cm="1">
        <f t="array" ca="1" aca="1" ref="AP32">InverseLookup($A32,Mitigation!$AD$2,Mitigation!$A$2,1,Helper!$B$5,",")</f>
        <v/>
      </c>
      <c r="AQ32" s="20" t="str" cm="1">
        <f t="array" ca="1" aca="1" ref="AQ32">CreateSearchString(GetValues($AP32,'Attack Steps'!$A:$O,"",",",FALSE))</f>
        <v/>
      </c>
      <c r="AR32" s="20" t="str">
        <f t="shared" si="1"/>
        <v>C29</v>
      </c>
    </row>
    <row r="33" spans="1:44" ht="30">
      <c r="A33" s="10" t="s">
        <v>1674</v>
      </c>
      <c r="B33" s="13" t="s">
        <v>1675</v>
      </c>
      <c r="C33" s="13" t="s">
        <v>1745</v>
      </c>
      <c r="D33" s="13"/>
      <c r="E33" s="13"/>
      <c r="F33" s="33" t="str" cm="1">
        <f t="array" ref="F33">LookupNames(SanitizeInput($E33),'Attack Steps'!$A:$B)</f>
        <v/>
      </c>
      <c r="G33" s="23"/>
      <c r="H33" s="33" t="str" cm="1">
        <f t="array" ref="H33">RemoveDelimiter(GetValuesWithFallback(SanitizeInput($G33),$A:$B,Assumptions!$A:$B," ",","&amp;CHAR(10),TRUE),","&amp;CHAR(10))</f>
        <v/>
      </c>
      <c r="I33" s="23"/>
      <c r="J33" s="37" t="str" cm="1">
        <f t="array" ref="J33">IF($I33="","",SUBSTITUTE(SUBSTITUTE(SUBSTITUTE(SUBSTITUTE(SUBSTITUTE(SUBSTITUTE(SUBSTITUTE(SUBSTITUTE(SUBSTITUTE(GetTransformation(SanitizeInput($I33),'Damage Scenarios'!$A:$J,COLUMNS('Damage Scenarios'!$A:$J),CHAR(10),"[#0][#1][#2]")&amp;"§","[#1][#2]",""),"[#2]",""),"[#0][#1]","[#1]"),"[#0]","Removes:"&amp;CHAR(10)),"[#1]","Transforms:"&amp;CHAR(10)),CHAR(10)&amp;"§",""),"§",""),CHAR(10),CHAR(10)&amp;"   "),"   "&amp;"Transforms:","Transforms:"))</f>
        <v/>
      </c>
      <c r="K33" s="13"/>
      <c r="L33" s="13"/>
      <c r="M33" s="13"/>
      <c r="N33" s="13"/>
      <c r="O33" s="13"/>
      <c r="P33" s="33" t="str">
        <f ca="1">IF($A33="","",IFERROR(VLOOKUP($AD33,Definitions!$V:$W,COLUMNS(Definitions!$V:$W),TRUE),""))</f>
        <v>Basic</v>
      </c>
      <c r="Q33" s="23" t="s">
        <v>1657</v>
      </c>
      <c r="R33" s="23"/>
      <c r="S33" s="13" t="s">
        <v>1676</v>
      </c>
      <c r="T33" s="10" cm="1">
        <f t="array" ref="T33">IF(ROW()=ROW($T$2)+1,0,INDEX($T:$T,ROW()-1))+IF($A33="",0,1)</f>
        <v>31</v>
      </c>
      <c r="U33" s="20" t="b" cm="1">
        <f t="array" ref="U33">CheckRelevance(SanitizeInput(E33),Questionnaire!$I:$I)</f>
        <v>0</v>
      </c>
      <c r="V33" s="20" t="b">
        <f>IFERROR(_xlfn.XMATCH("*,"&amp;$A33&amp;",*",Mitigation!$X:$X,2)&gt;0,FALSE)</f>
        <v>0</v>
      </c>
      <c r="W33" s="20" cm="1">
        <f t="array" ref="W33">CreateTaskID($W$2,$W:$W,Tasks!$B$17,$S33)</f>
        <v>0</v>
      </c>
      <c r="X33" s="20" t="str" cm="1">
        <f t="array" ref="X33">IF($E33="","",","&amp;SanitizeInput($E33))</f>
        <v/>
      </c>
      <c r="Y33" s="20">
        <f>IF(K33="",0,VLOOKUP(K33,Definitions!$Z:$AA,COLUMNS(Definitions!$Z:$AA),FALSE))</f>
        <v>0</v>
      </c>
      <c r="Z33" s="20">
        <f>IF(L33="",0,VLOOKUP(L33,Definitions!$Z:$AA,COLUMNS(Definitions!$Z:$AA),FALSE))</f>
        <v>0</v>
      </c>
      <c r="AA33" s="20">
        <f>IF(M33="",0,VLOOKUP(M33,Definitions!$Z:$AA,COLUMNS(Definitions!$Z:$AA),FALSE))</f>
        <v>0</v>
      </c>
      <c r="AB33" s="20">
        <f>IF(N33="",0,VLOOKUP(N33,Definitions!$Z:$AA,COLUMNS(Definitions!$Z:$AA),FALSE))</f>
        <v>0</v>
      </c>
      <c r="AC33" s="20">
        <f>IF(O33="",0,VLOOKUP(O33,Definitions!$Z:$AA,COLUMNS(Definitions!$Z:$AA),FALSE))</f>
        <v>0</v>
      </c>
      <c r="AD33" s="20">
        <f t="shared" ca="1" si="0"/>
        <v>0</v>
      </c>
      <c r="AE33" s="20" t="str" cm="1">
        <f t="array" ref="AE33">IF($G33="","",","&amp;SanitizeInput($G33))</f>
        <v/>
      </c>
      <c r="AF33" s="20" t="b" cm="1">
        <f t="array" ca="1" aca="1" ref="AF33">OR($AK33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33,$AE$2,$A$2,Helper!$B$4,",",$A:$V,$A:$AK,InverseLookup($A33,$AE$2,$A$2,1,Helper!$B$4,",")))</f>
        <v>0</v>
      </c>
      <c r="AG33" s="20" t="str" cm="1">
        <f t="array" ca="1" aca="1" ref="AG33">IF(OR($V33,$AF33,$AK33),IF($G33="","",","&amp;SanitizeInput($G33)),"")</f>
        <v/>
      </c>
      <c r="AH33" s="20" t="str" cm="1">
        <f t="array" ref="AH33">SUBSTITUTE(IF($V33,IF($I33="","",","&amp;SanitizeInput($I33)),""),"&gt;",",")</f>
        <v/>
      </c>
      <c r="AI33" s="20" cm="1">
        <f t="array" ca="1" aca="1" ref="AI33">IF(ROW()=ROW($AI$2)+1,0,INDEX($AI:$AI,ROW()-1))+IF($AF33,1,0)</f>
        <v>13</v>
      </c>
      <c r="AJ33" s="20" t="str" cm="1">
        <f t="array" ca="1" aca="1" ref="AJ33">IF($AF33,IF($Q33="","",","&amp;SanitizeInput($Q33)),"")</f>
        <v/>
      </c>
      <c r="AK33" s="20" t="b">
        <f>OR(CheckRelevance(SanitizeInput($D33),Questionnaire!$I:$I),CheckRelevance(SanitizeInput($D33),Questionnaire!$J:$J))</f>
        <v>0</v>
      </c>
      <c r="AL33" s="20" t="str" cm="1">
        <f t="array" ref="AL3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33),Questionnaire!$AA:$AA,",")</f>
        <v/>
      </c>
      <c r="AM33" s="20" t="str" cm="1">
        <f t="array" ref="AM33">IF($D33="*","",InverseLookupList($AL33,Questionnaire!$AA$3,Questionnaire!$A$3,Helper!$B$12,","))</f>
        <v/>
      </c>
      <c r="AN33" s="20" t="str" cm="1">
        <f t="array" ref="AN33">RemoveDelimiter(GetValues($AM33,Questionnaire!$A:$G," ",CHAR(10)&amp;CHAR(10),TRUE),CHAR(10)&amp;CHAR(10))</f>
        <v/>
      </c>
      <c r="AO33" s="20" t="str" cm="1">
        <f t="array" ref="AO33">CreateSearchString($AM33)</f>
        <v/>
      </c>
      <c r="AP33" s="20" t="str" cm="1">
        <f t="array" ca="1" aca="1" ref="AP33">InverseLookup($A33,Mitigation!$AD$2,Mitigation!$A$2,1,Helper!$B$5,",")</f>
        <v/>
      </c>
      <c r="AQ33" s="20" t="str" cm="1">
        <f t="array" ca="1" aca="1" ref="AQ33">CreateSearchString(GetValues($AP33,'Attack Steps'!$A:$O,"",",",FALSE))</f>
        <v/>
      </c>
      <c r="AR33" s="20" t="str">
        <f>IF($A33="","",$A33)</f>
        <v>C30a</v>
      </c>
    </row>
    <row r="34" spans="1:44" ht="144.75">
      <c r="A34" s="10" t="s">
        <v>752</v>
      </c>
      <c r="B34" s="13" t="s">
        <v>1770</v>
      </c>
      <c r="C34" s="13" t="s">
        <v>1745</v>
      </c>
      <c r="D34" s="13"/>
      <c r="E34" s="13" t="s">
        <v>421</v>
      </c>
      <c r="F34" s="33" t="str" cm="1">
        <f t="array" ca="1" aca="1" ref="F34">LookupNames(SanitizeInput($E34),'Attack Steps'!$A:$B)</f>
        <v>AS13 Attacking the product or its communication from an untrusted local network,
AS23 Compromising the product with direct access to its persistent memory,
AS25 Accessing the product's debug interfaces remotely</v>
      </c>
      <c r="G34" s="23" t="s">
        <v>1674</v>
      </c>
      <c r="H34" s="33" t="str" cm="1">
        <f t="array" ca="1" aca="1" ref="H34">RemoveDelimiter(GetValuesWithFallback(SanitizeInput($G34),$A:$B,Assumptions!$A:$B," ",","&amp;CHAR(10),TRUE),","&amp;CHAR(10))</f>
        <v>C30a CR 7.3 – Control system backup</v>
      </c>
      <c r="I34" s="23" t="s">
        <v>433</v>
      </c>
      <c r="J34" s="37" t="str" cm="1">
        <f t="array" ca="1" aca="1" ref="J34">IF($I34="","",SUBSTITUTE(SUBSTITUTE(SUBSTITUTE(SUBSTITUTE(SUBSTITUTE(SUBSTITUTE(SUBSTITUTE(SUBSTITUTE(SUBSTITUTE(GetTransformation(SanitizeInput($I34),'Damage Scenarios'!$A:$J,COLUMNS('Damage Scenarios'!$A:$J),CHAR(10),"[#0][#1][#2]")&amp;"§","[#1][#2]",""),"[#2]",""),"[#0][#1]","[#1]"),"[#0]","Removes:"&amp;CHAR(10)),"[#1]","Transforms:"&amp;CHAR(10)),CHAR(10)&amp;"§",""),"§",""),CHAR(10),CHAR(10)&amp;"   "),"   "&amp;"Transforms:","Transforms:"))</f>
        <v>Transforms:
   DS6 Life-threatening injury caused by unavailable product
   -----&gt; DS17 Disturbance of function until restore
   DS7 Critical environmental damage caused by unavailable product
   -----&gt; DS17 Disturbance of function until restore
   DS8 Loss of Critical financial damage caused by unavailable product
   -----&gt; DS17 Disturbance of function until restore
   DS9 
   -----&gt; DS17 Disturbance of function until restore</v>
      </c>
      <c r="K34" s="13"/>
      <c r="L34" s="13"/>
      <c r="M34" s="13"/>
      <c r="N34" s="13"/>
      <c r="O34" s="13"/>
      <c r="P34" s="33" t="str">
        <f ca="1">IF($A34="","",IFERROR(VLOOKUP($AD34,Definitions!$V:$W,COLUMNS(Definitions!$V:$W),TRUE),""))</f>
        <v>Basic</v>
      </c>
      <c r="Q34" s="23" t="s">
        <v>1657</v>
      </c>
      <c r="R34" s="23"/>
      <c r="S34" s="13" t="s">
        <v>1634</v>
      </c>
      <c r="T34" s="10" cm="1">
        <f t="array" ref="T34">IF(ROW()=ROW($T$2)+1,0,INDEX($T:$T,ROW()-1))+IF($A34="",0,1)</f>
        <v>32</v>
      </c>
      <c r="U34" s="20" t="b" cm="1">
        <f t="array" ca="1" aca="1" ref="U34">CheckRelevance(SanitizeInput(E34),Questionnaire!$I:$I)</f>
        <v>0</v>
      </c>
      <c r="V34" s="20" t="b">
        <f>IFERROR(_xlfn.XMATCH("*,"&amp;$A34&amp;",*",Mitigation!$X:$X,2)&gt;0,FALSE)</f>
        <v>0</v>
      </c>
      <c r="W34" s="20" cm="1">
        <f t="array" ref="W34">CreateTaskID($W$2,$W:$W,Tasks!$B$17,$S34)</f>
        <v>0</v>
      </c>
      <c r="X34" s="20" t="str" cm="1">
        <f t="array" ref="X34">IF($E34="","",","&amp;SanitizeInput($E34))</f>
        <v>,AS13,AS23,AS25,</v>
      </c>
      <c r="Y34" s="20">
        <f>IF(K34="",0,VLOOKUP(K34,Definitions!$Z:$AA,COLUMNS(Definitions!$Z:$AA),FALSE))</f>
        <v>0</v>
      </c>
      <c r="Z34" s="20">
        <f>IF(L34="",0,VLOOKUP(L34,Definitions!$Z:$AA,COLUMNS(Definitions!$Z:$AA),FALSE))</f>
        <v>0</v>
      </c>
      <c r="AA34" s="20">
        <f>IF(M34="",0,VLOOKUP(M34,Definitions!$Z:$AA,COLUMNS(Definitions!$Z:$AA),FALSE))</f>
        <v>0</v>
      </c>
      <c r="AB34" s="20">
        <f>IF(N34="",0,VLOOKUP(N34,Definitions!$Z:$AA,COLUMNS(Definitions!$Z:$AA),FALSE))</f>
        <v>0</v>
      </c>
      <c r="AC34" s="20">
        <f>IF(O34="",0,VLOOKUP(O34,Definitions!$Z:$AA,COLUMNS(Definitions!$Z:$AA),FALSE))</f>
        <v>0</v>
      </c>
      <c r="AD34" s="20">
        <f t="shared" ca="1" si="0"/>
        <v>0</v>
      </c>
      <c r="AE34" s="20" t="str" cm="1">
        <f t="array" ref="AE34">IF($G34="","",","&amp;SanitizeInput($G34))</f>
        <v>,C30a,</v>
      </c>
      <c r="AF34" s="20" t="b" cm="1">
        <f t="array" ca="1" aca="1" ref="AF34">OR($AK34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34,$AE$2,$A$2,Helper!$B$4,",",$A:$V,$A:$AK,InverseLookup($A34,$AE$2,$A$2,1,Helper!$B$4,",")))</f>
        <v>0</v>
      </c>
      <c r="AG34" s="20" t="str" cm="1">
        <f t="array" ca="1" aca="1" ref="AG34">IF(OR($V34,$AF34,$AK34),IF($G34="","",","&amp;SanitizeInput($G34)),"")</f>
        <v/>
      </c>
      <c r="AH34" s="20" t="str" cm="1">
        <f t="array" ref="AH34">SUBSTITUTE(IF($V34,IF($I34="","",","&amp;SanitizeInput($I34)),""),"&gt;",",")</f>
        <v/>
      </c>
      <c r="AI34" s="20" cm="1">
        <f t="array" ca="1" aca="1" ref="AI34">IF(ROW()=ROW($AI$2)+1,0,INDEX($AI:$AI,ROW()-1))+IF($AF34,1,0)</f>
        <v>13</v>
      </c>
      <c r="AJ34" s="20" t="str" cm="1">
        <f t="array" ca="1" aca="1" ref="AJ34">IF($AF34,IF($Q34="","",","&amp;SanitizeInput($Q34)),"")</f>
        <v/>
      </c>
      <c r="AK34" s="20" t="b">
        <f>OR(CheckRelevance(SanitizeInput($D34),Questionnaire!$I:$I),CheckRelevance(SanitizeInput($D34),Questionnaire!$J:$J))</f>
        <v>0</v>
      </c>
      <c r="AL34" s="20" t="str" cm="1">
        <f t="array" ref="AL3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34),Questionnaire!$AA:$AA,",")</f>
        <v/>
      </c>
      <c r="AM34" s="20" t="str" cm="1">
        <f t="array" ref="AM34">IF($D34="*","",InverseLookupList($AL34,Questionnaire!$AA$3,Questionnaire!$A$3,Helper!$B$12,","))</f>
        <v/>
      </c>
      <c r="AN34" s="20" t="str" cm="1">
        <f t="array" ref="AN34">RemoveDelimiter(GetValues($AM34,Questionnaire!$A:$G," ",CHAR(10)&amp;CHAR(10),TRUE),CHAR(10)&amp;CHAR(10))</f>
        <v/>
      </c>
      <c r="AO34" s="20" t="str" cm="1">
        <f t="array" ref="AO34">CreateSearchString($AM34)</f>
        <v/>
      </c>
      <c r="AP34" s="20" t="str" cm="1">
        <f t="array" ca="1" aca="1" ref="AP34">InverseLookup($A34,Mitigation!$AD$2,Mitigation!$A$2,1,Helper!$B$5,",")</f>
        <v/>
      </c>
      <c r="AQ34" s="20" t="str" cm="1">
        <f t="array" ca="1" aca="1" ref="AQ34">CreateSearchString(GetValues($AP34,'Attack Steps'!$A:$O,"",",",FALSE))</f>
        <v/>
      </c>
      <c r="AR34" s="20" t="str">
        <f t="shared" si="2" ref="AR34:AR66">IF($A34="","",$A34)</f>
        <v>C30</v>
      </c>
    </row>
    <row r="35" spans="1:44" ht="15">
      <c r="A35" s="10" t="s">
        <v>1486</v>
      </c>
      <c r="B35" s="13" t="s">
        <v>1487</v>
      </c>
      <c r="C35" s="13" t="s">
        <v>1745</v>
      </c>
      <c r="D35" s="13"/>
      <c r="E35" s="13"/>
      <c r="F35" s="33" t="str" cm="1">
        <f t="array" ref="F35">LookupNames(SanitizeInput($E35),'Attack Steps'!$A:$B)</f>
        <v/>
      </c>
      <c r="G35" s="23"/>
      <c r="H35" s="33" t="str" cm="1">
        <f t="array" ref="H35">RemoveDelimiter(GetValuesWithFallback(SanitizeInput($G35),$A:$B,Assumptions!$A:$B," ",","&amp;CHAR(10),TRUE),","&amp;CHAR(10))</f>
        <v/>
      </c>
      <c r="I35" s="23"/>
      <c r="J35" s="37" t="str" cm="1">
        <f t="array" ref="J35">IF($I35="","",SUBSTITUTE(SUBSTITUTE(SUBSTITUTE(SUBSTITUTE(SUBSTITUTE(SUBSTITUTE(SUBSTITUTE(SUBSTITUTE(SUBSTITUTE(GetTransformation(SanitizeInput($I35),'Damage Scenarios'!$A:$J,COLUMNS('Damage Scenarios'!$A:$J),CHAR(10),"[#0][#1][#2]")&amp;"§","[#1][#2]",""),"[#2]",""),"[#0][#1]","[#1]"),"[#0]","Removes:"&amp;CHAR(10)),"[#1]","Transforms:"&amp;CHAR(10)),CHAR(10)&amp;"§",""),"§",""),CHAR(10),CHAR(10)&amp;"   "),"   "&amp;"Transforms:","Transforms:"))</f>
        <v/>
      </c>
      <c r="K35" s="13"/>
      <c r="L35" s="13"/>
      <c r="M35" s="13"/>
      <c r="N35" s="13"/>
      <c r="O35" s="13"/>
      <c r="P35" s="33" t="str">
        <f ca="1">IF($A35="","",IFERROR(VLOOKUP($AD35,Definitions!$V:$W,COLUMNS(Definitions!$V:$W),TRUE),""))</f>
        <v>Basic</v>
      </c>
      <c r="Q35" s="23" t="s">
        <v>608</v>
      </c>
      <c r="R35" s="23"/>
      <c r="S35" s="13"/>
      <c r="T35" s="10" cm="1">
        <f t="array" ref="T35">IF(ROW()=ROW($T$2)+1,0,INDEX($T:$T,ROW()-1))+IF($A35="",0,1)</f>
        <v>33</v>
      </c>
      <c r="U35" s="20" t="b" cm="1">
        <f t="array" ref="U35">CheckRelevance(SanitizeInput(E35),Questionnaire!$I:$I)</f>
        <v>0</v>
      </c>
      <c r="V35" s="20" t="b">
        <f>IFERROR(_xlfn.XMATCH("*,"&amp;$A35&amp;",*",Mitigation!$X:$X,2)&gt;0,FALSE)</f>
        <v>0</v>
      </c>
      <c r="W35" s="20" cm="1">
        <f t="array" ref="W35">CreateTaskID($W$2,$W:$W,Tasks!$B$17,$S35)</f>
        <v>0</v>
      </c>
      <c r="X35" s="20" t="str" cm="1">
        <f t="array" ref="X35">IF($E35="","",","&amp;SanitizeInput($E35))</f>
        <v/>
      </c>
      <c r="Y35" s="20">
        <f>IF(K35="",0,VLOOKUP(K35,Definitions!$Z:$AA,COLUMNS(Definitions!$Z:$AA),FALSE))</f>
        <v>0</v>
      </c>
      <c r="Z35" s="20">
        <f>IF(L35="",0,VLOOKUP(L35,Definitions!$Z:$AA,COLUMNS(Definitions!$Z:$AA),FALSE))</f>
        <v>0</v>
      </c>
      <c r="AA35" s="20">
        <f>IF(M35="",0,VLOOKUP(M35,Definitions!$Z:$AA,COLUMNS(Definitions!$Z:$AA),FALSE))</f>
        <v>0</v>
      </c>
      <c r="AB35" s="20">
        <f>IF(N35="",0,VLOOKUP(N35,Definitions!$Z:$AA,COLUMNS(Definitions!$Z:$AA),FALSE))</f>
        <v>0</v>
      </c>
      <c r="AC35" s="20">
        <f>IF(O35="",0,VLOOKUP(O35,Definitions!$Z:$AA,COLUMNS(Definitions!$Z:$AA),FALSE))</f>
        <v>0</v>
      </c>
      <c r="AD35" s="20">
        <f ca="1" t="shared" si="3" ref="AD35:AD66">SUM(OFFSET($Y35,0,0,1,COLUMNS($Y:$AC)))</f>
        <v>0</v>
      </c>
      <c r="AE35" s="20" t="str" cm="1">
        <f t="array" ref="AE35">IF($G35="","",","&amp;SanitizeInput($G35))</f>
        <v/>
      </c>
      <c r="AF35" s="20" t="b" cm="1">
        <f t="array" ca="1" aca="1" ref="AF35">OR($AK35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35,$AE$2,$A$2,Helper!$B$4,",",$A:$V,$A:$AK,InverseLookup($A35,$AE$2,$A$2,1,Helper!$B$4,",")))</f>
        <v>0</v>
      </c>
      <c r="AG35" s="20" t="str" cm="1">
        <f t="array" ca="1" aca="1" ref="AG35">IF(OR($V35,$AF35,$AK35),IF($G35="","",","&amp;SanitizeInput($G35)),"")</f>
        <v/>
      </c>
      <c r="AH35" s="20" t="str" cm="1">
        <f t="array" ref="AH35">SUBSTITUTE(IF($V35,IF($I35="","",","&amp;SanitizeInput($I35)),""),"&gt;",",")</f>
        <v/>
      </c>
      <c r="AI35" s="20" cm="1">
        <f t="array" ca="1" aca="1" ref="AI35">IF(ROW()=ROW($AI$2)+1,0,INDEX($AI:$AI,ROW()-1))+IF($AF35,1,0)</f>
        <v>13</v>
      </c>
      <c r="AJ35" s="20" t="str" cm="1">
        <f t="array" ca="1" aca="1" ref="AJ35">IF($AF35,IF($Q35="","",","&amp;SanitizeInput($Q35)),"")</f>
        <v/>
      </c>
      <c r="AK35" s="20" t="b">
        <f>OR(CheckRelevance(SanitizeInput($D35),Questionnaire!$I:$I),CheckRelevance(SanitizeInput($D35),Questionnaire!$J:$J))</f>
        <v>0</v>
      </c>
      <c r="AL35" s="20" t="str" cm="1">
        <f t="array" ref="AL3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35),Questionnaire!$AA:$AA,",")</f>
        <v/>
      </c>
      <c r="AM35" s="20" t="str" cm="1">
        <f t="array" ref="AM35">IF($D35="*","",InverseLookupList($AL35,Questionnaire!$AA$3,Questionnaire!$A$3,Helper!$B$12,","))</f>
        <v/>
      </c>
      <c r="AN35" s="20" t="str" cm="1">
        <f t="array" ref="AN35">RemoveDelimiter(GetValues($AM35,Questionnaire!$A:$G," ",CHAR(10)&amp;CHAR(10),TRUE),CHAR(10)&amp;CHAR(10))</f>
        <v/>
      </c>
      <c r="AO35" s="20" t="str" cm="1">
        <f t="array" ref="AO35">CreateSearchString($AM35)</f>
        <v/>
      </c>
      <c r="AP35" s="20" t="str" cm="1">
        <f t="array" ca="1" aca="1" ref="AP35">InverseLookup($A35,Mitigation!$AD$2,Mitigation!$A$2,1,Helper!$B$5,",")</f>
        <v/>
      </c>
      <c r="AQ35" s="20" t="str" cm="1">
        <f t="array" ca="1" aca="1" ref="AQ35">CreateSearchString(GetValues($AP35,'Attack Steps'!$A:$O,"",",",FALSE))</f>
        <v/>
      </c>
      <c r="AR35" s="20" t="str">
        <f>IF($A35="","",$A35)</f>
        <v>C31</v>
      </c>
    </row>
    <row r="36" spans="1:44" ht="30">
      <c r="A36" s="10" t="s">
        <v>1488</v>
      </c>
      <c r="B36" s="13" t="s">
        <v>1771</v>
      </c>
      <c r="C36" s="13" t="s">
        <v>1745</v>
      </c>
      <c r="D36" s="13"/>
      <c r="E36" s="13" t="s">
        <v>610</v>
      </c>
      <c r="F36" s="33" t="str" cm="1">
        <f t="array" ca="1" aca="1" ref="F36">LookupNames(SanitizeInput($E36),'Attack Steps'!$A:$B)</f>
        <v>AS29 Brute-forcing the authentication mechanism over IP</v>
      </c>
      <c r="G36" s="23" t="s">
        <v>1486</v>
      </c>
      <c r="H36" s="33" t="str" cm="1">
        <f t="array" ca="1" aca="1" ref="H36">RemoveDelimiter(GetValuesWithFallback(SanitizeInput($G36),$A:$B,Assumptions!$A:$B," ",","&amp;CHAR(10),TRUE),","&amp;CHAR(10))</f>
        <v>C31 CR 1.10 – Authenticator feedback</v>
      </c>
      <c r="I36" s="23"/>
      <c r="J36" s="37" t="str" cm="1">
        <f t="array" ref="J36">IF($I36="","",SUBSTITUTE(SUBSTITUTE(SUBSTITUTE(SUBSTITUTE(SUBSTITUTE(SUBSTITUTE(SUBSTITUTE(SUBSTITUTE(SUBSTITUTE(GetTransformation(SanitizeInput($I36),'Damage Scenarios'!$A:$J,COLUMNS('Damage Scenarios'!$A:$J),CHAR(10),"[#0][#1][#2]")&amp;"§","[#1][#2]",""),"[#2]",""),"[#0][#1]","[#1]"),"[#0]","Removes:"&amp;CHAR(10)),"[#1]","Transforms:"&amp;CHAR(10)),CHAR(10)&amp;"§",""),"§",""),CHAR(10),CHAR(10)&amp;"   "),"   "&amp;"Transforms:","Transforms:"))</f>
        <v/>
      </c>
      <c r="K36" s="13" t="s">
        <v>137</v>
      </c>
      <c r="L36" s="13"/>
      <c r="M36" s="13"/>
      <c r="N36" s="13"/>
      <c r="O36" s="13"/>
      <c r="P36" s="33" t="str">
        <f ca="1">IF($A36="","",IFERROR(VLOOKUP($AD36,Definitions!$V:$W,COLUMNS(Definitions!$V:$W),TRUE),""))</f>
        <v>Beyond High</v>
      </c>
      <c r="Q36" s="23" t="s">
        <v>607</v>
      </c>
      <c r="R36" s="23"/>
      <c r="S36" s="13" t="s">
        <v>1611</v>
      </c>
      <c r="T36" s="10" cm="1">
        <f t="array" ref="T36">IF(ROW()=ROW($T$2)+1,0,INDEX($T:$T,ROW()-1))+IF($A36="",0,1)</f>
        <v>34</v>
      </c>
      <c r="U36" s="20" t="b" cm="1">
        <f t="array" ca="1" aca="1" ref="U36">CheckRelevance(SanitizeInput(E36),Questionnaire!$I:$I)</f>
        <v>0</v>
      </c>
      <c r="V36" s="20" t="b">
        <f>IFERROR(_xlfn.XMATCH("*,"&amp;$A36&amp;",*",Mitigation!$X:$X,2)&gt;0,FALSE)</f>
        <v>0</v>
      </c>
      <c r="W36" s="20" cm="1">
        <f t="array" ref="W36">CreateTaskID($W$2,$W:$W,Tasks!$B$17,$S36)</f>
        <v>0</v>
      </c>
      <c r="X36" s="20" t="str" cm="1">
        <f t="array" ref="X36">IF($E36="","",","&amp;SanitizeInput($E36))</f>
        <v>,AS29,</v>
      </c>
      <c r="Y36" s="20">
        <f>IF(K36="",0,VLOOKUP(K36,Definitions!$Z:$AA,COLUMNS(Definitions!$Z:$AA),FALSE))</f>
        <v>25</v>
      </c>
      <c r="Z36" s="20">
        <f>IF(L36="",0,VLOOKUP(L36,Definitions!$Z:$AA,COLUMNS(Definitions!$Z:$AA),FALSE))</f>
        <v>0</v>
      </c>
      <c r="AA36" s="20">
        <f>IF(M36="",0,VLOOKUP(M36,Definitions!$Z:$AA,COLUMNS(Definitions!$Z:$AA),FALSE))</f>
        <v>0</v>
      </c>
      <c r="AB36" s="20">
        <f>IF(N36="",0,VLOOKUP(N36,Definitions!$Z:$AA,COLUMNS(Definitions!$Z:$AA),FALSE))</f>
        <v>0</v>
      </c>
      <c r="AC36" s="20">
        <f>IF(O36="",0,VLOOKUP(O36,Definitions!$Z:$AA,COLUMNS(Definitions!$Z:$AA),FALSE))</f>
        <v>0</v>
      </c>
      <c r="AD36" s="20">
        <f t="shared" ca="1" si="3"/>
        <v>25</v>
      </c>
      <c r="AE36" s="20" t="str" cm="1">
        <f t="array" ref="AE36">IF($G36="","",","&amp;SanitizeInput($G36))</f>
        <v>,C31,</v>
      </c>
      <c r="AF36" s="20" t="b" cm="1">
        <f t="array" ca="1" aca="1" ref="AF36">OR($AK36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36,$AE$2,$A$2,Helper!$B$4,",",$A:$V,$A:$AK,InverseLookup($A36,$AE$2,$A$2,1,Helper!$B$4,",")))</f>
        <v>0</v>
      </c>
      <c r="AG36" s="20" t="str" cm="1">
        <f t="array" ca="1" aca="1" ref="AG36">IF(OR($V36,$AF36,$AK36),IF($G36="","",","&amp;SanitizeInput($G36)),"")</f>
        <v/>
      </c>
      <c r="AH36" s="20" t="str" cm="1">
        <f t="array" ref="AH36">SUBSTITUTE(IF($V36,IF($I36="","",","&amp;SanitizeInput($I36)),""),"&gt;",",")</f>
        <v/>
      </c>
      <c r="AI36" s="20" cm="1">
        <f t="array" ca="1" aca="1" ref="AI36">IF(ROW()=ROW($AI$2)+1,0,INDEX($AI:$AI,ROW()-1))+IF($AF36,1,0)</f>
        <v>13</v>
      </c>
      <c r="AJ36" s="20" t="str" cm="1">
        <f t="array" ca="1" aca="1" ref="AJ36">IF($AF36,IF($Q36="","",","&amp;SanitizeInput($Q36)),"")</f>
        <v/>
      </c>
      <c r="AK36" s="20" t="b">
        <f>OR(CheckRelevance(SanitizeInput($D36),Questionnaire!$I:$I),CheckRelevance(SanitizeInput($D36),Questionnaire!$J:$J))</f>
        <v>0</v>
      </c>
      <c r="AL36" s="20" t="str" cm="1">
        <f t="array" ref="AL3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36),Questionnaire!$AA:$AA,",")</f>
        <v/>
      </c>
      <c r="AM36" s="20" t="str" cm="1">
        <f t="array" ref="AM36">IF($D36="*","",InverseLookupList($AL36,Questionnaire!$AA$3,Questionnaire!$A$3,Helper!$B$12,","))</f>
        <v/>
      </c>
      <c r="AN36" s="20" t="str" cm="1">
        <f t="array" ref="AN36">RemoveDelimiter(GetValues($AM36,Questionnaire!$A:$G," ",CHAR(10)&amp;CHAR(10),TRUE),CHAR(10)&amp;CHAR(10))</f>
        <v/>
      </c>
      <c r="AO36" s="20" t="str" cm="1">
        <f t="array" ref="AO36">CreateSearchString($AM36)</f>
        <v/>
      </c>
      <c r="AP36" s="20" t="str" cm="1">
        <f t="array" ca="1" aca="1" ref="AP36">InverseLookup($A36,Mitigation!$AD$2,Mitigation!$A$2,1,Helper!$B$5,",")</f>
        <v/>
      </c>
      <c r="AQ36" s="20" t="str" cm="1">
        <f t="array" ca="1" aca="1" ref="AQ36">CreateSearchString(GetValues($AP36,'Attack Steps'!$A:$O,"",",",FALSE))</f>
        <v/>
      </c>
      <c r="AR36" s="20" t="str">
        <f>IF($A36="","",$A36)</f>
        <v>C32</v>
      </c>
    </row>
    <row r="37" spans="1:44" ht="15">
      <c r="A37" s="10" t="s">
        <v>1489</v>
      </c>
      <c r="B37" s="13" t="s">
        <v>1490</v>
      </c>
      <c r="C37" s="13" t="s">
        <v>1761</v>
      </c>
      <c r="D37" s="13" t="s">
        <v>418</v>
      </c>
      <c r="E37" s="13"/>
      <c r="F37" s="33" t="str" cm="1">
        <f t="array" ref="F37">LookupNames(SanitizeInput($E37),'Attack Steps'!$A:$B)</f>
        <v/>
      </c>
      <c r="G37" s="23"/>
      <c r="H37" s="33" t="str" cm="1">
        <f t="array" ref="H37">RemoveDelimiter(GetValuesWithFallback(SanitizeInput($G37),$A:$B,Assumptions!$A:$B," ",","&amp;CHAR(10),TRUE),","&amp;CHAR(10))</f>
        <v/>
      </c>
      <c r="I37" s="23"/>
      <c r="J37" s="37" t="str" cm="1">
        <f t="array" ref="J37">IF($I37="","",SUBSTITUTE(SUBSTITUTE(SUBSTITUTE(SUBSTITUTE(SUBSTITUTE(SUBSTITUTE(SUBSTITUTE(SUBSTITUTE(SUBSTITUTE(GetTransformation(SanitizeInput($I37),'Damage Scenarios'!$A:$J,COLUMNS('Damage Scenarios'!$A:$J),CHAR(10),"[#0][#1][#2]")&amp;"§","[#1][#2]",""),"[#2]",""),"[#0][#1]","[#1]"),"[#0]","Removes:"&amp;CHAR(10)),"[#1]","Transforms:"&amp;CHAR(10)),CHAR(10)&amp;"§",""),"§",""),CHAR(10),CHAR(10)&amp;"   "),"   "&amp;"Transforms:","Transforms:"))</f>
        <v/>
      </c>
      <c r="K37" s="13"/>
      <c r="L37" s="13"/>
      <c r="M37" s="13"/>
      <c r="N37" s="13"/>
      <c r="O37" s="13"/>
      <c r="P37" s="33" t="str">
        <f ca="1">IF($A37="","",IFERROR(VLOOKUP($AD37,Definitions!$V:$W,COLUMNS(Definitions!$V:$W),TRUE),""))</f>
        <v>Basic</v>
      </c>
      <c r="Q37" s="23" t="s">
        <v>609</v>
      </c>
      <c r="R37" s="23"/>
      <c r="S37" s="13"/>
      <c r="T37" s="10" cm="1">
        <f t="array" ref="T37">IF(ROW()=ROW($T$2)+1,0,INDEX($T:$T,ROW()-1))+IF($A37="",0,1)</f>
        <v>35</v>
      </c>
      <c r="U37" s="20" t="b" cm="1">
        <f t="array" ref="U37">CheckRelevance(SanitizeInput(E37),Questionnaire!$I:$I)</f>
        <v>0</v>
      </c>
      <c r="V37" s="20" t="b">
        <f>IFERROR(_xlfn.XMATCH("*,"&amp;$A37&amp;",*",Mitigation!$X:$X,2)&gt;0,FALSE)</f>
        <v>0</v>
      </c>
      <c r="W37" s="20" cm="1">
        <f t="array" ref="W37">CreateTaskID($W$2,$W:$W,Tasks!$B$17,$S37)</f>
        <v>0</v>
      </c>
      <c r="X37" s="20" t="str" cm="1">
        <f t="array" ref="X37">IF($E37="","",","&amp;SanitizeInput($E37))</f>
        <v/>
      </c>
      <c r="Y37" s="20">
        <f>IF(K37="",0,VLOOKUP(K37,Definitions!$Z:$AA,COLUMNS(Definitions!$Z:$AA),FALSE))</f>
        <v>0</v>
      </c>
      <c r="Z37" s="20">
        <f>IF(L37="",0,VLOOKUP(L37,Definitions!$Z:$AA,COLUMNS(Definitions!$Z:$AA),FALSE))</f>
        <v>0</v>
      </c>
      <c r="AA37" s="20">
        <f>IF(M37="",0,VLOOKUP(M37,Definitions!$Z:$AA,COLUMNS(Definitions!$Z:$AA),FALSE))</f>
        <v>0</v>
      </c>
      <c r="AB37" s="20">
        <f>IF(N37="",0,VLOOKUP(N37,Definitions!$Z:$AA,COLUMNS(Definitions!$Z:$AA),FALSE))</f>
        <v>0</v>
      </c>
      <c r="AC37" s="20">
        <f>IF(O37="",0,VLOOKUP(O37,Definitions!$Z:$AA,COLUMNS(Definitions!$Z:$AA),FALSE))</f>
        <v>0</v>
      </c>
      <c r="AD37" s="20">
        <f t="shared" ca="1" si="3"/>
        <v>0</v>
      </c>
      <c r="AE37" s="20" t="str" cm="1">
        <f t="array" ref="AE37">IF($G37="","",","&amp;SanitizeInput($G37))</f>
        <v/>
      </c>
      <c r="AF37" s="20" t="b" cm="1">
        <f t="array" ca="1" aca="1" ref="AF37">OR($AK37,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37,$AE$2,$A$2,Helper!$B$4,",",$A:$V,$A:$AK,InverseLookup($A37,$AE$2,$A$2,1,Helper!$B$4,",")))</f>
        <v>1</v>
      </c>
      <c r="AG37" s="20" t="str" cm="1">
        <f t="array" ca="1" aca="1" ref="AG37">IF(OR($V37,$AF37,$AK37),IF($G37="","",","&amp;SanitizeInput($G37)),"")</f>
        <v/>
      </c>
      <c r="AH37" s="20" t="str" cm="1">
        <f t="array" ref="AH37">SUBSTITUTE(IF($V37,IF($I37="","",","&amp;SanitizeInput($I37)),""),"&gt;",",")</f>
        <v/>
      </c>
      <c r="AI37" s="20" cm="1">
        <f t="array" ca="1" aca="1" ref="AI37">IF(ROW()=ROW($AI$2)+1,0,INDEX($AI:$AI,ROW()-1))+IF($AF37,1,0)</f>
        <v>14</v>
      </c>
      <c r="AJ37" s="20" t="str" cm="1">
        <f t="array" ca="1" aca="1" ref="AJ37">IF($AF37,IF($Q37="","",","&amp;SanitizeInput($Q37)),"")</f>
        <v>,g,</v>
      </c>
      <c r="AK37" s="20" t="b">
        <f>OR(CheckRelevance(SanitizeInput($D37),Questionnaire!$I:$I),CheckRelevance(SanitizeInput($D37),Questionnaire!$J:$J))</f>
        <v>1</v>
      </c>
      <c r="AL37" s="20" t="str" cm="1">
        <f t="array" ref="AL37">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37),Questionnaire!$AA:$AA,",")</f>
        <v>*,</v>
      </c>
      <c r="AM37" s="20" t="str" cm="1">
        <f t="array" ref="AM37">IF($D37="*","",InverseLookupList($AL37,Questionnaire!$AA$3,Questionnaire!$A$3,Helper!$B$12,","))</f>
        <v/>
      </c>
      <c r="AN37" s="20" t="str" cm="1">
        <f t="array" ref="AN37">RemoveDelimiter(GetValues($AM37,Questionnaire!$A:$G," ",CHAR(10)&amp;CHAR(10),TRUE),CHAR(10)&amp;CHAR(10))</f>
        <v/>
      </c>
      <c r="AO37" s="20" t="str" cm="1">
        <f t="array" ref="AO37">CreateSearchString($AM37)</f>
        <v/>
      </c>
      <c r="AP37" s="20" t="str" cm="1">
        <f t="array" ca="1" aca="1" ref="AP37">InverseLookup($A37,Mitigation!$AD$2,Mitigation!$A$2,1,Helper!$B$5,",")</f>
        <v/>
      </c>
      <c r="AQ37" s="20" t="str" cm="1">
        <f t="array" ca="1" aca="1" ref="AQ37">CreateSearchString(GetValues($AP37,'Attack Steps'!$A:$O,"",",",FALSE))</f>
        <v/>
      </c>
      <c r="AR37" s="20" t="str">
        <f>IF($A37="","",$A37)</f>
        <v>C33</v>
      </c>
    </row>
    <row r="38" spans="1:44" ht="15">
      <c r="A38" s="10" t="s">
        <v>1491</v>
      </c>
      <c r="B38" s="13" t="s">
        <v>1492</v>
      </c>
      <c r="C38" s="13" t="s">
        <v>1762</v>
      </c>
      <c r="D38" s="13" t="s">
        <v>418</v>
      </c>
      <c r="E38" s="13"/>
      <c r="F38" s="33" t="str" cm="1">
        <f t="array" ref="F38">LookupNames(SanitizeInput($E38),'Attack Steps'!$A:$B)</f>
        <v/>
      </c>
      <c r="G38" s="23"/>
      <c r="H38" s="33" t="str" cm="1">
        <f t="array" ref="H38">RemoveDelimiter(GetValuesWithFallback(SanitizeInput($G38),$A:$B,Assumptions!$A:$B," ",","&amp;CHAR(10),TRUE),","&amp;CHAR(10))</f>
        <v/>
      </c>
      <c r="I38" s="23"/>
      <c r="J38" s="37" t="str" cm="1">
        <f t="array" ref="J38">IF($I38="","",SUBSTITUTE(SUBSTITUTE(SUBSTITUTE(SUBSTITUTE(SUBSTITUTE(SUBSTITUTE(SUBSTITUTE(SUBSTITUTE(SUBSTITUTE(GetTransformation(SanitizeInput($I38),'Damage Scenarios'!$A:$J,COLUMNS('Damage Scenarios'!$A:$J),CHAR(10),"[#0][#1][#2]")&amp;"§","[#1][#2]",""),"[#2]",""),"[#0][#1]","[#1]"),"[#0]","Removes:"&amp;CHAR(10)),"[#1]","Transforms:"&amp;CHAR(10)),CHAR(10)&amp;"§",""),"§",""),CHAR(10),CHAR(10)&amp;"   "),"   "&amp;"Transforms:","Transforms:"))</f>
        <v/>
      </c>
      <c r="K38" s="13"/>
      <c r="L38" s="13"/>
      <c r="M38" s="13"/>
      <c r="N38" s="13"/>
      <c r="O38" s="13"/>
      <c r="P38" s="33" t="str">
        <f ca="1">IF($A38="","",IFERROR(VLOOKUP($AD38,Definitions!$V:$W,COLUMNS(Definitions!$V:$W),TRUE),""))</f>
        <v>Basic</v>
      </c>
      <c r="Q38" s="23" t="s">
        <v>609</v>
      </c>
      <c r="R38" s="23"/>
      <c r="S38" s="13"/>
      <c r="T38" s="10" cm="1">
        <f t="array" ref="T38">IF(ROW()=ROW($T$2)+1,0,INDEX($T:$T,ROW()-1))+IF($A38="",0,1)</f>
        <v>36</v>
      </c>
      <c r="U38" s="20" t="b" cm="1">
        <f t="array" ref="U38">CheckRelevance(SanitizeInput(E38),Questionnaire!$I:$I)</f>
        <v>0</v>
      </c>
      <c r="V38" s="20" t="b">
        <f>IFERROR(_xlfn.XMATCH("*,"&amp;$A38&amp;",*",Mitigation!$X:$X,2)&gt;0,FALSE)</f>
        <v>0</v>
      </c>
      <c r="W38" s="20" cm="1">
        <f t="array" ref="W38">CreateTaskID($W$2,$W:$W,Tasks!$B$17,$S38)</f>
        <v>0</v>
      </c>
      <c r="X38" s="20" t="str" cm="1">
        <f t="array" ref="X38">IF($E38="","",","&amp;SanitizeInput($E38))</f>
        <v/>
      </c>
      <c r="Y38" s="20">
        <f>IF(K38="",0,VLOOKUP(K38,Definitions!$Z:$AA,COLUMNS(Definitions!$Z:$AA),FALSE))</f>
        <v>0</v>
      </c>
      <c r="Z38" s="20">
        <f>IF(L38="",0,VLOOKUP(L38,Definitions!$Z:$AA,COLUMNS(Definitions!$Z:$AA),FALSE))</f>
        <v>0</v>
      </c>
      <c r="AA38" s="20">
        <f>IF(M38="",0,VLOOKUP(M38,Definitions!$Z:$AA,COLUMNS(Definitions!$Z:$AA),FALSE))</f>
        <v>0</v>
      </c>
      <c r="AB38" s="20">
        <f>IF(N38="",0,VLOOKUP(N38,Definitions!$Z:$AA,COLUMNS(Definitions!$Z:$AA),FALSE))</f>
        <v>0</v>
      </c>
      <c r="AC38" s="20">
        <f>IF(O38="",0,VLOOKUP(O38,Definitions!$Z:$AA,COLUMNS(Definitions!$Z:$AA),FALSE))</f>
        <v>0</v>
      </c>
      <c r="AD38" s="20">
        <f t="shared" ca="1" si="3"/>
        <v>0</v>
      </c>
      <c r="AE38" s="20" t="str" cm="1">
        <f t="array" ref="AE38">IF($G38="","",","&amp;SanitizeInput($G38))</f>
        <v/>
      </c>
      <c r="AF38" s="20" t="b" cm="1">
        <f t="array" ca="1" aca="1" ref="AF38">OR($AK38,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38,$AE$2,$A$2,Helper!$B$4,",",$A:$V,$A:$AK,InverseLookup($A38,$AE$2,$A$2,1,Helper!$B$4,",")))</f>
        <v>1</v>
      </c>
      <c r="AG38" s="20" t="str" cm="1">
        <f t="array" ca="1" aca="1" ref="AG38">IF(OR($V38,$AF38,$AK38),IF($G38="","",","&amp;SanitizeInput($G38)),"")</f>
        <v/>
      </c>
      <c r="AH38" s="20" t="str" cm="1">
        <f t="array" ref="AH38">SUBSTITUTE(IF($V38,IF($I38="","",","&amp;SanitizeInput($I38)),""),"&gt;",",")</f>
        <v/>
      </c>
      <c r="AI38" s="20" cm="1">
        <f t="array" ca="1" aca="1" ref="AI38">IF(ROW()=ROW($AI$2)+1,0,INDEX($AI:$AI,ROW()-1))+IF($AF38,1,0)</f>
        <v>15</v>
      </c>
      <c r="AJ38" s="20" t="str" cm="1">
        <f t="array" ca="1" aca="1" ref="AJ38">IF($AF38,IF($Q38="","",","&amp;SanitizeInput($Q38)),"")</f>
        <v>,g,</v>
      </c>
      <c r="AK38" s="20" t="b">
        <f>OR(CheckRelevance(SanitizeInput($D38),Questionnaire!$I:$I),CheckRelevance(SanitizeInput($D38),Questionnaire!$J:$J))</f>
        <v>1</v>
      </c>
      <c r="AL38" s="20" t="str" cm="1">
        <f t="array" ref="AL38">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38),Questionnaire!$AA:$AA,",")</f>
        <v>*,</v>
      </c>
      <c r="AM38" s="20" t="str" cm="1">
        <f t="array" ref="AM38">IF($D38="*","",InverseLookupList($AL38,Questionnaire!$AA$3,Questionnaire!$A$3,Helper!$B$12,","))</f>
        <v/>
      </c>
      <c r="AN38" s="20" t="str" cm="1">
        <f t="array" ref="AN38">RemoveDelimiter(GetValues($AM38,Questionnaire!$A:$G," ",CHAR(10)&amp;CHAR(10),TRUE),CHAR(10)&amp;CHAR(10))</f>
        <v/>
      </c>
      <c r="AO38" s="20" t="str" cm="1">
        <f t="array" ref="AO38">CreateSearchString($AM38)</f>
        <v/>
      </c>
      <c r="AP38" s="20" t="str" cm="1">
        <f t="array" ca="1" aca="1" ref="AP38">InverseLookup($A38,Mitigation!$AD$2,Mitigation!$A$2,1,Helper!$B$5,",")</f>
        <v/>
      </c>
      <c r="AQ38" s="20" t="str" cm="1">
        <f t="array" ca="1" aca="1" ref="AQ38">CreateSearchString(GetValues($AP38,'Attack Steps'!$A:$O,"",",",FALSE))</f>
        <v/>
      </c>
      <c r="AR38" s="20" t="str">
        <f>IF($A38="","",$A38)</f>
        <v>C34</v>
      </c>
    </row>
    <row r="39" spans="1:44" ht="30">
      <c r="A39" s="10" t="s">
        <v>1532</v>
      </c>
      <c r="B39" s="13" t="s">
        <v>1533</v>
      </c>
      <c r="C39" s="13" t="s">
        <v>1745</v>
      </c>
      <c r="D39" s="13"/>
      <c r="E39" s="13" t="s">
        <v>335</v>
      </c>
      <c r="F39" s="33" t="str" cm="1">
        <f t="array" ca="1" aca="1" ref="F39">LookupNames(SanitizeInput($E39),'Attack Steps'!$A:$B)</f>
        <v>AS23 Compromising the product with direct access to its persistent memory</v>
      </c>
      <c r="G39" s="23"/>
      <c r="H39" s="33" t="str" cm="1">
        <f t="array" ref="H39">RemoveDelimiter(GetValuesWithFallback(SanitizeInput($G39),$A:$B,Assumptions!$A:$B," ",","&amp;CHAR(10),TRUE),","&amp;CHAR(10))</f>
        <v/>
      </c>
      <c r="I39" s="23"/>
      <c r="J39" s="37" t="str" cm="1">
        <f t="array" ref="J39">IF($I39="","",SUBSTITUTE(SUBSTITUTE(SUBSTITUTE(SUBSTITUTE(SUBSTITUTE(SUBSTITUTE(SUBSTITUTE(SUBSTITUTE(SUBSTITUTE(GetTransformation(SanitizeInput($I39),'Damage Scenarios'!$A:$J,COLUMNS('Damage Scenarios'!$A:$J),CHAR(10),"[#0][#1][#2]")&amp;"§","[#1][#2]",""),"[#2]",""),"[#0][#1]","[#1]"),"[#0]","Removes:"&amp;CHAR(10)),"[#1]","Transforms:"&amp;CHAR(10)),CHAR(10)&amp;"§",""),"§",""),CHAR(10),CHAR(10)&amp;"   "),"   "&amp;"Transforms:","Transforms:"))</f>
        <v/>
      </c>
      <c r="K39" s="13" t="s">
        <v>133</v>
      </c>
      <c r="L39" s="13" t="s">
        <v>141</v>
      </c>
      <c r="M39" s="13" t="s">
        <v>145</v>
      </c>
      <c r="N39" s="13" t="s">
        <v>81</v>
      </c>
      <c r="O39" s="13" t="s">
        <v>154</v>
      </c>
      <c r="P39" s="33" t="str">
        <f ca="1">IF($A39="","",IFERROR(VLOOKUP($AD39,Definitions!$V:$W,COLUMNS(Definitions!$V:$W),TRUE),""))</f>
        <v>Moderate</v>
      </c>
      <c r="Q39" s="23" t="s">
        <v>604</v>
      </c>
      <c r="R39" s="23"/>
      <c r="S39" s="13" t="s">
        <v>1635</v>
      </c>
      <c r="T39" s="10" cm="1">
        <f t="array" ref="T39">IF(ROW()=ROW($T$2)+1,0,INDEX($T:$T,ROW()-1))+IF($A39="",0,1)</f>
        <v>37</v>
      </c>
      <c r="U39" s="20" t="b" cm="1">
        <f t="array" ca="1" aca="1" ref="U39">CheckRelevance(SanitizeInput(E39),Questionnaire!$I:$I)</f>
        <v>0</v>
      </c>
      <c r="V39" s="20" t="b">
        <f>IFERROR(_xlfn.XMATCH("*,"&amp;$A39&amp;",*",Mitigation!$X:$X,2)&gt;0,FALSE)</f>
        <v>0</v>
      </c>
      <c r="W39" s="20" cm="1">
        <f t="array" ref="W39">CreateTaskID($W$2,$W:$W,Tasks!$B$17,$S39)</f>
        <v>0</v>
      </c>
      <c r="X39" s="20" t="str" cm="1">
        <f t="array" ref="X39">IF($E39="","",","&amp;SanitizeInput($E39))</f>
        <v>,AS23,</v>
      </c>
      <c r="Y39" s="20">
        <f>IF(K39="",0,VLOOKUP(K39,Definitions!$Z:$AA,COLUMNS(Definitions!$Z:$AA),FALSE))</f>
        <v>1</v>
      </c>
      <c r="Z39" s="20">
        <f>IF(L39="",0,VLOOKUP(L39,Definitions!$Z:$AA,COLUMNS(Definitions!$Z:$AA),FALSE))</f>
        <v>6</v>
      </c>
      <c r="AA39" s="20">
        <f>IF(M39="",0,VLOOKUP(M39,Definitions!$Z:$AA,COLUMNS(Definitions!$Z:$AA),FALSE))</f>
        <v>3</v>
      </c>
      <c r="AB39" s="20">
        <f>IF(N39="",0,VLOOKUP(N39,Definitions!$Z:$AA,COLUMNS(Definitions!$Z:$AA),FALSE))</f>
        <v>4</v>
      </c>
      <c r="AC39" s="20">
        <f>IF(O39="",0,VLOOKUP(O39,Definitions!$Z:$AA,COLUMNS(Definitions!$Z:$AA),FALSE))</f>
        <v>4</v>
      </c>
      <c r="AD39" s="20">
        <f t="shared" ca="1" si="3"/>
        <v>18</v>
      </c>
      <c r="AE39" s="20" t="str" cm="1">
        <f t="array" ref="AE39">IF($G39="","",","&amp;SanitizeInput($G39))</f>
        <v/>
      </c>
      <c r="AF39" s="20" t="b" cm="1">
        <f t="array" ca="1" aca="1" ref="AF39">OR($AK39,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39,$AE$2,$A$2,Helper!$B$4,",",$A:$V,$A:$AK,InverseLookup($A39,$AE$2,$A$2,1,Helper!$B$4,",")))</f>
        <v>0</v>
      </c>
      <c r="AG39" s="20" t="str" cm="1">
        <f t="array" ca="1" aca="1" ref="AG39">IF(OR($V39,$AF39,$AK39),IF($G39="","",","&amp;SanitizeInput($G39)),"")</f>
        <v/>
      </c>
      <c r="AH39" s="20" t="str" cm="1">
        <f t="array" ref="AH39">SUBSTITUTE(IF($V39,IF($I39="","",","&amp;SanitizeInput($I39)),""),"&gt;",",")</f>
        <v/>
      </c>
      <c r="AI39" s="20" cm="1">
        <f t="array" ca="1" aca="1" ref="AI39">IF(ROW()=ROW($AI$2)+1,0,INDEX($AI:$AI,ROW()-1))+IF($AF39,1,0)</f>
        <v>15</v>
      </c>
      <c r="AJ39" s="20" t="str" cm="1">
        <f t="array" ca="1" aca="1" ref="AJ39">IF($AF39,IF($Q39="","",","&amp;SanitizeInput($Q39)),"")</f>
        <v/>
      </c>
      <c r="AK39" s="20" t="b">
        <f>OR(CheckRelevance(SanitizeInput($D39),Questionnaire!$I:$I),CheckRelevance(SanitizeInput($D39),Questionnaire!$J:$J))</f>
        <v>0</v>
      </c>
      <c r="AL39" s="20" t="str" cm="1">
        <f t="array" ref="AL39">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39),Questionnaire!$AA:$AA,",")</f>
        <v/>
      </c>
      <c r="AM39" s="20" t="str" cm="1">
        <f t="array" ref="AM39">IF($D39="*","",InverseLookupList($AL39,Questionnaire!$AA$3,Questionnaire!$A$3,Helper!$B$12,","))</f>
        <v/>
      </c>
      <c r="AN39" s="20" t="str" cm="1">
        <f t="array" ref="AN39">RemoveDelimiter(GetValues($AM39,Questionnaire!$A:$G," ",CHAR(10)&amp;CHAR(10),TRUE),CHAR(10)&amp;CHAR(10))</f>
        <v/>
      </c>
      <c r="AO39" s="20" t="str" cm="1">
        <f t="array" ref="AO39">CreateSearchString($AM39)</f>
        <v/>
      </c>
      <c r="AP39" s="20" t="str" cm="1">
        <f t="array" ca="1" aca="1" ref="AP39">InverseLookup($A39,Mitigation!$AD$2,Mitigation!$A$2,1,Helper!$B$5,",")</f>
        <v/>
      </c>
      <c r="AQ39" s="20" t="str" cm="1">
        <f t="array" ca="1" aca="1" ref="AQ39">CreateSearchString(GetValues($AP39,'Attack Steps'!$A:$O,"",",",FALSE))</f>
        <v/>
      </c>
      <c r="AR39" s="20" t="str">
        <f>IF($A39="","",$A39)</f>
        <v>C35</v>
      </c>
    </row>
    <row r="40" spans="1:44" ht="210">
      <c r="A40" s="10" t="s">
        <v>755</v>
      </c>
      <c r="B40" s="13" t="s">
        <v>1493</v>
      </c>
      <c r="C40" s="13" t="s">
        <v>1494</v>
      </c>
      <c r="D40" s="13"/>
      <c r="E40" s="13" t="s">
        <v>770</v>
      </c>
      <c r="F40" s="33" t="str" cm="1">
        <f t="array" ca="1" aca="1" ref="F40">LookupNames(SanitizeInput($E40),'Attack Steps'!$A:$B)</f>
        <v>AS9 Attacking the product's internal gateway from the Internet,
AS15 Attacking the product from the Internet or a mobile network,
AS31 Attacking a customer network from another customer network via the product's internal gateway</v>
      </c>
      <c r="G40" s="23" t="s">
        <v>413</v>
      </c>
      <c r="H40" s="33" t="str" cm="1">
        <f t="array" ca="1" aca="1" ref="H40">RemoveDelimiter(GetValuesWithFallback(SanitizeInput($G40),$A:$B,Assumptions!$A:$B," ",","&amp;CHAR(10),TRUE),","&amp;CHAR(10))</f>
        <v>C19 CR 5.1 – Network segmentation</v>
      </c>
      <c r="I40" s="23"/>
      <c r="J40" s="37" t="str" cm="1">
        <f t="array" ref="J40">IF($I40="","",SUBSTITUTE(SUBSTITUTE(SUBSTITUTE(SUBSTITUTE(SUBSTITUTE(SUBSTITUTE(SUBSTITUTE(SUBSTITUTE(SUBSTITUTE(GetTransformation(SanitizeInput($I40),'Damage Scenarios'!$A:$J,COLUMNS('Damage Scenarios'!$A:$J),CHAR(10),"[#0][#1][#2]")&amp;"§","[#1][#2]",""),"[#2]",""),"[#0][#1]","[#1]"),"[#0]","Removes:"&amp;CHAR(10)),"[#1]","Transforms:"&amp;CHAR(10)),CHAR(10)&amp;"§",""),"§",""),CHAR(10),CHAR(10)&amp;"   "),"   "&amp;"Transforms:","Transforms:"))</f>
        <v/>
      </c>
      <c r="K40" s="13" t="s">
        <v>133</v>
      </c>
      <c r="L40" s="13" t="s">
        <v>141</v>
      </c>
      <c r="M40" s="13" t="s">
        <v>145</v>
      </c>
      <c r="N40" s="13" t="s">
        <v>150</v>
      </c>
      <c r="O40" s="13"/>
      <c r="P40" s="33" t="str">
        <f ca="1">IF($A40="","",IFERROR(VLOOKUP($AD40,Definitions!$V:$W,COLUMNS(Definitions!$V:$W),TRUE),""))</f>
        <v>High</v>
      </c>
      <c r="Q40" s="23" t="s">
        <v>637</v>
      </c>
      <c r="R40" s="23"/>
      <c r="S40" s="13" t="s">
        <v>1662</v>
      </c>
      <c r="T40" s="10" cm="1">
        <f t="array" ref="T40">IF(ROW()=ROW($T$2)+1,0,INDEX($T:$T,ROW()-1))+IF($A40="",0,1)</f>
        <v>38</v>
      </c>
      <c r="U40" s="20" t="b" cm="1">
        <f t="array" ca="1" aca="1" ref="U40">CheckRelevance(SanitizeInput(E40),Questionnaire!$I:$I)</f>
        <v>0</v>
      </c>
      <c r="V40" s="20" t="b">
        <f>IFERROR(_xlfn.XMATCH("*,"&amp;$A40&amp;",*",Mitigation!$X:$X,2)&gt;0,FALSE)</f>
        <v>0</v>
      </c>
      <c r="W40" s="20" cm="1">
        <f t="array" ref="W40">CreateTaskID($W$2,$W:$W,Tasks!$B$17,$S40)</f>
        <v>0</v>
      </c>
      <c r="X40" s="20" t="str" cm="1">
        <f t="array" ref="X40">IF($E40="","",","&amp;SanitizeInput($E40))</f>
        <v>,AS9,AS15,AS31,</v>
      </c>
      <c r="Y40" s="20">
        <f>IF(K40="",0,VLOOKUP(K40,Definitions!$Z:$AA,COLUMNS(Definitions!$Z:$AA),FALSE))</f>
        <v>1</v>
      </c>
      <c r="Z40" s="20">
        <f>IF(L40="",0,VLOOKUP(L40,Definitions!$Z:$AA,COLUMNS(Definitions!$Z:$AA),FALSE))</f>
        <v>6</v>
      </c>
      <c r="AA40" s="20">
        <f>IF(M40="",0,VLOOKUP(M40,Definitions!$Z:$AA,COLUMNS(Definitions!$Z:$AA),FALSE))</f>
        <v>3</v>
      </c>
      <c r="AB40" s="20">
        <f>IF(N40="",0,VLOOKUP(N40,Definitions!$Z:$AA,COLUMNS(Definitions!$Z:$AA),FALSE))</f>
        <v>10</v>
      </c>
      <c r="AC40" s="20">
        <f>IF(O40="",0,VLOOKUP(O40,Definitions!$Z:$AA,COLUMNS(Definitions!$Z:$AA),FALSE))</f>
        <v>0</v>
      </c>
      <c r="AD40" s="20">
        <f t="shared" ca="1" si="3"/>
        <v>20</v>
      </c>
      <c r="AE40" s="20" t="str" cm="1">
        <f t="array" ref="AE40">IF($G40="","",","&amp;SanitizeInput($G40))</f>
        <v>,C19,</v>
      </c>
      <c r="AF40" s="20" t="b" cm="1">
        <f t="array" ca="1" aca="1" ref="AF40">OR($AK40,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40,$AE$2,$A$2,Helper!$B$4,",",$A:$V,$A:$AK,InverseLookup($A40,$AE$2,$A$2,1,Helper!$B$4,",")))</f>
        <v>0</v>
      </c>
      <c r="AG40" s="20" t="str" cm="1">
        <f t="array" ca="1" aca="1" ref="AG40">IF(OR($V40,$AF40,$AK40),IF($G40="","",","&amp;SanitizeInput($G40)),"")</f>
        <v/>
      </c>
      <c r="AH40" s="20" t="str" cm="1">
        <f t="array" ref="AH40">SUBSTITUTE(IF($V40,IF($I40="","",","&amp;SanitizeInput($I40)),""),"&gt;",",")</f>
        <v/>
      </c>
      <c r="AI40" s="20" cm="1">
        <f t="array" ca="1" aca="1" ref="AI40">IF(ROW()=ROW($AI$2)+1,0,INDEX($AI:$AI,ROW()-1))+IF($AF40,1,0)</f>
        <v>15</v>
      </c>
      <c r="AJ40" s="20" t="str" cm="1">
        <f t="array" ca="1" aca="1" ref="AJ40">IF($AF40,IF($Q40="","",","&amp;SanitizeInput($Q40)),"")</f>
        <v/>
      </c>
      <c r="AK40" s="20" t="b">
        <f>OR(CheckRelevance(SanitizeInput($D40),Questionnaire!$I:$I),CheckRelevance(SanitizeInput($D40),Questionnaire!$J:$J))</f>
        <v>0</v>
      </c>
      <c r="AL40" s="20" t="str" cm="1">
        <f t="array" ref="AL40">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40),Questionnaire!$AA:$AA,",")</f>
        <v/>
      </c>
      <c r="AM40" s="20" t="str" cm="1">
        <f t="array" ref="AM40">IF($D40="*","",InverseLookupList($AL40,Questionnaire!$AA$3,Questionnaire!$A$3,Helper!$B$12,","))</f>
        <v/>
      </c>
      <c r="AN40" s="20" t="str" cm="1">
        <f t="array" ref="AN40">RemoveDelimiter(GetValues($AM40,Questionnaire!$A:$G," ",CHAR(10)&amp;CHAR(10),TRUE),CHAR(10)&amp;CHAR(10))</f>
        <v/>
      </c>
      <c r="AO40" s="20" t="str" cm="1">
        <f t="array" ref="AO40">CreateSearchString($AM40)</f>
        <v/>
      </c>
      <c r="AP40" s="20" t="str" cm="1">
        <f t="array" ca="1" aca="1" ref="AP40">InverseLookup($A40,Mitigation!$AD$2,Mitigation!$A$2,1,Helper!$B$5,",")</f>
        <v/>
      </c>
      <c r="AQ40" s="20" t="str" cm="1">
        <f t="array" ca="1" aca="1" ref="AQ40">CreateSearchString(GetValues($AP40,'Attack Steps'!$A:$O,"",",",FALSE))</f>
        <v/>
      </c>
      <c r="AR40" s="20" t="str">
        <f t="shared" si="2"/>
        <v>CM1</v>
      </c>
    </row>
    <row r="41" spans="1:44" ht="90">
      <c r="A41" s="10" t="s">
        <v>1395</v>
      </c>
      <c r="B41" s="13" t="str">
        <f>Definitions!$C$4&amp;"-specific SDL"</f>
        <v>acontis techonlogies GmbH-specific SDL</v>
      </c>
      <c r="C41" s="13" t="str">
        <f>"The product's software is developed in compliance with the required activities according to the "&amp;Definitions!$C$4&amp;"-specific SDL"</f>
        <v>The product's software is developed in compliance with the required activities according to the acontis techonlogies GmbH-specific SDL</v>
      </c>
      <c r="D41" s="13"/>
      <c r="E41" s="13" t="s">
        <v>109</v>
      </c>
      <c r="F41" s="33" t="str" cm="1">
        <f t="array" ca="1" aca="1" ref="F41">LookupNames(SanitizeInput($E41),'Attack Steps'!$A:$B)</f>
        <v>AS3 Compromising the product using a software vulnerability</v>
      </c>
      <c r="G41" s="23" t="s">
        <v>1217</v>
      </c>
      <c r="H41" s="33" t="str" cm="1">
        <f t="array" ca="1" aca="1" ref="H41">RemoveDelimiter(GetValuesWithFallback(SanitizeInput($G41),$A:$B,Assumptions!$A:$B," ",","&amp;CHAR(10),TRUE),","&amp;CHAR(10))</f>
        <v>C14 CR 3.4 – Software and information integrity,
C15 CR 3.5 – Input validation,
C25 SAR 3.2 / EDR 3.2 / HDR 3.2 / NDR 3.2 – Protection from malicious code,
C27 EDR 3.10 / HDR 3.10 / NDR 3.10 – Support for updates</v>
      </c>
      <c r="I41" s="23"/>
      <c r="J41" s="37" t="str" cm="1">
        <f t="array" ref="J41">IF($I41="","",SUBSTITUTE(SUBSTITUTE(SUBSTITUTE(SUBSTITUTE(SUBSTITUTE(SUBSTITUTE(SUBSTITUTE(SUBSTITUTE(SUBSTITUTE(GetTransformation(SanitizeInput($I41),'Damage Scenarios'!$A:$J,COLUMNS('Damage Scenarios'!$A:$J),CHAR(10),"[#0][#1][#2]")&amp;"§","[#1][#2]",""),"[#2]",""),"[#0][#1]","[#1]"),"[#0]","Removes:"&amp;CHAR(10)),"[#1]","Transforms:"&amp;CHAR(10)),CHAR(10)&amp;"§",""),"§",""),CHAR(10),CHAR(10)&amp;"   "),"   "&amp;"Transforms:","Transforms:"))</f>
        <v/>
      </c>
      <c r="K41" s="13"/>
      <c r="L41" s="13"/>
      <c r="M41" s="13"/>
      <c r="N41" s="13"/>
      <c r="O41" s="13"/>
      <c r="P41" s="33" t="str">
        <f ca="1">IF($A41="","",IFERROR(VLOOKUP($AD41,Definitions!$V:$W,COLUMNS(Definitions!$V:$W),TRUE),""))</f>
        <v>Basic</v>
      </c>
      <c r="Q41" s="23" t="s">
        <v>1631</v>
      </c>
      <c r="R41" s="23"/>
      <c r="S41" s="13" t="s">
        <v>1760</v>
      </c>
      <c r="T41" s="10" cm="1">
        <f t="array" ref="T41">IF(ROW()=ROW($T$2)+1,0,INDEX($T:$T,ROW()-1))+IF($A41="",0,1)</f>
        <v>39</v>
      </c>
      <c r="U41" s="20" t="b" cm="1">
        <f t="array" ca="1" aca="1" ref="U41">CheckRelevance(SanitizeInput(E41),Questionnaire!$I:$I)</f>
        <v>0</v>
      </c>
      <c r="V41" s="20" t="b">
        <f>IFERROR(_xlfn.XMATCH("*,"&amp;$A41&amp;",*",Mitigation!$X:$X,2)&gt;0,FALSE)</f>
        <v>0</v>
      </c>
      <c r="W41" s="20" cm="1">
        <f t="array" ref="W41">CreateTaskID($W$2,$W:$W,Tasks!$B$17,$S41)</f>
        <v>1</v>
      </c>
      <c r="X41" s="20" t="str" cm="1">
        <f t="array" ref="X41">IF($E41="","",","&amp;SanitizeInput($E41))</f>
        <v>,AS3,</v>
      </c>
      <c r="Y41" s="20">
        <f>IF(K41="",0,VLOOKUP(K41,Definitions!$Z:$AA,COLUMNS(Definitions!$Z:$AA),FALSE))</f>
        <v>0</v>
      </c>
      <c r="Z41" s="20">
        <f>IF(L41="",0,VLOOKUP(L41,Definitions!$Z:$AA,COLUMNS(Definitions!$Z:$AA),FALSE))</f>
        <v>0</v>
      </c>
      <c r="AA41" s="20">
        <f>IF(M41="",0,VLOOKUP(M41,Definitions!$Z:$AA,COLUMNS(Definitions!$Z:$AA),FALSE))</f>
        <v>0</v>
      </c>
      <c r="AB41" s="20">
        <f>IF(N41="",0,VLOOKUP(N41,Definitions!$Z:$AA,COLUMNS(Definitions!$Z:$AA),FALSE))</f>
        <v>0</v>
      </c>
      <c r="AC41" s="20">
        <f>IF(O41="",0,VLOOKUP(O41,Definitions!$Z:$AA,COLUMNS(Definitions!$Z:$AA),FALSE))</f>
        <v>0</v>
      </c>
      <c r="AD41" s="20">
        <f t="shared" ca="1" si="3"/>
        <v>0</v>
      </c>
      <c r="AE41" s="20" t="str" cm="1">
        <f t="array" ref="AE41">IF($G41="","",","&amp;SanitizeInput($G41))</f>
        <v>,C14,C15,C25,C27,</v>
      </c>
      <c r="AF41" s="20" t="b" cm="1">
        <f t="array" ca="1" aca="1" ref="AF41">OR($AK41,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41,$AE$2,$A$2,Helper!$B$4,",",$A:$V,$A:$AK,InverseLookup($A41,$AE$2,$A$2,1,Helper!$B$4,",")))</f>
        <v>0</v>
      </c>
      <c r="AG41" s="20" t="str" cm="1">
        <f t="array" ca="1" aca="1" ref="AG41">IF(OR($V41,$AF41,$AK41),IF($G41="","",","&amp;SanitizeInput($G41)),"")</f>
        <v/>
      </c>
      <c r="AH41" s="20" t="str" cm="1">
        <f t="array" ref="AH41">SUBSTITUTE(IF($V41,IF($I41="","",","&amp;SanitizeInput($I41)),""),"&gt;",",")</f>
        <v/>
      </c>
      <c r="AI41" s="20" cm="1">
        <f t="array" ca="1" aca="1" ref="AI41">IF(ROW()=ROW($AI$2)+1,0,INDEX($AI:$AI,ROW()-1))+IF($AF41,1,0)</f>
        <v>15</v>
      </c>
      <c r="AJ41" s="20" t="str" cm="1">
        <f t="array" ca="1" aca="1" ref="AJ41">IF($AF41,IF($Q41="","",","&amp;SanitizeInput($Q41)),"")</f>
        <v/>
      </c>
      <c r="AK41" s="20" t="b">
        <f>OR(CheckRelevance(SanitizeInput($D41),Questionnaire!$I:$I),CheckRelevance(SanitizeInput($D41),Questionnaire!$J:$J))</f>
        <v>0</v>
      </c>
      <c r="AL41" s="20" t="str" cm="1">
        <f t="array" ref="AL4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41),Questionnaire!$AA:$AA,",")</f>
        <v/>
      </c>
      <c r="AM41" s="20" t="str" cm="1">
        <f t="array" ref="AM41">IF($D41="*","",InverseLookupList($AL41,Questionnaire!$AA$3,Questionnaire!$A$3,Helper!$B$12,","))</f>
        <v/>
      </c>
      <c r="AN41" s="20" t="str" cm="1">
        <f t="array" ref="AN41">RemoveDelimiter(GetValues($AM41,Questionnaire!$A:$G," ",CHAR(10)&amp;CHAR(10),TRUE),CHAR(10)&amp;CHAR(10))</f>
        <v/>
      </c>
      <c r="AO41" s="20" t="str" cm="1">
        <f t="array" ref="AO41">CreateSearchString($AM41)</f>
        <v/>
      </c>
      <c r="AP41" s="20" t="str" cm="1">
        <f t="array" ca="1" aca="1" ref="AP41">InverseLookup($A41,Mitigation!$AD$2,Mitigation!$A$2,1,Helper!$B$5,",")</f>
        <v/>
      </c>
      <c r="AQ41" s="20" t="str" cm="1">
        <f t="array" ca="1" aca="1" ref="AQ41">CreateSearchString(GetValues($AP41,'Attack Steps'!$A:$O,"",",",FALSE))</f>
        <v/>
      </c>
      <c r="AR41" s="20" t="str">
        <f t="shared" si="2"/>
        <v>CM2a</v>
      </c>
    </row>
    <row r="42" spans="1:44" ht="165">
      <c r="A42" s="10" t="s">
        <v>1396</v>
      </c>
      <c r="B42" s="13" t="s">
        <v>1405</v>
      </c>
      <c r="C42" s="13" t="s">
        <v>1397</v>
      </c>
      <c r="D42" s="13"/>
      <c r="E42" s="13" t="s">
        <v>109</v>
      </c>
      <c r="F42" s="33" t="str" cm="1">
        <f t="array" ca="1" aca="1" ref="F42">LookupNames(SanitizeInput($E42),'Attack Steps'!$A:$B)</f>
        <v>AS3 Compromising the product using a software vulnerability</v>
      </c>
      <c r="G42" s="23" t="s">
        <v>1217</v>
      </c>
      <c r="H42" s="33" t="str" cm="1">
        <f t="array" ca="1" aca="1" ref="H42">RemoveDelimiter(GetValuesWithFallback(SanitizeInput($G42),$A:$B,Assumptions!$A:$B," ",","&amp;CHAR(10),TRUE),","&amp;CHAR(10))</f>
        <v>C14 CR 3.4 – Software and information integrity,
C15 CR 3.5 – Input validation,
C25 SAR 3.2 / EDR 3.2 / HDR 3.2 / NDR 3.2 – Protection from malicious code,
C27 EDR 3.10 / HDR 3.10 / NDR 3.10 – Support for updates</v>
      </c>
      <c r="I42" s="23"/>
      <c r="J42" s="37" t="str" cm="1">
        <f t="array" ref="J42">IF($I42="","",SUBSTITUTE(SUBSTITUTE(SUBSTITUTE(SUBSTITUTE(SUBSTITUTE(SUBSTITUTE(SUBSTITUTE(SUBSTITUTE(SUBSTITUTE(GetTransformation(SanitizeInput($I42),'Damage Scenarios'!$A:$J,COLUMNS('Damage Scenarios'!$A:$J),CHAR(10),"[#0][#1][#2]")&amp;"§","[#1][#2]",""),"[#2]",""),"[#0][#1]","[#1]"),"[#0]","Removes:"&amp;CHAR(10)),"[#1]","Transforms:"&amp;CHAR(10)),CHAR(10)&amp;"§",""),"§",""),CHAR(10),CHAR(10)&amp;"   "),"   "&amp;"Transforms:","Transforms:"))</f>
        <v/>
      </c>
      <c r="K42" s="13" t="s">
        <v>135</v>
      </c>
      <c r="L42" s="13" t="s">
        <v>142</v>
      </c>
      <c r="M42" s="13" t="s">
        <v>145</v>
      </c>
      <c r="N42" s="13"/>
      <c r="O42" s="13"/>
      <c r="P42" s="33" t="str">
        <f ca="1">IF($A42="","",IFERROR(VLOOKUP($AD42,Definitions!$V:$W,COLUMNS(Definitions!$V:$W),TRUE),""))</f>
        <v>High</v>
      </c>
      <c r="Q42" s="23" t="s">
        <v>1631</v>
      </c>
      <c r="R42" s="23"/>
      <c r="S42" s="13" t="s">
        <v>1398</v>
      </c>
      <c r="T42" s="10" cm="1">
        <f t="array" ref="T42">IF(ROW()=ROW($T$2)+1,0,INDEX($T:$T,ROW()-1))+IF($A42="",0,1)</f>
        <v>40</v>
      </c>
      <c r="U42" s="20" t="b" cm="1">
        <f t="array" ca="1" aca="1" ref="U42">CheckRelevance(SanitizeInput(E42),Questionnaire!$I:$I)</f>
        <v>0</v>
      </c>
      <c r="V42" s="20" t="b">
        <f>IFERROR(_xlfn.XMATCH("*,"&amp;$A42&amp;",*",Mitigation!$X:$X,2)&gt;0,FALSE)</f>
        <v>0</v>
      </c>
      <c r="W42" s="20" cm="1">
        <f t="array" ref="W42">CreateTaskID($W$2,$W:$W,Tasks!$B$17,$S42)</f>
        <v>1</v>
      </c>
      <c r="X42" s="20" t="str" cm="1">
        <f t="array" ref="X42">IF($E42="","",","&amp;SanitizeInput($E42))</f>
        <v>,AS3,</v>
      </c>
      <c r="Y42" s="20">
        <f>IF(K42="",0,VLOOKUP(K42,Definitions!$Z:$AA,COLUMNS(Definitions!$Z:$AA),FALSE))</f>
        <v>10</v>
      </c>
      <c r="Z42" s="20">
        <f>IF(L42="",0,VLOOKUP(L42,Definitions!$Z:$AA,COLUMNS(Definitions!$Z:$AA),FALSE))</f>
        <v>8</v>
      </c>
      <c r="AA42" s="20">
        <f>IF(M42="",0,VLOOKUP(M42,Definitions!$Z:$AA,COLUMNS(Definitions!$Z:$AA),FALSE))</f>
        <v>3</v>
      </c>
      <c r="AB42" s="20">
        <f>IF(N42="",0,VLOOKUP(N42,Definitions!$Z:$AA,COLUMNS(Definitions!$Z:$AA),FALSE))</f>
        <v>0</v>
      </c>
      <c r="AC42" s="20">
        <f>IF(O42="",0,VLOOKUP(O42,Definitions!$Z:$AA,COLUMNS(Definitions!$Z:$AA),FALSE))</f>
        <v>0</v>
      </c>
      <c r="AD42" s="20">
        <f t="shared" ca="1" si="3"/>
        <v>21</v>
      </c>
      <c r="AE42" s="20" t="str" cm="1">
        <f t="array" ref="AE42">IF($G42="","",","&amp;SanitizeInput($G42))</f>
        <v>,C14,C15,C25,C27,</v>
      </c>
      <c r="AF42" s="20" t="b" cm="1">
        <f t="array" ca="1" aca="1" ref="AF42">OR($AK42,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42,$AE$2,$A$2,Helper!$B$4,",",$A:$V,$A:$AK,InverseLookup($A42,$AE$2,$A$2,1,Helper!$B$4,",")))</f>
        <v>0</v>
      </c>
      <c r="AG42" s="20" t="str" cm="1">
        <f t="array" ca="1" aca="1" ref="AG42">IF(OR($V42,$AF42,$AK42),IF($G42="","",","&amp;SanitizeInput($G42)),"")</f>
        <v/>
      </c>
      <c r="AH42" s="20" t="str" cm="1">
        <f t="array" ref="AH42">SUBSTITUTE(IF($V42,IF($I42="","",","&amp;SanitizeInput($I42)),""),"&gt;",",")</f>
        <v/>
      </c>
      <c r="AI42" s="20" cm="1">
        <f t="array" ca="1" aca="1" ref="AI42">IF(ROW()=ROW($AI$2)+1,0,INDEX($AI:$AI,ROW()-1))+IF($AF42,1,0)</f>
        <v>15</v>
      </c>
      <c r="AJ42" s="20" t="str" cm="1">
        <f t="array" ca="1" aca="1" ref="AJ42">IF($AF42,IF($Q42="","",","&amp;SanitizeInput($Q42)),"")</f>
        <v/>
      </c>
      <c r="AK42" s="20" t="b">
        <f>OR(CheckRelevance(SanitizeInput($D42),Questionnaire!$I:$I),CheckRelevance(SanitizeInput($D42),Questionnaire!$J:$J))</f>
        <v>0</v>
      </c>
      <c r="AL42" s="20" t="str" cm="1">
        <f t="array" ref="AL42">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42),Questionnaire!$AA:$AA,",")</f>
        <v/>
      </c>
      <c r="AM42" s="20" t="str" cm="1">
        <f t="array" ref="AM42">IF($D42="*","",InverseLookupList($AL42,Questionnaire!$AA$3,Questionnaire!$A$3,Helper!$B$12,","))</f>
        <v/>
      </c>
      <c r="AN42" s="20" t="str" cm="1">
        <f t="array" ref="AN42">RemoveDelimiter(GetValues($AM42,Questionnaire!$A:$G," ",CHAR(10)&amp;CHAR(10),TRUE),CHAR(10)&amp;CHAR(10))</f>
        <v/>
      </c>
      <c r="AO42" s="20" t="str" cm="1">
        <f t="array" ref="AO42">CreateSearchString($AM42)</f>
        <v/>
      </c>
      <c r="AP42" s="20" t="str" cm="1">
        <f t="array" ca="1" aca="1" ref="AP42">InverseLookup($A42,Mitigation!$AD$2,Mitigation!$A$2,1,Helper!$B$5,",")</f>
        <v/>
      </c>
      <c r="AQ42" s="20" t="str" cm="1">
        <f t="array" ca="1" aca="1" ref="AQ42">CreateSearchString(GetValues($AP42,'Attack Steps'!$A:$O,"",",",FALSE))</f>
        <v/>
      </c>
      <c r="AR42" s="20" t="str">
        <f t="shared" si="2"/>
        <v>CM2b</v>
      </c>
    </row>
    <row r="43" spans="1:44" ht="60">
      <c r="A43" s="10" t="s">
        <v>756</v>
      </c>
      <c r="B43" s="13" t="s">
        <v>1510</v>
      </c>
      <c r="C43" s="13" t="s">
        <v>1511</v>
      </c>
      <c r="D43" s="13"/>
      <c r="E43" s="13" t="s">
        <v>948</v>
      </c>
      <c r="F43" s="33" t="str" cm="1">
        <f t="array" ca="1" aca="1" ref="F43">LookupNames(SanitizeInput($E43),'Attack Steps'!$A:$B)</f>
        <v>AS32 Extracting or misusing acontis techonlogies GmbH IP</v>
      </c>
      <c r="G43" s="23"/>
      <c r="H43" s="33" t="str" cm="1">
        <f t="array" ref="H43">RemoveDelimiter(GetValuesWithFallback(SanitizeInput($G43),$A:$B,Assumptions!$A:$B," ",","&amp;CHAR(10),TRUE),","&amp;CHAR(10))</f>
        <v/>
      </c>
      <c r="I43" s="23"/>
      <c r="J43" s="37" t="str" cm="1">
        <f t="array" ref="J43">IF($I43="","",SUBSTITUTE(SUBSTITUTE(SUBSTITUTE(SUBSTITUTE(SUBSTITUTE(SUBSTITUTE(SUBSTITUTE(SUBSTITUTE(SUBSTITUTE(GetTransformation(SanitizeInput($I43),'Damage Scenarios'!$A:$J,COLUMNS('Damage Scenarios'!$A:$J),CHAR(10),"[#0][#1][#2]")&amp;"§","[#1][#2]",""),"[#2]",""),"[#0][#1]","[#1]"),"[#0]","Removes:"&amp;CHAR(10)),"[#1]","Transforms:"&amp;CHAR(10)),CHAR(10)&amp;"§",""),"§",""),CHAR(10),CHAR(10)&amp;"   "),"   "&amp;"Transforms:","Transforms:"))</f>
        <v/>
      </c>
      <c r="K43" s="13" t="s">
        <v>134</v>
      </c>
      <c r="L43" s="13" t="s">
        <v>141</v>
      </c>
      <c r="M43" s="13"/>
      <c r="N43" s="13"/>
      <c r="O43" s="13"/>
      <c r="P43" s="33" t="str">
        <f ca="1">IF($A43="","",IFERROR(VLOOKUP($AD43,Definitions!$V:$W,COLUMNS(Definitions!$V:$W),TRUE),""))</f>
        <v>Enhanced-Basic</v>
      </c>
      <c r="Q43" s="23" t="s">
        <v>608</v>
      </c>
      <c r="R43" s="23"/>
      <c r="S43" s="13" t="s">
        <v>1032</v>
      </c>
      <c r="T43" s="10" cm="1">
        <f t="array" ref="T43">IF(ROW()=ROW($T$2)+1,0,INDEX($T:$T,ROW()-1))+IF($A43="",0,1)</f>
        <v>41</v>
      </c>
      <c r="U43" s="20" t="b" cm="1">
        <f t="array" ca="1" aca="1" ref="U43">CheckRelevance(SanitizeInput(E43),Questionnaire!$I:$I)</f>
        <v>0</v>
      </c>
      <c r="V43" s="20" t="b">
        <f>IFERROR(_xlfn.XMATCH("*,"&amp;$A43&amp;",*",Mitigation!$X:$X,2)&gt;0,FALSE)</f>
        <v>0</v>
      </c>
      <c r="W43" s="20" cm="1">
        <f t="array" ref="W43">CreateTaskID($W$2,$W:$W,Tasks!$B$17,$S43)</f>
        <v>1</v>
      </c>
      <c r="X43" s="20" t="str" cm="1">
        <f t="array" ref="X43">IF($E43="","",","&amp;SanitizeInput($E43))</f>
        <v>,AS32,</v>
      </c>
      <c r="Y43" s="20">
        <f>IF(K43="",0,VLOOKUP(K43,Definitions!$Z:$AA,COLUMNS(Definitions!$Z:$AA),FALSE))</f>
        <v>4</v>
      </c>
      <c r="Z43" s="20">
        <f>IF(L43="",0,VLOOKUP(L43,Definitions!$Z:$AA,COLUMNS(Definitions!$Z:$AA),FALSE))</f>
        <v>6</v>
      </c>
      <c r="AA43" s="20">
        <f>IF(M43="",0,VLOOKUP(M43,Definitions!$Z:$AA,COLUMNS(Definitions!$Z:$AA),FALSE))</f>
        <v>0</v>
      </c>
      <c r="AB43" s="20">
        <f>IF(N43="",0,VLOOKUP(N43,Definitions!$Z:$AA,COLUMNS(Definitions!$Z:$AA),FALSE))</f>
        <v>0</v>
      </c>
      <c r="AC43" s="20">
        <f>IF(O43="",0,VLOOKUP(O43,Definitions!$Z:$AA,COLUMNS(Definitions!$Z:$AA),FALSE))</f>
        <v>0</v>
      </c>
      <c r="AD43" s="20">
        <f t="shared" ca="1" si="3"/>
        <v>10</v>
      </c>
      <c r="AE43" s="20" t="str" cm="1">
        <f t="array" ref="AE43">IF($G43="","",","&amp;SanitizeInput($G43))</f>
        <v/>
      </c>
      <c r="AF43" s="20" t="b" cm="1">
        <f t="array" ca="1" aca="1" ref="AF43">OR($AK43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43,$AE$2,$A$2,Helper!$B$4,",",$A:$V,$A:$AK,InverseLookup($A43,$AE$2,$A$2,1,Helper!$B$4,",")))</f>
        <v>0</v>
      </c>
      <c r="AG43" s="20" t="str" cm="1">
        <f t="array" ca="1" aca="1" ref="AG43">IF(OR($V43,$AF43,$AK43),IF($G43="","",","&amp;SanitizeInput($G43)),"")</f>
        <v/>
      </c>
      <c r="AH43" s="20" t="str" cm="1">
        <f t="array" ref="AH43">SUBSTITUTE(IF($V43,IF($I43="","",","&amp;SanitizeInput($I43)),""),"&gt;",",")</f>
        <v/>
      </c>
      <c r="AI43" s="20" cm="1">
        <f t="array" ca="1" aca="1" ref="AI43">IF(ROW()=ROW($AI$2)+1,0,INDEX($AI:$AI,ROW()-1))+IF($AF43,1,0)</f>
        <v>15</v>
      </c>
      <c r="AJ43" s="20" t="str" cm="1">
        <f t="array" ca="1" aca="1" ref="AJ43">IF($AF43,IF($Q43="","",","&amp;SanitizeInput($Q43)),"")</f>
        <v/>
      </c>
      <c r="AK43" s="20" t="b">
        <f>OR(CheckRelevance(SanitizeInput($D43),Questionnaire!$I:$I),CheckRelevance(SanitizeInput($D43),Questionnaire!$J:$J))</f>
        <v>0</v>
      </c>
      <c r="AL43" s="20" t="str" cm="1">
        <f t="array" ref="AL4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43),Questionnaire!$AA:$AA,",")</f>
        <v/>
      </c>
      <c r="AM43" s="20" t="str" cm="1">
        <f t="array" ref="AM43">IF($D43="*","",InverseLookupList($AL43,Questionnaire!$AA$3,Questionnaire!$A$3,Helper!$B$12,","))</f>
        <v/>
      </c>
      <c r="AN43" s="20" t="str" cm="1">
        <f t="array" ref="AN43">RemoveDelimiter(GetValues($AM43,Questionnaire!$A:$G," ",CHAR(10)&amp;CHAR(10),TRUE),CHAR(10)&amp;CHAR(10))</f>
        <v/>
      </c>
      <c r="AO43" s="20" t="str" cm="1">
        <f t="array" ref="AO43">CreateSearchString($AM43)</f>
        <v/>
      </c>
      <c r="AP43" s="20" t="str" cm="1">
        <f t="array" ca="1" aca="1" ref="AP43">InverseLookup($A43,Mitigation!$AD$2,Mitigation!$A$2,1,Helper!$B$5,",")</f>
        <v/>
      </c>
      <c r="AQ43" s="20" t="str" cm="1">
        <f t="array" ca="1" aca="1" ref="AQ43">CreateSearchString(GetValues($AP43,'Attack Steps'!$A:$O,"",",",FALSE))</f>
        <v/>
      </c>
      <c r="AR43" s="20" t="str">
        <f t="shared" si="2"/>
        <v>CM3</v>
      </c>
    </row>
    <row r="44" spans="1:44" ht="210">
      <c r="A44" s="10" t="s">
        <v>757</v>
      </c>
      <c r="B44" s="13" t="s">
        <v>1496</v>
      </c>
      <c r="C44" s="13" t="s">
        <v>1497</v>
      </c>
      <c r="D44" s="13"/>
      <c r="E44" s="13" t="s">
        <v>1666</v>
      </c>
      <c r="F44" s="33" t="str" cm="1">
        <f t="array" ca="1" aca="1" ref="F44">LookupNames(SanitizeInput($E44),'Attack Steps'!$A:$B)</f>
        <v>AS24 Data extraction from the product's persistent memory,
AS30 Extracting information from a decommissioned or second-hand device's persistent memory</v>
      </c>
      <c r="G44" s="23" t="s">
        <v>751</v>
      </c>
      <c r="H44" s="33" t="str" cm="1">
        <f t="array" ca="1" aca="1" ref="H44">RemoveDelimiter(GetValuesWithFallback(SanitizeInput($G44),$A:$B,Assumptions!$A:$B," ",","&amp;CHAR(10),TRUE),","&amp;CHAR(10))</f>
        <v>C29 CR 4.1 – Information confidentiality</v>
      </c>
      <c r="I44" s="23"/>
      <c r="J44" s="37" t="str" cm="1">
        <f t="array" ref="J44">IF($I44="","",SUBSTITUTE(SUBSTITUTE(SUBSTITUTE(SUBSTITUTE(SUBSTITUTE(SUBSTITUTE(SUBSTITUTE(SUBSTITUTE(SUBSTITUTE(GetTransformation(SanitizeInput($I44),'Damage Scenarios'!$A:$J,COLUMNS('Damage Scenarios'!$A:$J),CHAR(10),"[#0][#1][#2]")&amp;"§","[#1][#2]",""),"[#2]",""),"[#0][#1]","[#1]"),"[#0]","Removes:"&amp;CHAR(10)),"[#1]","Transforms:"&amp;CHAR(10)),CHAR(10)&amp;"§",""),"§",""),CHAR(10),CHAR(10)&amp;"   "),"   "&amp;"Transforms:","Transforms:"))</f>
        <v/>
      </c>
      <c r="K44" s="13"/>
      <c r="L44" s="13"/>
      <c r="M44" s="13"/>
      <c r="N44" s="13" t="s">
        <v>151</v>
      </c>
      <c r="O44" s="13"/>
      <c r="P44" s="33" t="str">
        <f ca="1">IF($A44="","",IFERROR(VLOOKUP($AD44,Definitions!$V:$W,COLUMNS(Definitions!$V:$W),TRUE),""))</f>
        <v>Beyond High</v>
      </c>
      <c r="Q44" s="23" t="s">
        <v>608</v>
      </c>
      <c r="R44" s="23"/>
      <c r="S44" s="13" t="s">
        <v>1495</v>
      </c>
      <c r="T44" s="10" cm="1">
        <f t="array" ref="T44">IF(ROW()=ROW($T$2)+1,0,INDEX($T:$T,ROW()-1))+IF($A44="",0,1)</f>
        <v>42</v>
      </c>
      <c r="U44" s="20" t="b" cm="1">
        <f t="array" ca="1" aca="1" ref="U44">CheckRelevance(SanitizeInput(E44),Questionnaire!$I:$I)</f>
        <v>0</v>
      </c>
      <c r="V44" s="20" t="b">
        <f>IFERROR(_xlfn.XMATCH("*,"&amp;$A44&amp;",*",Mitigation!$X:$X,2)&gt;0,FALSE)</f>
        <v>0</v>
      </c>
      <c r="W44" s="20" cm="1">
        <f t="array" ref="W44">CreateTaskID($W$2,$W:$W,Tasks!$B$17,$S44)</f>
        <v>1</v>
      </c>
      <c r="X44" s="20" t="str" cm="1">
        <f t="array" ref="X44">IF($E44="","",","&amp;SanitizeInput($E44))</f>
        <v>,AS24,AS30,</v>
      </c>
      <c r="Y44" s="20">
        <f>IF(K44="",0,VLOOKUP(K44,Definitions!$Z:$AA,COLUMNS(Definitions!$Z:$AA),FALSE))</f>
        <v>0</v>
      </c>
      <c r="Z44" s="20">
        <f>IF(L44="",0,VLOOKUP(L44,Definitions!$Z:$AA,COLUMNS(Definitions!$Z:$AA),FALSE))</f>
        <v>0</v>
      </c>
      <c r="AA44" s="20">
        <f>IF(M44="",0,VLOOKUP(M44,Definitions!$Z:$AA,COLUMNS(Definitions!$Z:$AA),FALSE))</f>
        <v>0</v>
      </c>
      <c r="AB44" s="20">
        <f>IF(N44="",0,VLOOKUP(N44,Definitions!$Z:$AA,COLUMNS(Definitions!$Z:$AA),FALSE))</f>
        <v>25</v>
      </c>
      <c r="AC44" s="20">
        <f>IF(O44="",0,VLOOKUP(O44,Definitions!$Z:$AA,COLUMNS(Definitions!$Z:$AA),FALSE))</f>
        <v>0</v>
      </c>
      <c r="AD44" s="20">
        <f t="shared" ca="1" si="3"/>
        <v>25</v>
      </c>
      <c r="AE44" s="20" t="str" cm="1">
        <f t="array" ref="AE44">IF($G44="","",","&amp;SanitizeInput($G44))</f>
        <v>,C29,</v>
      </c>
      <c r="AF44" s="20" t="b" cm="1">
        <f t="array" ca="1" aca="1" ref="AF44">OR($AK44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44,$AE$2,$A$2,Helper!$B$4,",",$A:$V,$A:$AK,InverseLookup($A44,$AE$2,$A$2,1,Helper!$B$4,",")))</f>
        <v>0</v>
      </c>
      <c r="AG44" s="20" t="str" cm="1">
        <f t="array" ca="1" aca="1" ref="AG44">IF(OR($V44,$AF44,$AK44),IF($G44="","",","&amp;SanitizeInput($G44)),"")</f>
        <v/>
      </c>
      <c r="AH44" s="20" t="str" cm="1">
        <f t="array" ref="AH44">SUBSTITUTE(IF($V44,IF($I44="","",","&amp;SanitizeInput($I44)),""),"&gt;",",")</f>
        <v/>
      </c>
      <c r="AI44" s="20" cm="1">
        <f t="array" ca="1" aca="1" ref="AI44">IF(ROW()=ROW($AI$2)+1,0,INDEX($AI:$AI,ROW()-1))+IF($AF44,1,0)</f>
        <v>15</v>
      </c>
      <c r="AJ44" s="20" t="str" cm="1">
        <f t="array" ca="1" aca="1" ref="AJ44">IF($AF44,IF($Q44="","",","&amp;SanitizeInput($Q44)),"")</f>
        <v/>
      </c>
      <c r="AK44" s="20" t="b">
        <f>OR(CheckRelevance(SanitizeInput($D44),Questionnaire!$I:$I),CheckRelevance(SanitizeInput($D44),Questionnaire!$J:$J))</f>
        <v>0</v>
      </c>
      <c r="AL44" s="20" t="str" cm="1">
        <f t="array" ref="AL4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44),Questionnaire!$AA:$AA,",")</f>
        <v/>
      </c>
      <c r="AM44" s="20" t="str" cm="1">
        <f t="array" ref="AM44">IF($D44="*","",InverseLookupList($AL44,Questionnaire!$AA$3,Questionnaire!$A$3,Helper!$B$12,","))</f>
        <v/>
      </c>
      <c r="AN44" s="20" t="str" cm="1">
        <f t="array" ref="AN44">RemoveDelimiter(GetValues($AM44,Questionnaire!$A:$G," ",CHAR(10)&amp;CHAR(10),TRUE),CHAR(10)&amp;CHAR(10))</f>
        <v/>
      </c>
      <c r="AO44" s="20" t="str" cm="1">
        <f t="array" ref="AO44">CreateSearchString($AM44)</f>
        <v/>
      </c>
      <c r="AP44" s="20" t="str" cm="1">
        <f t="array" ca="1" aca="1" ref="AP44">InverseLookup($A44,Mitigation!$AD$2,Mitigation!$A$2,1,Helper!$B$5,",")</f>
        <v/>
      </c>
      <c r="AQ44" s="20" t="str" cm="1">
        <f t="array" ca="1" aca="1" ref="AQ44">CreateSearchString(GetValues($AP44,'Attack Steps'!$A:$O,"",",",FALSE))</f>
        <v/>
      </c>
      <c r="AR44" s="20" t="str">
        <f t="shared" si="2"/>
        <v>CM4</v>
      </c>
    </row>
    <row r="45" spans="1:44" ht="150">
      <c r="A45" s="10" t="s">
        <v>758</v>
      </c>
      <c r="B45" s="13" t="s">
        <v>1498</v>
      </c>
      <c r="C45" s="13" t="s">
        <v>1499</v>
      </c>
      <c r="D45" s="13"/>
      <c r="E45" s="13" t="s">
        <v>203</v>
      </c>
      <c r="F45" s="33" t="str" cm="1">
        <f t="array" ca="1" aca="1" ref="F45">LookupNames(SanitizeInput($E45),'Attack Steps'!$A:$B)</f>
        <v>AS16 Manipulating the product's configuration via its configuration interface</v>
      </c>
      <c r="G45" s="23" t="s">
        <v>970</v>
      </c>
      <c r="H45" s="33" t="str" cm="1">
        <f t="array" ca="1" aca="1" ref="H45">RemoveDelimiter(GetValuesWithFallback(SanitizeInput($G45),$A:$B,Assumptions!$A:$B," ",","&amp;CHAR(10),TRUE),","&amp;CHAR(10))</f>
        <v>C4 CR 1.1 – Human user identification and authentication,
A19 SDR 1.15 – Password security</v>
      </c>
      <c r="I45" s="23"/>
      <c r="J45" s="37" t="str" cm="1">
        <f t="array" ref="J45">IF($I45="","",SUBSTITUTE(SUBSTITUTE(SUBSTITUTE(SUBSTITUTE(SUBSTITUTE(SUBSTITUTE(SUBSTITUTE(SUBSTITUTE(SUBSTITUTE(GetTransformation(SanitizeInput($I45),'Damage Scenarios'!$A:$J,COLUMNS('Damage Scenarios'!$A:$J),CHAR(10),"[#0][#1][#2]")&amp;"§","[#1][#2]",""),"[#2]",""),"[#0][#1]","[#1]"),"[#0]","Removes:"&amp;CHAR(10)),"[#1]","Transforms:"&amp;CHAR(10)),CHAR(10)&amp;"§",""),"§",""),CHAR(10),CHAR(10)&amp;"   "),"   "&amp;"Transforms:","Transforms:"))</f>
        <v/>
      </c>
      <c r="K45" s="13"/>
      <c r="L45" s="13"/>
      <c r="M45" s="13"/>
      <c r="N45" s="13" t="s">
        <v>151</v>
      </c>
      <c r="O45" s="13"/>
      <c r="P45" s="33" t="str">
        <f ca="1">IF($A45="","",IFERROR(VLOOKUP($AD45,Definitions!$V:$W,COLUMNS(Definitions!$V:$W),TRUE),""))</f>
        <v>Beyond High</v>
      </c>
      <c r="Q45" s="23" t="s">
        <v>607</v>
      </c>
      <c r="R45" s="23"/>
      <c r="S45" s="13" t="s">
        <v>1033</v>
      </c>
      <c r="T45" s="10" cm="1">
        <f t="array" ref="T45">IF(ROW()=ROW($T$2)+1,0,INDEX($T:$T,ROW()-1))+IF($A45="",0,1)</f>
        <v>43</v>
      </c>
      <c r="U45" s="20" t="b" cm="1">
        <f t="array" ca="1" aca="1" ref="U45">CheckRelevance(SanitizeInput(E45),Questionnaire!$I:$I)</f>
        <v>0</v>
      </c>
      <c r="V45" s="20" t="b">
        <f>IFERROR(_xlfn.XMATCH("*,"&amp;$A45&amp;",*",Mitigation!$X:$X,2)&gt;0,FALSE)</f>
        <v>0</v>
      </c>
      <c r="W45" s="20" cm="1">
        <f t="array" ref="W45">CreateTaskID($W$2,$W:$W,Tasks!$B$17,$S45)</f>
        <v>1</v>
      </c>
      <c r="X45" s="20" t="str" cm="1">
        <f t="array" ref="X45">IF($E45="","",","&amp;SanitizeInput($E45))</f>
        <v>,AS16,</v>
      </c>
      <c r="Y45" s="20">
        <f>IF(K45="",0,VLOOKUP(K45,Definitions!$Z:$AA,COLUMNS(Definitions!$Z:$AA),FALSE))</f>
        <v>0</v>
      </c>
      <c r="Z45" s="20">
        <f>IF(L45="",0,VLOOKUP(L45,Definitions!$Z:$AA,COLUMNS(Definitions!$Z:$AA),FALSE))</f>
        <v>0</v>
      </c>
      <c r="AA45" s="20">
        <f>IF(M45="",0,VLOOKUP(M45,Definitions!$Z:$AA,COLUMNS(Definitions!$Z:$AA),FALSE))</f>
        <v>0</v>
      </c>
      <c r="AB45" s="20">
        <f>IF(N45="",0,VLOOKUP(N45,Definitions!$Z:$AA,COLUMNS(Definitions!$Z:$AA),FALSE))</f>
        <v>25</v>
      </c>
      <c r="AC45" s="20">
        <f>IF(O45="",0,VLOOKUP(O45,Definitions!$Z:$AA,COLUMNS(Definitions!$Z:$AA),FALSE))</f>
        <v>0</v>
      </c>
      <c r="AD45" s="20">
        <f t="shared" ca="1" si="3"/>
        <v>25</v>
      </c>
      <c r="AE45" s="20" t="str" cm="1">
        <f t="array" ref="AE45">IF($G45="","",","&amp;SanitizeInput($G45))</f>
        <v>,C4,A19,</v>
      </c>
      <c r="AF45" s="20" t="b" cm="1">
        <f t="array" ca="1" aca="1" ref="AF45">OR($AK45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45,$AE$2,$A$2,Helper!$B$4,",",$A:$V,$A:$AK,InverseLookup($A45,$AE$2,$A$2,1,Helper!$B$4,",")))</f>
        <v>0</v>
      </c>
      <c r="AG45" s="20" t="str" cm="1">
        <f t="array" ca="1" aca="1" ref="AG45">IF(OR($V45,$AF45,$AK45),IF($G45="","",","&amp;SanitizeInput($G45)),"")</f>
        <v/>
      </c>
      <c r="AH45" s="20" t="str" cm="1">
        <f t="array" ref="AH45">SUBSTITUTE(IF($V45,IF($I45="","",","&amp;SanitizeInput($I45)),""),"&gt;",",")</f>
        <v/>
      </c>
      <c r="AI45" s="20" cm="1">
        <f t="array" ca="1" aca="1" ref="AI45">IF(ROW()=ROW($AI$2)+1,0,INDEX($AI:$AI,ROW()-1))+IF($AF45,1,0)</f>
        <v>15</v>
      </c>
      <c r="AJ45" s="20" t="str" cm="1">
        <f t="array" ca="1" aca="1" ref="AJ45">IF($AF45,IF($Q45="","",","&amp;SanitizeInput($Q45)),"")</f>
        <v/>
      </c>
      <c r="AK45" s="20" t="b">
        <f>OR(CheckRelevance(SanitizeInput($D45),Questionnaire!$I:$I),CheckRelevance(SanitizeInput($D45),Questionnaire!$J:$J))</f>
        <v>0</v>
      </c>
      <c r="AL45" s="20" t="str" cm="1">
        <f t="array" ref="AL4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45),Questionnaire!$AA:$AA,",")</f>
        <v/>
      </c>
      <c r="AM45" s="20" t="str" cm="1">
        <f t="array" ref="AM45">IF($D45="*","",InverseLookupList($AL45,Questionnaire!$AA$3,Questionnaire!$A$3,Helper!$B$12,","))</f>
        <v/>
      </c>
      <c r="AN45" s="20" t="str" cm="1">
        <f t="array" ref="AN45">RemoveDelimiter(GetValues($AM45,Questionnaire!$A:$G," ",CHAR(10)&amp;CHAR(10),TRUE),CHAR(10)&amp;CHAR(10))</f>
        <v/>
      </c>
      <c r="AO45" s="20" t="str" cm="1">
        <f t="array" ref="AO45">CreateSearchString($AM45)</f>
        <v/>
      </c>
      <c r="AP45" s="20" t="str" cm="1">
        <f t="array" ca="1" aca="1" ref="AP45">InverseLookup($A45,Mitigation!$AD$2,Mitigation!$A$2,1,Helper!$B$5,",")</f>
        <v/>
      </c>
      <c r="AQ45" s="20" t="str" cm="1">
        <f t="array" ca="1" aca="1" ref="AQ45">CreateSearchString(GetValues($AP45,'Attack Steps'!$A:$O,"",",",FALSE))</f>
        <v/>
      </c>
      <c r="AR45" s="20" t="str">
        <f t="shared" si="2"/>
        <v>CM5</v>
      </c>
    </row>
    <row r="46" spans="1:44" ht="210">
      <c r="A46" s="10" t="s">
        <v>759</v>
      </c>
      <c r="B46" s="13" t="s">
        <v>1500</v>
      </c>
      <c r="C46" s="13" t="s">
        <v>1501</v>
      </c>
      <c r="D46" s="13"/>
      <c r="E46" s="13" t="s">
        <v>203</v>
      </c>
      <c r="F46" s="33" t="str" cm="1">
        <f t="array" ca="1" aca="1" ref="F46">LookupNames(SanitizeInput($E46),'Attack Steps'!$A:$B)</f>
        <v>AS16 Manipulating the product's configuration via its configuration interface</v>
      </c>
      <c r="G46" s="23" t="s">
        <v>1011</v>
      </c>
      <c r="H46" s="33" t="str" cm="1">
        <f t="array" ca="1" aca="1" ref="H46">RemoveDelimiter(GetValuesWithFallback(SanitizeInput($G46),$A:$B,Assumptions!$A:$B," ",","&amp;CHAR(10),TRUE),","&amp;CHAR(10))</f>
        <v>C4 CR 1.1 – Human user identification and authentication,
C18 CR 4.3 – Use of cryptography</v>
      </c>
      <c r="I46" s="23"/>
      <c r="J46" s="37" t="str" cm="1">
        <f t="array" ref="J46">IF($I46="","",SUBSTITUTE(SUBSTITUTE(SUBSTITUTE(SUBSTITUTE(SUBSTITUTE(SUBSTITUTE(SUBSTITUTE(SUBSTITUTE(SUBSTITUTE(GetTransformation(SanitizeInput($I46),'Damage Scenarios'!$A:$J,COLUMNS('Damage Scenarios'!$A:$J),CHAR(10),"[#0][#1][#2]")&amp;"§","[#1][#2]",""),"[#2]",""),"[#0][#1]","[#1]"),"[#0]","Removes:"&amp;CHAR(10)),"[#1]","Transforms:"&amp;CHAR(10)),CHAR(10)&amp;"§",""),"§",""),CHAR(10),CHAR(10)&amp;"   "),"   "&amp;"Transforms:","Transforms:"))</f>
        <v/>
      </c>
      <c r="K46" s="13"/>
      <c r="L46" s="13"/>
      <c r="M46" s="13"/>
      <c r="N46" s="13" t="s">
        <v>151</v>
      </c>
      <c r="O46" s="13"/>
      <c r="P46" s="33" t="str">
        <f ca="1">IF($A46="","",IFERROR(VLOOKUP($AD46,Definitions!$V:$W,COLUMNS(Definitions!$V:$W),TRUE),""))</f>
        <v>Beyond High</v>
      </c>
      <c r="Q46" s="23" t="s">
        <v>607</v>
      </c>
      <c r="R46" s="23"/>
      <c r="S46" s="13" t="s">
        <v>1034</v>
      </c>
      <c r="T46" s="10" cm="1">
        <f t="array" ref="T46">IF(ROW()=ROW($T$2)+1,0,INDEX($T:$T,ROW()-1))+IF($A46="",0,1)</f>
        <v>44</v>
      </c>
      <c r="U46" s="20" t="b" cm="1">
        <f t="array" ca="1" aca="1" ref="U46">CheckRelevance(SanitizeInput(E46),Questionnaire!$I:$I)</f>
        <v>0</v>
      </c>
      <c r="V46" s="20" t="b">
        <f>IFERROR(_xlfn.XMATCH("*,"&amp;$A46&amp;",*",Mitigation!$X:$X,2)&gt;0,FALSE)</f>
        <v>0</v>
      </c>
      <c r="W46" s="20" cm="1">
        <f t="array" ref="W46">CreateTaskID($W$2,$W:$W,Tasks!$B$17,$S46)</f>
        <v>1</v>
      </c>
      <c r="X46" s="20" t="str" cm="1">
        <f t="array" ref="X46">IF($E46="","",","&amp;SanitizeInput($E46))</f>
        <v>,AS16,</v>
      </c>
      <c r="Y46" s="20">
        <f>IF(K46="",0,VLOOKUP(K46,Definitions!$Z:$AA,COLUMNS(Definitions!$Z:$AA),FALSE))</f>
        <v>0</v>
      </c>
      <c r="Z46" s="20">
        <f>IF(L46="",0,VLOOKUP(L46,Definitions!$Z:$AA,COLUMNS(Definitions!$Z:$AA),FALSE))</f>
        <v>0</v>
      </c>
      <c r="AA46" s="20">
        <f>IF(M46="",0,VLOOKUP(M46,Definitions!$Z:$AA,COLUMNS(Definitions!$Z:$AA),FALSE))</f>
        <v>0</v>
      </c>
      <c r="AB46" s="20">
        <f>IF(N46="",0,VLOOKUP(N46,Definitions!$Z:$AA,COLUMNS(Definitions!$Z:$AA),FALSE))</f>
        <v>25</v>
      </c>
      <c r="AC46" s="20">
        <f>IF(O46="",0,VLOOKUP(O46,Definitions!$Z:$AA,COLUMNS(Definitions!$Z:$AA),FALSE))</f>
        <v>0</v>
      </c>
      <c r="AD46" s="20">
        <f t="shared" ca="1" si="3"/>
        <v>25</v>
      </c>
      <c r="AE46" s="20" t="str" cm="1">
        <f t="array" ref="AE46">IF($G46="","",","&amp;SanitizeInput($G46))</f>
        <v>,C4,C18,</v>
      </c>
      <c r="AF46" s="20" t="b" cm="1">
        <f t="array" ca="1" aca="1" ref="AF46">OR($AK46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46,$AE$2,$A$2,Helper!$B$4,",",$A:$V,$A:$AK,InverseLookup($A46,$AE$2,$A$2,1,Helper!$B$4,",")))</f>
        <v>0</v>
      </c>
      <c r="AG46" s="20" t="str" cm="1">
        <f t="array" ca="1" aca="1" ref="AG46">IF(OR($V46,$AF46,$AK46),IF($G46="","",","&amp;SanitizeInput($G46)),"")</f>
        <v/>
      </c>
      <c r="AH46" s="20" t="str" cm="1">
        <f t="array" ref="AH46">SUBSTITUTE(IF($V46,IF($I46="","",","&amp;SanitizeInput($I46)),""),"&gt;",",")</f>
        <v/>
      </c>
      <c r="AI46" s="20" cm="1">
        <f t="array" ca="1" aca="1" ref="AI46">IF(ROW()=ROW($AI$2)+1,0,INDEX($AI:$AI,ROW()-1))+IF($AF46,1,0)</f>
        <v>15</v>
      </c>
      <c r="AJ46" s="20" t="str" cm="1">
        <f t="array" ca="1" aca="1" ref="AJ46">IF($AF46,IF($Q46="","",","&amp;SanitizeInput($Q46)),"")</f>
        <v/>
      </c>
      <c r="AK46" s="20" t="b">
        <f>OR(CheckRelevance(SanitizeInput($D46),Questionnaire!$I:$I),CheckRelevance(SanitizeInput($D46),Questionnaire!$J:$J))</f>
        <v>0</v>
      </c>
      <c r="AL46" s="20" t="str" cm="1">
        <f t="array" ref="AL4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46),Questionnaire!$AA:$AA,",")</f>
        <v/>
      </c>
      <c r="AM46" s="20" t="str" cm="1">
        <f t="array" ref="AM46">IF($D46="*","",InverseLookupList($AL46,Questionnaire!$AA$3,Questionnaire!$A$3,Helper!$B$12,","))</f>
        <v/>
      </c>
      <c r="AN46" s="20" t="str" cm="1">
        <f t="array" ref="AN46">RemoveDelimiter(GetValues($AM46,Questionnaire!$A:$G," ",CHAR(10)&amp;CHAR(10),TRUE),CHAR(10)&amp;CHAR(10))</f>
        <v/>
      </c>
      <c r="AO46" s="20" t="str" cm="1">
        <f t="array" ref="AO46">CreateSearchString($AM46)</f>
        <v/>
      </c>
      <c r="AP46" s="20" t="str" cm="1">
        <f t="array" ca="1" aca="1" ref="AP46">InverseLookup($A46,Mitigation!$AD$2,Mitigation!$A$2,1,Helper!$B$5,",")</f>
        <v/>
      </c>
      <c r="AQ46" s="20" t="str" cm="1">
        <f t="array" ca="1" aca="1" ref="AQ46">CreateSearchString(GetValues($AP46,'Attack Steps'!$A:$O,"",",",FALSE))</f>
        <v/>
      </c>
      <c r="AR46" s="20" t="str">
        <f t="shared" si="2"/>
        <v>CM6</v>
      </c>
    </row>
    <row r="47" spans="1:44" ht="210">
      <c r="A47" s="10" t="s">
        <v>760</v>
      </c>
      <c r="B47" s="13" t="s">
        <v>1507</v>
      </c>
      <c r="C47" s="13" t="s">
        <v>1483</v>
      </c>
      <c r="D47" s="13"/>
      <c r="E47" s="13" t="s">
        <v>335</v>
      </c>
      <c r="F47" s="33" t="str" cm="1">
        <f t="array" ca="1" aca="1" ref="F47">LookupNames(SanitizeInput($E47),'Attack Steps'!$A:$B)</f>
        <v>AS23 Compromising the product with direct access to its persistent memory</v>
      </c>
      <c r="G47" s="23"/>
      <c r="H47" s="33" t="str" cm="1">
        <f t="array" ref="H47">RemoveDelimiter(GetValuesWithFallback(SanitizeInput($G47),$A:$B,Assumptions!$A:$B," ",","&amp;CHAR(10),TRUE),","&amp;CHAR(10))</f>
        <v/>
      </c>
      <c r="I47" s="23"/>
      <c r="J47" s="37" t="str" cm="1">
        <f t="array" ref="J47">IF($I47="","",SUBSTITUTE(SUBSTITUTE(SUBSTITUTE(SUBSTITUTE(SUBSTITUTE(SUBSTITUTE(SUBSTITUTE(SUBSTITUTE(SUBSTITUTE(GetTransformation(SanitizeInput($I47),'Damage Scenarios'!$A:$J,COLUMNS('Damage Scenarios'!$A:$J),CHAR(10),"[#0][#1][#2]")&amp;"§","[#1][#2]",""),"[#2]",""),"[#0][#1]","[#1]"),"[#0]","Removes:"&amp;CHAR(10)),"[#1]","Transforms:"&amp;CHAR(10)),CHAR(10)&amp;"§",""),"§",""),CHAR(10),CHAR(10)&amp;"   "),"   "&amp;"Transforms:","Transforms:"))</f>
        <v/>
      </c>
      <c r="K47" s="13" t="s">
        <v>135</v>
      </c>
      <c r="L47" s="13" t="s">
        <v>141</v>
      </c>
      <c r="M47" s="13" t="s">
        <v>144</v>
      </c>
      <c r="N47" s="13" t="s">
        <v>150</v>
      </c>
      <c r="O47" s="13" t="s">
        <v>154</v>
      </c>
      <c r="P47" s="33" t="str">
        <f ca="1">IF($A47="","",IFERROR(VLOOKUP($AD47,Definitions!$V:$W,COLUMNS(Definitions!$V:$W),TRUE),""))</f>
        <v>Beyond High</v>
      </c>
      <c r="Q47" s="23" t="s">
        <v>604</v>
      </c>
      <c r="R47" s="23"/>
      <c r="S47" s="13" t="s">
        <v>1230</v>
      </c>
      <c r="T47" s="10" cm="1">
        <f t="array" ref="T47">IF(ROW()=ROW($T$2)+1,0,INDEX($T:$T,ROW()-1))+IF($A47="",0,1)</f>
        <v>45</v>
      </c>
      <c r="U47" s="20" t="b" cm="1">
        <f t="array" ca="1" aca="1" ref="U47">CheckRelevance(SanitizeInput(E47),Questionnaire!$I:$I)</f>
        <v>0</v>
      </c>
      <c r="V47" s="20" t="b">
        <f>IFERROR(_xlfn.XMATCH("*,"&amp;$A47&amp;",*",Mitigation!$X:$X,2)&gt;0,FALSE)</f>
        <v>0</v>
      </c>
      <c r="W47" s="20" cm="1">
        <f t="array" ref="W47">CreateTaskID($W$2,$W:$W,Tasks!$B$17,$S47)</f>
        <v>1</v>
      </c>
      <c r="X47" s="20" t="str" cm="1">
        <f t="array" ref="X47">IF($E47="","",","&amp;SanitizeInput($E47))</f>
        <v>,AS23,</v>
      </c>
      <c r="Y47" s="20">
        <f>IF(K47="",0,VLOOKUP(K47,Definitions!$Z:$AA,COLUMNS(Definitions!$Z:$AA),FALSE))</f>
        <v>10</v>
      </c>
      <c r="Z47" s="20">
        <f>IF(L47="",0,VLOOKUP(L47,Definitions!$Z:$AA,COLUMNS(Definitions!$Z:$AA),FALSE))</f>
        <v>6</v>
      </c>
      <c r="AA47" s="20">
        <f>IF(M47="",0,VLOOKUP(M47,Definitions!$Z:$AA,COLUMNS(Definitions!$Z:$AA),FALSE))</f>
        <v>0</v>
      </c>
      <c r="AB47" s="20">
        <f>IF(N47="",0,VLOOKUP(N47,Definitions!$Z:$AA,COLUMNS(Definitions!$Z:$AA),FALSE))</f>
        <v>10</v>
      </c>
      <c r="AC47" s="20">
        <f>IF(O47="",0,VLOOKUP(O47,Definitions!$Z:$AA,COLUMNS(Definitions!$Z:$AA),FALSE))</f>
        <v>4</v>
      </c>
      <c r="AD47" s="20">
        <f t="shared" ca="1" si="3"/>
        <v>30</v>
      </c>
      <c r="AE47" s="20" t="str" cm="1">
        <f t="array" ref="AE47">IF($G47="","",","&amp;SanitizeInput($G47))</f>
        <v/>
      </c>
      <c r="AF47" s="20" t="b" cm="1">
        <f t="array" ca="1" aca="1" ref="AF47">OR($AK47,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47,$AE$2,$A$2,Helper!$B$4,",",$A:$V,$A:$AK,InverseLookup($A47,$AE$2,$A$2,1,Helper!$B$4,",")))</f>
        <v>0</v>
      </c>
      <c r="AG47" s="20" t="str" cm="1">
        <f t="array" ca="1" aca="1" ref="AG47">IF(OR($V47,$AF47,$AK47),IF($G47="","",","&amp;SanitizeInput($G47)),"")</f>
        <v/>
      </c>
      <c r="AH47" s="20" t="str" cm="1">
        <f t="array" ref="AH47">SUBSTITUTE(IF($V47,IF($I47="","",","&amp;SanitizeInput($I47)),""),"&gt;",",")</f>
        <v/>
      </c>
      <c r="AI47" s="20" cm="1">
        <f t="array" ca="1" aca="1" ref="AI47">IF(ROW()=ROW($AI$2)+1,0,INDEX($AI:$AI,ROW()-1))+IF($AF47,1,0)</f>
        <v>15</v>
      </c>
      <c r="AJ47" s="20" t="str" cm="1">
        <f t="array" ca="1" aca="1" ref="AJ47">IF($AF47,IF($Q47="","",","&amp;SanitizeInput($Q47)),"")</f>
        <v/>
      </c>
      <c r="AK47" s="20" t="b">
        <f>OR(CheckRelevance(SanitizeInput($D47),Questionnaire!$I:$I),CheckRelevance(SanitizeInput($D47),Questionnaire!$J:$J))</f>
        <v>0</v>
      </c>
      <c r="AL47" s="20" t="str" cm="1">
        <f t="array" ref="AL47">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47),Questionnaire!$AA:$AA,",")</f>
        <v/>
      </c>
      <c r="AM47" s="20" t="str" cm="1">
        <f t="array" ref="AM47">IF($D47="*","",InverseLookupList($AL47,Questionnaire!$AA$3,Questionnaire!$A$3,Helper!$B$12,","))</f>
        <v/>
      </c>
      <c r="AN47" s="20" t="str" cm="1">
        <f t="array" ref="AN47">RemoveDelimiter(GetValues($AM47,Questionnaire!$A:$G," ",CHAR(10)&amp;CHAR(10),TRUE),CHAR(10)&amp;CHAR(10))</f>
        <v/>
      </c>
      <c r="AO47" s="20" t="str" cm="1">
        <f t="array" ref="AO47">CreateSearchString($AM47)</f>
        <v/>
      </c>
      <c r="AP47" s="20" t="str" cm="1">
        <f t="array" ca="1" aca="1" ref="AP47">InverseLookup($A47,Mitigation!$AD$2,Mitigation!$A$2,1,Helper!$B$5,",")</f>
        <v/>
      </c>
      <c r="AQ47" s="20" t="str" cm="1">
        <f t="array" ca="1" aca="1" ref="AQ47">CreateSearchString(GetValues($AP47,'Attack Steps'!$A:$O,"",",",FALSE))</f>
        <v/>
      </c>
      <c r="AR47" s="20" t="str">
        <f t="shared" si="2"/>
        <v>CM7</v>
      </c>
    </row>
    <row r="48" spans="1:44" ht="60">
      <c r="A48" s="10" t="s">
        <v>761</v>
      </c>
      <c r="B48" s="13" t="s">
        <v>1508</v>
      </c>
      <c r="C48" s="13" t="s">
        <v>1506</v>
      </c>
      <c r="D48" s="13"/>
      <c r="E48" s="13" t="s">
        <v>1004</v>
      </c>
      <c r="F48" s="33" t="str" cm="1">
        <f t="array" ca="1" aca="1" ref="F48">LookupNames(SanitizeInput($E48),'Attack Steps'!$A:$B)</f>
        <v>AS25 Accessing the product's debug interfaces remotely,
AS26 Accessing the product's physical debug interfaces</v>
      </c>
      <c r="G48" s="23" t="s">
        <v>654</v>
      </c>
      <c r="H48" s="33" t="str" cm="1">
        <f t="array" ca="1" aca="1" ref="H48">RemoveDelimiter(GetValuesWithFallback(SanitizeInput($G48),$A:$B,Assumptions!$A:$B," ",","&amp;CHAR(10),TRUE),","&amp;CHAR(10))</f>
        <v>C26 EDR 2.13 / HDR 2.13 / NDR 2.13 – Use of physical diagnostic and test interfaces</v>
      </c>
      <c r="I48" s="23"/>
      <c r="J48" s="37" t="str" cm="1">
        <f t="array" ref="J48">IF($I48="","",SUBSTITUTE(SUBSTITUTE(SUBSTITUTE(SUBSTITUTE(SUBSTITUTE(SUBSTITUTE(SUBSTITUTE(SUBSTITUTE(SUBSTITUTE(GetTransformation(SanitizeInput($I48),'Damage Scenarios'!$A:$J,COLUMNS('Damage Scenarios'!$A:$J),CHAR(10),"[#0][#1][#2]")&amp;"§","[#1][#2]",""),"[#2]",""),"[#0][#1]","[#1]"),"[#0]","Removes:"&amp;CHAR(10)),"[#1]","Transforms:"&amp;CHAR(10)),CHAR(10)&amp;"§",""),"§",""),CHAR(10),CHAR(10)&amp;"   "),"   "&amp;"Transforms:","Transforms:"))</f>
        <v/>
      </c>
      <c r="K48" s="13"/>
      <c r="L48" s="13"/>
      <c r="M48" s="13"/>
      <c r="N48" s="13" t="s">
        <v>151</v>
      </c>
      <c r="O48" s="13"/>
      <c r="P48" s="33" t="str">
        <f ca="1">IF($A48="","",IFERROR(VLOOKUP($AD48,Definitions!$V:$W,COLUMNS(Definitions!$V:$W),TRUE),""))</f>
        <v>Beyond High</v>
      </c>
      <c r="Q48" s="23" t="s">
        <v>1628</v>
      </c>
      <c r="R48" s="23"/>
      <c r="S48" s="13" t="s">
        <v>1035</v>
      </c>
      <c r="T48" s="10" cm="1">
        <f t="array" ref="T48">IF(ROW()=ROW($T$2)+1,0,INDEX($T:$T,ROW()-1))+IF($A48="",0,1)</f>
        <v>46</v>
      </c>
      <c r="U48" s="20" t="b" cm="1">
        <f t="array" ca="1" aca="1" ref="U48">CheckRelevance(SanitizeInput(E48),Questionnaire!$I:$I)</f>
        <v>0</v>
      </c>
      <c r="V48" s="20" t="b">
        <f>IFERROR(_xlfn.XMATCH("*,"&amp;$A48&amp;",*",Mitigation!$X:$X,2)&gt;0,FALSE)</f>
        <v>0</v>
      </c>
      <c r="W48" s="20" cm="1">
        <f t="array" ref="W48">CreateTaskID($W$2,$W:$W,Tasks!$B$17,$S48)</f>
        <v>1</v>
      </c>
      <c r="X48" s="20" t="str" cm="1">
        <f t="array" ref="X48">IF($E48="","",","&amp;SanitizeInput($E48))</f>
        <v>,AS25,AS26,</v>
      </c>
      <c r="Y48" s="20">
        <f>IF(K48="",0,VLOOKUP(K48,Definitions!$Z:$AA,COLUMNS(Definitions!$Z:$AA),FALSE))</f>
        <v>0</v>
      </c>
      <c r="Z48" s="20">
        <f>IF(L48="",0,VLOOKUP(L48,Definitions!$Z:$AA,COLUMNS(Definitions!$Z:$AA),FALSE))</f>
        <v>0</v>
      </c>
      <c r="AA48" s="20">
        <f>IF(M48="",0,VLOOKUP(M48,Definitions!$Z:$AA,COLUMNS(Definitions!$Z:$AA),FALSE))</f>
        <v>0</v>
      </c>
      <c r="AB48" s="20">
        <f>IF(N48="",0,VLOOKUP(N48,Definitions!$Z:$AA,COLUMNS(Definitions!$Z:$AA),FALSE))</f>
        <v>25</v>
      </c>
      <c r="AC48" s="20">
        <f>IF(O48="",0,VLOOKUP(O48,Definitions!$Z:$AA,COLUMNS(Definitions!$Z:$AA),FALSE))</f>
        <v>0</v>
      </c>
      <c r="AD48" s="20">
        <f t="shared" ca="1" si="3"/>
        <v>25</v>
      </c>
      <c r="AE48" s="20" t="str" cm="1">
        <f t="array" ref="AE48">IF($G48="","",","&amp;SanitizeInput($G48))</f>
        <v>,C26,</v>
      </c>
      <c r="AF48" s="20" t="b" cm="1">
        <f t="array" ca="1" aca="1" ref="AF48">OR($AK48,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48,$AE$2,$A$2,Helper!$B$4,",",$A:$V,$A:$AK,InverseLookup($A48,$AE$2,$A$2,1,Helper!$B$4,",")))</f>
        <v>0</v>
      </c>
      <c r="AG48" s="20" t="str" cm="1">
        <f t="array" ca="1" aca="1" ref="AG48">IF(OR($V48,$AF48,$AK48),IF($G48="","",","&amp;SanitizeInput($G48)),"")</f>
        <v/>
      </c>
      <c r="AH48" s="20" t="str" cm="1">
        <f t="array" ref="AH48">SUBSTITUTE(IF($V48,IF($I48="","",","&amp;SanitizeInput($I48)),""),"&gt;",",")</f>
        <v/>
      </c>
      <c r="AI48" s="20" cm="1">
        <f t="array" ca="1" aca="1" ref="AI48">IF(ROW()=ROW($AI$2)+1,0,INDEX($AI:$AI,ROW()-1))+IF($AF48,1,0)</f>
        <v>15</v>
      </c>
      <c r="AJ48" s="20" t="str" cm="1">
        <f t="array" ca="1" aca="1" ref="AJ48">IF($AF48,IF($Q48="","",","&amp;SanitizeInput($Q48)),"")</f>
        <v/>
      </c>
      <c r="AK48" s="20" t="b">
        <f>OR(CheckRelevance(SanitizeInput($D48),Questionnaire!$I:$I),CheckRelevance(SanitizeInput($D48),Questionnaire!$J:$J))</f>
        <v>0</v>
      </c>
      <c r="AL48" s="20" t="str" cm="1">
        <f t="array" ref="AL48">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48),Questionnaire!$AA:$AA,",")</f>
        <v/>
      </c>
      <c r="AM48" s="20" t="str" cm="1">
        <f t="array" ref="AM48">IF($D48="*","",InverseLookupList($AL48,Questionnaire!$AA$3,Questionnaire!$A$3,Helper!$B$12,","))</f>
        <v/>
      </c>
      <c r="AN48" s="20" t="str" cm="1">
        <f t="array" ref="AN48">RemoveDelimiter(GetValues($AM48,Questionnaire!$A:$G," ",CHAR(10)&amp;CHAR(10),TRUE),CHAR(10)&amp;CHAR(10))</f>
        <v/>
      </c>
      <c r="AO48" s="20" t="str" cm="1">
        <f t="array" ref="AO48">CreateSearchString($AM48)</f>
        <v/>
      </c>
      <c r="AP48" s="20" t="str" cm="1">
        <f t="array" ca="1" aca="1" ref="AP48">InverseLookup($A48,Mitigation!$AD$2,Mitigation!$A$2,1,Helper!$B$5,",")</f>
        <v/>
      </c>
      <c r="AQ48" s="20" t="str" cm="1">
        <f t="array" ca="1" aca="1" ref="AQ48">CreateSearchString(GetValues($AP48,'Attack Steps'!$A:$O,"",",",FALSE))</f>
        <v/>
      </c>
      <c r="AR48" s="20" t="str">
        <f t="shared" si="2"/>
        <v>CM8</v>
      </c>
    </row>
    <row r="49" spans="1:44" ht="105">
      <c r="A49" s="10" t="s">
        <v>762</v>
      </c>
      <c r="B49" s="13" t="s">
        <v>1509</v>
      </c>
      <c r="C49" s="13" t="s">
        <v>1505</v>
      </c>
      <c r="D49" s="13"/>
      <c r="E49" s="13" t="s">
        <v>112</v>
      </c>
      <c r="F49" s="33" t="str" cm="1">
        <f t="array" ca="1" aca="1" ref="F49">LookupNames(SanitizeInput($E49),'Attack Steps'!$A:$B)</f>
        <v>AS6 Spoofing / tampering with the product's outgoing communication</v>
      </c>
      <c r="G49" s="23" t="s">
        <v>1150</v>
      </c>
      <c r="H49" s="33" t="str" cm="1">
        <f t="array" ca="1" aca="1" ref="H49">RemoveDelimiter(GetValuesWithFallback(SanitizeInput($G49),$A:$B,Assumptions!$A:$B," ",","&amp;CHAR(10),TRUE),","&amp;CHAR(10))</f>
        <v>C1 CCSC 1: Support of essential functions,
C18 CR 4.3 – Use of cryptography</v>
      </c>
      <c r="I49" s="23"/>
      <c r="J49" s="37" t="str" cm="1">
        <f t="array" ref="J49">IF($I49="","",SUBSTITUTE(SUBSTITUTE(SUBSTITUTE(SUBSTITUTE(SUBSTITUTE(SUBSTITUTE(SUBSTITUTE(SUBSTITUTE(SUBSTITUTE(GetTransformation(SanitizeInput($I49),'Damage Scenarios'!$A:$J,COLUMNS('Damage Scenarios'!$A:$J),CHAR(10),"[#0][#1][#2]")&amp;"§","[#1][#2]",""),"[#2]",""),"[#0][#1]","[#1]"),"[#0]","Removes:"&amp;CHAR(10)),"[#1]","Transforms:"&amp;CHAR(10)),CHAR(10)&amp;"§",""),"§",""),CHAR(10),CHAR(10)&amp;"   "),"   "&amp;"Transforms:","Transforms:"))</f>
        <v/>
      </c>
      <c r="K49" s="13" t="s">
        <v>137</v>
      </c>
      <c r="L49" s="13"/>
      <c r="M49" s="13"/>
      <c r="N49" s="13"/>
      <c r="O49" s="13"/>
      <c r="P49" s="33" t="str">
        <f ca="1">IF($A49="","",IFERROR(VLOOKUP($AD49,Definitions!$V:$W,COLUMNS(Definitions!$V:$W),TRUE),""))</f>
        <v>Beyond High</v>
      </c>
      <c r="Q49" s="23" t="s">
        <v>1626</v>
      </c>
      <c r="R49" s="23"/>
      <c r="S49" s="13" t="s">
        <v>1504</v>
      </c>
      <c r="T49" s="10" cm="1">
        <f t="array" ref="T49">IF(ROW()=ROW($T$2)+1,0,INDEX($T:$T,ROW()-1))+IF($A49="",0,1)</f>
        <v>47</v>
      </c>
      <c r="U49" s="20" t="b" cm="1">
        <f t="array" ca="1" aca="1" ref="U49">CheckRelevance(SanitizeInput(E49),Questionnaire!$I:$I)</f>
        <v>0</v>
      </c>
      <c r="V49" s="20" t="b">
        <f>IFERROR(_xlfn.XMATCH("*,"&amp;$A49&amp;",*",Mitigation!$X:$X,2)&gt;0,FALSE)</f>
        <v>0</v>
      </c>
      <c r="W49" s="20" cm="1">
        <f t="array" ref="W49">CreateTaskID($W$2,$W:$W,Tasks!$B$17,$S49)</f>
        <v>1</v>
      </c>
      <c r="X49" s="20" t="str" cm="1">
        <f t="array" ref="X49">IF($E49="","",","&amp;SanitizeInput($E49))</f>
        <v>,AS6,</v>
      </c>
      <c r="Y49" s="20">
        <f>IF(K49="",0,VLOOKUP(K49,Definitions!$Z:$AA,COLUMNS(Definitions!$Z:$AA),FALSE))</f>
        <v>25</v>
      </c>
      <c r="Z49" s="20">
        <f>IF(L49="",0,VLOOKUP(L49,Definitions!$Z:$AA,COLUMNS(Definitions!$Z:$AA),FALSE))</f>
        <v>0</v>
      </c>
      <c r="AA49" s="20">
        <f>IF(M49="",0,VLOOKUP(M49,Definitions!$Z:$AA,COLUMNS(Definitions!$Z:$AA),FALSE))</f>
        <v>0</v>
      </c>
      <c r="AB49" s="20">
        <f>IF(N49="",0,VLOOKUP(N49,Definitions!$Z:$AA,COLUMNS(Definitions!$Z:$AA),FALSE))</f>
        <v>0</v>
      </c>
      <c r="AC49" s="20">
        <f>IF(O49="",0,VLOOKUP(O49,Definitions!$Z:$AA,COLUMNS(Definitions!$Z:$AA),FALSE))</f>
        <v>0</v>
      </c>
      <c r="AD49" s="20">
        <f t="shared" ca="1" si="3"/>
        <v>25</v>
      </c>
      <c r="AE49" s="20" t="str" cm="1">
        <f t="array" ref="AE49">IF($G49="","",","&amp;SanitizeInput($G49))</f>
        <v>,C1,C18,</v>
      </c>
      <c r="AF49" s="20" t="b" cm="1">
        <f t="array" ca="1" aca="1" ref="AF49">OR($AK49,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49,$AE$2,$A$2,Helper!$B$4,",",$A:$V,$A:$AK,InverseLookup($A49,$AE$2,$A$2,1,Helper!$B$4,",")))</f>
        <v>0</v>
      </c>
      <c r="AG49" s="20" t="str" cm="1">
        <f t="array" ca="1" aca="1" ref="AG49">IF(OR($V49,$AF49,$AK49),IF($G49="","",","&amp;SanitizeInput($G49)),"")</f>
        <v/>
      </c>
      <c r="AH49" s="20" t="str" cm="1">
        <f t="array" ref="AH49">SUBSTITUTE(IF($V49,IF($I49="","",","&amp;SanitizeInput($I49)),""),"&gt;",",")</f>
        <v/>
      </c>
      <c r="AI49" s="20" cm="1">
        <f t="array" ca="1" aca="1" ref="AI49">IF(ROW()=ROW($AI$2)+1,0,INDEX($AI:$AI,ROW()-1))+IF($AF49,1,0)</f>
        <v>15</v>
      </c>
      <c r="AJ49" s="20" t="str" cm="1">
        <f t="array" ca="1" aca="1" ref="AJ49">IF($AF49,IF($Q49="","",","&amp;SanitizeInput($Q49)),"")</f>
        <v/>
      </c>
      <c r="AK49" s="20" t="b">
        <f>OR(CheckRelevance(SanitizeInput($D49),Questionnaire!$I:$I),CheckRelevance(SanitizeInput($D49),Questionnaire!$J:$J))</f>
        <v>0</v>
      </c>
      <c r="AL49" s="20" t="str" cm="1">
        <f t="array" ref="AL49">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49),Questionnaire!$AA:$AA,",")</f>
        <v/>
      </c>
      <c r="AM49" s="20" t="str" cm="1">
        <f t="array" ref="AM49">IF($D49="*","",InverseLookupList($AL49,Questionnaire!$AA$3,Questionnaire!$A$3,Helper!$B$12,","))</f>
        <v/>
      </c>
      <c r="AN49" s="20" t="str" cm="1">
        <f t="array" ref="AN49">RemoveDelimiter(GetValues($AM49,Questionnaire!$A:$G," ",CHAR(10)&amp;CHAR(10),TRUE),CHAR(10)&amp;CHAR(10))</f>
        <v/>
      </c>
      <c r="AO49" s="20" t="str" cm="1">
        <f t="array" ref="AO49">CreateSearchString($AM49)</f>
        <v/>
      </c>
      <c r="AP49" s="20" t="str" cm="1">
        <f t="array" ca="1" aca="1" ref="AP49">InverseLookup($A49,Mitigation!$AD$2,Mitigation!$A$2,1,Helper!$B$5,",")</f>
        <v/>
      </c>
      <c r="AQ49" s="20" t="str" cm="1">
        <f t="array" ca="1" aca="1" ref="AQ49">CreateSearchString(GetValues($AP49,'Attack Steps'!$A:$O,"",",",FALSE))</f>
        <v/>
      </c>
      <c r="AR49" s="20" t="str">
        <f t="shared" si="2"/>
        <v>CM10</v>
      </c>
    </row>
    <row r="50" spans="1:44" ht="135">
      <c r="A50" s="10" t="s">
        <v>763</v>
      </c>
      <c r="B50" s="13" t="s">
        <v>1512</v>
      </c>
      <c r="C50" s="13" t="s">
        <v>1513</v>
      </c>
      <c r="D50" s="13"/>
      <c r="E50" s="13" t="s">
        <v>1009</v>
      </c>
      <c r="F50" s="33" t="str" cm="1">
        <f t="array" ca="1" aca="1" ref="F50">LookupNames(SanitizeInput($E50),'Attack Steps'!$A:$B)</f>
        <v>AS7 Spoofing / tampering with the product's incoming communication,
AS19 Spoofing an entity sending a software update or manipulation of the update during transmission,
AS34 Attacking the product's outgoing communication to an external communication partner over the Internet or a mobile network,
AS36 Attacking the product's incoming communication from the Internet or a mobile network</v>
      </c>
      <c r="G50" s="23" t="s">
        <v>1150</v>
      </c>
      <c r="H50" s="33" t="str" cm="1">
        <f t="array" ca="1" aca="1" ref="H50">RemoveDelimiter(GetValuesWithFallback(SanitizeInput($G50),$A:$B,Assumptions!$A:$B," ",","&amp;CHAR(10),TRUE),","&amp;CHAR(10))</f>
        <v>C1 CCSC 1: Support of essential functions,
C18 CR 4.3 – Use of cryptography</v>
      </c>
      <c r="I50" s="23"/>
      <c r="J50" s="37" t="str" cm="1">
        <f t="array" ref="J50">IF($I50="","",SUBSTITUTE(SUBSTITUTE(SUBSTITUTE(SUBSTITUTE(SUBSTITUTE(SUBSTITUTE(SUBSTITUTE(SUBSTITUTE(SUBSTITUTE(GetTransformation(SanitizeInput($I50),'Damage Scenarios'!$A:$J,COLUMNS('Damage Scenarios'!$A:$J),CHAR(10),"[#0][#1][#2]")&amp;"§","[#1][#2]",""),"[#2]",""),"[#0][#1]","[#1]"),"[#0]","Removes:"&amp;CHAR(10)),"[#1]","Transforms:"&amp;CHAR(10)),CHAR(10)&amp;"§",""),"§",""),CHAR(10),CHAR(10)&amp;"   "),"   "&amp;"Transforms:","Transforms:"))</f>
        <v/>
      </c>
      <c r="K50" s="13" t="s">
        <v>137</v>
      </c>
      <c r="L50" s="13"/>
      <c r="M50" s="13"/>
      <c r="N50" s="13"/>
      <c r="O50" s="13"/>
      <c r="P50" s="33" t="str">
        <f ca="1">IF($A50="","",IFERROR(VLOOKUP($AD50,Definitions!$V:$W,COLUMNS(Definitions!$V:$W),TRUE),""))</f>
        <v>Beyond High</v>
      </c>
      <c r="Q50" s="23" t="s">
        <v>1626</v>
      </c>
      <c r="R50" s="23"/>
      <c r="S50" s="13" t="s">
        <v>1036</v>
      </c>
      <c r="T50" s="10" cm="1">
        <f t="array" ref="T50">IF(ROW()=ROW($T$2)+1,0,INDEX($T:$T,ROW()-1))+IF($A50="",0,1)</f>
        <v>48</v>
      </c>
      <c r="U50" s="20" t="b" cm="1">
        <f t="array" ca="1" aca="1" ref="U50">CheckRelevance(SanitizeInput(E50),Questionnaire!$I:$I)</f>
        <v>0</v>
      </c>
      <c r="V50" s="20" t="b">
        <f>IFERROR(_xlfn.XMATCH("*,"&amp;$A50&amp;",*",Mitigation!$X:$X,2)&gt;0,FALSE)</f>
        <v>0</v>
      </c>
      <c r="W50" s="20" cm="1">
        <f t="array" ref="W50">CreateTaskID($W$2,$W:$W,Tasks!$B$17,$S50)</f>
        <v>1</v>
      </c>
      <c r="X50" s="20" t="str" cm="1">
        <f t="array" ref="X50">IF($E50="","",","&amp;SanitizeInput($E50))</f>
        <v>,AS7,AS19,AS34,AS36,</v>
      </c>
      <c r="Y50" s="20">
        <f>IF(K50="",0,VLOOKUP(K50,Definitions!$Z:$AA,COLUMNS(Definitions!$Z:$AA),FALSE))</f>
        <v>25</v>
      </c>
      <c r="Z50" s="20">
        <f>IF(L50="",0,VLOOKUP(L50,Definitions!$Z:$AA,COLUMNS(Definitions!$Z:$AA),FALSE))</f>
        <v>0</v>
      </c>
      <c r="AA50" s="20">
        <f>IF(M50="",0,VLOOKUP(M50,Definitions!$Z:$AA,COLUMNS(Definitions!$Z:$AA),FALSE))</f>
        <v>0</v>
      </c>
      <c r="AB50" s="20">
        <f>IF(N50="",0,VLOOKUP(N50,Definitions!$Z:$AA,COLUMNS(Definitions!$Z:$AA),FALSE))</f>
        <v>0</v>
      </c>
      <c r="AC50" s="20">
        <f>IF(O50="",0,VLOOKUP(O50,Definitions!$Z:$AA,COLUMNS(Definitions!$Z:$AA),FALSE))</f>
        <v>0</v>
      </c>
      <c r="AD50" s="20">
        <f t="shared" ca="1" si="3"/>
        <v>25</v>
      </c>
      <c r="AE50" s="20" t="str" cm="1">
        <f t="array" ref="AE50">IF($G50="","",","&amp;SanitizeInput($G50))</f>
        <v>,C1,C18,</v>
      </c>
      <c r="AF50" s="20" t="b" cm="1">
        <f t="array" ca="1" aca="1" ref="AF50">OR($AK50,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50,$AE$2,$A$2,Helper!$B$4,",",$A:$V,$A:$AK,InverseLookup($A50,$AE$2,$A$2,1,Helper!$B$4,",")))</f>
        <v>0</v>
      </c>
      <c r="AG50" s="20" t="str" cm="1">
        <f t="array" ca="1" aca="1" ref="AG50">IF(OR($V50,$AF50,$AK50),IF($G50="","",","&amp;SanitizeInput($G50)),"")</f>
        <v/>
      </c>
      <c r="AH50" s="20" t="str" cm="1">
        <f t="array" ref="AH50">SUBSTITUTE(IF($V50,IF($I50="","",","&amp;SanitizeInput($I50)),""),"&gt;",",")</f>
        <v/>
      </c>
      <c r="AI50" s="20" cm="1">
        <f t="array" ca="1" aca="1" ref="AI50">IF(ROW()=ROW($AI$2)+1,0,INDEX($AI:$AI,ROW()-1))+IF($AF50,1,0)</f>
        <v>15</v>
      </c>
      <c r="AJ50" s="20" t="str" cm="1">
        <f t="array" ca="1" aca="1" ref="AJ50">IF($AF50,IF($Q50="","",","&amp;SanitizeInput($Q50)),"")</f>
        <v/>
      </c>
      <c r="AK50" s="20" t="b">
        <f>OR(CheckRelevance(SanitizeInput($D50),Questionnaire!$I:$I),CheckRelevance(SanitizeInput($D50),Questionnaire!$J:$J))</f>
        <v>0</v>
      </c>
      <c r="AL50" s="20" t="str" cm="1">
        <f t="array" ref="AL50">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50),Questionnaire!$AA:$AA,",")</f>
        <v/>
      </c>
      <c r="AM50" s="20" t="str" cm="1">
        <f t="array" ref="AM50">IF($D50="*","",InverseLookupList($AL50,Questionnaire!$AA$3,Questionnaire!$A$3,Helper!$B$12,","))</f>
        <v/>
      </c>
      <c r="AN50" s="20" t="str" cm="1">
        <f t="array" ref="AN50">RemoveDelimiter(GetValues($AM50,Questionnaire!$A:$G," ",CHAR(10)&amp;CHAR(10),TRUE),CHAR(10)&amp;CHAR(10))</f>
        <v/>
      </c>
      <c r="AO50" s="20" t="str" cm="1">
        <f t="array" ref="AO50">CreateSearchString($AM50)</f>
        <v/>
      </c>
      <c r="AP50" s="20" t="str" cm="1">
        <f t="array" ca="1" aca="1" ref="AP50">InverseLookup($A50,Mitigation!$AD$2,Mitigation!$A$2,1,Helper!$B$5,",")</f>
        <v/>
      </c>
      <c r="AQ50" s="20" t="str" cm="1">
        <f t="array" ca="1" aca="1" ref="AQ50">CreateSearchString(GetValues($AP50,'Attack Steps'!$A:$O,"",",",FALSE))</f>
        <v/>
      </c>
      <c r="AR50" s="20" t="str">
        <f t="shared" si="2"/>
        <v>CM11</v>
      </c>
    </row>
    <row r="51" spans="1:44" ht="75">
      <c r="A51" s="10" t="s">
        <v>764</v>
      </c>
      <c r="B51" s="13" t="s">
        <v>1220</v>
      </c>
      <c r="C51" s="13" t="s">
        <v>1745</v>
      </c>
      <c r="D51" s="13"/>
      <c r="E51" s="13" t="s">
        <v>205</v>
      </c>
      <c r="F51" s="33" t="str" cm="1">
        <f t="array" ca="1" aca="1" ref="F51">LookupNames(SanitizeInput($E51),'Attack Steps'!$A:$B)</f>
        <v>AS18 Abusing the software update functionality to manipulate the product</v>
      </c>
      <c r="G51" s="23" t="s">
        <v>1151</v>
      </c>
      <c r="H51" s="33" t="str" cm="1">
        <f t="array" ca="1" aca="1" ref="H51">RemoveDelimiter(GetValuesWithFallback(SanitizeInput($G51),$A:$B,Assumptions!$A:$B," ",","&amp;CHAR(10),TRUE),","&amp;CHAR(10))</f>
        <v>C1 CCSC 1: Support of essential functions,
C27 EDR 3.10 / HDR 3.10 / NDR 3.10 – Support for updates</v>
      </c>
      <c r="I51" s="23"/>
      <c r="J51" s="37" t="str" cm="1">
        <f t="array" ref="J51">IF($I51="","",SUBSTITUTE(SUBSTITUTE(SUBSTITUTE(SUBSTITUTE(SUBSTITUTE(SUBSTITUTE(SUBSTITUTE(SUBSTITUTE(SUBSTITUTE(GetTransformation(SanitizeInput($I51),'Damage Scenarios'!$A:$J,COLUMNS('Damage Scenarios'!$A:$J),CHAR(10),"[#0][#1][#2]")&amp;"§","[#1][#2]",""),"[#2]",""),"[#0][#1]","[#1]"),"[#0]","Removes:"&amp;CHAR(10)),"[#1]","Transforms:"&amp;CHAR(10)),CHAR(10)&amp;"§",""),"§",""),CHAR(10),CHAR(10)&amp;"   "),"   "&amp;"Transforms:","Transforms:"))</f>
        <v/>
      </c>
      <c r="K51" s="13" t="s">
        <v>137</v>
      </c>
      <c r="L51" s="13"/>
      <c r="M51" s="13"/>
      <c r="N51" s="13"/>
      <c r="O51" s="13"/>
      <c r="P51" s="33" t="str">
        <f ca="1">IF($A51="","",IFERROR(VLOOKUP($AD51,Definitions!$V:$W,COLUMNS(Definitions!$V:$W),TRUE),""))</f>
        <v>Beyond High</v>
      </c>
      <c r="Q51" s="23" t="s">
        <v>605</v>
      </c>
      <c r="R51" s="23"/>
      <c r="S51" s="13" t="s">
        <v>1234</v>
      </c>
      <c r="T51" s="10" cm="1">
        <f t="array" ref="T51">IF(ROW()=ROW($T$2)+1,0,INDEX($T:$T,ROW()-1))+IF($A51="",0,1)</f>
        <v>49</v>
      </c>
      <c r="U51" s="20" t="b" cm="1">
        <f t="array" ca="1" aca="1" ref="U51">CheckRelevance(SanitizeInput(E51),Questionnaire!$I:$I)</f>
        <v>0</v>
      </c>
      <c r="V51" s="20" t="b">
        <f>IFERROR(_xlfn.XMATCH("*,"&amp;$A51&amp;",*",Mitigation!$X:$X,2)&gt;0,FALSE)</f>
        <v>0</v>
      </c>
      <c r="W51" s="20" cm="1">
        <f t="array" ref="W51">CreateTaskID($W$2,$W:$W,Tasks!$B$17,$S51)</f>
        <v>1</v>
      </c>
      <c r="X51" s="20" t="str" cm="1">
        <f t="array" ref="X51">IF($E51="","",","&amp;SanitizeInput($E51))</f>
        <v>,AS18,</v>
      </c>
      <c r="Y51" s="20">
        <f>IF(K51="",0,VLOOKUP(K51,Definitions!$Z:$AA,COLUMNS(Definitions!$Z:$AA),FALSE))</f>
        <v>25</v>
      </c>
      <c r="Z51" s="20">
        <f>IF(L51="",0,VLOOKUP(L51,Definitions!$Z:$AA,COLUMNS(Definitions!$Z:$AA),FALSE))</f>
        <v>0</v>
      </c>
      <c r="AA51" s="20">
        <f>IF(M51="",0,VLOOKUP(M51,Definitions!$Z:$AA,COLUMNS(Definitions!$Z:$AA),FALSE))</f>
        <v>0</v>
      </c>
      <c r="AB51" s="20">
        <f>IF(N51="",0,VLOOKUP(N51,Definitions!$Z:$AA,COLUMNS(Definitions!$Z:$AA),FALSE))</f>
        <v>0</v>
      </c>
      <c r="AC51" s="20">
        <f>IF(O51="",0,VLOOKUP(O51,Definitions!$Z:$AA,COLUMNS(Definitions!$Z:$AA),FALSE))</f>
        <v>0</v>
      </c>
      <c r="AD51" s="20">
        <f t="shared" ca="1" si="3"/>
        <v>25</v>
      </c>
      <c r="AE51" s="20" t="str" cm="1">
        <f t="array" ref="AE51">IF($G51="","",","&amp;SanitizeInput($G51))</f>
        <v>,C1,C27,</v>
      </c>
      <c r="AF51" s="20" t="b" cm="1">
        <f t="array" ca="1" aca="1" ref="AF51">OR($AK51,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51,$AE$2,$A$2,Helper!$B$4,",",$A:$V,$A:$AK,InverseLookup($A51,$AE$2,$A$2,1,Helper!$B$4,",")))</f>
        <v>0</v>
      </c>
      <c r="AG51" s="20" t="str" cm="1">
        <f t="array" ca="1" aca="1" ref="AG51">IF(OR($V51,$AF51,$AK51),IF($G51="","",","&amp;SanitizeInput($G51)),"")</f>
        <v/>
      </c>
      <c r="AH51" s="20" t="str" cm="1">
        <f t="array" ref="AH51">SUBSTITUTE(IF($V51,IF($I51="","",","&amp;SanitizeInput($I51)),""),"&gt;",",")</f>
        <v/>
      </c>
      <c r="AI51" s="20" cm="1">
        <f t="array" ca="1" aca="1" ref="AI51">IF(ROW()=ROW($AI$2)+1,0,INDEX($AI:$AI,ROW()-1))+IF($AF51,1,0)</f>
        <v>15</v>
      </c>
      <c r="AJ51" s="20" t="str" cm="1">
        <f t="array" ca="1" aca="1" ref="AJ51">IF($AF51,IF($Q51="","",","&amp;SanitizeInput($Q51)),"")</f>
        <v/>
      </c>
      <c r="AK51" s="20" t="b">
        <f>OR(CheckRelevance(SanitizeInput($D51),Questionnaire!$I:$I),CheckRelevance(SanitizeInput($D51),Questionnaire!$J:$J))</f>
        <v>0</v>
      </c>
      <c r="AL51" s="20" t="str" cm="1">
        <f t="array" ref="AL5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51),Questionnaire!$AA:$AA,",")</f>
        <v/>
      </c>
      <c r="AM51" s="20" t="str" cm="1">
        <f t="array" ref="AM51">IF($D51="*","",InverseLookupList($AL51,Questionnaire!$AA$3,Questionnaire!$A$3,Helper!$B$12,","))</f>
        <v/>
      </c>
      <c r="AN51" s="20" t="str" cm="1">
        <f t="array" ref="AN51">RemoveDelimiter(GetValues($AM51,Questionnaire!$A:$G," ",CHAR(10)&amp;CHAR(10),TRUE),CHAR(10)&amp;CHAR(10))</f>
        <v/>
      </c>
      <c r="AO51" s="20" t="str" cm="1">
        <f t="array" ref="AO51">CreateSearchString($AM51)</f>
        <v/>
      </c>
      <c r="AP51" s="20" t="str" cm="1">
        <f t="array" ca="1" aca="1" ref="AP51">InverseLookup($A51,Mitigation!$AD$2,Mitigation!$A$2,1,Helper!$B$5,",")</f>
        <v/>
      </c>
      <c r="AQ51" s="20" t="str" cm="1">
        <f t="array" ca="1" aca="1" ref="AQ51">CreateSearchString(GetValues($AP51,'Attack Steps'!$A:$O,"",",",FALSE))</f>
        <v/>
      </c>
      <c r="AR51" s="20" t="str">
        <f t="shared" si="2"/>
        <v>CM12</v>
      </c>
    </row>
    <row r="52" spans="1:44" ht="120">
      <c r="A52" s="10" t="s">
        <v>765</v>
      </c>
      <c r="B52" s="13" t="s">
        <v>1514</v>
      </c>
      <c r="C52" s="13" t="s">
        <v>1515</v>
      </c>
      <c r="D52" s="13"/>
      <c r="E52" s="13" t="s">
        <v>203</v>
      </c>
      <c r="F52" s="33" t="str" cm="1">
        <f t="array" ca="1" aca="1" ref="F52">LookupNames(SanitizeInput($E52),'Attack Steps'!$A:$B)</f>
        <v>AS16 Manipulating the product's configuration via its configuration interface</v>
      </c>
      <c r="G52" s="23" t="s">
        <v>1233</v>
      </c>
      <c r="H52" s="33" t="str" cm="1">
        <f t="array" ca="1" aca="1" ref="H52">RemoveDelimiter(GetValuesWithFallback(SanitizeInput($G52),$A:$B,Assumptions!$A:$B," ",","&amp;CHAR(10),TRUE),","&amp;CHAR(10))</f>
        <v>C1 CCSC 1: Support of essential functions,
C3 CCSC 3: Least privilege,
C5 CR 1.3 – Account management,
C6 CR 1.4 – Identifier management,
C7 CR 1.12 – System use notification,
C8 CR 2.1 – Authorization enforcement,
C28 CR 1.5 – Authenticator management,
A19 SDR 1.15 – Password security</v>
      </c>
      <c r="I52" s="23"/>
      <c r="J52" s="37" t="str" cm="1">
        <f t="array" ref="J52">IF($I52="","",SUBSTITUTE(SUBSTITUTE(SUBSTITUTE(SUBSTITUTE(SUBSTITUTE(SUBSTITUTE(SUBSTITUTE(SUBSTITUTE(SUBSTITUTE(GetTransformation(SanitizeInput($I52),'Damage Scenarios'!$A:$J,COLUMNS('Damage Scenarios'!$A:$J),CHAR(10),"[#0][#1][#2]")&amp;"§","[#1][#2]",""),"[#2]",""),"[#0][#1]","[#1]"),"[#0]","Removes:"&amp;CHAR(10)),"[#1]","Transforms:"&amp;CHAR(10)),CHAR(10)&amp;"§",""),"§",""),CHAR(10),CHAR(10)&amp;"   "),"   "&amp;"Transforms:","Transforms:"))</f>
        <v/>
      </c>
      <c r="K52" s="13"/>
      <c r="L52" s="13"/>
      <c r="M52" s="13"/>
      <c r="N52" s="13" t="s">
        <v>151</v>
      </c>
      <c r="O52" s="13"/>
      <c r="P52" s="33" t="str">
        <f ca="1">IF($A52="","",IFERROR(VLOOKUP($AD52,Definitions!$V:$W,COLUMNS(Definitions!$V:$W),TRUE),""))</f>
        <v>Beyond High</v>
      </c>
      <c r="Q52" s="23" t="s">
        <v>607</v>
      </c>
      <c r="R52" s="23"/>
      <c r="S52" s="13" t="s">
        <v>1033</v>
      </c>
      <c r="T52" s="10" cm="1">
        <f t="array" ref="T52">IF(ROW()=ROW($T$2)+1,0,INDEX($T:$T,ROW()-1))+IF($A52="",0,1)</f>
        <v>50</v>
      </c>
      <c r="U52" s="20" t="b" cm="1">
        <f t="array" ca="1" aca="1" ref="U52">CheckRelevance(SanitizeInput(E52),Questionnaire!$I:$I)</f>
        <v>0</v>
      </c>
      <c r="V52" s="20" t="b">
        <f>IFERROR(_xlfn.XMATCH("*,"&amp;$A52&amp;",*",Mitigation!$X:$X,2)&gt;0,FALSE)</f>
        <v>0</v>
      </c>
      <c r="W52" s="20" cm="1">
        <f t="array" ref="W52">CreateTaskID($W$2,$W:$W,Tasks!$B$17,$S52)</f>
        <v>1</v>
      </c>
      <c r="X52" s="20" t="str" cm="1">
        <f t="array" ref="X52">IF($E52="","",","&amp;SanitizeInput($E52))</f>
        <v>,AS16,</v>
      </c>
      <c r="Y52" s="20">
        <f>IF(K52="",0,VLOOKUP(K52,Definitions!$Z:$AA,COLUMNS(Definitions!$Z:$AA),FALSE))</f>
        <v>0</v>
      </c>
      <c r="Z52" s="20">
        <f>IF(L52="",0,VLOOKUP(L52,Definitions!$Z:$AA,COLUMNS(Definitions!$Z:$AA),FALSE))</f>
        <v>0</v>
      </c>
      <c r="AA52" s="20">
        <f>IF(M52="",0,VLOOKUP(M52,Definitions!$Z:$AA,COLUMNS(Definitions!$Z:$AA),FALSE))</f>
        <v>0</v>
      </c>
      <c r="AB52" s="20">
        <f>IF(N52="",0,VLOOKUP(N52,Definitions!$Z:$AA,COLUMNS(Definitions!$Z:$AA),FALSE))</f>
        <v>25</v>
      </c>
      <c r="AC52" s="20">
        <f>IF(O52="",0,VLOOKUP(O52,Definitions!$Z:$AA,COLUMNS(Definitions!$Z:$AA),FALSE))</f>
        <v>0</v>
      </c>
      <c r="AD52" s="20">
        <f t="shared" ca="1" si="3"/>
        <v>25</v>
      </c>
      <c r="AE52" s="20" t="str" cm="1">
        <f t="array" ref="AE52">IF($G52="","",","&amp;SanitizeInput($G52))</f>
        <v>,C1,C3,C5,C6,C7,C8,C28,A19,</v>
      </c>
      <c r="AF52" s="20" t="b" cm="1">
        <f t="array" ca="1" aca="1" ref="AF52">OR($AK52,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52,$AE$2,$A$2,Helper!$B$4,",",$A:$V,$A:$AK,InverseLookup($A52,$AE$2,$A$2,1,Helper!$B$4,",")))</f>
        <v>0</v>
      </c>
      <c r="AG52" s="20" t="str" cm="1">
        <f t="array" ca="1" aca="1" ref="AG52">IF(OR($V52,$AF52,$AK52),IF($G52="","",","&amp;SanitizeInput($G52)),"")</f>
        <v/>
      </c>
      <c r="AH52" s="20" t="str" cm="1">
        <f t="array" ref="AH52">SUBSTITUTE(IF($V52,IF($I52="","",","&amp;SanitizeInput($I52)),""),"&gt;",",")</f>
        <v/>
      </c>
      <c r="AI52" s="20" cm="1">
        <f t="array" ca="1" aca="1" ref="AI52">IF(ROW()=ROW($AI$2)+1,0,INDEX($AI:$AI,ROW()-1))+IF($AF52,1,0)</f>
        <v>15</v>
      </c>
      <c r="AJ52" s="20" t="str" cm="1">
        <f t="array" ca="1" aca="1" ref="AJ52">IF($AF52,IF($Q52="","",","&amp;SanitizeInput($Q52)),"")</f>
        <v/>
      </c>
      <c r="AK52" s="20" t="b">
        <f>OR(CheckRelevance(SanitizeInput($D52),Questionnaire!$I:$I),CheckRelevance(SanitizeInput($D52),Questionnaire!$J:$J))</f>
        <v>0</v>
      </c>
      <c r="AL52" s="20" t="str" cm="1">
        <f t="array" ref="AL52">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52),Questionnaire!$AA:$AA,",")</f>
        <v/>
      </c>
      <c r="AM52" s="20" t="str" cm="1">
        <f t="array" ref="AM52">IF($D52="*","",InverseLookupList($AL52,Questionnaire!$AA$3,Questionnaire!$A$3,Helper!$B$12,","))</f>
        <v/>
      </c>
      <c r="AN52" s="20" t="str" cm="1">
        <f t="array" ref="AN52">RemoveDelimiter(GetValues($AM52,Questionnaire!$A:$G," ",CHAR(10)&amp;CHAR(10),TRUE),CHAR(10)&amp;CHAR(10))</f>
        <v/>
      </c>
      <c r="AO52" s="20" t="str" cm="1">
        <f t="array" ref="AO52">CreateSearchString($AM52)</f>
        <v/>
      </c>
      <c r="AP52" s="20" t="str" cm="1">
        <f t="array" ca="1" aca="1" ref="AP52">InverseLookup($A52,Mitigation!$AD$2,Mitigation!$A$2,1,Helper!$B$5,",")</f>
        <v/>
      </c>
      <c r="AQ52" s="20" t="str" cm="1">
        <f t="array" ca="1" aca="1" ref="AQ52">CreateSearchString(GetValues($AP52,'Attack Steps'!$A:$O,"",",",FALSE))</f>
        <v/>
      </c>
      <c r="AR52" s="20" t="str">
        <f t="shared" si="2"/>
        <v>CM14</v>
      </c>
    </row>
    <row r="53" spans="1:44" ht="195">
      <c r="A53" s="10" t="s">
        <v>766</v>
      </c>
      <c r="B53" s="13" t="s">
        <v>1527</v>
      </c>
      <c r="C53" s="13" t="s">
        <v>1528</v>
      </c>
      <c r="D53" s="13"/>
      <c r="E53" s="13" t="s">
        <v>203</v>
      </c>
      <c r="F53" s="33" t="str" cm="1">
        <f t="array" ca="1" aca="1" ref="F53">LookupNames(SanitizeInput($E53),'Attack Steps'!$A:$B)</f>
        <v>AS16 Manipulating the product's configuration via its configuration interface</v>
      </c>
      <c r="G53" s="23" t="s">
        <v>1152</v>
      </c>
      <c r="H53" s="33" t="str" cm="1">
        <f t="array" ca="1" aca="1" ref="H53">RemoveDelimiter(GetValuesWithFallback(SanitizeInput($G53),$A:$B,Assumptions!$A:$B," ",","&amp;CHAR(10),TRUE),","&amp;CHAR(10))</f>
        <v>C1 CCSC 1: Support of essential functions,
C3 CCSC 3: Least privilege,
C5 CR 1.3 – Account management,
C6 CR 1.4 – Identifier management,
C7 CR 1.12 – System use notification,
C8 CR 2.1 – Authorization enforcement,
C18 CR 4.3 – Use of cryptography,
C28 CR 1.5 – Authenticator management</v>
      </c>
      <c r="I53" s="23"/>
      <c r="J53" s="37" t="str" cm="1">
        <f t="array" ref="J53">IF($I53="","",SUBSTITUTE(SUBSTITUTE(SUBSTITUTE(SUBSTITUTE(SUBSTITUTE(SUBSTITUTE(SUBSTITUTE(SUBSTITUTE(SUBSTITUTE(GetTransformation(SanitizeInput($I53),'Damage Scenarios'!$A:$J,COLUMNS('Damage Scenarios'!$A:$J),CHAR(10),"[#0][#1][#2]")&amp;"§","[#1][#2]",""),"[#2]",""),"[#0][#1]","[#1]"),"[#0]","Removes:"&amp;CHAR(10)),"[#1]","Transforms:"&amp;CHAR(10)),CHAR(10)&amp;"§",""),"§",""),CHAR(10),CHAR(10)&amp;"   "),"   "&amp;"Transforms:","Transforms:"))</f>
        <v/>
      </c>
      <c r="K53" s="13"/>
      <c r="L53" s="13"/>
      <c r="M53" s="13"/>
      <c r="N53" s="13" t="s">
        <v>151</v>
      </c>
      <c r="O53" s="13"/>
      <c r="P53" s="33" t="str">
        <f ca="1">IF($A53="","",IFERROR(VLOOKUP($AD53,Definitions!$V:$W,COLUMNS(Definitions!$V:$W),TRUE),""))</f>
        <v>Beyond High</v>
      </c>
      <c r="Q53" s="23" t="s">
        <v>607</v>
      </c>
      <c r="R53" s="23"/>
      <c r="S53" s="13" t="s">
        <v>1034</v>
      </c>
      <c r="T53" s="10" cm="1">
        <f t="array" ref="T53">IF(ROW()=ROW($T$2)+1,0,INDEX($T:$T,ROW()-1))+IF($A53="",0,1)</f>
        <v>51</v>
      </c>
      <c r="U53" s="20" t="b" cm="1">
        <f t="array" ca="1" aca="1" ref="U53">CheckRelevance(SanitizeInput(E53),Questionnaire!$I:$I)</f>
        <v>0</v>
      </c>
      <c r="V53" s="20" t="b">
        <f>IFERROR(_xlfn.XMATCH("*,"&amp;$A53&amp;",*",Mitigation!$X:$X,2)&gt;0,FALSE)</f>
        <v>0</v>
      </c>
      <c r="W53" s="20" cm="1">
        <f t="array" ref="W53">CreateTaskID($W$2,$W:$W,Tasks!$B$17,$S53)</f>
        <v>1</v>
      </c>
      <c r="X53" s="20" t="str" cm="1">
        <f t="array" ref="X53">IF($E53="","",","&amp;SanitizeInput($E53))</f>
        <v>,AS16,</v>
      </c>
      <c r="Y53" s="20">
        <f>IF(K53="",0,VLOOKUP(K53,Definitions!$Z:$AA,COLUMNS(Definitions!$Z:$AA),FALSE))</f>
        <v>0</v>
      </c>
      <c r="Z53" s="20">
        <f>IF(L53="",0,VLOOKUP(L53,Definitions!$Z:$AA,COLUMNS(Definitions!$Z:$AA),FALSE))</f>
        <v>0</v>
      </c>
      <c r="AA53" s="20">
        <f>IF(M53="",0,VLOOKUP(M53,Definitions!$Z:$AA,COLUMNS(Definitions!$Z:$AA),FALSE))</f>
        <v>0</v>
      </c>
      <c r="AB53" s="20">
        <f>IF(N53="",0,VLOOKUP(N53,Definitions!$Z:$AA,COLUMNS(Definitions!$Z:$AA),FALSE))</f>
        <v>25</v>
      </c>
      <c r="AC53" s="20">
        <f>IF(O53="",0,VLOOKUP(O53,Definitions!$Z:$AA,COLUMNS(Definitions!$Z:$AA),FALSE))</f>
        <v>0</v>
      </c>
      <c r="AD53" s="20">
        <f t="shared" ca="1" si="3"/>
        <v>25</v>
      </c>
      <c r="AE53" s="20" t="str" cm="1">
        <f t="array" ref="AE53">IF($G53="","",","&amp;SanitizeInput($G53))</f>
        <v>,C1,C3,C5,C6,C7,C8,C18,C28,</v>
      </c>
      <c r="AF53" s="20" t="b" cm="1">
        <f t="array" ca="1" aca="1" ref="AF53">OR($AK53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53,$AE$2,$A$2,Helper!$B$4,",",$A:$V,$A:$AK,InverseLookup($A53,$AE$2,$A$2,1,Helper!$B$4,",")))</f>
        <v>0</v>
      </c>
      <c r="AG53" s="20" t="str" cm="1">
        <f t="array" ca="1" aca="1" ref="AG53">IF(OR($V53,$AF53,$AK53),IF($G53="","",","&amp;SanitizeInput($G53)),"")</f>
        <v/>
      </c>
      <c r="AH53" s="20" t="str" cm="1">
        <f t="array" ref="AH53">SUBSTITUTE(IF($V53,IF($I53="","",","&amp;SanitizeInput($I53)),""),"&gt;",",")</f>
        <v/>
      </c>
      <c r="AI53" s="20" cm="1">
        <f t="array" ca="1" aca="1" ref="AI53">IF(ROW()=ROW($AI$2)+1,0,INDEX($AI:$AI,ROW()-1))+IF($AF53,1,0)</f>
        <v>15</v>
      </c>
      <c r="AJ53" s="20" t="str" cm="1">
        <f t="array" ca="1" aca="1" ref="AJ53">IF($AF53,IF($Q53="","",","&amp;SanitizeInput($Q53)),"")</f>
        <v/>
      </c>
      <c r="AK53" s="20" t="b">
        <f>OR(CheckRelevance(SanitizeInput($D53),Questionnaire!$I:$I),CheckRelevance(SanitizeInput($D53),Questionnaire!$J:$J))</f>
        <v>0</v>
      </c>
      <c r="AL53" s="20" t="str" cm="1">
        <f t="array" ref="AL5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53),Questionnaire!$AA:$AA,",")</f>
        <v/>
      </c>
      <c r="AM53" s="20" t="str" cm="1">
        <f t="array" ref="AM53">IF($D53="*","",InverseLookupList($AL53,Questionnaire!$AA$3,Questionnaire!$A$3,Helper!$B$12,","))</f>
        <v/>
      </c>
      <c r="AN53" s="20" t="str" cm="1">
        <f t="array" ref="AN53">RemoveDelimiter(GetValues($AM53,Questionnaire!$A:$G," ",CHAR(10)&amp;CHAR(10),TRUE),CHAR(10)&amp;CHAR(10))</f>
        <v/>
      </c>
      <c r="AO53" s="20" t="str" cm="1">
        <f t="array" ref="AO53">CreateSearchString($AM53)</f>
        <v/>
      </c>
      <c r="AP53" s="20" t="str" cm="1">
        <f t="array" ca="1" aca="1" ref="AP53">InverseLookup($A53,Mitigation!$AD$2,Mitigation!$A$2,1,Helper!$B$5,",")</f>
        <v/>
      </c>
      <c r="AQ53" s="20" t="str" cm="1">
        <f t="array" ca="1" aca="1" ref="AQ53">CreateSearchString(GetValues($AP53,'Attack Steps'!$A:$O,"",",",FALSE))</f>
        <v/>
      </c>
      <c r="AR53" s="20" t="str">
        <f t="shared" si="2"/>
        <v>CM15</v>
      </c>
    </row>
    <row r="54" spans="1:44" ht="135">
      <c r="A54" s="10" t="s">
        <v>774</v>
      </c>
      <c r="B54" s="13" t="s">
        <v>1523</v>
      </c>
      <c r="C54" s="13" t="s">
        <v>1524</v>
      </c>
      <c r="D54" s="13"/>
      <c r="E54" s="13" t="s">
        <v>1004</v>
      </c>
      <c r="F54" s="33" t="str" cm="1">
        <f t="array" ca="1" aca="1" ref="F54">LookupNames(SanitizeInput($E54),'Attack Steps'!$A:$B)</f>
        <v>AS25 Accessing the product's debug interfaces remotely,
AS26 Accessing the product's physical debug interfaces</v>
      </c>
      <c r="G54" s="23" t="s">
        <v>946</v>
      </c>
      <c r="H54" s="33" t="str" cm="1">
        <f t="array" ca="1" aca="1" ref="H54">RemoveDelimiter(GetValuesWithFallback(SanitizeInput($G54),$A:$B,Assumptions!$A:$B," ",","&amp;CHAR(10),TRUE),","&amp;CHAR(10))</f>
        <v>C4 CR 1.1 – Human user identification and authentication,
C26 EDR 2.13 / HDR 2.13 / NDR 2.13 – Use of physical diagnostic and test interfaces,
A19 SDR 1.15 – Password security</v>
      </c>
      <c r="I54" s="23"/>
      <c r="J54" s="37" t="str" cm="1">
        <f t="array" ref="J54">IF($I54="","",SUBSTITUTE(SUBSTITUTE(SUBSTITUTE(SUBSTITUTE(SUBSTITUTE(SUBSTITUTE(SUBSTITUTE(SUBSTITUTE(SUBSTITUTE(GetTransformation(SanitizeInput($I54),'Damage Scenarios'!$A:$J,COLUMNS('Damage Scenarios'!$A:$J),CHAR(10),"[#0][#1][#2]")&amp;"§","[#1][#2]",""),"[#2]",""),"[#0][#1]","[#1]"),"[#0]","Removes:"&amp;CHAR(10)),"[#1]","Transforms:"&amp;CHAR(10)),CHAR(10)&amp;"§",""),"§",""),CHAR(10),CHAR(10)&amp;"   "),"   "&amp;"Transforms:","Transforms:"))</f>
        <v/>
      </c>
      <c r="K54" s="13" t="s">
        <v>137</v>
      </c>
      <c r="L54" s="13"/>
      <c r="M54" s="13"/>
      <c r="N54" s="13"/>
      <c r="O54" s="13"/>
      <c r="P54" s="33" t="str">
        <f ca="1">IF($A54="","",IFERROR(VLOOKUP($AD54,Definitions!$V:$W,COLUMNS(Definitions!$V:$W),TRUE),""))</f>
        <v>Beyond High</v>
      </c>
      <c r="Q54" s="23" t="s">
        <v>607</v>
      </c>
      <c r="R54" s="23"/>
      <c r="S54" s="13" t="s">
        <v>1218</v>
      </c>
      <c r="T54" s="10" cm="1">
        <f t="array" ref="T54">IF(ROW()=ROW($T$2)+1,0,INDEX($T:$T,ROW()-1))+IF($A54="",0,1)</f>
        <v>52</v>
      </c>
      <c r="U54" s="20" t="b" cm="1">
        <f t="array" ca="1" aca="1" ref="U54">CheckRelevance(SanitizeInput(E54),Questionnaire!$I:$I)</f>
        <v>0</v>
      </c>
      <c r="V54" s="20" t="b">
        <f>IFERROR(_xlfn.XMATCH("*,"&amp;$A54&amp;",*",Mitigation!$X:$X,2)&gt;0,FALSE)</f>
        <v>0</v>
      </c>
      <c r="W54" s="20" cm="1">
        <f t="array" ref="W54">CreateTaskID($W$2,$W:$W,Tasks!$B$17,$S54)</f>
        <v>1</v>
      </c>
      <c r="X54" s="20" t="str" cm="1">
        <f t="array" ref="X54">IF($E54="","",","&amp;SanitizeInput($E54))</f>
        <v>,AS25,AS26,</v>
      </c>
      <c r="Y54" s="20">
        <f>IF(K54="",0,VLOOKUP(K54,Definitions!$Z:$AA,COLUMNS(Definitions!$Z:$AA),FALSE))</f>
        <v>25</v>
      </c>
      <c r="Z54" s="20">
        <f>IF(L54="",0,VLOOKUP(L54,Definitions!$Z:$AA,COLUMNS(Definitions!$Z:$AA),FALSE))</f>
        <v>0</v>
      </c>
      <c r="AA54" s="20">
        <f>IF(M54="",0,VLOOKUP(M54,Definitions!$Z:$AA,COLUMNS(Definitions!$Z:$AA),FALSE))</f>
        <v>0</v>
      </c>
      <c r="AB54" s="20">
        <f>IF(N54="",0,VLOOKUP(N54,Definitions!$Z:$AA,COLUMNS(Definitions!$Z:$AA),FALSE))</f>
        <v>0</v>
      </c>
      <c r="AC54" s="20">
        <f>IF(O54="",0,VLOOKUP(O54,Definitions!$Z:$AA,COLUMNS(Definitions!$Z:$AA),FALSE))</f>
        <v>0</v>
      </c>
      <c r="AD54" s="20">
        <f t="shared" ca="1" si="3"/>
        <v>25</v>
      </c>
      <c r="AE54" s="20" t="str" cm="1">
        <f t="array" ref="AE54">IF($G54="","",","&amp;SanitizeInput($G54))</f>
        <v>,C4,C26,A19,</v>
      </c>
      <c r="AF54" s="20" t="b" cm="1">
        <f t="array" ca="1" aca="1" ref="AF54">OR($AK54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54,$AE$2,$A$2,Helper!$B$4,",",$A:$V,$A:$AK,InverseLookup($A54,$AE$2,$A$2,1,Helper!$B$4,",")))</f>
        <v>0</v>
      </c>
      <c r="AG54" s="20" t="str" cm="1">
        <f t="array" ca="1" aca="1" ref="AG54">IF(OR($V54,$AF54,$AK54),IF($G54="","",","&amp;SanitizeInput($G54)),"")</f>
        <v/>
      </c>
      <c r="AH54" s="20" t="str" cm="1">
        <f t="array" ref="AH54">SUBSTITUTE(IF($V54,IF($I54="","",","&amp;SanitizeInput($I54)),""),"&gt;",",")</f>
        <v/>
      </c>
      <c r="AI54" s="20" cm="1">
        <f t="array" ca="1" aca="1" ref="AI54">IF(ROW()=ROW($AI$2)+1,0,INDEX($AI:$AI,ROW()-1))+IF($AF54,1,0)</f>
        <v>15</v>
      </c>
      <c r="AJ54" s="20" t="str" cm="1">
        <f t="array" ca="1" aca="1" ref="AJ54">IF($AF54,IF($Q54="","",","&amp;SanitizeInput($Q54)),"")</f>
        <v/>
      </c>
      <c r="AK54" s="20" t="b">
        <f>OR(CheckRelevance(SanitizeInput($D54),Questionnaire!$I:$I),CheckRelevance(SanitizeInput($D54),Questionnaire!$J:$J))</f>
        <v>0</v>
      </c>
      <c r="AL54" s="20" t="str" cm="1">
        <f t="array" ref="AL5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54),Questionnaire!$AA:$AA,",")</f>
        <v/>
      </c>
      <c r="AM54" s="20" t="str" cm="1">
        <f t="array" ref="AM54">IF($D54="*","",InverseLookupList($AL54,Questionnaire!$AA$3,Questionnaire!$A$3,Helper!$B$12,","))</f>
        <v/>
      </c>
      <c r="AN54" s="20" t="str" cm="1">
        <f t="array" ref="AN54">RemoveDelimiter(GetValues($AM54,Questionnaire!$A:$G," ",CHAR(10)&amp;CHAR(10),TRUE),CHAR(10)&amp;CHAR(10))</f>
        <v/>
      </c>
      <c r="AO54" s="20" t="str" cm="1">
        <f t="array" ref="AO54">CreateSearchString($AM54)</f>
        <v/>
      </c>
      <c r="AP54" s="20" t="str" cm="1">
        <f t="array" ca="1" aca="1" ref="AP54">InverseLookup($A54,Mitigation!$AD$2,Mitigation!$A$2,1,Helper!$B$5,",")</f>
        <v/>
      </c>
      <c r="AQ54" s="20" t="str" cm="1">
        <f t="array" ca="1" aca="1" ref="AQ54">CreateSearchString(GetValues($AP54,'Attack Steps'!$A:$O,"",",",FALSE))</f>
        <v/>
      </c>
      <c r="AR54" s="20" t="str">
        <f t="shared" si="2"/>
        <v>CM16</v>
      </c>
    </row>
    <row r="55" spans="1:44" ht="225">
      <c r="A55" s="10" t="s">
        <v>775</v>
      </c>
      <c r="B55" s="13" t="s">
        <v>1521</v>
      </c>
      <c r="C55" s="13" t="s">
        <v>1522</v>
      </c>
      <c r="D55" s="13"/>
      <c r="E55" s="13" t="s">
        <v>1004</v>
      </c>
      <c r="F55" s="33" t="str" cm="1">
        <f t="array" ca="1" aca="1" ref="F55">LookupNames(SanitizeInput($E55),'Attack Steps'!$A:$B)</f>
        <v>AS25 Accessing the product's debug interfaces remotely,
AS26 Accessing the product's physical debug interfaces</v>
      </c>
      <c r="G55" s="23" t="s">
        <v>947</v>
      </c>
      <c r="H55" s="33" t="str" cm="1">
        <f t="array" ca="1" aca="1" ref="H55">RemoveDelimiter(GetValuesWithFallback(SanitizeInput($G55),$A:$B,Assumptions!$A:$B," ",","&amp;CHAR(10),TRUE),","&amp;CHAR(10))</f>
        <v>C4 CR 1.1 – Human user identification and authentication,
C26 EDR 2.13 / HDR 2.13 / NDR 2.13 – Use of physical diagnostic and test interfaces,
A20 SDR 1.16 – Private key security</v>
      </c>
      <c r="I55" s="23"/>
      <c r="J55" s="37" t="str" cm="1">
        <f t="array" ref="J55">IF($I55="","",SUBSTITUTE(SUBSTITUTE(SUBSTITUTE(SUBSTITUTE(SUBSTITUTE(SUBSTITUTE(SUBSTITUTE(SUBSTITUTE(SUBSTITUTE(GetTransformation(SanitizeInput($I55),'Damage Scenarios'!$A:$J,COLUMNS('Damage Scenarios'!$A:$J),CHAR(10),"[#0][#1][#2]")&amp;"§","[#1][#2]",""),"[#2]",""),"[#0][#1]","[#1]"),"[#0]","Removes:"&amp;CHAR(10)),"[#1]","Transforms:"&amp;CHAR(10)),CHAR(10)&amp;"§",""),"§",""),CHAR(10),CHAR(10)&amp;"   "),"   "&amp;"Transforms:","Transforms:"))</f>
        <v/>
      </c>
      <c r="K55" s="13" t="s">
        <v>137</v>
      </c>
      <c r="L55" s="13"/>
      <c r="M55" s="13"/>
      <c r="N55" s="13"/>
      <c r="O55" s="13"/>
      <c r="P55" s="33" t="str">
        <f ca="1">IF($A55="","",IFERROR(VLOOKUP($AD55,Definitions!$V:$W,COLUMNS(Definitions!$V:$W),TRUE),""))</f>
        <v>Beyond High</v>
      </c>
      <c r="Q55" s="23" t="s">
        <v>607</v>
      </c>
      <c r="R55" s="23"/>
      <c r="S55" s="13" t="s">
        <v>1219</v>
      </c>
      <c r="T55" s="10" cm="1">
        <f t="array" ref="T55">IF(ROW()=ROW($T$2)+1,0,INDEX($T:$T,ROW()-1))+IF($A55="",0,1)</f>
        <v>53</v>
      </c>
      <c r="U55" s="20" t="b" cm="1">
        <f t="array" ca="1" aca="1" ref="U55">CheckRelevance(SanitizeInput(E55),Questionnaire!$I:$I)</f>
        <v>0</v>
      </c>
      <c r="V55" s="20" t="b">
        <f>IFERROR(_xlfn.XMATCH("*,"&amp;$A55&amp;",*",Mitigation!$X:$X,2)&gt;0,FALSE)</f>
        <v>0</v>
      </c>
      <c r="W55" s="20" cm="1">
        <f t="array" ref="W55">CreateTaskID($W$2,$W:$W,Tasks!$B$17,$S55)</f>
        <v>1</v>
      </c>
      <c r="X55" s="20" t="str" cm="1">
        <f t="array" ref="X55">IF($E55="","",","&amp;SanitizeInput($E55))</f>
        <v>,AS25,AS26,</v>
      </c>
      <c r="Y55" s="20">
        <f>IF(K55="",0,VLOOKUP(K55,Definitions!$Z:$AA,COLUMNS(Definitions!$Z:$AA),FALSE))</f>
        <v>25</v>
      </c>
      <c r="Z55" s="20">
        <f>IF(L55="",0,VLOOKUP(L55,Definitions!$Z:$AA,COLUMNS(Definitions!$Z:$AA),FALSE))</f>
        <v>0</v>
      </c>
      <c r="AA55" s="20">
        <f>IF(M55="",0,VLOOKUP(M55,Definitions!$Z:$AA,COLUMNS(Definitions!$Z:$AA),FALSE))</f>
        <v>0</v>
      </c>
      <c r="AB55" s="20">
        <f>IF(N55="",0,VLOOKUP(N55,Definitions!$Z:$AA,COLUMNS(Definitions!$Z:$AA),FALSE))</f>
        <v>0</v>
      </c>
      <c r="AC55" s="20">
        <f>IF(O55="",0,VLOOKUP(O55,Definitions!$Z:$AA,COLUMNS(Definitions!$Z:$AA),FALSE))</f>
        <v>0</v>
      </c>
      <c r="AD55" s="20">
        <f t="shared" ca="1" si="3"/>
        <v>25</v>
      </c>
      <c r="AE55" s="20" t="str" cm="1">
        <f t="array" ref="AE55">IF($G55="","",","&amp;SanitizeInput($G55))</f>
        <v>,C4,C26,A20,</v>
      </c>
      <c r="AF55" s="20" t="b" cm="1">
        <f t="array" ca="1" aca="1" ref="AF55">OR($AK55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55,$AE$2,$A$2,Helper!$B$4,",",$A:$V,$A:$AK,InverseLookup($A55,$AE$2,$A$2,1,Helper!$B$4,",")))</f>
        <v>0</v>
      </c>
      <c r="AG55" s="20" t="str" cm="1">
        <f t="array" ca="1" aca="1" ref="AG55">IF(OR($V55,$AF55,$AK55),IF($G55="","",","&amp;SanitizeInput($G55)),"")</f>
        <v/>
      </c>
      <c r="AH55" s="20" t="str" cm="1">
        <f t="array" ref="AH55">SUBSTITUTE(IF($V55,IF($I55="","",","&amp;SanitizeInput($I55)),""),"&gt;",",")</f>
        <v/>
      </c>
      <c r="AI55" s="20" cm="1">
        <f t="array" ca="1" aca="1" ref="AI55">IF(ROW()=ROW($AI$2)+1,0,INDEX($AI:$AI,ROW()-1))+IF($AF55,1,0)</f>
        <v>15</v>
      </c>
      <c r="AJ55" s="20" t="str" cm="1">
        <f t="array" ca="1" aca="1" ref="AJ55">IF($AF55,IF($Q55="","",","&amp;SanitizeInput($Q55)),"")</f>
        <v/>
      </c>
      <c r="AK55" s="20" t="b">
        <f>OR(CheckRelevance(SanitizeInput($D55),Questionnaire!$I:$I),CheckRelevance(SanitizeInput($D55),Questionnaire!$J:$J))</f>
        <v>0</v>
      </c>
      <c r="AL55" s="20" t="str" cm="1">
        <f t="array" ref="AL5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55),Questionnaire!$AA:$AA,",")</f>
        <v/>
      </c>
      <c r="AM55" s="20" t="str" cm="1">
        <f t="array" ref="AM55">IF($D55="*","",InverseLookupList($AL55,Questionnaire!$AA$3,Questionnaire!$A$3,Helper!$B$12,","))</f>
        <v/>
      </c>
      <c r="AN55" s="20" t="str" cm="1">
        <f t="array" ref="AN55">RemoveDelimiter(GetValues($AM55,Questionnaire!$A:$G," ",CHAR(10)&amp;CHAR(10),TRUE),CHAR(10)&amp;CHAR(10))</f>
        <v/>
      </c>
      <c r="AO55" s="20" t="str" cm="1">
        <f t="array" ref="AO55">CreateSearchString($AM55)</f>
        <v/>
      </c>
      <c r="AP55" s="20" t="str" cm="1">
        <f t="array" ca="1" aca="1" ref="AP55">InverseLookup($A55,Mitigation!$AD$2,Mitigation!$A$2,1,Helper!$B$5,",")</f>
        <v/>
      </c>
      <c r="AQ55" s="20" t="str" cm="1">
        <f t="array" ca="1" aca="1" ref="AQ55">CreateSearchString(GetValues($AP55,'Attack Steps'!$A:$O,"",",",FALSE))</f>
        <v/>
      </c>
      <c r="AR55" s="20" t="str">
        <f t="shared" si="2"/>
        <v>CM17</v>
      </c>
    </row>
    <row r="56" spans="1:44" ht="108.75">
      <c r="A56" s="10" t="s">
        <v>933</v>
      </c>
      <c r="B56" s="13" t="s">
        <v>1525</v>
      </c>
      <c r="C56" s="13" t="s">
        <v>1526</v>
      </c>
      <c r="D56" s="13"/>
      <c r="E56" s="13" t="s">
        <v>948</v>
      </c>
      <c r="F56" s="33" t="str" cm="1">
        <f t="array" ca="1" aca="1" ref="F56">LookupNames(SanitizeInput($E56),'Attack Steps'!$A:$B)</f>
        <v>AS32 Extracting or misusing acontis techonlogies GmbH IP</v>
      </c>
      <c r="G56" s="23"/>
      <c r="H56" s="33" t="str" cm="1">
        <f t="array" ref="H56">RemoveDelimiter(GetValuesWithFallback(SanitizeInput($G56),$A:$B,Assumptions!$A:$B," ",","&amp;CHAR(10),TRUE),","&amp;CHAR(10))</f>
        <v/>
      </c>
      <c r="I56" s="23" t="s">
        <v>941</v>
      </c>
      <c r="J56" s="37" t="str" cm="1">
        <f t="array" ca="1" aca="1" ref="J56">IF($I56="","",SUBSTITUTE(SUBSTITUTE(SUBSTITUTE(SUBSTITUTE(SUBSTITUTE(SUBSTITUTE(SUBSTITUTE(SUBSTITUTE(SUBSTITUTE(GetTransformation(SanitizeInput($I56),'Damage Scenarios'!$A:$J,COLUMNS('Damage Scenarios'!$A:$J),CHAR(10),"[#0][#1][#2]")&amp;"§","[#1][#2]",""),"[#2]",""),"[#0][#1]","[#1]"),"[#0]","Removes:"&amp;CHAR(10)),"[#1]","Transforms:"&amp;CHAR(10)),CHAR(10)&amp;"§",""),"§",""),CHAR(10),CHAR(10)&amp;"   "),"   "&amp;"Transforms:","Transforms:"))</f>
        <v>Transforms:
   DS3 Disclosure of acontis techonlogies GmbH IP (moderately innovative)
   -----&gt; DS19 acontis techonlogies GmbH can proof misuse of patented IP
   DS12 IP (highly innovative) disclosed by manipulated product
   -----&gt; DS19 acontis techonlogies GmbH can proof misuse of patented IP</v>
      </c>
      <c r="K56" s="13"/>
      <c r="L56" s="13"/>
      <c r="M56" s="13"/>
      <c r="N56" s="13"/>
      <c r="O56" s="13"/>
      <c r="P56" s="33" t="str">
        <f ca="1">IF($A56="","",IFERROR(VLOOKUP($AD56,Definitions!$V:$W,COLUMNS(Definitions!$V:$W),TRUE),""))</f>
        <v>Basic</v>
      </c>
      <c r="Q56" s="23" t="s">
        <v>62</v>
      </c>
      <c r="R56" s="23"/>
      <c r="S56" s="13" t="s">
        <v>1037</v>
      </c>
      <c r="T56" s="10" cm="1">
        <f t="array" ref="T56">IF(ROW()=ROW($T$2)+1,0,INDEX($T:$T,ROW()-1))+IF($A56="",0,1)</f>
        <v>54</v>
      </c>
      <c r="U56" s="20" t="b" cm="1">
        <f t="array" ca="1" aca="1" ref="U56">CheckRelevance(SanitizeInput(E56),Questionnaire!$I:$I)</f>
        <v>0</v>
      </c>
      <c r="V56" s="20" t="b">
        <f>IFERROR(_xlfn.XMATCH("*,"&amp;$A56&amp;",*",Mitigation!$X:$X,2)&gt;0,FALSE)</f>
        <v>0</v>
      </c>
      <c r="W56" s="20" cm="1">
        <f t="array" ref="W56">CreateTaskID($W$2,$W:$W,Tasks!$B$17,$S56)</f>
        <v>1</v>
      </c>
      <c r="X56" s="20" t="str" cm="1">
        <f t="array" ref="X56">IF($E56="","",","&amp;SanitizeInput($E56))</f>
        <v>,AS32,</v>
      </c>
      <c r="Y56" s="20">
        <f>IF(K56="",0,VLOOKUP(K56,Definitions!$Z:$AA,COLUMNS(Definitions!$Z:$AA),FALSE))</f>
        <v>0</v>
      </c>
      <c r="Z56" s="20">
        <f>IF(L56="",0,VLOOKUP(L56,Definitions!$Z:$AA,COLUMNS(Definitions!$Z:$AA),FALSE))</f>
        <v>0</v>
      </c>
      <c r="AA56" s="20">
        <f>IF(M56="",0,VLOOKUP(M56,Definitions!$Z:$AA,COLUMNS(Definitions!$Z:$AA),FALSE))</f>
        <v>0</v>
      </c>
      <c r="AB56" s="20">
        <f>IF(N56="",0,VLOOKUP(N56,Definitions!$Z:$AA,COLUMNS(Definitions!$Z:$AA),FALSE))</f>
        <v>0</v>
      </c>
      <c r="AC56" s="20">
        <f>IF(O56="",0,VLOOKUP(O56,Definitions!$Z:$AA,COLUMNS(Definitions!$Z:$AA),FALSE))</f>
        <v>0</v>
      </c>
      <c r="AD56" s="20">
        <f t="shared" ca="1" si="3"/>
        <v>0</v>
      </c>
      <c r="AE56" s="20" t="str" cm="1">
        <f t="array" ref="AE56">IF($G56="","",","&amp;SanitizeInput($G56))</f>
        <v/>
      </c>
      <c r="AF56" s="20" t="b" cm="1">
        <f t="array" ca="1" aca="1" ref="AF56">OR($AK56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56,$AE$2,$A$2,Helper!$B$4,",",$A:$V,$A:$AK,InverseLookup($A56,$AE$2,$A$2,1,Helper!$B$4,",")))</f>
        <v>0</v>
      </c>
      <c r="AG56" s="20" t="str" cm="1">
        <f t="array" ca="1" aca="1" ref="AG56">IF(OR($V56,$AF56,$AK56),IF($G56="","",","&amp;SanitizeInput($G56)),"")</f>
        <v/>
      </c>
      <c r="AH56" s="20" t="str" cm="1">
        <f t="array" ref="AH56">SUBSTITUTE(IF($V56,IF($I56="","",","&amp;SanitizeInput($I56)),""),"&gt;",",")</f>
        <v/>
      </c>
      <c r="AI56" s="20" cm="1">
        <f t="array" ca="1" aca="1" ref="AI56">IF(ROW()=ROW($AI$2)+1,0,INDEX($AI:$AI,ROW()-1))+IF($AF56,1,0)</f>
        <v>15</v>
      </c>
      <c r="AJ56" s="20" t="str" cm="1">
        <f t="array" ca="1" aca="1" ref="AJ56">IF($AF56,IF($Q56="","",","&amp;SanitizeInput($Q56)),"")</f>
        <v/>
      </c>
      <c r="AK56" s="20" t="b">
        <f>OR(CheckRelevance(SanitizeInput($D56),Questionnaire!$I:$I),CheckRelevance(SanitizeInput($D56),Questionnaire!$J:$J))</f>
        <v>0</v>
      </c>
      <c r="AL56" s="20" t="str" cm="1">
        <f t="array" ref="AL5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56),Questionnaire!$AA:$AA,",")</f>
        <v/>
      </c>
      <c r="AM56" s="20" t="str" cm="1">
        <f t="array" ref="AM56">IF($D56="*","",InverseLookupList($AL56,Questionnaire!$AA$3,Questionnaire!$A$3,Helper!$B$12,","))</f>
        <v/>
      </c>
      <c r="AN56" s="20" t="str" cm="1">
        <f t="array" ref="AN56">RemoveDelimiter(GetValues($AM56,Questionnaire!$A:$G," ",CHAR(10)&amp;CHAR(10),TRUE),CHAR(10)&amp;CHAR(10))</f>
        <v/>
      </c>
      <c r="AO56" s="20" t="str" cm="1">
        <f t="array" ref="AO56">CreateSearchString($AM56)</f>
        <v/>
      </c>
      <c r="AP56" s="20" t="str" cm="1">
        <f t="array" ca="1" aca="1" ref="AP56">InverseLookup($A56,Mitigation!$AD$2,Mitigation!$A$2,1,Helper!$B$5,",")</f>
        <v/>
      </c>
      <c r="AQ56" s="20" t="str" cm="1">
        <f t="array" ca="1" aca="1" ref="AQ56">CreateSearchString(GetValues($AP56,'Attack Steps'!$A:$O,"",",",FALSE))</f>
        <v/>
      </c>
      <c r="AR56" s="20" t="str">
        <f t="shared" si="2"/>
        <v>CM18</v>
      </c>
    </row>
    <row r="57" spans="1:44" ht="105">
      <c r="A57" s="10" t="s">
        <v>973</v>
      </c>
      <c r="B57" s="13" t="s">
        <v>1707</v>
      </c>
      <c r="C57" s="13" t="s">
        <v>1752</v>
      </c>
      <c r="D57" s="13"/>
      <c r="E57" s="13" t="s">
        <v>204</v>
      </c>
      <c r="F57" s="33" t="str" cm="1">
        <f t="array" ca="1" aca="1" ref="F57">LookupNames(SanitizeInput($E57),'Attack Steps'!$A:$B)</f>
        <v>AS17 Sending manipulated or malicious data to the product (from an untrusted source)</v>
      </c>
      <c r="G57" s="23"/>
      <c r="H57" s="33" t="str" cm="1">
        <f t="array" ref="H57">RemoveDelimiter(GetValuesWithFallback(SanitizeInput($G57),$A:$B,Assumptions!$A:$B," ",","&amp;CHAR(10),TRUE),","&amp;CHAR(10))</f>
        <v/>
      </c>
      <c r="I57" s="23"/>
      <c r="J57" s="37" t="str" cm="1">
        <f t="array" ref="J57">IF($I57="","",SUBSTITUTE(SUBSTITUTE(SUBSTITUTE(SUBSTITUTE(SUBSTITUTE(SUBSTITUTE(SUBSTITUTE(SUBSTITUTE(SUBSTITUTE(GetTransformation(SanitizeInput($I57),'Damage Scenarios'!$A:$J,COLUMNS('Damage Scenarios'!$A:$J),CHAR(10),"[#0][#1][#2]")&amp;"§","[#1][#2]",""),"[#2]",""),"[#0][#1]","[#1]"),"[#0]","Removes:"&amp;CHAR(10)),"[#1]","Transforms:"&amp;CHAR(10)),CHAR(10)&amp;"§",""),"§",""),CHAR(10),CHAR(10)&amp;"   "),"   "&amp;"Transforms:","Transforms:"))</f>
        <v/>
      </c>
      <c r="K57" s="13"/>
      <c r="L57" s="13"/>
      <c r="M57" s="13"/>
      <c r="N57" s="13" t="s">
        <v>151</v>
      </c>
      <c r="O57" s="13"/>
      <c r="P57" s="33" t="str">
        <f ca="1">IF($A57="","",IFERROR(VLOOKUP($AD57,Definitions!$V:$W,COLUMNS(Definitions!$V:$W),TRUE),""))</f>
        <v>Beyond High</v>
      </c>
      <c r="Q57" s="23" t="s">
        <v>1629</v>
      </c>
      <c r="R57" s="23"/>
      <c r="S57" s="13" t="s">
        <v>1636</v>
      </c>
      <c r="T57" s="10" cm="1">
        <f t="array" ref="T57">IF(ROW()=ROW($T$2)+1,0,INDEX($T:$T,ROW()-1))+IF($A57="",0,1)</f>
        <v>55</v>
      </c>
      <c r="U57" s="20" t="b" cm="1">
        <f t="array" ca="1" aca="1" ref="U57">CheckRelevance(SanitizeInput(E57),Questionnaire!$I:$I)</f>
        <v>0</v>
      </c>
      <c r="V57" s="20" t="b">
        <f>IFERROR(_xlfn.XMATCH("*,"&amp;$A57&amp;",*",Mitigation!$X:$X,2)&gt;0,FALSE)</f>
        <v>0</v>
      </c>
      <c r="W57" s="20" cm="1">
        <f t="array" ref="W57">CreateTaskID($W$2,$W:$W,Tasks!$B$17,$S57)</f>
        <v>1</v>
      </c>
      <c r="X57" s="20" t="str" cm="1">
        <f t="array" ref="X57">IF($E57="","",","&amp;SanitizeInput($E57))</f>
        <v>,AS17,</v>
      </c>
      <c r="Y57" s="20">
        <f>IF(K57="",0,VLOOKUP(K57,Definitions!$Z:$AA,COLUMNS(Definitions!$Z:$AA),FALSE))</f>
        <v>0</v>
      </c>
      <c r="Z57" s="20">
        <f>IF(L57="",0,VLOOKUP(L57,Definitions!$Z:$AA,COLUMNS(Definitions!$Z:$AA),FALSE))</f>
        <v>0</v>
      </c>
      <c r="AA57" s="20">
        <f>IF(M57="",0,VLOOKUP(M57,Definitions!$Z:$AA,COLUMNS(Definitions!$Z:$AA),FALSE))</f>
        <v>0</v>
      </c>
      <c r="AB57" s="20">
        <f>IF(N57="",0,VLOOKUP(N57,Definitions!$Z:$AA,COLUMNS(Definitions!$Z:$AA),FALSE))</f>
        <v>25</v>
      </c>
      <c r="AC57" s="20">
        <f>IF(O57="",0,VLOOKUP(O57,Definitions!$Z:$AA,COLUMNS(Definitions!$Z:$AA),FALSE))</f>
        <v>0</v>
      </c>
      <c r="AD57" s="20">
        <f t="shared" ca="1" si="3"/>
        <v>25</v>
      </c>
      <c r="AE57" s="20" t="str" cm="1">
        <f t="array" ref="AE57">IF($G57="","",","&amp;SanitizeInput($G57))</f>
        <v/>
      </c>
      <c r="AF57" s="20" t="b" cm="1">
        <f t="array" ca="1" aca="1" ref="AF57">OR($AK57,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57,$AE$2,$A$2,Helper!$B$4,",",$A:$V,$A:$AK,InverseLookup($A57,$AE$2,$A$2,1,Helper!$B$4,",")))</f>
        <v>0</v>
      </c>
      <c r="AG57" s="20" t="str" cm="1">
        <f t="array" ca="1" aca="1" ref="AG57">IF(OR($V57,$AF57,$AK57),IF($G57="","",","&amp;SanitizeInput($G57)),"")</f>
        <v/>
      </c>
      <c r="AH57" s="20" t="str" cm="1">
        <f t="array" ref="AH57">SUBSTITUTE(IF($V57,IF($I57="","",","&amp;SanitizeInput($I57)),""),"&gt;",",")</f>
        <v/>
      </c>
      <c r="AI57" s="20" cm="1">
        <f t="array" ca="1" aca="1" ref="AI57">IF(ROW()=ROW($AI$2)+1,0,INDEX($AI:$AI,ROW()-1))+IF($AF57,1,0)</f>
        <v>15</v>
      </c>
      <c r="AJ57" s="20" t="str" cm="1">
        <f t="array" ca="1" aca="1" ref="AJ57">IF($AF57,IF($Q57="","",","&amp;SanitizeInput($Q57)),"")</f>
        <v/>
      </c>
      <c r="AK57" s="20" t="b">
        <f>OR(CheckRelevance(SanitizeInput($D57),Questionnaire!$I:$I),CheckRelevance(SanitizeInput($D57),Questionnaire!$J:$J))</f>
        <v>0</v>
      </c>
      <c r="AL57" s="20" t="str" cm="1">
        <f t="array" ref="AL57">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57),Questionnaire!$AA:$AA,",")</f>
        <v/>
      </c>
      <c r="AM57" s="20" t="str" cm="1">
        <f t="array" ref="AM57">IF($D57="*","",InverseLookupList($AL57,Questionnaire!$AA$3,Questionnaire!$A$3,Helper!$B$12,","))</f>
        <v/>
      </c>
      <c r="AN57" s="20" t="str" cm="1">
        <f t="array" ref="AN57">RemoveDelimiter(GetValues($AM57,Questionnaire!$A:$G," ",CHAR(10)&amp;CHAR(10),TRUE),CHAR(10)&amp;CHAR(10))</f>
        <v/>
      </c>
      <c r="AO57" s="20" t="str" cm="1">
        <f t="array" ref="AO57">CreateSearchString($AM57)</f>
        <v/>
      </c>
      <c r="AP57" s="20" t="str" cm="1">
        <f t="array" ca="1" aca="1" ref="AP57">InverseLookup($A57,Mitigation!$AD$2,Mitigation!$A$2,1,Helper!$B$5,",")</f>
        <v/>
      </c>
      <c r="AQ57" s="20" t="str" cm="1">
        <f t="array" ca="1" aca="1" ref="AQ57">CreateSearchString(GetValues($AP57,'Attack Steps'!$A:$O,"",",",FALSE))</f>
        <v/>
      </c>
      <c r="AR57" s="20" t="str">
        <f t="shared" si="2"/>
        <v>CM19</v>
      </c>
    </row>
    <row r="58" spans="1:44" ht="30">
      <c r="A58" s="10" t="s">
        <v>991</v>
      </c>
      <c r="B58" s="13" t="s">
        <v>1516</v>
      </c>
      <c r="C58" s="13" t="s">
        <v>1517</v>
      </c>
      <c r="D58" s="13"/>
      <c r="E58" s="13" t="s">
        <v>108</v>
      </c>
      <c r="F58" s="33" t="str" cm="1">
        <f t="array" ca="1" aca="1" ref="F58">LookupNames(SanitizeInput($E58),'Attack Steps'!$A:$B)</f>
        <v>AS2 Getting access to a wireless network</v>
      </c>
      <c r="G58" s="23" t="s">
        <v>403</v>
      </c>
      <c r="H58" s="33" t="str" cm="1">
        <f t="array" ca="1" aca="1" ref="H58">RemoveDelimiter(GetValuesWithFallback(SanitizeInput($G58),$A:$B,Assumptions!$A:$B," ",","&amp;CHAR(10),TRUE),","&amp;CHAR(10))</f>
        <v>C9 CR 2.2 – Wireless use control</v>
      </c>
      <c r="I58" s="23"/>
      <c r="J58" s="37" t="str" cm="1">
        <f t="array" ref="J58">IF($I58="","",SUBSTITUTE(SUBSTITUTE(SUBSTITUTE(SUBSTITUTE(SUBSTITUTE(SUBSTITUTE(SUBSTITUTE(SUBSTITUTE(SUBSTITUTE(GetTransformation(SanitizeInput($I58),'Damage Scenarios'!$A:$J,COLUMNS('Damage Scenarios'!$A:$J),CHAR(10),"[#0][#1][#2]")&amp;"§","[#1][#2]",""),"[#2]",""),"[#0][#1]","[#1]"),"[#0]","Removes:"&amp;CHAR(10)),"[#1]","Transforms:"&amp;CHAR(10)),CHAR(10)&amp;"§",""),"§",""),CHAR(10),CHAR(10)&amp;"   "),"   "&amp;"Transforms:","Transforms:"))</f>
        <v/>
      </c>
      <c r="K58" s="13"/>
      <c r="L58" s="13"/>
      <c r="M58" s="13"/>
      <c r="N58" s="13" t="s">
        <v>151</v>
      </c>
      <c r="O58" s="13"/>
      <c r="P58" s="33" t="str">
        <f ca="1">IF($A58="","",IFERROR(VLOOKUP($AD58,Definitions!$V:$W,COLUMNS(Definitions!$V:$W),TRUE),""))</f>
        <v>Beyond High</v>
      </c>
      <c r="Q58" s="23" t="s">
        <v>1633</v>
      </c>
      <c r="R58" s="23"/>
      <c r="S58" s="13" t="s">
        <v>1518</v>
      </c>
      <c r="T58" s="10" cm="1">
        <f t="array" ref="T58">IF(ROW()=ROW($T$2)+1,0,INDEX($T:$T,ROW()-1))+IF($A58="",0,1)</f>
        <v>56</v>
      </c>
      <c r="U58" s="20" t="b" cm="1">
        <f t="array" ca="1" aca="1" ref="U58">CheckRelevance(SanitizeInput(E58),Questionnaire!$I:$I)</f>
        <v>0</v>
      </c>
      <c r="V58" s="20" t="b">
        <f>IFERROR(_xlfn.XMATCH("*,"&amp;$A58&amp;",*",Mitigation!$X:$X,2)&gt;0,FALSE)</f>
        <v>0</v>
      </c>
      <c r="W58" s="20" cm="1">
        <f t="array" ref="W58">CreateTaskID($W$2,$W:$W,Tasks!$B$17,$S58)</f>
        <v>1</v>
      </c>
      <c r="X58" s="20" t="str" cm="1">
        <f t="array" ref="X58">IF($E58="","",","&amp;SanitizeInput($E58))</f>
        <v>,AS2,</v>
      </c>
      <c r="Y58" s="20">
        <f>IF(K58="",0,VLOOKUP(K58,Definitions!$Z:$AA,COLUMNS(Definitions!$Z:$AA),FALSE))</f>
        <v>0</v>
      </c>
      <c r="Z58" s="20">
        <f>IF(L58="",0,VLOOKUP(L58,Definitions!$Z:$AA,COLUMNS(Definitions!$Z:$AA),FALSE))</f>
        <v>0</v>
      </c>
      <c r="AA58" s="20">
        <f>IF(M58="",0,VLOOKUP(M58,Definitions!$Z:$AA,COLUMNS(Definitions!$Z:$AA),FALSE))</f>
        <v>0</v>
      </c>
      <c r="AB58" s="20">
        <f>IF(N58="",0,VLOOKUP(N58,Definitions!$Z:$AA,COLUMNS(Definitions!$Z:$AA),FALSE))</f>
        <v>25</v>
      </c>
      <c r="AC58" s="20">
        <f>IF(O58="",0,VLOOKUP(O58,Definitions!$Z:$AA,COLUMNS(Definitions!$Z:$AA),FALSE))</f>
        <v>0</v>
      </c>
      <c r="AD58" s="20">
        <f t="shared" ca="1" si="3"/>
        <v>25</v>
      </c>
      <c r="AE58" s="20" t="str" cm="1">
        <f t="array" ref="AE58">IF($G58="","",","&amp;SanitizeInput($G58))</f>
        <v>,C9,</v>
      </c>
      <c r="AF58" s="20" t="b" cm="1">
        <f t="array" ca="1" aca="1" ref="AF58">OR($AK58,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58,$AE$2,$A$2,Helper!$B$4,",",$A:$V,$A:$AK,InverseLookup($A58,$AE$2,$A$2,1,Helper!$B$4,",")))</f>
        <v>0</v>
      </c>
      <c r="AG58" s="20" t="str" cm="1">
        <f t="array" ca="1" aca="1" ref="AG58">IF(OR($V58,$AF58,$AK58),IF($G58="","",","&amp;SanitizeInput($G58)),"")</f>
        <v/>
      </c>
      <c r="AH58" s="20" t="str" cm="1">
        <f t="array" ref="AH58">SUBSTITUTE(IF($V58,IF($I58="","",","&amp;SanitizeInput($I58)),""),"&gt;",",")</f>
        <v/>
      </c>
      <c r="AI58" s="20" cm="1">
        <f t="array" ca="1" aca="1" ref="AI58">IF(ROW()=ROW($AI$2)+1,0,INDEX($AI:$AI,ROW()-1))+IF($AF58,1,0)</f>
        <v>15</v>
      </c>
      <c r="AJ58" s="20" t="str" cm="1">
        <f t="array" ca="1" aca="1" ref="AJ58">IF($AF58,IF($Q58="","",","&amp;SanitizeInput($Q58)),"")</f>
        <v/>
      </c>
      <c r="AK58" s="20" t="b">
        <f>OR(CheckRelevance(SanitizeInput($D58),Questionnaire!$I:$I),CheckRelevance(SanitizeInput($D58),Questionnaire!$J:$J))</f>
        <v>0</v>
      </c>
      <c r="AL58" s="20" t="str" cm="1">
        <f t="array" ref="AL58">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58),Questionnaire!$AA:$AA,",")</f>
        <v/>
      </c>
      <c r="AM58" s="20" t="str" cm="1">
        <f t="array" ref="AM58">IF($D58="*","",InverseLookupList($AL58,Questionnaire!$AA$3,Questionnaire!$A$3,Helper!$B$12,","))</f>
        <v/>
      </c>
      <c r="AN58" s="20" t="str" cm="1">
        <f t="array" ref="AN58">RemoveDelimiter(GetValues($AM58,Questionnaire!$A:$G," ",CHAR(10)&amp;CHAR(10),TRUE),CHAR(10)&amp;CHAR(10))</f>
        <v/>
      </c>
      <c r="AO58" s="20" t="str" cm="1">
        <f t="array" ref="AO58">CreateSearchString($AM58)</f>
        <v/>
      </c>
      <c r="AP58" s="20" t="str" cm="1">
        <f t="array" ca="1" aca="1" ref="AP58">InverseLookup($A58,Mitigation!$AD$2,Mitigation!$A$2,1,Helper!$B$5,",")</f>
        <v/>
      </c>
      <c r="AQ58" s="20" t="str" cm="1">
        <f t="array" ca="1" aca="1" ref="AQ58">CreateSearchString(GetValues($AP58,'Attack Steps'!$A:$O,"",",",FALSE))</f>
        <v/>
      </c>
      <c r="AR58" s="20" t="str">
        <f t="shared" si="2"/>
        <v>CM20</v>
      </c>
    </row>
    <row r="59" spans="1:44" ht="150">
      <c r="A59" s="10" t="s">
        <v>1228</v>
      </c>
      <c r="B59" s="13" t="s">
        <v>1519</v>
      </c>
      <c r="C59" s="13" t="s">
        <v>1520</v>
      </c>
      <c r="D59" s="13"/>
      <c r="E59" s="13" t="s">
        <v>1231</v>
      </c>
      <c r="F59" s="33" t="str" cm="1">
        <f t="array" ca="1" aca="1" ref="F59">LookupNames(SanitizeInput($E59),'Attack Steps'!$A:$B)</f>
        <v>AS3 Compromising the product using a software vulnerability,
AS39 Data extraction from the product's volatile memory</v>
      </c>
      <c r="G59" s="23"/>
      <c r="H59" s="33" t="str" cm="1">
        <f t="array" ref="H59">RemoveDelimiter(GetValuesWithFallback(SanitizeInput($G59),$A:$B,Assumptions!$A:$B," ",","&amp;CHAR(10),TRUE),","&amp;CHAR(10))</f>
        <v/>
      </c>
      <c r="I59" s="23"/>
      <c r="J59" s="37" t="str" cm="1">
        <f t="array" ref="J59">IF($I59="","",SUBSTITUTE(SUBSTITUTE(SUBSTITUTE(SUBSTITUTE(SUBSTITUTE(SUBSTITUTE(SUBSTITUTE(SUBSTITUTE(SUBSTITUTE(GetTransformation(SanitizeInput($I59),'Damage Scenarios'!$A:$J,COLUMNS('Damage Scenarios'!$A:$J),CHAR(10),"[#0][#1][#2]")&amp;"§","[#1][#2]",""),"[#2]",""),"[#0][#1]","[#1]"),"[#0]","Removes:"&amp;CHAR(10)),"[#1]","Transforms:"&amp;CHAR(10)),CHAR(10)&amp;"§",""),"§",""),CHAR(10),CHAR(10)&amp;"   "),"   "&amp;"Transforms:","Transforms:"))</f>
        <v/>
      </c>
      <c r="K59" s="13"/>
      <c r="L59" s="13"/>
      <c r="M59" s="13"/>
      <c r="N59" s="13" t="s">
        <v>151</v>
      </c>
      <c r="O59" s="13"/>
      <c r="P59" s="33" t="str">
        <f ca="1">IF($A59="","",IFERROR(VLOOKUP($AD59,Definitions!$V:$W,COLUMNS(Definitions!$V:$W),TRUE),""))</f>
        <v>Beyond High</v>
      </c>
      <c r="Q59" s="23" t="s">
        <v>1626</v>
      </c>
      <c r="R59" s="23"/>
      <c r="S59" s="13" t="s">
        <v>1229</v>
      </c>
      <c r="T59" s="10" cm="1">
        <f t="array" ref="T59">IF(ROW()=ROW($T$2)+1,0,INDEX($T:$T,ROW()-1))+IF($A59="",0,1)</f>
        <v>57</v>
      </c>
      <c r="U59" s="20" t="b" cm="1">
        <f t="array" ca="1" aca="1" ref="U59">CheckRelevance(SanitizeInput(E59),Questionnaire!$I:$I)</f>
        <v>0</v>
      </c>
      <c r="V59" s="20" t="b">
        <f>IFERROR(_xlfn.XMATCH("*,"&amp;$A59&amp;",*",Mitigation!$X:$X,2)&gt;0,FALSE)</f>
        <v>0</v>
      </c>
      <c r="W59" s="20" cm="1">
        <f t="array" ref="W59">CreateTaskID($W$2,$W:$W,Tasks!$B$17,$S59)</f>
        <v>1</v>
      </c>
      <c r="X59" s="20" t="str" cm="1">
        <f t="array" ref="X59">IF($E59="","",","&amp;SanitizeInput($E59))</f>
        <v>,AS3,AS39,</v>
      </c>
      <c r="Y59" s="20">
        <f>IF(K59="",0,VLOOKUP(K59,Definitions!$Z:$AA,COLUMNS(Definitions!$Z:$AA),FALSE))</f>
        <v>0</v>
      </c>
      <c r="Z59" s="20">
        <f>IF(L59="",0,VLOOKUP(L59,Definitions!$Z:$AA,COLUMNS(Definitions!$Z:$AA),FALSE))</f>
        <v>0</v>
      </c>
      <c r="AA59" s="20">
        <f>IF(M59="",0,VLOOKUP(M59,Definitions!$Z:$AA,COLUMNS(Definitions!$Z:$AA),FALSE))</f>
        <v>0</v>
      </c>
      <c r="AB59" s="20">
        <f>IF(N59="",0,VLOOKUP(N59,Definitions!$Z:$AA,COLUMNS(Definitions!$Z:$AA),FALSE))</f>
        <v>25</v>
      </c>
      <c r="AC59" s="20">
        <f>IF(O59="",0,VLOOKUP(O59,Definitions!$Z:$AA,COLUMNS(Definitions!$Z:$AA),FALSE))</f>
        <v>0</v>
      </c>
      <c r="AD59" s="20">
        <f t="shared" ca="1" si="3"/>
        <v>25</v>
      </c>
      <c r="AE59" s="20" t="str" cm="1">
        <f t="array" ref="AE59">IF($G59="","",","&amp;SanitizeInput($G59))</f>
        <v/>
      </c>
      <c r="AF59" s="20" t="b" cm="1">
        <f t="array" ca="1" aca="1" ref="AF59">OR($AK59,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59,$AE$2,$A$2,Helper!$B$4,",",$A:$V,$A:$AK,InverseLookup($A59,$AE$2,$A$2,1,Helper!$B$4,",")))</f>
        <v>0</v>
      </c>
      <c r="AG59" s="20" t="str" cm="1">
        <f t="array" ca="1" aca="1" ref="AG59">IF(OR($V59,$AF59,$AK59),IF($G59="","",","&amp;SanitizeInput($G59)),"")</f>
        <v/>
      </c>
      <c r="AH59" s="20" t="str" cm="1">
        <f t="array" ref="AH59">SUBSTITUTE(IF($V59,IF($I59="","",","&amp;SanitizeInput($I59)),""),"&gt;",",")</f>
        <v/>
      </c>
      <c r="AI59" s="20" cm="1">
        <f t="array" ca="1" aca="1" ref="AI59">IF(ROW()=ROW($AI$2)+1,0,INDEX($AI:$AI,ROW()-1))+IF($AF59,1,0)</f>
        <v>15</v>
      </c>
      <c r="AJ59" s="20" t="str" cm="1">
        <f t="array" ca="1" aca="1" ref="AJ59">IF($AF59,IF($Q59="","",","&amp;SanitizeInput($Q59)),"")</f>
        <v/>
      </c>
      <c r="AK59" s="20" t="b">
        <f>OR(CheckRelevance(SanitizeInput($D59),Questionnaire!$I:$I),CheckRelevance(SanitizeInput($D59),Questionnaire!$J:$J))</f>
        <v>0</v>
      </c>
      <c r="AL59" s="20" t="str" cm="1">
        <f t="array" ref="AL59">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59),Questionnaire!$AA:$AA,",")</f>
        <v/>
      </c>
      <c r="AM59" s="20" t="str" cm="1">
        <f t="array" ref="AM59">IF($D59="*","",InverseLookupList($AL59,Questionnaire!$AA$3,Questionnaire!$A$3,Helper!$B$12,","))</f>
        <v/>
      </c>
      <c r="AN59" s="20" t="str" cm="1">
        <f t="array" ref="AN59">RemoveDelimiter(GetValues($AM59,Questionnaire!$A:$G," ",CHAR(10)&amp;CHAR(10),TRUE),CHAR(10)&amp;CHAR(10))</f>
        <v/>
      </c>
      <c r="AO59" s="20" t="str" cm="1">
        <f t="array" ref="AO59">CreateSearchString($AM59)</f>
        <v/>
      </c>
      <c r="AP59" s="20" t="str" cm="1">
        <f t="array" ca="1" aca="1" ref="AP59">InverseLookup($A59,Mitigation!$AD$2,Mitigation!$A$2,1,Helper!$B$5,",")</f>
        <v/>
      </c>
      <c r="AQ59" s="20" t="str" cm="1">
        <f t="array" ca="1" aca="1" ref="AQ59">CreateSearchString(GetValues($AP59,'Attack Steps'!$A:$O,"",",",FALSE))</f>
        <v/>
      </c>
      <c r="AR59" s="20" t="str">
        <f t="shared" si="2"/>
        <v>CM21</v>
      </c>
    </row>
    <row r="60" spans="1:44" ht="45">
      <c r="A60" s="10" t="s">
        <v>1352</v>
      </c>
      <c r="B60" s="13" t="s">
        <v>1353</v>
      </c>
      <c r="C60" s="13" t="s">
        <v>1354</v>
      </c>
      <c r="D60" s="13"/>
      <c r="E60" s="13" t="s">
        <v>1231</v>
      </c>
      <c r="F60" s="33" t="str" cm="1">
        <f t="array" ca="1" aca="1" ref="F60">LookupNames(SanitizeInput($E60),'Attack Steps'!$A:$B)</f>
        <v>AS3 Compromising the product using a software vulnerability,
AS39 Data extraction from the product's volatile memory</v>
      </c>
      <c r="G60" s="23"/>
      <c r="H60" s="33" t="str" cm="1">
        <f t="array" ref="H60">RemoveDelimiter(GetValuesWithFallback(SanitizeInput($G60),$A:$B,Assumptions!$A:$B," ",","&amp;CHAR(10),TRUE),","&amp;CHAR(10))</f>
        <v/>
      </c>
      <c r="I60" s="23"/>
      <c r="J60" s="37" t="str" cm="1">
        <f t="array" ref="J60">IF($I60="","",SUBSTITUTE(SUBSTITUTE(SUBSTITUTE(SUBSTITUTE(SUBSTITUTE(SUBSTITUTE(SUBSTITUTE(SUBSTITUTE(SUBSTITUTE(GetTransformation(SanitizeInput($I60),'Damage Scenarios'!$A:$J,COLUMNS('Damage Scenarios'!$A:$J),CHAR(10),"[#0][#1][#2]")&amp;"§","[#1][#2]",""),"[#2]",""),"[#0][#1]","[#1]"),"[#0]","Removes:"&amp;CHAR(10)),"[#1]","Transforms:"&amp;CHAR(10)),CHAR(10)&amp;"§",""),"§",""),CHAR(10),CHAR(10)&amp;"   "),"   "&amp;"Transforms:","Transforms:"))</f>
        <v/>
      </c>
      <c r="K60" s="13" t="s">
        <v>135</v>
      </c>
      <c r="L60" s="13" t="s">
        <v>141</v>
      </c>
      <c r="M60" s="13" t="s">
        <v>145</v>
      </c>
      <c r="N60" s="13"/>
      <c r="O60" s="13"/>
      <c r="P60" s="33" t="str">
        <f ca="1">IF($A60="","",IFERROR(VLOOKUP($AD60,Definitions!$V:$W,COLUMNS(Definitions!$V:$W),TRUE),""))</f>
        <v>Moderate</v>
      </c>
      <c r="Q60" s="23" t="s">
        <v>1633</v>
      </c>
      <c r="R60" s="23"/>
      <c r="S60" s="13" t="s">
        <v>1747</v>
      </c>
      <c r="T60" s="10" cm="1">
        <f t="array" ref="T60">IF(ROW()=ROW($T$2)+1,0,INDEX($T:$T,ROW()-1))+IF($A60="",0,1)</f>
        <v>58</v>
      </c>
      <c r="U60" s="20" t="b" cm="1">
        <f t="array" ca="1" aca="1" ref="U60">CheckRelevance(SanitizeInput(E60),Questionnaire!$I:$I)</f>
        <v>0</v>
      </c>
      <c r="V60" s="20" t="b">
        <f>IFERROR(_xlfn.XMATCH("*,"&amp;$A60&amp;",*",Mitigation!$X:$X,2)&gt;0,FALSE)</f>
        <v>0</v>
      </c>
      <c r="W60" s="20" cm="1">
        <f t="array" ref="W60">CreateTaskID($W$2,$W:$W,Tasks!$B$17,$S60)</f>
        <v>1</v>
      </c>
      <c r="X60" s="20" t="str" cm="1">
        <f t="array" ref="X60">IF($E60="","",","&amp;SanitizeInput($E60))</f>
        <v>,AS3,AS39,</v>
      </c>
      <c r="Y60" s="20">
        <f>IF(K60="",0,VLOOKUP(K60,Definitions!$Z:$AA,COLUMNS(Definitions!$Z:$AA),FALSE))</f>
        <v>10</v>
      </c>
      <c r="Z60" s="20">
        <f>IF(L60="",0,VLOOKUP(L60,Definitions!$Z:$AA,COLUMNS(Definitions!$Z:$AA),FALSE))</f>
        <v>6</v>
      </c>
      <c r="AA60" s="20">
        <f>IF(M60="",0,VLOOKUP(M60,Definitions!$Z:$AA,COLUMNS(Definitions!$Z:$AA),FALSE))</f>
        <v>3</v>
      </c>
      <c r="AB60" s="20">
        <f>IF(N60="",0,VLOOKUP(N60,Definitions!$Z:$AA,COLUMNS(Definitions!$Z:$AA),FALSE))</f>
        <v>0</v>
      </c>
      <c r="AC60" s="20">
        <f>IF(O60="",0,VLOOKUP(O60,Definitions!$Z:$AA,COLUMNS(Definitions!$Z:$AA),FALSE))</f>
        <v>0</v>
      </c>
      <c r="AD60" s="20">
        <f t="shared" ca="1" si="3"/>
        <v>19</v>
      </c>
      <c r="AE60" s="20" t="str" cm="1">
        <f t="array" ref="AE60">IF($G60="","",","&amp;SanitizeInput($G60))</f>
        <v/>
      </c>
      <c r="AF60" s="20" t="b" cm="1">
        <f t="array" ca="1" aca="1" ref="AF60">OR($AK60,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60,$AE$2,$A$2,Helper!$B$4,",",$A:$V,$A:$AK,InverseLookup($A60,$AE$2,$A$2,1,Helper!$B$4,",")))</f>
        <v>0</v>
      </c>
      <c r="AG60" s="20" t="str" cm="1">
        <f t="array" ca="1" aca="1" ref="AG60">IF(OR($V60,$AF60,$AK60),IF($G60="","",","&amp;SanitizeInput($G60)),"")</f>
        <v/>
      </c>
      <c r="AH60" s="20" t="str" cm="1">
        <f t="array" ref="AH60">SUBSTITUTE(IF($V60,IF($I60="","",","&amp;SanitizeInput($I60)),""),"&gt;",",")</f>
        <v/>
      </c>
      <c r="AI60" s="20" cm="1">
        <f t="array" ca="1" aca="1" ref="AI60">IF(ROW()=ROW($AI$2)+1,0,INDEX($AI:$AI,ROW()-1))+IF($AF60,1,0)</f>
        <v>15</v>
      </c>
      <c r="AJ60" s="20" t="str" cm="1">
        <f t="array" ca="1" aca="1" ref="AJ60">IF($AF60,IF($Q60="","",","&amp;SanitizeInput($Q60)),"")</f>
        <v/>
      </c>
      <c r="AK60" s="20" t="b">
        <f>OR(CheckRelevance(SanitizeInput($D60),Questionnaire!$I:$I),CheckRelevance(SanitizeInput($D60),Questionnaire!$J:$J))</f>
        <v>0</v>
      </c>
      <c r="AL60" s="20" t="str" cm="1">
        <f t="array" ref="AL60">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60),Questionnaire!$AA:$AA,",")</f>
        <v/>
      </c>
      <c r="AM60" s="20" t="str" cm="1">
        <f t="array" ref="AM60">IF($D60="*","",InverseLookupList($AL60,Questionnaire!$AA$3,Questionnaire!$A$3,Helper!$B$12,","))</f>
        <v/>
      </c>
      <c r="AN60" s="20" t="str" cm="1">
        <f t="array" ref="AN60">RemoveDelimiter(GetValues($AM60,Questionnaire!$A:$G," ",CHAR(10)&amp;CHAR(10),TRUE),CHAR(10)&amp;CHAR(10))</f>
        <v/>
      </c>
      <c r="AO60" s="20" t="str" cm="1">
        <f t="array" ref="AO60">CreateSearchString($AM60)</f>
        <v/>
      </c>
      <c r="AP60" s="20" t="str" cm="1">
        <f t="array" ca="1" aca="1" ref="AP60">InverseLookup($A60,Mitigation!$AD$2,Mitigation!$A$2,1,Helper!$B$5,",")</f>
        <v/>
      </c>
      <c r="AQ60" s="20" t="str" cm="1">
        <f t="array" ca="1" aca="1" ref="AQ60">CreateSearchString(GetValues($AP60,'Attack Steps'!$A:$O,"",",",FALSE))</f>
        <v/>
      </c>
      <c r="AR60" s="20" t="str">
        <f t="shared" si="2"/>
        <v>CM22</v>
      </c>
    </row>
    <row r="61" spans="1:44" ht="60">
      <c r="A61" s="10" t="s">
        <v>1384</v>
      </c>
      <c r="B61" s="13" t="s">
        <v>1385</v>
      </c>
      <c r="C61" s="13" t="s">
        <v>1386</v>
      </c>
      <c r="D61" s="13" t="s">
        <v>1387</v>
      </c>
      <c r="E61" s="13" t="s">
        <v>1371</v>
      </c>
      <c r="F61" s="33" t="str" cm="1">
        <f t="array" ca="1" aca="1" ref="F61">LookupNames(SanitizeInput($E61),'Attack Steps'!$A:$B)</f>
        <v>AS40 Abusing the lack of a software update functionality to exploit an unpatched vulnerability</v>
      </c>
      <c r="G61" s="23"/>
      <c r="H61" s="33" t="str" cm="1">
        <f t="array" ref="H61">RemoveDelimiter(GetValuesWithFallback(SanitizeInput($G61),$A:$B,Assumptions!$A:$B," ",","&amp;CHAR(10),TRUE),","&amp;CHAR(10))</f>
        <v/>
      </c>
      <c r="I61" s="23"/>
      <c r="J61" s="37" t="str" cm="1">
        <f t="array" ref="J61">IF($I61="","",SUBSTITUTE(SUBSTITUTE(SUBSTITUTE(SUBSTITUTE(SUBSTITUTE(SUBSTITUTE(SUBSTITUTE(SUBSTITUTE(SUBSTITUTE(GetTransformation(SanitizeInput($I61),'Damage Scenarios'!$A:$J,COLUMNS('Damage Scenarios'!$A:$J),CHAR(10),"[#0][#1][#2]")&amp;"§","[#1][#2]",""),"[#2]",""),"[#0][#1]","[#1]"),"[#0]","Removes:"&amp;CHAR(10)),"[#1]","Transforms:"&amp;CHAR(10)),CHAR(10)&amp;"§",""),"§",""),CHAR(10),CHAR(10)&amp;"   "),"   "&amp;"Transforms:","Transforms:"))</f>
        <v/>
      </c>
      <c r="K61" s="13"/>
      <c r="L61" s="13"/>
      <c r="M61" s="13"/>
      <c r="N61" s="13" t="s">
        <v>151</v>
      </c>
      <c r="O61" s="13"/>
      <c r="P61" s="33" t="str">
        <f ca="1">IF($A61="","",IFERROR(VLOOKUP($AD61,Definitions!$V:$W,COLUMNS(Definitions!$V:$W),TRUE),""))</f>
        <v>Beyond High</v>
      </c>
      <c r="Q61" s="23" t="s">
        <v>605</v>
      </c>
      <c r="R61" s="23"/>
      <c r="S61" s="13" t="s">
        <v>1639</v>
      </c>
      <c r="T61" s="10" cm="1">
        <f t="array" ref="T61">IF(ROW()=ROW($T$2)+1,0,INDEX($T:$T,ROW()-1))+IF($A61="",0,1)</f>
        <v>59</v>
      </c>
      <c r="U61" s="20" t="b" cm="1">
        <f t="array" ca="1" aca="1" ref="U61">CheckRelevance(SanitizeInput(E61),Questionnaire!$I:$I)</f>
        <v>0</v>
      </c>
      <c r="V61" s="20" t="b">
        <f>IFERROR(_xlfn.XMATCH("*,"&amp;$A61&amp;",*",Mitigation!$X:$X,2)&gt;0,FALSE)</f>
        <v>0</v>
      </c>
      <c r="W61" s="20" cm="1">
        <f t="array" ref="W61">CreateTaskID($W$2,$W:$W,Tasks!$B$17,$S61)</f>
        <v>1</v>
      </c>
      <c r="X61" s="20" t="str" cm="1">
        <f t="array" ref="X61">IF($E61="","",","&amp;SanitizeInput($E61))</f>
        <v>,AS40,</v>
      </c>
      <c r="Y61" s="20">
        <f>IF(K61="",0,VLOOKUP(K61,Definitions!$Z:$AA,COLUMNS(Definitions!$Z:$AA),FALSE))</f>
        <v>0</v>
      </c>
      <c r="Z61" s="20">
        <f>IF(L61="",0,VLOOKUP(L61,Definitions!$Z:$AA,COLUMNS(Definitions!$Z:$AA),FALSE))</f>
        <v>0</v>
      </c>
      <c r="AA61" s="20">
        <f>IF(M61="",0,VLOOKUP(M61,Definitions!$Z:$AA,COLUMNS(Definitions!$Z:$AA),FALSE))</f>
        <v>0</v>
      </c>
      <c r="AB61" s="20">
        <f>IF(N61="",0,VLOOKUP(N61,Definitions!$Z:$AA,COLUMNS(Definitions!$Z:$AA),FALSE))</f>
        <v>25</v>
      </c>
      <c r="AC61" s="20">
        <f>IF(O61="",0,VLOOKUP(O61,Definitions!$Z:$AA,COLUMNS(Definitions!$Z:$AA),FALSE))</f>
        <v>0</v>
      </c>
      <c r="AD61" s="20">
        <f t="shared" ca="1" si="3"/>
        <v>25</v>
      </c>
      <c r="AE61" s="20" t="str" cm="1">
        <f t="array" ref="AE61">IF($G61="","",","&amp;SanitizeInput($G61))</f>
        <v/>
      </c>
      <c r="AF61" s="20" t="b" cm="1">
        <f t="array" ca="1" aca="1" ref="AF61">OR($AK61,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61,$AE$2,$A$2,Helper!$B$4,",",$A:$V,$A:$AK,InverseLookup($A61,$AE$2,$A$2,1,Helper!$B$4,",")))</f>
        <v>1</v>
      </c>
      <c r="AG61" s="20" t="str" cm="1">
        <f t="array" ca="1" aca="1" ref="AG61">IF(OR($V61,$AF61,$AK61),IF($G61="","",","&amp;SanitizeInput($G61)),"")</f>
        <v/>
      </c>
      <c r="AH61" s="20" t="str" cm="1">
        <f t="array" ref="AH61">SUBSTITUTE(IF($V61,IF($I61="","",","&amp;SanitizeInput($I61)),""),"&gt;",",")</f>
        <v/>
      </c>
      <c r="AI61" s="20" cm="1">
        <f t="array" ca="1" aca="1" ref="AI61">IF(ROW()=ROW($AI$2)+1,0,INDEX($AI:$AI,ROW()-1))+IF($AF61,1,0)</f>
        <v>16</v>
      </c>
      <c r="AJ61" s="20" t="str" cm="1">
        <f t="array" ca="1" aca="1" ref="AJ61">IF($AF61,IF($Q61="","",","&amp;SanitizeInput($Q61)),"")</f>
        <v>,c,</v>
      </c>
      <c r="AK61" s="20" t="b">
        <f ca="1">OR(CheckRelevance(SanitizeInput($D61),Questionnaire!$I:$I),CheckRelevance(SanitizeInput($D61),Questionnaire!$J:$J))</f>
        <v>1</v>
      </c>
      <c r="AL61" s="20" t="str" cm="1">
        <f t="array" ca="1" aca="1" ref="AL61">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61),Questionnaire!$AA:$AA,",")</f>
        <v>QA11b[No|Yes],</v>
      </c>
      <c r="AM61" s="20" t="str" cm="1">
        <f t="array" ca="1" aca="1" ref="AM61">IF($D61="*","",InverseLookupList($AL61,Questionnaire!$AA$3,Questionnaire!$A$3,Helper!$B$12,","))</f>
        <v>QA11b,</v>
      </c>
      <c r="AN61" s="20" t="str" cm="1">
        <f t="array" ca="1" aca="1" ref="AN61">RemoveDelimiter(GetValues($AM61,Questionnaire!$A:$G," ",CHAR(10)&amp;CHAR(10),TRUE),CHAR(10)&amp;CHAR(10))</f>
        <v xml:space="preserve">QA11b </v>
      </c>
      <c r="AO61" s="20" t="str" cm="1">
        <f t="array" ca="1" aca="1" ref="AO61">CreateSearchString($AM61)</f>
        <v>,QA11b,</v>
      </c>
      <c r="AP61" s="20" t="str" cm="1">
        <f t="array" ca="1" aca="1" ref="AP61">InverseLookup($A61,Mitigation!$AD$2,Mitigation!$A$2,1,Helper!$B$5,",")</f>
        <v/>
      </c>
      <c r="AQ61" s="20" t="str" cm="1">
        <f t="array" ca="1" aca="1" ref="AQ61">CreateSearchString(GetValues($AP61,'Attack Steps'!$A:$O,"",",",FALSE))</f>
        <v/>
      </c>
      <c r="AR61" s="20" t="str">
        <f t="shared" si="2"/>
        <v>CM23</v>
      </c>
    </row>
    <row r="62" spans="1:44" ht="45">
      <c r="A62" s="10" t="s">
        <v>1763</v>
      </c>
      <c r="B62" s="13" t="s">
        <v>1153</v>
      </c>
      <c r="C62" s="13" t="s">
        <v>1154</v>
      </c>
      <c r="D62" s="13"/>
      <c r="E62" s="13" t="s">
        <v>203</v>
      </c>
      <c r="F62" s="33" t="str" cm="1">
        <f t="array" ca="1" aca="1" ref="F62">LookupNames(SanitizeInput($E62),'Attack Steps'!$A:$B)</f>
        <v>AS16 Manipulating the product's configuration via its configuration interface</v>
      </c>
      <c r="G62" s="23" t="s">
        <v>758</v>
      </c>
      <c r="H62" s="33" t="str" cm="1">
        <f t="array" ca="1" aca="1" ref="H62">RemoveDelimiter(GetValuesWithFallback(SanitizeInput($G62),$A:$B,Assumptions!$A:$B," ",","&amp;CHAR(10),TRUE),","&amp;CHAR(10))</f>
        <v>CM5 SCR 2.3 - Password based authentication (human)</v>
      </c>
      <c r="I62" s="23"/>
      <c r="J62" s="37" t="str" cm="1">
        <f t="array" ref="J62">IF($I62="","",SUBSTITUTE(SUBSTITUTE(SUBSTITUTE(SUBSTITUTE(SUBSTITUTE(SUBSTITUTE(SUBSTITUTE(SUBSTITUTE(SUBSTITUTE(GetTransformation(SanitizeInput($I62),'Damage Scenarios'!$A:$J,COLUMNS('Damage Scenarios'!$A:$J),CHAR(10),"[#0][#1][#2]")&amp;"§","[#1][#2]",""),"[#2]",""),"[#0][#1]","[#1]"),"[#0]","Removes:"&amp;CHAR(10)),"[#1]","Transforms:"&amp;CHAR(10)),CHAR(10)&amp;"§",""),"§",""),CHAR(10),CHAR(10)&amp;"   "),"   "&amp;"Transforms:","Transforms:"))</f>
        <v/>
      </c>
      <c r="K62" s="13" t="s">
        <v>133</v>
      </c>
      <c r="L62" s="13" t="s">
        <v>140</v>
      </c>
      <c r="M62" s="13" t="s">
        <v>145</v>
      </c>
      <c r="N62" s="13" t="s">
        <v>149</v>
      </c>
      <c r="O62" s="13" t="s">
        <v>154</v>
      </c>
      <c r="P62" s="33" t="str">
        <f ca="1">IF($A62="","",IFERROR(VLOOKUP($AD62,Definitions!$V:$W,COLUMNS(Definitions!$V:$W),TRUE),""))</f>
        <v>Enhanced-Basic</v>
      </c>
      <c r="Q62" s="23" t="s">
        <v>62</v>
      </c>
      <c r="R62" s="23"/>
      <c r="S62" s="13" t="s">
        <v>1777</v>
      </c>
      <c r="T62" s="10" cm="1">
        <f t="array" ref="T62">IF(ROW()=ROW($T$2)+1,0,INDEX($T:$T,ROW()-1))+IF($A62="",0,1)</f>
        <v>60</v>
      </c>
      <c r="U62" s="20" t="b" cm="1">
        <f t="array" ca="1" aca="1" ref="U62">CheckRelevance(SanitizeInput(E62),Questionnaire!$I:$I)</f>
        <v>0</v>
      </c>
      <c r="V62" s="20" t="b">
        <f>IFERROR(_xlfn.XMATCH("*,"&amp;$A62&amp;",*",Mitigation!$X:$X,2)&gt;0,FALSE)</f>
        <v>0</v>
      </c>
      <c r="W62" s="20" cm="1">
        <f t="array" ref="W62">CreateTaskID($W$2,$W:$W,Tasks!$B$17,$S62)</f>
        <v>1</v>
      </c>
      <c r="X62" s="20" t="str" cm="1">
        <f t="array" ref="X62">IF($E62="","",","&amp;SanitizeInput($E62))</f>
        <v>,AS16,</v>
      </c>
      <c r="Y62" s="20">
        <f>IF(K62="",0,VLOOKUP(K62,Definitions!$Z:$AA,COLUMNS(Definitions!$Z:$AA),FALSE))</f>
        <v>1</v>
      </c>
      <c r="Z62" s="20">
        <f>IF(L62="",0,VLOOKUP(L62,Definitions!$Z:$AA,COLUMNS(Definitions!$Z:$AA),FALSE))</f>
        <v>3</v>
      </c>
      <c r="AA62" s="20">
        <f>IF(M62="",0,VLOOKUP(M62,Definitions!$Z:$AA,COLUMNS(Definitions!$Z:$AA),FALSE))</f>
        <v>3</v>
      </c>
      <c r="AB62" s="20">
        <f>IF(N62="",0,VLOOKUP(N62,Definitions!$Z:$AA,COLUMNS(Definitions!$Z:$AA),FALSE))</f>
        <v>1</v>
      </c>
      <c r="AC62" s="20">
        <f>IF(O62="",0,VLOOKUP(O62,Definitions!$Z:$AA,COLUMNS(Definitions!$Z:$AA),FALSE))</f>
        <v>4</v>
      </c>
      <c r="AD62" s="20">
        <f t="shared" ca="1" si="3"/>
        <v>12</v>
      </c>
      <c r="AE62" s="20" t="str" cm="1">
        <f t="array" ref="AE62">IF($G62="","",","&amp;SanitizeInput($G62))</f>
        <v>,CM5,</v>
      </c>
      <c r="AF62" s="20" t="b" cm="1">
        <f t="array" ca="1" aca="1" ref="AF62">OR($AK62,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62,$AE$2,$A$2,Helper!$B$4,",",$A:$V,$A:$AK,InverseLookup($A62,$AE$2,$A$2,1,Helper!$B$4,",")))</f>
        <v>0</v>
      </c>
      <c r="AG62" s="20" t="str" cm="1">
        <f t="array" ca="1" aca="1" ref="AG62">IF(OR($V62,$AF62,$AK62),IF($G62="","",","&amp;SanitizeInput($G62)),"")</f>
        <v/>
      </c>
      <c r="AH62" s="20" t="str" cm="1">
        <f t="array" ref="AH62">SUBSTITUTE(IF($V62,IF($I62="","",","&amp;SanitizeInput($I62)),""),"&gt;",",")</f>
        <v/>
      </c>
      <c r="AI62" s="20" cm="1">
        <f t="array" ca="1" aca="1" ref="AI62">IF(ROW()=ROW($AI$2)+1,0,INDEX($AI:$AI,ROW()-1))+IF($AF62,1,0)</f>
        <v>16</v>
      </c>
      <c r="AJ62" s="20" t="str" cm="1">
        <f t="array" ca="1" aca="1" ref="AJ62">IF($AF62,IF($Q62="","",","&amp;SanitizeInput($Q62)),"")</f>
        <v/>
      </c>
      <c r="AK62" s="20" t="b">
        <f>OR(CheckRelevance(SanitizeInput($D62),Questionnaire!$I:$I),CheckRelevance(SanitizeInput($D62),Questionnaire!$J:$J))</f>
        <v>0</v>
      </c>
      <c r="AL62" s="20" t="str" cm="1">
        <f t="array" ref="AL62">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62),Questionnaire!$AA:$AA,",")</f>
        <v/>
      </c>
      <c r="AM62" s="20" t="str" cm="1">
        <f t="array" ref="AM62">IF($D62="*","",InverseLookupList($AL62,Questionnaire!$AA$3,Questionnaire!$A$3,Helper!$B$12,","))</f>
        <v/>
      </c>
      <c r="AN62" s="20" t="str" cm="1">
        <f t="array" ref="AN62">RemoveDelimiter(GetValues($AM62,Questionnaire!$A:$G," ",CHAR(10)&amp;CHAR(10),TRUE),CHAR(10)&amp;CHAR(10))</f>
        <v/>
      </c>
      <c r="AO62" s="20" t="str" cm="1">
        <f t="array" ref="AO62">CreateSearchString($AM62)</f>
        <v/>
      </c>
      <c r="AP62" s="20" t="str" cm="1">
        <f t="array" ca="1" aca="1" ref="AP62">InverseLookup($A62,Mitigation!$AD$2,Mitigation!$A$2,1,Helper!$B$5,",")</f>
        <v/>
      </c>
      <c r="AQ62" s="20" t="str" cm="1">
        <f t="array" ca="1" aca="1" ref="AQ62">CreateSearchString(GetValues($AP62,'Attack Steps'!$A:$O,"",",",FALSE))</f>
        <v/>
      </c>
      <c r="AR62" s="20" t="str">
        <f t="shared" si="2"/>
        <v>CM24</v>
      </c>
    </row>
    <row r="63" spans="1:44" ht="60">
      <c r="A63" s="10" t="s">
        <v>1764</v>
      </c>
      <c r="B63" s="13" t="s">
        <v>1155</v>
      </c>
      <c r="C63" s="13" t="s">
        <v>1156</v>
      </c>
      <c r="D63" s="13"/>
      <c r="E63" s="13" t="s">
        <v>203</v>
      </c>
      <c r="F63" s="33" t="str" cm="1">
        <f t="array" ca="1" aca="1" ref="F63">LookupNames(SanitizeInput($E63),'Attack Steps'!$A:$B)</f>
        <v>AS16 Manipulating the product's configuration via its configuration interface</v>
      </c>
      <c r="G63" s="23" t="s">
        <v>758</v>
      </c>
      <c r="H63" s="33" t="str" cm="1">
        <f t="array" ca="1" aca="1" ref="H63">RemoveDelimiter(GetValuesWithFallback(SanitizeInput($G63),$A:$B,Assumptions!$A:$B," ",","&amp;CHAR(10),TRUE),","&amp;CHAR(10))</f>
        <v>CM5 SCR 2.3 - Password based authentication (human)</v>
      </c>
      <c r="I63" s="23"/>
      <c r="J63" s="37" t="str" cm="1">
        <f t="array" ref="J63">IF($I63="","",SUBSTITUTE(SUBSTITUTE(SUBSTITUTE(SUBSTITUTE(SUBSTITUTE(SUBSTITUTE(SUBSTITUTE(SUBSTITUTE(SUBSTITUTE(GetTransformation(SanitizeInput($I63),'Damage Scenarios'!$A:$J,COLUMNS('Damage Scenarios'!$A:$J),CHAR(10),"[#0][#1][#2]")&amp;"§","[#1][#2]",""),"[#2]",""),"[#0][#1]","[#1]"),"[#0]","Removes:"&amp;CHAR(10)),"[#1]","Transforms:"&amp;CHAR(10)),CHAR(10)&amp;"§",""),"§",""),CHAR(10),CHAR(10)&amp;"   "),"   "&amp;"Transforms:","Transforms:"))</f>
        <v/>
      </c>
      <c r="K63" s="13" t="s">
        <v>134</v>
      </c>
      <c r="L63" s="13" t="s">
        <v>141</v>
      </c>
      <c r="M63" s="13"/>
      <c r="N63" s="13" t="s">
        <v>150</v>
      </c>
      <c r="O63" s="13"/>
      <c r="P63" s="33" t="str">
        <f ca="1">IF($A63="","",IFERROR(VLOOKUP($AD63,Definitions!$V:$W,COLUMNS(Definitions!$V:$W),TRUE),""))</f>
        <v>High</v>
      </c>
      <c r="Q63" s="23" t="s">
        <v>62</v>
      </c>
      <c r="R63" s="23"/>
      <c r="S63" s="13" t="s">
        <v>1749</v>
      </c>
      <c r="T63" s="10" cm="1">
        <f t="array" ref="T63">IF(ROW()=ROW($T$2)+1,0,INDEX($T:$T,ROW()-1))+IF($A63="",0,1)</f>
        <v>61</v>
      </c>
      <c r="U63" s="20" t="b" cm="1">
        <f t="array" ca="1" aca="1" ref="U63">CheckRelevance(SanitizeInput(E63),Questionnaire!$I:$I)</f>
        <v>0</v>
      </c>
      <c r="V63" s="20" t="b">
        <f>IFERROR(_xlfn.XMATCH("*,"&amp;$A63&amp;",*",Mitigation!$X:$X,2)&gt;0,FALSE)</f>
        <v>0</v>
      </c>
      <c r="W63" s="20" cm="1">
        <f t="array" ref="W63">CreateTaskID($W$2,$W:$W,Tasks!$B$17,$S63)</f>
        <v>1</v>
      </c>
      <c r="X63" s="20" t="str" cm="1">
        <f t="array" ref="X63">IF($E63="","",","&amp;SanitizeInput($E63))</f>
        <v>,AS16,</v>
      </c>
      <c r="Y63" s="20">
        <f>IF(K63="",0,VLOOKUP(K63,Definitions!$Z:$AA,COLUMNS(Definitions!$Z:$AA),FALSE))</f>
        <v>4</v>
      </c>
      <c r="Z63" s="20">
        <f>IF(L63="",0,VLOOKUP(L63,Definitions!$Z:$AA,COLUMNS(Definitions!$Z:$AA),FALSE))</f>
        <v>6</v>
      </c>
      <c r="AA63" s="20">
        <f>IF(M63="",0,VLOOKUP(M63,Definitions!$Z:$AA,COLUMNS(Definitions!$Z:$AA),FALSE))</f>
        <v>0</v>
      </c>
      <c r="AB63" s="20">
        <f>IF(N63="",0,VLOOKUP(N63,Definitions!$Z:$AA,COLUMNS(Definitions!$Z:$AA),FALSE))</f>
        <v>10</v>
      </c>
      <c r="AC63" s="20">
        <f>IF(O63="",0,VLOOKUP(O63,Definitions!$Z:$AA,COLUMNS(Definitions!$Z:$AA),FALSE))</f>
        <v>0</v>
      </c>
      <c r="AD63" s="20">
        <f t="shared" ca="1" si="3"/>
        <v>20</v>
      </c>
      <c r="AE63" s="20" t="str" cm="1">
        <f t="array" ref="AE63">IF($G63="","",","&amp;SanitizeInput($G63))</f>
        <v>,CM5,</v>
      </c>
      <c r="AF63" s="20" t="b" cm="1">
        <f t="array" ca="1" aca="1" ref="AF63">OR($AK63,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63,$AE$2,$A$2,Helper!$B$4,",",$A:$V,$A:$AK,InverseLookup($A63,$AE$2,$A$2,1,Helper!$B$4,",")))</f>
        <v>0</v>
      </c>
      <c r="AG63" s="20" t="str" cm="1">
        <f t="array" ca="1" aca="1" ref="AG63">IF(OR($V63,$AF63,$AK63),IF($G63="","",","&amp;SanitizeInput($G63)),"")</f>
        <v/>
      </c>
      <c r="AH63" s="20" t="str" cm="1">
        <f t="array" ref="AH63">SUBSTITUTE(IF($V63,IF($I63="","",","&amp;SanitizeInput($I63)),""),"&gt;",",")</f>
        <v/>
      </c>
      <c r="AI63" s="20" cm="1">
        <f t="array" ca="1" aca="1" ref="AI63">IF(ROW()=ROW($AI$2)+1,0,INDEX($AI:$AI,ROW()-1))+IF($AF63,1,0)</f>
        <v>16</v>
      </c>
      <c r="AJ63" s="20" t="str" cm="1">
        <f t="array" ca="1" aca="1" ref="AJ63">IF($AF63,IF($Q63="","",","&amp;SanitizeInput($Q63)),"")</f>
        <v/>
      </c>
      <c r="AK63" s="20" t="b">
        <f>OR(CheckRelevance(SanitizeInput($D63),Questionnaire!$I:$I),CheckRelevance(SanitizeInput($D63),Questionnaire!$J:$J))</f>
        <v>0</v>
      </c>
      <c r="AL63" s="20" t="str" cm="1">
        <f t="array" ref="AL63">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63),Questionnaire!$AA:$AA,",")</f>
        <v/>
      </c>
      <c r="AM63" s="20" t="str" cm="1">
        <f t="array" ref="AM63">IF($D63="*","",InverseLookupList($AL63,Questionnaire!$AA$3,Questionnaire!$A$3,Helper!$B$12,","))</f>
        <v/>
      </c>
      <c r="AN63" s="20" t="str" cm="1">
        <f t="array" ref="AN63">RemoveDelimiter(GetValues($AM63,Questionnaire!$A:$G," ",CHAR(10)&amp;CHAR(10),TRUE),CHAR(10)&amp;CHAR(10))</f>
        <v/>
      </c>
      <c r="AO63" s="20" t="str" cm="1">
        <f t="array" ref="AO63">CreateSearchString($AM63)</f>
        <v/>
      </c>
      <c r="AP63" s="20" t="str" cm="1">
        <f t="array" ca="1" aca="1" ref="AP63">InverseLookup($A63,Mitigation!$AD$2,Mitigation!$A$2,1,Helper!$B$5,",")</f>
        <v/>
      </c>
      <c r="AQ63" s="20" t="str" cm="1">
        <f t="array" ca="1" aca="1" ref="AQ63">CreateSearchString(GetValues($AP63,'Attack Steps'!$A:$O,"",",",FALSE))</f>
        <v/>
      </c>
      <c r="AR63" s="20" t="str">
        <f t="shared" si="2"/>
        <v>CM25</v>
      </c>
    </row>
    <row r="64" spans="1:44" ht="30">
      <c r="A64" s="10" t="s">
        <v>1765</v>
      </c>
      <c r="B64" s="13" t="s">
        <v>1746</v>
      </c>
      <c r="C64" s="13" t="s">
        <v>1157</v>
      </c>
      <c r="D64" s="13"/>
      <c r="E64" s="13" t="s">
        <v>203</v>
      </c>
      <c r="F64" s="33" t="str" cm="1">
        <f t="array" ca="1" aca="1" ref="F64">LookupNames(SanitizeInput($E64),'Attack Steps'!$A:$B)</f>
        <v>AS16 Manipulating the product's configuration via its configuration interface</v>
      </c>
      <c r="G64" s="23" t="s">
        <v>758</v>
      </c>
      <c r="H64" s="33" t="str" cm="1">
        <f t="array" ca="1" aca="1" ref="H64">RemoveDelimiter(GetValuesWithFallback(SanitizeInput($G64),$A:$B,Assumptions!$A:$B," ",","&amp;CHAR(10),TRUE),","&amp;CHAR(10))</f>
        <v>CM5 SCR 2.3 - Password based authentication (human)</v>
      </c>
      <c r="I64" s="23"/>
      <c r="J64" s="37" t="str" cm="1">
        <f t="array" ref="J64">IF($I64="","",SUBSTITUTE(SUBSTITUTE(SUBSTITUTE(SUBSTITUTE(SUBSTITUTE(SUBSTITUTE(SUBSTITUTE(SUBSTITUTE(SUBSTITUTE(GetTransformation(SanitizeInput($I64),'Damage Scenarios'!$A:$J,COLUMNS('Damage Scenarios'!$A:$J),CHAR(10),"[#0][#1][#2]")&amp;"§","[#1][#2]",""),"[#2]",""),"[#0][#1]","[#1]"),"[#0]","Removes:"&amp;CHAR(10)),"[#1]","Transforms:"&amp;CHAR(10)),CHAR(10)&amp;"§",""),"§",""),CHAR(10),CHAR(10)&amp;"   "),"   "&amp;"Transforms:","Transforms:"))</f>
        <v/>
      </c>
      <c r="K64" s="13"/>
      <c r="L64" s="13"/>
      <c r="M64" s="13"/>
      <c r="N64" s="13" t="s">
        <v>151</v>
      </c>
      <c r="O64" s="13"/>
      <c r="P64" s="33" t="str">
        <f ca="1">IF($A64="","",IFERROR(VLOOKUP($AD64,Definitions!$V:$W,COLUMNS(Definitions!$V:$W),TRUE),""))</f>
        <v>Beyond High</v>
      </c>
      <c r="Q64" s="23" t="s">
        <v>62</v>
      </c>
      <c r="R64" s="23"/>
      <c r="S64" s="13" t="s">
        <v>1748</v>
      </c>
      <c r="T64" s="10" cm="1">
        <f t="array" ref="T64">IF(ROW()=ROW($T$2)+1,0,INDEX($T:$T,ROW()-1))+IF($A64="",0,1)</f>
        <v>62</v>
      </c>
      <c r="U64" s="20" t="b" cm="1">
        <f t="array" ca="1" aca="1" ref="U64">CheckRelevance(SanitizeInput(E64),Questionnaire!$I:$I)</f>
        <v>0</v>
      </c>
      <c r="V64" s="20" t="b">
        <f>IFERROR(_xlfn.XMATCH("*,"&amp;$A64&amp;",*",Mitigation!$X:$X,2)&gt;0,FALSE)</f>
        <v>0</v>
      </c>
      <c r="W64" s="20" cm="1">
        <f t="array" ref="W64">CreateTaskID($W$2,$W:$W,Tasks!$B$17,$S64)</f>
        <v>1</v>
      </c>
      <c r="X64" s="20" t="str" cm="1">
        <f t="array" ref="X64">IF($E64="","",","&amp;SanitizeInput($E64))</f>
        <v>,AS16,</v>
      </c>
      <c r="Y64" s="20">
        <f>IF(K64="",0,VLOOKUP(K64,Definitions!$Z:$AA,COLUMNS(Definitions!$Z:$AA),FALSE))</f>
        <v>0</v>
      </c>
      <c r="Z64" s="20">
        <f>IF(L64="",0,VLOOKUP(L64,Definitions!$Z:$AA,COLUMNS(Definitions!$Z:$AA),FALSE))</f>
        <v>0</v>
      </c>
      <c r="AA64" s="20">
        <f>IF(M64="",0,VLOOKUP(M64,Definitions!$Z:$AA,COLUMNS(Definitions!$Z:$AA),FALSE))</f>
        <v>0</v>
      </c>
      <c r="AB64" s="20">
        <f>IF(N64="",0,VLOOKUP(N64,Definitions!$Z:$AA,COLUMNS(Definitions!$Z:$AA),FALSE))</f>
        <v>25</v>
      </c>
      <c r="AC64" s="20">
        <f>IF(O64="",0,VLOOKUP(O64,Definitions!$Z:$AA,COLUMNS(Definitions!$Z:$AA),FALSE))</f>
        <v>0</v>
      </c>
      <c r="AD64" s="20">
        <f t="shared" ca="1" si="3"/>
        <v>25</v>
      </c>
      <c r="AE64" s="20" t="str" cm="1">
        <f t="array" ref="AE64">IF($G64="","",","&amp;SanitizeInput($G64))</f>
        <v>,CM5,</v>
      </c>
      <c r="AF64" s="20" t="b" cm="1">
        <f t="array" ca="1" aca="1" ref="AF64">OR($AK64,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64,$AE$2,$A$2,Helper!$B$4,",",$A:$V,$A:$AK,InverseLookup($A64,$AE$2,$A$2,1,Helper!$B$4,",")))</f>
        <v>0</v>
      </c>
      <c r="AG64" s="20" t="str" cm="1">
        <f t="array" ca="1" aca="1" ref="AG64">IF(OR($V64,$AF64,$AK64),IF($G64="","",","&amp;SanitizeInput($G64)),"")</f>
        <v/>
      </c>
      <c r="AH64" s="20" t="str" cm="1">
        <f t="array" ref="AH64">SUBSTITUTE(IF($V64,IF($I64="","",","&amp;SanitizeInput($I64)),""),"&gt;",",")</f>
        <v/>
      </c>
      <c r="AI64" s="20" cm="1">
        <f t="array" ca="1" aca="1" ref="AI64">IF(ROW()=ROW($AI$2)+1,0,INDEX($AI:$AI,ROW()-1))+IF($AF64,1,0)</f>
        <v>16</v>
      </c>
      <c r="AJ64" s="20" t="str" cm="1">
        <f t="array" ca="1" aca="1" ref="AJ64">IF($AF64,IF($Q64="","",","&amp;SanitizeInput($Q64)),"")</f>
        <v/>
      </c>
      <c r="AK64" s="20" t="b">
        <f>OR(CheckRelevance(SanitizeInput($D64),Questionnaire!$I:$I),CheckRelevance(SanitizeInput($D64),Questionnaire!$J:$J))</f>
        <v>0</v>
      </c>
      <c r="AL64" s="20" t="str" cm="1">
        <f t="array" ref="AL64">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64),Questionnaire!$AA:$AA,",")</f>
        <v/>
      </c>
      <c r="AM64" s="20" t="str" cm="1">
        <f t="array" ref="AM64">IF($D64="*","",InverseLookupList($AL64,Questionnaire!$AA$3,Questionnaire!$A$3,Helper!$B$12,","))</f>
        <v/>
      </c>
      <c r="AN64" s="20" t="str" cm="1">
        <f t="array" ref="AN64">RemoveDelimiter(GetValues($AM64,Questionnaire!$A:$G," ",CHAR(10)&amp;CHAR(10),TRUE),CHAR(10)&amp;CHAR(10))</f>
        <v/>
      </c>
      <c r="AO64" s="20" t="str" cm="1">
        <f t="array" ref="AO64">CreateSearchString($AM64)</f>
        <v/>
      </c>
      <c r="AP64" s="20" t="str" cm="1">
        <f t="array" ca="1" aca="1" ref="AP64">InverseLookup($A64,Mitigation!$AD$2,Mitigation!$A$2,1,Helper!$B$5,",")</f>
        <v/>
      </c>
      <c r="AQ64" s="20" t="str" cm="1">
        <f t="array" ca="1" aca="1" ref="AQ64">CreateSearchString(GetValues($AP64,'Attack Steps'!$A:$O,"",",",FALSE))</f>
        <v/>
      </c>
      <c r="AR64" s="20" t="str">
        <f t="shared" si="2"/>
        <v>CM26</v>
      </c>
    </row>
    <row r="65" spans="1:44" ht="60">
      <c r="A65" s="10" t="s">
        <v>1766</v>
      </c>
      <c r="B65" s="13" t="s">
        <v>1235</v>
      </c>
      <c r="C65" s="13" t="s">
        <v>1236</v>
      </c>
      <c r="D65" s="13"/>
      <c r="E65" s="13" t="s">
        <v>203</v>
      </c>
      <c r="F65" s="33" t="str" cm="1">
        <f t="array" ca="1" aca="1" ref="F65">LookupNames(SanitizeInput($E65),'Attack Steps'!$A:$B)</f>
        <v>AS16 Manipulating the product's configuration via its configuration interface</v>
      </c>
      <c r="G65" s="23" t="s">
        <v>1242</v>
      </c>
      <c r="H65" s="33" t="str" cm="1">
        <f t="array" ca="1" aca="1" ref="H65">RemoveDelimiter(GetValuesWithFallback(SanitizeInput($G65),$A:$B,Assumptions!$A:$B," ",","&amp;CHAR(10),TRUE),","&amp;CHAR(10))</f>
        <v>CM5 SCR 2.3 - Password based authentication (human),
CM11 SCR 2.9 - Secure channel with communication partner authentication</v>
      </c>
      <c r="I65" s="23"/>
      <c r="J65" s="37" t="str" cm="1">
        <f t="array" ref="J65">IF($I65="","",SUBSTITUTE(SUBSTITUTE(SUBSTITUTE(SUBSTITUTE(SUBSTITUTE(SUBSTITUTE(SUBSTITUTE(SUBSTITUTE(SUBSTITUTE(GetTransformation(SanitizeInput($I65),'Damage Scenarios'!$A:$J,COLUMNS('Damage Scenarios'!$A:$J),CHAR(10),"[#0][#1][#2]")&amp;"§","[#1][#2]",""),"[#2]",""),"[#0][#1]","[#1]"),"[#0]","Removes:"&amp;CHAR(10)),"[#1]","Transforms:"&amp;CHAR(10)),CHAR(10)&amp;"§",""),"§",""),CHAR(10),CHAR(10)&amp;"   "),"   "&amp;"Transforms:","Transforms:"))</f>
        <v/>
      </c>
      <c r="K65" s="13"/>
      <c r="L65" s="13"/>
      <c r="M65" s="13"/>
      <c r="N65" s="13"/>
      <c r="O65" s="13"/>
      <c r="P65" s="33" t="str">
        <f ca="1">IF($A65="","",IFERROR(VLOOKUP($AD65,Definitions!$V:$W,COLUMNS(Definitions!$V:$W),TRUE),""))</f>
        <v>Basic</v>
      </c>
      <c r="Q65" s="23" t="s">
        <v>62</v>
      </c>
      <c r="R65" s="23"/>
      <c r="S65" s="13"/>
      <c r="T65" s="10" cm="1">
        <f t="array" ref="T65">IF(ROW()=ROW($T$2)+1,0,INDEX($T:$T,ROW()-1))+IF($A65="",0,1)</f>
        <v>63</v>
      </c>
      <c r="U65" s="20" t="b" cm="1">
        <f t="array" ca="1" aca="1" ref="U65">CheckRelevance(SanitizeInput(E65),Questionnaire!$I:$I)</f>
        <v>0</v>
      </c>
      <c r="V65" s="20" t="b">
        <f>IFERROR(_xlfn.XMATCH("*,"&amp;$A65&amp;",*",Mitigation!$X:$X,2)&gt;0,FALSE)</f>
        <v>0</v>
      </c>
      <c r="W65" s="20" cm="1">
        <f t="array" ref="W65">CreateTaskID($W$2,$W:$W,Tasks!$B$17,$S65)</f>
        <v>1</v>
      </c>
      <c r="X65" s="20" t="str" cm="1">
        <f t="array" ref="X65">IF($E65="","",","&amp;SanitizeInput($E65))</f>
        <v>,AS16,</v>
      </c>
      <c r="Y65" s="20">
        <f>IF(K65="",0,VLOOKUP(K65,Definitions!$Z:$AA,COLUMNS(Definitions!$Z:$AA),FALSE))</f>
        <v>0</v>
      </c>
      <c r="Z65" s="20">
        <f>IF(L65="",0,VLOOKUP(L65,Definitions!$Z:$AA,COLUMNS(Definitions!$Z:$AA),FALSE))</f>
        <v>0</v>
      </c>
      <c r="AA65" s="20">
        <f>IF(M65="",0,VLOOKUP(M65,Definitions!$Z:$AA,COLUMNS(Definitions!$Z:$AA),FALSE))</f>
        <v>0</v>
      </c>
      <c r="AB65" s="20">
        <f>IF(N65="",0,VLOOKUP(N65,Definitions!$Z:$AA,COLUMNS(Definitions!$Z:$AA),FALSE))</f>
        <v>0</v>
      </c>
      <c r="AC65" s="20">
        <f>IF(O65="",0,VLOOKUP(O65,Definitions!$Z:$AA,COLUMNS(Definitions!$Z:$AA),FALSE))</f>
        <v>0</v>
      </c>
      <c r="AD65" s="20">
        <f t="shared" ca="1" si="3"/>
        <v>0</v>
      </c>
      <c r="AE65" s="20" t="str" cm="1">
        <f t="array" ref="AE65">IF($G65="","",","&amp;SanitizeInput($G65))</f>
        <v>,CM5,CM11,</v>
      </c>
      <c r="AF65" s="20" t="b" cm="1">
        <f t="array" ca="1" aca="1" ref="AF65">OR($AK65,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65,$AE$2,$A$2,Helper!$B$4,",",$A:$V,$A:$AK,InverseLookup($A65,$AE$2,$A$2,1,Helper!$B$4,",")))</f>
        <v>0</v>
      </c>
      <c r="AG65" s="20" t="str" cm="1">
        <f t="array" ca="1" aca="1" ref="AG65">IF(OR($V65,$AF65,$AK65),IF($G65="","",","&amp;SanitizeInput($G65)),"")</f>
        <v/>
      </c>
      <c r="AH65" s="20" t="str" cm="1">
        <f t="array" ref="AH65">SUBSTITUTE(IF($V65,IF($I65="","",","&amp;SanitizeInput($I65)),""),"&gt;",",")</f>
        <v/>
      </c>
      <c r="AI65" s="20" cm="1">
        <f t="array" ca="1" aca="1" ref="AI65">IF(ROW()=ROW($AI$2)+1,0,INDEX($AI:$AI,ROW()-1))+IF($AF65,1,0)</f>
        <v>16</v>
      </c>
      <c r="AJ65" s="20" t="str" cm="1">
        <f t="array" ca="1" aca="1" ref="AJ65">IF($AF65,IF($Q65="","",","&amp;SanitizeInput($Q65)),"")</f>
        <v/>
      </c>
      <c r="AK65" s="20" t="b">
        <f>OR(CheckRelevance(SanitizeInput($D65),Questionnaire!$I:$I),CheckRelevance(SanitizeInput($D65),Questionnaire!$J:$J))</f>
        <v>0</v>
      </c>
      <c r="AL65" s="20" t="str" cm="1">
        <f t="array" ref="AL65">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65),Questionnaire!$AA:$AA,",")</f>
        <v/>
      </c>
      <c r="AM65" s="20" t="str" cm="1">
        <f t="array" ref="AM65">IF($D65="*","",InverseLookupList($AL65,Questionnaire!$AA$3,Questionnaire!$A$3,Helper!$B$12,","))</f>
        <v/>
      </c>
      <c r="AN65" s="20" t="str" cm="1">
        <f t="array" ref="AN65">RemoveDelimiter(GetValues($AM65,Questionnaire!$A:$G," ",CHAR(10)&amp;CHAR(10),TRUE),CHAR(10)&amp;CHAR(10))</f>
        <v/>
      </c>
      <c r="AO65" s="20" t="str" cm="1">
        <f t="array" ref="AO65">CreateSearchString($AM65)</f>
        <v/>
      </c>
      <c r="AP65" s="20" t="str" cm="1">
        <f t="array" ca="1" aca="1" ref="AP65">InverseLookup($A65,Mitigation!$AD$2,Mitigation!$A$2,1,Helper!$B$5,",")</f>
        <v/>
      </c>
      <c r="AQ65" s="20" t="str" cm="1">
        <f t="array" ca="1" aca="1" ref="AQ65">CreateSearchString(GetValues($AP65,'Attack Steps'!$A:$O,"",",",FALSE))</f>
        <v/>
      </c>
      <c r="AR65" s="20" t="str">
        <f t="shared" si="2"/>
        <v>CM27</v>
      </c>
    </row>
    <row r="66" spans="1:44" ht="30">
      <c r="A66" s="10" t="s">
        <v>1767</v>
      </c>
      <c r="B66" s="13" t="s">
        <v>1158</v>
      </c>
      <c r="C66" s="13"/>
      <c r="D66" s="13"/>
      <c r="E66" s="13" t="s">
        <v>203</v>
      </c>
      <c r="F66" s="33" t="str" cm="1">
        <f t="array" ca="1" aca="1" ref="F66">LookupNames(SanitizeInput($E66),'Attack Steps'!$A:$B)</f>
        <v>AS16 Manipulating the product's configuration via its configuration interface</v>
      </c>
      <c r="G66" s="23" t="s">
        <v>758</v>
      </c>
      <c r="H66" s="33" t="str" cm="1">
        <f t="array" ca="1" aca="1" ref="H66">RemoveDelimiter(GetValuesWithFallback(SanitizeInput($G66),$A:$B,Assumptions!$A:$B," ",","&amp;CHAR(10),TRUE),","&amp;CHAR(10))</f>
        <v>CM5 SCR 2.3 - Password based authentication (human)</v>
      </c>
      <c r="I66" s="23"/>
      <c r="J66" s="37" t="str" cm="1">
        <f t="array" ref="J66">IF($I66="","",SUBSTITUTE(SUBSTITUTE(SUBSTITUTE(SUBSTITUTE(SUBSTITUTE(SUBSTITUTE(SUBSTITUTE(SUBSTITUTE(SUBSTITUTE(GetTransformation(SanitizeInput($I66),'Damage Scenarios'!$A:$J,COLUMNS('Damage Scenarios'!$A:$J),CHAR(10),"[#0][#1][#2]")&amp;"§","[#1][#2]",""),"[#2]",""),"[#0][#1]","[#1]"),"[#0]","Removes:"&amp;CHAR(10)),"[#1]","Transforms:"&amp;CHAR(10)),CHAR(10)&amp;"§",""),"§",""),CHAR(10),CHAR(10)&amp;"   "),"   "&amp;"Transforms:","Transforms:"))</f>
        <v/>
      </c>
      <c r="K66" s="13"/>
      <c r="L66" s="13"/>
      <c r="M66" s="13"/>
      <c r="N66" s="13" t="s">
        <v>151</v>
      </c>
      <c r="O66" s="13"/>
      <c r="P66" s="33" t="str">
        <f ca="1">IF($A66="","",IFERROR(VLOOKUP($AD66,Definitions!$V:$W,COLUMNS(Definitions!$V:$W),TRUE),""))</f>
        <v>Beyond High</v>
      </c>
      <c r="Q66" s="23" t="s">
        <v>62</v>
      </c>
      <c r="R66" s="23"/>
      <c r="S66" s="13" t="s">
        <v>1750</v>
      </c>
      <c r="T66" s="10" cm="1">
        <f t="array" ref="T66">IF(ROW()=ROW($T$2)+1,0,INDEX($T:$T,ROW()-1))+IF($A66="",0,1)</f>
        <v>64</v>
      </c>
      <c r="U66" s="20" t="b" cm="1">
        <f t="array" ca="1" aca="1" ref="U66">CheckRelevance(SanitizeInput(E66),Questionnaire!$I:$I)</f>
        <v>0</v>
      </c>
      <c r="V66" s="20" t="b">
        <f>IFERROR(_xlfn.XMATCH("*,"&amp;$A66&amp;",*",Mitigation!$X:$X,2)&gt;0,FALSE)</f>
        <v>0</v>
      </c>
      <c r="W66" s="20" cm="1">
        <f t="array" ref="W66">CreateTaskID($W$2,$W:$W,Tasks!$B$17,$S66)</f>
        <v>1</v>
      </c>
      <c r="X66" s="20" t="str" cm="1">
        <f t="array" ref="X66">IF($E66="","",","&amp;SanitizeInput($E66))</f>
        <v>,AS16,</v>
      </c>
      <c r="Y66" s="20">
        <f>IF(K66="",0,VLOOKUP(K66,Definitions!$Z:$AA,COLUMNS(Definitions!$Z:$AA),FALSE))</f>
        <v>0</v>
      </c>
      <c r="Z66" s="20">
        <f>IF(L66="",0,VLOOKUP(L66,Definitions!$Z:$AA,COLUMNS(Definitions!$Z:$AA),FALSE))</f>
        <v>0</v>
      </c>
      <c r="AA66" s="20">
        <f>IF(M66="",0,VLOOKUP(M66,Definitions!$Z:$AA,COLUMNS(Definitions!$Z:$AA),FALSE))</f>
        <v>0</v>
      </c>
      <c r="AB66" s="20">
        <f>IF(N66="",0,VLOOKUP(N66,Definitions!$Z:$AA,COLUMNS(Definitions!$Z:$AA),FALSE))</f>
        <v>25</v>
      </c>
      <c r="AC66" s="20">
        <f>IF(O66="",0,VLOOKUP(O66,Definitions!$Z:$AA,COLUMNS(Definitions!$Z:$AA),FALSE))</f>
        <v>0</v>
      </c>
      <c r="AD66" s="20">
        <f t="shared" ca="1" si="3"/>
        <v>25</v>
      </c>
      <c r="AE66" s="20" t="str" cm="1">
        <f t="array" ref="AE66">IF($G66="","",","&amp;SanitizeInput($G66))</f>
        <v>,CM5,</v>
      </c>
      <c r="AF66" s="20" t="b" cm="1">
        <f t="array" ca="1" aca="1" ref="AF66">OR($AK66,_xlfn.LAMBDA(_xlpm._ownID,_xlpm._searchHeader,_xlpm._resultHeader,_xlpm._elementCount,_xlpm._delimiter,_xlpm._activeInTreatmentRange,_xlpm._activeByAnswersRange,_xlpm._dependencies,IF(OR(VLOOKUP(_xlpm._ownID,_xlpm._activeInTreatmentRange,COLUMNS(_xlpm._activeInTreatmentRange),FALSE),VLOOKUP(_xlpm._ownID,_xlpm._activeByAnswersRange,COLUMNS(_xlpm._activeByAnswersRange),FALSE)),TRUE,IF(_xlpm._dependencies="",FALSE,_xlfn.LET(_xlpm._id,LEFT(_xlpm._dependencies,FIND(",",_xlpm._dependencies)-1),CheckActiveCountermeasureRecursively(_xlpm._id,_xlpm._searchHeader,_xlpm._resultHeader,_xlpm._elementCount,_xlpm._delimiter,_xlpm._activeInTreatmentRange,_xlpm._activeByAnswersRange,RemoveFirstElement(_xlpm._dependencies)&amp;InverseLookup(_xlpm._ownID,_xlpm._searchHeader,_xlpm._resultHeader,1,_xlpm._elementCount,_xlpm._delimiter))))))($A66,$AE$2,$A$2,Helper!$B$4,",",$A:$V,$A:$AK,InverseLookup($A66,$AE$2,$A$2,1,Helper!$B$4,",")))</f>
        <v>0</v>
      </c>
      <c r="AG66" s="20" t="str" cm="1">
        <f t="array" ca="1" aca="1" ref="AG66">IF(OR($V66,$AF66,$AK66),IF($G66="","",","&amp;SanitizeInput($G66)),"")</f>
        <v/>
      </c>
      <c r="AH66" s="20" t="str" cm="1">
        <f t="array" ref="AH66">SUBSTITUTE(IF($V66,IF($I66="","",","&amp;SanitizeInput($I66)),""),"&gt;",",")</f>
        <v/>
      </c>
      <c r="AI66" s="20" cm="1">
        <f t="array" ca="1" aca="1" ref="AI66">IF(ROW()=ROW($AI$2)+1,0,INDEX($AI:$AI,ROW()-1))+IF($AF66,1,0)</f>
        <v>16</v>
      </c>
      <c r="AJ66" s="20" t="str" cm="1">
        <f t="array" ca="1" aca="1" ref="AJ66">IF($AF66,IF($Q66="","",","&amp;SanitizeInput($Q66)),"")</f>
        <v/>
      </c>
      <c r="AK66" s="20" t="b">
        <f>OR(CheckRelevance(SanitizeInput($D66),Questionnaire!$I:$I),CheckRelevance(SanitizeInput($D66),Questionnaire!$J:$J))</f>
        <v>0</v>
      </c>
      <c r="AL66" s="20" t="str" cm="1">
        <f t="array" ref="AL66">_xlfn.LAMBDA(_xlpm._preconditionCandidates,_xlpm._searchColumn,_xlpm._delimiter,IF(_xlpm._preconditionCandidates="","",_xlfn.LET(_xlpm._preconditionCandidate,LEFT(_xlpm._preconditionCandidates,FIND(",",_xlpm._preconditionCandidates)-1),_xlpm._isRelevant,CheckRelevance(_xlpm._preconditionCandidate&amp;",",_xlpm._searchColumn),IF(_xlpm._isRelevant,SUBSTITUTE(_xlpm._preconditionCandidate,"&amp;",",")&amp;_xlpm._delimiter,"")&amp;FilterPreconditionCandidates(RemoveFirstElement(_xlpm._preconditionCandidates),_xlpm._searchColumn,_xlpm._delimiter))))(SanitizeInput($D66),Questionnaire!$AA:$AA,",")</f>
        <v/>
      </c>
      <c r="AM66" s="20" t="str" cm="1">
        <f t="array" ref="AM66">IF($D66="*","",InverseLookupList($AL66,Questionnaire!$AA$3,Questionnaire!$A$3,Helper!$B$12,","))</f>
        <v/>
      </c>
      <c r="AN66" s="20" t="str" cm="1">
        <f t="array" ref="AN66">RemoveDelimiter(GetValues($AM66,Questionnaire!$A:$G," ",CHAR(10)&amp;CHAR(10),TRUE),CHAR(10)&amp;CHAR(10))</f>
        <v/>
      </c>
      <c r="AO66" s="20" t="str" cm="1">
        <f t="array" ref="AO66">CreateSearchString($AM66)</f>
        <v/>
      </c>
      <c r="AP66" s="20" t="str" cm="1">
        <f t="array" ca="1" aca="1" ref="AP66">InverseLookup($A66,Mitigation!$AD$2,Mitigation!$A$2,1,Helper!$B$5,",")</f>
        <v/>
      </c>
      <c r="AQ66" s="20" t="str" cm="1">
        <f t="array" ca="1" aca="1" ref="AQ66">CreateSearchString(GetValues($AP66,'Attack Steps'!$A:$O,"",",",FALSE))</f>
        <v/>
      </c>
      <c r="AR66" s="20" t="str">
        <f t="shared" si="2"/>
        <v>CM28</v>
      </c>
    </row>
  </sheetData>
  <sheetProtection password="EAF3" sheet="1" objects="1" scenarios="1"/>
  <conditionalFormatting sqref="A1:A1048576">
    <cfRule type="expression" priority="1" dxfId="65">
      <formula>MATCH(A1,$A:$A,0)&lt;ROW(A1)</formula>
    </cfRule>
  </conditionalFormatting>
  <conditionalFormatting sqref="S1:S1048576">
    <cfRule type="expression" priority="2" dxfId="685">
      <formula>IFERROR(FIND(Tasks!$B$17,S1)&gt;0,FALSE)</formula>
    </cfRule>
  </conditionalFormatting>
  <dataValidations count="1">
    <dataValidation type="list" allowBlank="1" showInputMessage="1" showErrorMessage="1" sqref="K3:O66">
      <formula1>OFFSET(Definitions!$Z$2,MATCH(COLUMN()-COLUMN($K$2)+1,Definitions!$AB:$AB,0)-ROW(Definitions!$Z$2),0,COUNTIF(Definitions!$AB:$AB,COLUMN()-COLUMN($K$2)+1),1)</formula1>
    </dataValidation>
  </dataValidations>
  <pageMargins left="0.7" right="0.7" top="0.75" bottom="0.75" header="0.3" footer="0.3"/>
  <pageSetup orientation="portrait" paperSize="9" r:id="rId2"/>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F332AB-ED4E-4633-9970-D747029C0FB6}">
  <sheetPr>
    <tabColor theme="1" tint="0.15"/>
  </sheetPr>
  <dimension ref="A1:J48"/>
  <sheetViews>
    <sheetView windowProtection="1" workbookViewId="0" topLeftCell="A1">
      <selection pane="topLeft" activeCell="B27" sqref="B27:E48"/>
    </sheetView>
  </sheetViews>
  <sheetFormatPr defaultColWidth="9.14428571428571" defaultRowHeight="15"/>
  <cols>
    <col min="1" max="1" width="2.71428571428571" style="115" customWidth="1"/>
    <col min="2" max="2" width="24.5714285714286" style="2" bestFit="1" customWidth="1"/>
    <col min="3" max="3" width="60.7142857142857" style="2" customWidth="1"/>
    <col min="4" max="4" width="30.7142857142857" style="2" customWidth="1"/>
    <col min="5" max="5" width="15.7142857142857" style="2" customWidth="1"/>
    <col min="6" max="6" width="9.14285714285714" style="121"/>
    <col min="7" max="7" width="120.714285714286" style="2" customWidth="1"/>
    <col min="8" max="8" width="9.14285714285714" style="2"/>
    <col min="9" max="9" width="18.8571428571429" style="2" hidden="1" customWidth="1"/>
    <col min="10" max="10" width="9.14285714285714" style="2" hidden="1" customWidth="1"/>
    <col min="11" max="16384" width="9.14285714285714" style="2"/>
  </cols>
  <sheetData>
    <row r="1" spans="9:10" ht="9.95" customHeight="1">
      <c r="I1" s="2" t="s">
        <v>554</v>
      </c>
      <c r="J1" s="2" t="s">
        <v>555</v>
      </c>
    </row>
    <row r="2" spans="1:10" ht="18.75">
      <c r="A2" s="115" t="str" cm="1">
        <f t="array" ca="1" aca="1" ref="A2">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2,README!$E:$E,README!$I$36,README!$B$36)</f>
        <v>◈</v>
      </c>
      <c r="B2" s="31" t="s">
        <v>249</v>
      </c>
      <c r="C2" s="145" t="s">
        <v>1784</v>
      </c>
      <c r="D2" s="145"/>
      <c r="E2" s="145"/>
      <c r="F2" s="121" t="str" cm="1">
        <f t="array" ca="1" aca="1" ref="F2">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G2,README!$E:$E,README!$I$36,README!$B$36)</f>
        <v>◈</v>
      </c>
      <c r="G2" s="31" t="s">
        <v>598</v>
      </c>
      <c r="I2" s="2" t="str">
        <f>IF(AND($B2&lt;&gt;"",$C2=""),$B2,"")</f>
        <v/>
      </c>
      <c r="J2" s="2" cm="1">
        <f t="array" ref="J2">CreateID($J$1,$J:$J,$I2&lt;&gt;"")</f>
        <v>0</v>
      </c>
    </row>
    <row r="3" spans="2:10" ht="5.1" customHeight="1">
      <c r="B3" s="1"/>
      <c r="C3" s="87"/>
      <c r="D3" s="87"/>
      <c r="E3" s="87"/>
      <c r="I3" s="2" t="str">
        <f t="shared" si="0" ref="I3:I15">IF(AND($B3&lt;&gt;"",$C3=""),$B3,"")</f>
        <v/>
      </c>
      <c r="J3" s="2" cm="1">
        <f t="array" ref="J3">CreateID($J$1,$J:$J,$I3&lt;&gt;"")</f>
        <v>0</v>
      </c>
    </row>
    <row r="4" spans="1:10" ht="18.75" customHeight="1">
      <c r="A4" s="115" t="str" cm="1">
        <f t="array" ca="1" aca="1" ref="A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4,README!$E:$E,README!$I$36,README!$B$36)</f>
        <v>◈</v>
      </c>
      <c r="B4" s="31" t="s">
        <v>253</v>
      </c>
      <c r="C4" s="146" t="s">
        <v>1785</v>
      </c>
      <c r="D4" s="146"/>
      <c r="E4" s="146"/>
      <c r="G4" s="144" t="s">
        <v>1751</v>
      </c>
      <c r="I4" s="2" t="str">
        <f t="shared" si="0"/>
        <v/>
      </c>
      <c r="J4" s="2" cm="1">
        <f t="array" ref="J4">CreateID($J$1,$J:$J,$I4&lt;&gt;"")</f>
        <v>0</v>
      </c>
    </row>
    <row r="5" spans="2:10" ht="5.1" customHeight="1">
      <c r="B5" s="1"/>
      <c r="C5" s="87"/>
      <c r="D5" s="87"/>
      <c r="E5" s="87"/>
      <c r="G5" s="144"/>
      <c r="I5" s="2" t="str">
        <f t="shared" si="0"/>
        <v/>
      </c>
      <c r="J5" s="2" cm="1">
        <f t="array" ref="J5">CreateID($J$1,$J:$J,$I5&lt;&gt;"")</f>
        <v>0</v>
      </c>
    </row>
    <row r="6" spans="1:10" ht="18.75">
      <c r="A6" s="115" t="str" cm="1">
        <f t="array" ca="1" aca="1" ref="A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6,README!$E:$E,README!$I$36,README!$B$36)</f>
        <v>◈</v>
      </c>
      <c r="B6" s="31" t="s">
        <v>1122</v>
      </c>
      <c r="C6" s="146" t="s">
        <v>1786</v>
      </c>
      <c r="D6" s="146"/>
      <c r="E6" s="146"/>
      <c r="G6" s="144"/>
      <c r="I6" s="2" t="str">
        <f t="shared" si="0"/>
        <v/>
      </c>
      <c r="J6" s="2" cm="1">
        <f t="array" ref="J6">CreateID($J$1,$J:$J,$I6&lt;&gt;"")</f>
        <v>0</v>
      </c>
    </row>
    <row r="7" spans="2:10" ht="5.1" customHeight="1">
      <c r="B7" s="31"/>
      <c r="C7" s="87"/>
      <c r="D7" s="87"/>
      <c r="E7" s="87"/>
      <c r="G7" s="144"/>
      <c r="I7" s="2" t="str">
        <f t="shared" si="0"/>
        <v/>
      </c>
      <c r="J7" s="2" cm="1">
        <f t="array" ref="J7">CreateID($J$1,$J:$J,$I7&lt;&gt;"")</f>
        <v>0</v>
      </c>
    </row>
    <row r="8" spans="1:10" ht="18.75">
      <c r="A8" s="115" t="str" cm="1">
        <f t="array" ca="1" aca="1" ref="A8">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8,README!$E:$E,README!$I$36,README!$B$36)</f>
        <v>◈</v>
      </c>
      <c r="B8" s="31" t="s">
        <v>1123</v>
      </c>
      <c r="C8" s="146"/>
      <c r="D8" s="146"/>
      <c r="E8" s="146"/>
      <c r="G8" s="144"/>
      <c r="I8" s="2" t="str">
        <f t="shared" si="0"/>
        <v>RD Contact</v>
      </c>
      <c r="J8" s="2" cm="1">
        <f t="array" ref="J8">CreateID($J$1,$J:$J,$I8&lt;&gt;"")</f>
        <v>1</v>
      </c>
    </row>
    <row r="9" spans="2:10" ht="5.1" customHeight="1">
      <c r="B9" s="31"/>
      <c r="C9" s="87"/>
      <c r="D9" s="87"/>
      <c r="E9" s="87"/>
      <c r="G9" s="144"/>
      <c r="I9" s="2" t="str">
        <f t="shared" si="0"/>
        <v/>
      </c>
      <c r="J9" s="2" cm="1">
        <f t="array" ref="J9">CreateID($J$1,$J:$J,$I9&lt;&gt;"")</f>
        <v>1</v>
      </c>
    </row>
    <row r="10" spans="1:10" ht="18.75">
      <c r="A10" s="115" t="str" cm="1">
        <f t="array" ca="1" aca="1" ref="A10">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10,README!$E:$E,README!$I$36,README!$B$36)</f>
        <v>◈</v>
      </c>
      <c r="B10" s="31" t="s">
        <v>1124</v>
      </c>
      <c r="C10" s="146"/>
      <c r="D10" s="146"/>
      <c r="E10" s="146"/>
      <c r="G10" s="144"/>
      <c r="I10" s="2" t="str">
        <f t="shared" si="0"/>
        <v>CSS</v>
      </c>
      <c r="J10" s="2" cm="1">
        <f t="array" ref="J10">CreateID($J$1,$J:$J,$I10&lt;&gt;"")</f>
        <v>2</v>
      </c>
    </row>
    <row r="11" spans="2:10" ht="5.1" customHeight="1">
      <c r="B11" s="31"/>
      <c r="C11" s="87"/>
      <c r="D11" s="87"/>
      <c r="E11" s="87"/>
      <c r="G11" s="144"/>
      <c r="I11" s="2" t="str">
        <f t="shared" si="0"/>
        <v/>
      </c>
      <c r="J11" s="2" cm="1">
        <f t="array" ref="J11">CreateID($J$1,$J:$J,$I11&lt;&gt;"")</f>
        <v>2</v>
      </c>
    </row>
    <row r="12" spans="1:10" ht="18.75">
      <c r="A12" s="115" t="str" cm="1">
        <f t="array" ca="1" aca="1" ref="A12">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12,README!$E:$E,README!$I$36,README!$B$36)</f>
        <v>◈</v>
      </c>
      <c r="B12" s="31" t="s">
        <v>1125</v>
      </c>
      <c r="C12" s="146"/>
      <c r="D12" s="146"/>
      <c r="E12" s="146"/>
      <c r="G12" s="144"/>
      <c r="I12" s="2" t="str">
        <f t="shared" si="0"/>
        <v>CSTS</v>
      </c>
      <c r="J12" s="2" cm="1">
        <f t="array" ref="J12">CreateID($J$1,$J:$J,$I12&lt;&gt;"")</f>
        <v>3</v>
      </c>
    </row>
    <row r="13" spans="2:10" ht="5.1" customHeight="1">
      <c r="B13" s="31"/>
      <c r="C13" s="87"/>
      <c r="D13" s="87"/>
      <c r="E13" s="87"/>
      <c r="G13" s="144"/>
      <c r="I13" s="2" t="str">
        <f t="shared" si="0"/>
        <v/>
      </c>
      <c r="J13" s="2" cm="1">
        <f t="array" ref="J13">CreateID($J$1,$J:$J,$I13&lt;&gt;"")</f>
        <v>3</v>
      </c>
    </row>
    <row r="14" spans="1:10" ht="18.75">
      <c r="A14" s="115" t="str" cm="1">
        <f t="array" ca="1" aca="1" ref="A1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14,README!$E:$E,README!$I$36,README!$B$36)</f>
        <v>◈</v>
      </c>
      <c r="B14" s="31" t="s">
        <v>1394</v>
      </c>
      <c r="C14" s="147" t="str" cm="1">
        <f t="array" ca="1" aca="1" ref="C14">_xlfn.LET(_xlpm._offset,MATCH(TRUE,OFFSET('Version History'!$F$2,0,0,ROW('Version History'!$F$6)-ROW('Version History'!$F$2),1),0)-1,_xlpm._version,OFFSET('Version History'!$C$2,_xlpm._offset,0),_xlpm._date,OFFSET('Version History'!$B$2,_xlpm._offset,0),_xlpm._version&amp;" ("&amp;PrintDate(_xlpm._date)&amp;")")</f>
        <v>1.0.0 (01.08.2025)</v>
      </c>
      <c r="D14" s="147"/>
      <c r="E14" s="147"/>
      <c r="G14" s="144"/>
      <c r="I14" s="2" t="str">
        <f t="shared" ca="1" si="0"/>
        <v/>
      </c>
      <c r="J14" s="2" cm="1">
        <f t="array" ca="1" aca="1" ref="J14">CreateID($J$1,$J:$J,$I14&lt;&gt;"")</f>
        <v>3</v>
      </c>
    </row>
    <row r="15" spans="7:10" ht="15">
      <c r="G15" s="144"/>
      <c r="I15" s="2" t="str">
        <f t="shared" si="0"/>
        <v/>
      </c>
      <c r="J15" s="2" cm="1">
        <f t="array" ca="1" aca="1" ref="J15">CreateID($J$1,$J:$J,$I15&lt;&gt;"")</f>
        <v>3</v>
      </c>
    </row>
    <row r="16" spans="1:10" ht="18.75">
      <c r="A16" s="115" t="str" cm="1">
        <f t="array" ca="1" aca="1" ref="A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16,README!$E:$E,README!$I$36,README!$B$36)</f>
        <v>◈</v>
      </c>
      <c r="B16" s="31" t="s">
        <v>1369</v>
      </c>
      <c r="G16" s="144"/>
      <c r="I16" s="2" t="str">
        <f>IF(C18="",$B$16,"")</f>
        <v>QuBA Change History</v>
      </c>
      <c r="J16" s="2" cm="1">
        <f t="array" ca="1" aca="1" ref="J16">CreateID($J$1,$J:$J,$I16&lt;&gt;"")</f>
        <v>4</v>
      </c>
    </row>
    <row r="17" spans="2:10" ht="15">
      <c r="B17" s="10" t="s">
        <v>251</v>
      </c>
      <c r="C17" s="10" t="s">
        <v>252</v>
      </c>
      <c r="D17" s="10" t="s">
        <v>253</v>
      </c>
      <c r="E17" s="10" t="s">
        <v>1370</v>
      </c>
      <c r="G17" s="144"/>
      <c r="J17" s="2" cm="1">
        <f t="array" ca="1" aca="1" ref="J17">CreateID($J$1,$J:$J,$I17&lt;&gt;"")</f>
        <v>4</v>
      </c>
    </row>
    <row r="18" spans="2:10" ht="15">
      <c r="B18" s="32"/>
      <c r="C18" s="10"/>
      <c r="D18" s="10"/>
      <c r="E18" s="10"/>
      <c r="G18" s="144"/>
      <c r="J18" s="2" cm="1">
        <f t="array" ca="1" aca="1" ref="J18">CreateID($J$1,$J:$J,$I18&lt;&gt;"")</f>
        <v>4</v>
      </c>
    </row>
    <row r="19" spans="2:7" ht="15">
      <c r="B19" s="10"/>
      <c r="C19" s="10"/>
      <c r="D19" s="10"/>
      <c r="E19" s="10"/>
      <c r="G19" s="144"/>
    </row>
    <row r="20" spans="2:7" ht="15">
      <c r="B20" s="10"/>
      <c r="C20" s="10"/>
      <c r="D20" s="10"/>
      <c r="E20" s="10"/>
      <c r="G20" s="144"/>
    </row>
    <row r="21" spans="2:7" ht="15">
      <c r="B21" s="10"/>
      <c r="C21" s="10"/>
      <c r="D21" s="10"/>
      <c r="E21" s="10"/>
      <c r="G21" s="144"/>
    </row>
    <row r="22" spans="2:7" ht="15">
      <c r="B22" s="10"/>
      <c r="C22" s="10"/>
      <c r="D22" s="10"/>
      <c r="E22" s="10"/>
      <c r="G22" s="144"/>
    </row>
    <row r="23" spans="7:7" ht="15">
      <c r="G23" s="144"/>
    </row>
    <row r="24" spans="7:7" ht="15">
      <c r="G24" s="144"/>
    </row>
    <row r="25" spans="1:7" ht="18.75">
      <c r="A25" s="115" t="str" cm="1">
        <f t="array" ca="1" aca="1" ref="A25">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$9,$B25,README!$E:$E,README!$I$36,README!$B$36)</f>
        <v>◈</v>
      </c>
      <c r="B25" s="31" t="s">
        <v>1708</v>
      </c>
      <c r="G25" s="144"/>
    </row>
    <row r="26" spans="7:7" ht="5.1" customHeight="1">
      <c r="G26" s="144"/>
    </row>
    <row r="27" spans="2:7" ht="15">
      <c r="B27" s="148"/>
      <c r="C27" s="148"/>
      <c r="D27" s="148"/>
      <c r="E27" s="148"/>
      <c r="G27" s="144"/>
    </row>
    <row r="28" spans="2:7" ht="15">
      <c r="B28" s="148"/>
      <c r="C28" s="148"/>
      <c r="D28" s="148"/>
      <c r="E28" s="148"/>
      <c r="G28" s="144"/>
    </row>
    <row r="29" spans="2:7" ht="15">
      <c r="B29" s="148"/>
      <c r="C29" s="148"/>
      <c r="D29" s="148"/>
      <c r="E29" s="148"/>
      <c r="G29" s="144"/>
    </row>
    <row r="30" spans="2:7" ht="15">
      <c r="B30" s="148"/>
      <c r="C30" s="148"/>
      <c r="D30" s="148"/>
      <c r="E30" s="148"/>
      <c r="G30" s="144"/>
    </row>
    <row r="31" spans="2:7" ht="15">
      <c r="B31" s="148"/>
      <c r="C31" s="148"/>
      <c r="D31" s="148"/>
      <c r="E31" s="148"/>
      <c r="G31" s="144"/>
    </row>
    <row r="32" spans="2:7" ht="15">
      <c r="B32" s="148"/>
      <c r="C32" s="148"/>
      <c r="D32" s="148"/>
      <c r="E32" s="148"/>
      <c r="G32" s="144"/>
    </row>
    <row r="33" spans="2:7" ht="15">
      <c r="B33" s="148"/>
      <c r="C33" s="148"/>
      <c r="D33" s="148"/>
      <c r="E33" s="148"/>
      <c r="G33" s="144"/>
    </row>
    <row r="34" spans="2:7" ht="15">
      <c r="B34" s="148"/>
      <c r="C34" s="148"/>
      <c r="D34" s="148"/>
      <c r="E34" s="148"/>
      <c r="G34" s="144"/>
    </row>
    <row r="35" spans="2:7" ht="15">
      <c r="B35" s="148"/>
      <c r="C35" s="148"/>
      <c r="D35" s="148"/>
      <c r="E35" s="148"/>
      <c r="G35" s="144"/>
    </row>
    <row r="36" spans="2:7" ht="15">
      <c r="B36" s="148"/>
      <c r="C36" s="148"/>
      <c r="D36" s="148"/>
      <c r="E36" s="148"/>
      <c r="G36" s="144"/>
    </row>
    <row r="37" spans="2:7" ht="15">
      <c r="B37" s="148"/>
      <c r="C37" s="148"/>
      <c r="D37" s="148"/>
      <c r="E37" s="148"/>
      <c r="G37" s="144"/>
    </row>
    <row r="38" spans="2:7" ht="15">
      <c r="B38" s="148"/>
      <c r="C38" s="148"/>
      <c r="D38" s="148"/>
      <c r="E38" s="148"/>
      <c r="G38" s="144"/>
    </row>
    <row r="39" spans="2:7" ht="15">
      <c r="B39" s="148"/>
      <c r="C39" s="148"/>
      <c r="D39" s="148"/>
      <c r="E39" s="148"/>
      <c r="G39" s="144"/>
    </row>
    <row r="40" spans="2:7" ht="15">
      <c r="B40" s="148"/>
      <c r="C40" s="148"/>
      <c r="D40" s="148"/>
      <c r="E40" s="148"/>
      <c r="G40" s="144"/>
    </row>
    <row r="41" spans="2:7" ht="15">
      <c r="B41" s="148"/>
      <c r="C41" s="148"/>
      <c r="D41" s="148"/>
      <c r="E41" s="148"/>
      <c r="G41" s="144"/>
    </row>
    <row r="42" spans="2:7" ht="15">
      <c r="B42" s="148"/>
      <c r="C42" s="148"/>
      <c r="D42" s="148"/>
      <c r="E42" s="148"/>
      <c r="G42" s="144"/>
    </row>
    <row r="43" spans="2:7" ht="15">
      <c r="B43" s="148"/>
      <c r="C43" s="148"/>
      <c r="D43" s="148"/>
      <c r="E43" s="148"/>
      <c r="G43" s="144"/>
    </row>
    <row r="44" spans="2:7" ht="15">
      <c r="B44" s="148"/>
      <c r="C44" s="148"/>
      <c r="D44" s="148"/>
      <c r="E44" s="148"/>
      <c r="G44" s="144"/>
    </row>
    <row r="45" spans="2:7" ht="15">
      <c r="B45" s="148"/>
      <c r="C45" s="148"/>
      <c r="D45" s="148"/>
      <c r="E45" s="148"/>
      <c r="G45" s="144"/>
    </row>
    <row r="46" spans="2:7" ht="15">
      <c r="B46" s="148"/>
      <c r="C46" s="148"/>
      <c r="D46" s="148"/>
      <c r="E46" s="148"/>
      <c r="G46" s="144"/>
    </row>
    <row r="47" spans="2:7" ht="15">
      <c r="B47" s="148"/>
      <c r="C47" s="148"/>
      <c r="D47" s="148"/>
      <c r="E47" s="148"/>
      <c r="G47" s="144"/>
    </row>
    <row r="48" spans="2:7" ht="15">
      <c r="B48" s="148"/>
      <c r="C48" s="148"/>
      <c r="D48" s="148"/>
      <c r="E48" s="148"/>
      <c r="G48" s="144"/>
    </row>
  </sheetData>
  <sheetProtection password="EA93" sheet="1" objects="1" scenarios="1"/>
  <mergeCells count="9">
    <mergeCell ref="G4:G48"/>
    <mergeCell ref="C2:E2"/>
    <mergeCell ref="C4:E4"/>
    <mergeCell ref="C6:E6"/>
    <mergeCell ref="C8:E8"/>
    <mergeCell ref="C10:E10"/>
    <mergeCell ref="C12:E12"/>
    <mergeCell ref="C14:E14"/>
    <mergeCell ref="B27:E48"/>
  </mergeCells>
  <pageMargins left="0.7" right="0.7" top="0.75" bottom="0.75" header="0.3" footer="0.3"/>
  <pageSetup orientation="portrait" paperSize="9" r:id="rId2"/>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901867-B161-4284-A538-6041DC049A17}">
  <sheetPr>
    <tabColor theme="1" tint="0.15"/>
  </sheetPr>
  <dimension ref="A1:AO103"/>
  <sheetViews>
    <sheetView windowProtection="1" tabSelected="1" workbookViewId="0" topLeftCell="A1">
      <pane xSplit="2" ySplit="2" topLeftCell="C3" activePane="bottomRight" state="frozen"/>
      <selection pane="topLeft" activeCell="A1" sqref="A1"/>
      <selection pane="bottomLeft" activeCell="A3" sqref="A3"/>
      <selection pane="topRight" activeCell="C1" sqref="C1"/>
      <selection pane="bottomRight" activeCell="B3" sqref="B3"/>
    </sheetView>
  </sheetViews>
  <sheetFormatPr defaultColWidth="8.71428571428571" defaultRowHeight="15"/>
  <cols>
    <col min="1" max="1" width="6.71428571428571" style="96" customWidth="1"/>
    <col min="2" max="2" width="50.7142857142857" style="4" customWidth="1"/>
    <col min="3" max="3" width="8.71428571428571" style="4"/>
    <col min="4" max="4" width="50.7142857142857" style="8" customWidth="1"/>
    <col min="5" max="5" width="25.7142857142857" style="4" customWidth="1"/>
    <col min="6" max="6" width="70.7142857142857" style="8" customWidth="1"/>
    <col min="7" max="7" width="45.7142857142857" style="4" customWidth="1"/>
    <col min="8" max="8" width="9.14285714285714" style="12" customWidth="1"/>
    <col min="9" max="9" width="25.4285714285714" style="9" hidden="1" customWidth="1"/>
    <col min="10" max="10" width="36.1428571428571" style="9" hidden="1" customWidth="1"/>
    <col min="11" max="11" width="16.8571428571429" style="9" hidden="1" customWidth="1"/>
    <col min="12" max="12" width="12.5714285714286" style="9" hidden="1" customWidth="1"/>
    <col min="13" max="13" width="9.42857142857143" style="2" hidden="1" customWidth="1"/>
    <col min="14" max="14" width="32" style="2" hidden="1" customWidth="1"/>
    <col min="15" max="15" width="29.8571428571429" style="2" hidden="1" customWidth="1"/>
    <col min="16" max="16" width="23.8571428571429" style="2" hidden="1" customWidth="1"/>
    <col min="17" max="17" width="21.7142857142857" style="2" hidden="1" customWidth="1"/>
    <col min="18" max="18" width="26.1428571428571" style="2" hidden="1" customWidth="1"/>
    <col min="19" max="19" width="24.1428571428571" style="2" hidden="1" customWidth="1"/>
    <col min="20" max="20" width="29.4285714285714" style="2" hidden="1" customWidth="1"/>
    <col min="21" max="21" width="27.2857142857143" style="2" hidden="1" customWidth="1"/>
    <col min="22" max="22" width="26" style="2" hidden="1" customWidth="1"/>
    <col min="23" max="23" width="26.2857142857143" style="2" hidden="1" customWidth="1"/>
    <col min="24" max="25" width="30.7142857142857" style="2" hidden="1" customWidth="1"/>
    <col min="26" max="26" width="41" style="2" hidden="1" customWidth="1"/>
    <col min="27" max="27" width="21.4285714285714" style="2" hidden="1" customWidth="1"/>
    <col min="28" max="28" width="15.7142857142857" style="2" hidden="1" customWidth="1"/>
    <col min="29" max="29" width="14.7142857142857" style="2" hidden="1" customWidth="1"/>
    <col min="30" max="30" width="20.1428571428571" style="2" hidden="1" customWidth="1"/>
    <col min="31" max="31" width="11.8571428571429" style="2" hidden="1" customWidth="1"/>
    <col min="32" max="32" width="13.8571428571429" style="2" hidden="1" customWidth="1"/>
    <col min="33" max="33" width="25.8571428571429" style="2" hidden="1" customWidth="1"/>
    <col min="34" max="34" width="20.1428571428571" style="2" hidden="1" customWidth="1"/>
    <col min="35" max="35" width="11.8571428571429" style="2" hidden="1" customWidth="1"/>
    <col min="36" max="36" width="13.8571428571429" style="2" hidden="1" customWidth="1"/>
    <col min="37" max="37" width="10.2857142857143" style="2" hidden="1" customWidth="1"/>
    <col min="38" max="38" width="31.2857142857143" style="2" hidden="1" customWidth="1"/>
    <col min="39" max="39" width="30.2857142857143" style="2" hidden="1" customWidth="1"/>
    <col min="40" max="40" width="31.2857142857143" style="2" hidden="1" customWidth="1"/>
    <col min="41" max="41" width="29.2857142857143" style="2" hidden="1" customWidth="1"/>
    <col min="42" max="16384" width="8.71428571428571" style="2"/>
  </cols>
  <sheetData>
    <row r="1" spans="1:7" s="115" customFormat="1" ht="15">
      <c r="A1" s="114"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A$2,README!$E:$E,README!$I$36,README!$B$36)</f>
        <v>◈</v>
      </c>
      <c r="B1" s="114"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B$2,README!$E:$E,README!$I$36,README!$B$36)</f>
        <v>◈</v>
      </c>
      <c r="C1" s="114"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C$2,README!$E:$E,README!$I$36,README!$B$36)</f>
        <v>◈</v>
      </c>
      <c r="D1" s="114"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D$2,README!$E:$E,README!$I$36,README!$B$36)</f>
        <v>◈</v>
      </c>
      <c r="E1" s="114"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E$2,README!$E:$E,README!$I$36,README!$B$36)</f>
        <v>◈</v>
      </c>
      <c r="F1" s="114"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F$2,README!$E:$E,README!$I$36,README!$B$36)</f>
        <v>◈</v>
      </c>
      <c r="G1" s="114"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$10,G$2,README!$E:$E,README!$I$36,README!$B$36)</f>
        <v>◈</v>
      </c>
    </row>
    <row r="2" spans="1:11" ht="30" hidden="1">
      <c r="A2" s="96" t="s">
        <v>53</v>
      </c>
      <c r="B2" s="4" t="s">
        <v>55</v>
      </c>
      <c r="C2" s="4" t="s">
        <v>592</v>
      </c>
      <c r="D2" s="8" t="s">
        <v>1296</v>
      </c>
      <c r="E2" s="4" t="s">
        <v>593</v>
      </c>
      <c r="F2" s="8" t="s">
        <v>840</v>
      </c>
      <c r="G2" s="4" t="s">
        <v>28</v>
      </c>
      <c r="K2" s="9" t="s">
        <v>55</v>
      </c>
    </row>
    <row r="3" spans="1:41" s="1" customFormat="1" ht="23.25">
      <c r="A3" s="95" t="s">
        <v>1165</v>
      </c>
      <c r="B3" s="94" t="str" cm="1">
        <f t="array" ca="1" aca="1" ref="B3">IF($A3="","",CreateIndentedString(SimpleLookup($A3,Questions!$A:$B),Definitions!$T$4,SimpleLookup($A3,Questions!$A:$C)))</f>
        <v>Impact  Rating</v>
      </c>
      <c r="C3" s="3"/>
      <c r="D3" s="7"/>
      <c r="E3" s="3"/>
      <c r="F3" s="7"/>
      <c r="G3" s="3" t="s">
        <v>28</v>
      </c>
      <c r="H3" s="11"/>
      <c r="I3" s="98" t="s">
        <v>120</v>
      </c>
      <c r="J3" s="98" t="s">
        <v>651</v>
      </c>
      <c r="K3" s="98" t="s">
        <v>1216</v>
      </c>
      <c r="L3" s="98" t="s">
        <v>54</v>
      </c>
      <c r="M3" s="98" t="s">
        <v>230</v>
      </c>
      <c r="N3" s="98" t="s">
        <v>557</v>
      </c>
      <c r="O3" s="98" t="s">
        <v>558</v>
      </c>
      <c r="P3" s="98" t="s">
        <v>561</v>
      </c>
      <c r="Q3" s="98" t="s">
        <v>562</v>
      </c>
      <c r="R3" s="98" t="s">
        <v>563</v>
      </c>
      <c r="S3" s="98" t="s">
        <v>564</v>
      </c>
      <c r="T3" s="98" t="s">
        <v>570</v>
      </c>
      <c r="U3" s="98" t="s">
        <v>571</v>
      </c>
      <c r="V3" s="98" t="s">
        <v>669</v>
      </c>
      <c r="W3" s="98" t="s">
        <v>670</v>
      </c>
      <c r="X3" s="98" t="s">
        <v>688</v>
      </c>
      <c r="Y3" s="98" t="s">
        <v>689</v>
      </c>
      <c r="Z3" s="98" t="s">
        <v>702</v>
      </c>
      <c r="AA3" s="98" t="s">
        <v>707</v>
      </c>
      <c r="AB3" s="98" t="s">
        <v>187</v>
      </c>
      <c r="AC3" s="98" t="s">
        <v>1178</v>
      </c>
      <c r="AD3" s="98" t="s">
        <v>1189</v>
      </c>
      <c r="AE3" s="98" t="s">
        <v>1190</v>
      </c>
      <c r="AF3" s="98" t="s">
        <v>1193</v>
      </c>
      <c r="AG3" s="98" t="s">
        <v>1199</v>
      </c>
      <c r="AH3" s="98" t="s">
        <v>1191</v>
      </c>
      <c r="AI3" s="98" t="s">
        <v>1192</v>
      </c>
      <c r="AJ3" s="98" t="s">
        <v>1194</v>
      </c>
      <c r="AK3" s="98" t="s">
        <v>1195</v>
      </c>
      <c r="AL3" s="98" t="s">
        <v>1290</v>
      </c>
      <c r="AM3" s="98" t="s">
        <v>1291</v>
      </c>
      <c r="AN3" s="98" t="s">
        <v>1401</v>
      </c>
      <c r="AO3" s="98" t="s">
        <v>1402</v>
      </c>
    </row>
    <row r="4" spans="1:41" ht="30">
      <c r="A4" s="96" t="s">
        <v>1171</v>
      </c>
      <c r="B4" s="4" t="str" cm="1">
        <f t="array" ca="1" aca="1" ref="B4">IF($A4="","",CreateIndentedString($K4,Definitions!$T$4,SimpleLookup($A4,Questions!$A:$C)))</f>
        <v>Worst  case  impact  for  loss  of  confidentiality</v>
      </c>
      <c r="E4" s="101"/>
      <c r="G4" s="50" t="str" cm="1">
        <f t="array" ca="1" aca="1" ref="G4">HYPERLINK("#"&amp;GetReferenceText(Definitions!$G$2),"See here for more information on damage criteria.")</f>
        <v>See here for more information on damage criteria.</v>
      </c>
      <c r="I4" s="15" t="str">
        <f ca="1" t="shared" si="0" ref="I4:I35">IF($AC4,SUBSTITUTE(IF($A4="","",$A4&amp;"["&amp;$C4&amp;IF($E4="","","|"&amp;$E4)&amp;"]")," ",""),"")</f>
        <v/>
      </c>
      <c r="J4" s="15" t="str">
        <f ca="1" t="shared" si="1" ref="J4:J35">IF($AC4,SUBSTITUTE(IF($A4="","",$A4&amp;"["&amp;$C4&amp;IF($E4="","]","|*]"))," ",""),"")</f>
        <v/>
      </c>
      <c r="K4" s="15" t="str" cm="1">
        <f t="array" ca="1" aca="1" ref="K4">SimpleLookup($A4,Questions!$A:$B)</f>
        <v>Worst case impact for loss of confidentiality</v>
      </c>
      <c r="L4" s="15" cm="1">
        <f t="array" ca="1" aca="1" ref="L4">CreateID($L$3,$L:$L,AND($A4&lt;&gt;"",$AC4))</f>
        <v>0</v>
      </c>
      <c r="M4" s="99" cm="1">
        <f t="array" ca="1" aca="1" ref="M4">CreateTaskID($M$3,$M:$M,Tasks!$B$17,$G4)</f>
        <v>0</v>
      </c>
      <c r="N4" s="15" t="str">
        <f ca="1" t="shared" si="2" ref="N4:N35">IF($AC4,IF(AND($A4&lt;&gt;"",$C4="",$AK4=FALSE),$A4&amp;" "&amp;$K4,""),"")</f>
        <v/>
      </c>
      <c r="O4" s="15" cm="1">
        <f t="array" ca="1" aca="1" ref="O4">CreateID($O$3,$O:$O,$N4&lt;&gt;"")</f>
        <v>0</v>
      </c>
      <c r="P4" s="99" t="str">
        <f t="shared" si="3" ref="P4:P35">IF(AND($D4&lt;&gt;"",$E4=""),$A4&amp;" "&amp;$K4,"")</f>
        <v/>
      </c>
      <c r="Q4" s="99" cm="1">
        <f t="array" ref="Q4">CreateID($Q$3,$Q:$Q,$P4&lt;&gt;"")</f>
        <v>0</v>
      </c>
      <c r="R4" s="99" t="str">
        <f ca="1" t="shared" si="4" ref="R4:R35">IF(AND($F4&lt;&gt;"",$G4=""),$A4&amp;" "&amp;$K4,"")</f>
        <v/>
      </c>
      <c r="S4" s="99" cm="1">
        <f t="array" ca="1" aca="1" ref="S4">CreateID($S$3,$S:$S,$R4&lt;&gt;"")</f>
        <v>0</v>
      </c>
      <c r="T4" s="99" t="str">
        <f ca="1" t="shared" si="5" ref="T4:T35">IF($A4="","",IF(AND(NOT($AG4),$E4&lt;&gt;""),$A4&amp;" "&amp;$K4,""))</f>
        <v/>
      </c>
      <c r="U4" s="99" cm="1">
        <f t="array" ca="1" aca="1" ref="U4">CreateID($U$3,$U:$U,$T4&lt;&gt;"")</f>
        <v>0</v>
      </c>
      <c r="V4" s="99" cm="1">
        <f t="array" ca="1" aca="1" ref="V4">CreateID($V$3,$V:$V,IFERROR(FIND(Definitions!$AR$4,$G4)&gt;0,FALSE))</f>
        <v>0</v>
      </c>
      <c r="W4" s="99">
        <f ca="1">_xlfn.LET(_xlpm._comment,$G4,_xlpm._keyWord,Definitions!$AR$4,_xlpm._diffLen,LEN(_xlpm._comment)-LEN(SUBSTITUTE(_xlpm._comment,_xlpm._keyWord,"")),_xlpm._diffLen/LEN(_xlpm._keyWord))</f>
        <v>0</v>
      </c>
      <c r="X4" s="99" cm="1">
        <f t="array" ca="1" aca="1" ref="X4">CreateID($X$3,$X:$X,IFERROR(FIND(Definitions!$AR$5,$G4)&gt;0,FALSE))</f>
        <v>0</v>
      </c>
      <c r="Y4" s="99">
        <f ca="1">_xlfn.LET(_xlpm._comment,$G4,_xlpm._keyWord,Definitions!$AR$5,_xlpm._diffLen,LEN(_xlpm._comment)-LEN(SUBSTITUTE(_xlpm._comment,_xlpm._keyWord,"")),_xlpm._diffLen/LEN(_xlpm._keyWord))</f>
        <v>0</v>
      </c>
      <c r="Z4" s="99" t="b">
        <f ca="1">OR(IFERROR(_xlfn.XMATCH("*,"&amp;$A4&amp;",*",Assumptions!$AL:$AL,2)&gt;0,FALSE),IFERROR(_xlfn.XMATCH("*,"&amp;$A4&amp;",*",Countermeasures!$AO:$AO,2)&gt;0,FALSE))</f>
        <v>0</v>
      </c>
      <c r="AA4" s="99" t="str" cm="1">
        <f t="array" ca="1" aca="1" ref="AA4">CreateSearchString($I4)</f>
        <v/>
      </c>
      <c r="AB4" s="99" t="str">
        <f>IF($E4="","",IFERROR(VLOOKUP($E4,Definitions!$H:$J,COLUMNS(Definitions!$H:$J),FALSE),""))</f>
        <v/>
      </c>
      <c r="AC4" s="99" t="b" cm="1">
        <f t="array" ca="1" aca="1" ref="AC4">IF($A4="",FALSE,SimpleLookup($A4,Questions!$A:$D)="x")</f>
        <v>0</v>
      </c>
      <c r="AD4" s="99" t="str" cm="1">
        <f t="array" ca="1" aca="1" ref="AD4">IF(OR($A4="",NOT($AC4)),"",SimpleLookup($A4,Questions!$A:$E))</f>
        <v/>
      </c>
      <c r="AE4" s="99" t="str" cm="1">
        <f t="array" ca="1" aca="1" ref="AE4">IF(OR($A4="",NOT($AC4)),"",SimpleLookup($A4,Questions!$A:$F))</f>
        <v/>
      </c>
      <c r="AF4" s="99" t="str" cm="1">
        <f t="array" ca="1" aca="1" ref="AF4">_xlfn.LET(_xlpm._answer,$C4,_xlpm._infoTextFull,IF($AC4,CHAR(10)&amp;SimpleLookup($A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 s="99" t="b" cm="1">
        <f t="array" ca="1" aca="1" ref="AG4">IF(OR($A4="",NOT($AC4)),FALSE,_xlfn.LET(_xlpm._secondAnswerRequiredOn,SimpleLookup($A4,Questions!$A:$I),_xlpm._firstAnwer,$C4,IFERROR(FIND(CHAR(10)&amp;_xlpm._firstAnwer&amp;":",CHAR(10)&amp;_xlpm._secondAnswerRequiredOn)&gt;0,FALSE)))</f>
        <v>0</v>
      </c>
      <c r="AH4" s="99" t="str" cm="1">
        <f t="array" ca="1" aca="1" ref="AH4">IF(OR($A4="",NOT($AC4)),"",_xlfn.LET(_xlpm._id,$A4,_xlpm._firstAnswer,$C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 s="99" t="str" cm="1">
        <f t="array" ca="1" aca="1" ref="AI4">IF(OR($A4="",NOT($AC4)),"",_xlfn.LET(_xlpm._id,$A4,_xlpm._firstAnswer,$C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 s="99" t="str" cm="1">
        <f t="array" ca="1" aca="1" ref="AJ4">IF($AG4,_xlfn.LET(_xlpm._answer,$E4,_xlpm._infoTextFull,IF($AC4,CHAR(10)&amp;SimpleLookup($A4,Questions!$A:$L)&amp;CHAR(10),""),_xlpm._startSelectedByAnswerOne,IF(_xlpm._infoTextFull="",0,FIND("___"&amp;$C4&amp;"___",_xlpm._infoTextFull)+LEN("___"&amp;$C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 s="99" t="b" cm="1">
        <f t="array" ca="1" aca="1" ref="AK4">IF(OR($A4="",NOT($AC4)),FALSE,SimpleLookup($A4,Questions!$A:$Q))</f>
        <v>0</v>
      </c>
      <c r="AL4" s="99" t="str" cm="1">
        <f t="array" ca="1" aca="1" ref="AL4">IF(AND($A4=Questions!$A$41,IFERROR(SimpleLookup(Questions!$A$36,$A:$E)=Definitions!$O$5,FALSE),$C4=Definitions!$A$5),Questions!$A$36&amp;" "&amp;Questions!$B$36&amp;CHAR(10)&amp;CHAR(187)&amp;" "&amp;SimpleLookup(Questions!$A$36,$A:$C)&amp;CHAR(10)&amp;SimpleLookup(Questions!$A$36,$A:$D)&amp;CHAR(10)&amp;CHAR(187)&amp;" "&amp;Definitions!$O$5&amp;CHAR(10)&amp;CHAR(10)&amp;"is incosistent with"&amp;CHAR(10)&amp;CHAR(10)&amp;$A4&amp;" "&amp;SimpleLookup($A4,Questions!$A:$B)&amp;CHAR(10)&amp;CHAR(187)&amp;" "&amp;$C4,"")</f>
        <v/>
      </c>
      <c r="AM4" s="99" cm="1">
        <f t="array" ca="1" aca="1" ref="AM4">CreateID($AM$3,$AM:$AM,$AL4&lt;&gt;"")</f>
        <v>0</v>
      </c>
      <c r="AN4" s="99" t="str" cm="1">
        <f t="array" ca="1" aca="1" ref="AN4">IF(OR($C4="",OFFSET($C4,1,0)=""),"",IF(AND($A4=Questions!$A$59,OFFSET($A4,1,0)=Questions!$A$60,SimpleLookup(Questions!$A$49,$A:$C)=Definitions!$A$4),IF(MATCH($C4,Definitions!$AW:$AW,0)&gt;MATCH(OFFSET($C4,1,0),Definitions!AW:AW,0),$A4&amp;" "&amp;$K4&amp;": "&amp;$C4&amp;CHAR(10)&amp;"&lt;---&gt;"&amp;CHAR(10)&amp;OFFSET($A4,1,0)&amp;" "&amp;OFFSET($K4,1,0)&amp;": "&amp;OFFSET($C4,1,0),""),""))</f>
        <v/>
      </c>
      <c r="AO4" s="99" cm="1">
        <f t="array" ca="1" aca="1" ref="AO4">CreateID($AO$3,$AO:$AO,$AN4&lt;&gt;"")</f>
        <v>0</v>
      </c>
    </row>
    <row r="5" spans="1:41" ht="15">
      <c r="A5" s="96" t="s">
        <v>1179</v>
      </c>
      <c r="B5" s="4" t="str" cm="1">
        <f t="array" ca="1" aca="1" ref="B5">IF($A5="","",CreateIndentedString($K5,Definitions!$T$4,SimpleLookup($A5,Questions!$A:$C)))</f>
        <v xml:space="preserve">   Personal  data</v>
      </c>
      <c r="I5" s="15" t="str">
        <f t="shared" ca="1" si="0"/>
        <v/>
      </c>
      <c r="J5" s="15" t="str">
        <f t="shared" ca="1" si="1"/>
        <v/>
      </c>
      <c r="K5" s="15" t="str" cm="1">
        <f t="array" ca="1" aca="1" ref="K5">SimpleLookup($A5,Questions!$A:$B)</f>
        <v>Personal data</v>
      </c>
      <c r="L5" s="15" cm="1">
        <f t="array" ca="1" aca="1" ref="L5">CreateID($L$3,$L:$L,AND($A5&lt;&gt;"",$AC5))</f>
        <v>0</v>
      </c>
      <c r="M5" s="99" cm="1">
        <f t="array" ca="1" aca="1" ref="M5">CreateTaskID($M$3,$M:$M,Tasks!$B$17,$G5)</f>
        <v>0</v>
      </c>
      <c r="N5" s="15" t="str">
        <f t="shared" ca="1" si="2"/>
        <v/>
      </c>
      <c r="O5" s="15" cm="1">
        <f t="array" ca="1" aca="1" ref="O5">CreateID($O$3,$O:$O,$N5&lt;&gt;"")</f>
        <v>0</v>
      </c>
      <c r="P5" s="99" t="str">
        <f t="shared" si="3"/>
        <v/>
      </c>
      <c r="Q5" s="99" cm="1">
        <f t="array" ref="Q5">CreateID($Q$3,$Q:$Q,$P5&lt;&gt;"")</f>
        <v>0</v>
      </c>
      <c r="R5" s="99" t="str">
        <f t="shared" si="4"/>
        <v/>
      </c>
      <c r="S5" s="99" cm="1">
        <f t="array" ca="1" aca="1" ref="S5">CreateID($S$3,$S:$S,$R5&lt;&gt;"")</f>
        <v>0</v>
      </c>
      <c r="T5" s="99" t="str">
        <f t="shared" ca="1" si="5"/>
        <v/>
      </c>
      <c r="U5" s="99" cm="1">
        <f t="array" ca="1" aca="1" ref="U5">CreateID($U$3,$U:$U,$T5&lt;&gt;"")</f>
        <v>0</v>
      </c>
      <c r="V5" s="99" cm="1">
        <f t="array" ca="1" aca="1" ref="V5">CreateID($V$3,$V:$V,IFERROR(FIND(Definitions!$AR$4,$G5)&gt;0,FALSE))</f>
        <v>0</v>
      </c>
      <c r="W5" s="99">
        <f>_xlfn.LET(_xlpm._comment,$G5,_xlpm._keyWord,Definitions!$AR$4,_xlpm._diffLen,LEN(_xlpm._comment)-LEN(SUBSTITUTE(_xlpm._comment,_xlpm._keyWord,"")),_xlpm._diffLen/LEN(_xlpm._keyWord))</f>
        <v>0</v>
      </c>
      <c r="X5" s="99" cm="1">
        <f t="array" ca="1" aca="1" ref="X5">CreateID($X$3,$X:$X,IFERROR(FIND(Definitions!$AR$5,$G5)&gt;0,FALSE))</f>
        <v>0</v>
      </c>
      <c r="Y5" s="99">
        <f>_xlfn.LET(_xlpm._comment,$G5,_xlpm._keyWord,Definitions!$AR$5,_xlpm._diffLen,LEN(_xlpm._comment)-LEN(SUBSTITUTE(_xlpm._comment,_xlpm._keyWord,"")),_xlpm._diffLen/LEN(_xlpm._keyWord))</f>
        <v>0</v>
      </c>
      <c r="Z5" s="99" t="b">
        <f ca="1">OR(IFERROR(_xlfn.XMATCH("*,"&amp;$A5&amp;",*",Assumptions!$AL:$AL,2)&gt;0,FALSE),IFERROR(_xlfn.XMATCH("*,"&amp;$A5&amp;",*",Countermeasures!$AO:$AO,2)&gt;0,FALSE))</f>
        <v>0</v>
      </c>
      <c r="AA5" s="99" t="str" cm="1">
        <f t="array" ca="1" aca="1" ref="AA5">CreateSearchString($I5)</f>
        <v/>
      </c>
      <c r="AB5" s="99" t="str">
        <f>IF($E5="","",IFERROR(VLOOKUP($E5,Definitions!$H:$J,COLUMNS(Definitions!$H:$J),FALSE),""))</f>
        <v/>
      </c>
      <c r="AC5" s="99" t="b" cm="1">
        <f t="array" ca="1" aca="1" ref="AC5">IF($A5="",FALSE,SimpleLookup($A5,Questions!$A:$D)="x")</f>
        <v>0</v>
      </c>
      <c r="AD5" s="99" t="str" cm="1">
        <f t="array" ca="1" aca="1" ref="AD5">IF(OR($A5="",NOT($AC5)),"",SimpleLookup($A5,Questions!$A:$E))</f>
        <v/>
      </c>
      <c r="AE5" s="99" t="str" cm="1">
        <f t="array" ca="1" aca="1" ref="AE5">IF(OR($A5="",NOT($AC5)),"",SimpleLookup($A5,Questions!$A:$F))</f>
        <v/>
      </c>
      <c r="AF5" s="99" t="str" cm="1">
        <f t="array" ca="1" aca="1" ref="AF5">_xlfn.LET(_xlpm._answer,$C5,_xlpm._infoTextFull,IF($AC5,CHAR(10)&amp;SimpleLookup($A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 s="99" t="b" cm="1">
        <f t="array" ca="1" aca="1" ref="AG5">IF(OR($A5="",NOT($AC5)),FALSE,_xlfn.LET(_xlpm._secondAnswerRequiredOn,SimpleLookup($A5,Questions!$A:$I),_xlpm._firstAnwer,$C5,IFERROR(FIND(CHAR(10)&amp;_xlpm._firstAnwer&amp;":",CHAR(10)&amp;_xlpm._secondAnswerRequiredOn)&gt;0,FALSE)))</f>
        <v>0</v>
      </c>
      <c r="AH5" s="99" t="str" cm="1">
        <f t="array" ca="1" aca="1" ref="AH5">IF(OR($A5="",NOT($AC5)),"",_xlfn.LET(_xlpm._id,$A5,_xlpm._firstAnswer,$C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 s="99" t="str" cm="1">
        <f t="array" ca="1" aca="1" ref="AI5">IF(OR($A5="",NOT($AC5)),"",_xlfn.LET(_xlpm._id,$A5,_xlpm._firstAnswer,$C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5" s="99" t="str" cm="1">
        <f t="array" ca="1" aca="1" ref="AJ5">IF($AG5,_xlfn.LET(_xlpm._answer,$E5,_xlpm._infoTextFull,IF($AC5,CHAR(10)&amp;SimpleLookup($A5,Questions!$A:$L)&amp;CHAR(10),""),_xlpm._startSelectedByAnswerOne,IF(_xlpm._infoTextFull="",0,FIND("___"&amp;$C5&amp;"___",_xlpm._infoTextFull)+LEN("___"&amp;$C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5" s="99" t="b" cm="1">
        <f t="array" ca="1" aca="1" ref="AK5">IF(OR($A5="",NOT($AC5)),FALSE,SimpleLookup($A5,Questions!$A:$Q))</f>
        <v>0</v>
      </c>
      <c r="AL5" s="99" t="str" cm="1">
        <f t="array" ca="1" aca="1" ref="AL5">IF(AND($A5=Questions!$A$41,IFERROR(SimpleLookup(Questions!$A$36,$A:$E)=Definitions!$O$5,FALSE),$C5=Definitions!$A$5),Questions!$A$36&amp;" "&amp;Questions!$B$36&amp;CHAR(10)&amp;CHAR(187)&amp;" "&amp;SimpleLookup(Questions!$A$36,$A:$C)&amp;CHAR(10)&amp;SimpleLookup(Questions!$A$36,$A:$D)&amp;CHAR(10)&amp;CHAR(187)&amp;" "&amp;Definitions!$O$5&amp;CHAR(10)&amp;CHAR(10)&amp;"is incosistent with"&amp;CHAR(10)&amp;CHAR(10)&amp;$A5&amp;" "&amp;SimpleLookup($A5,Questions!$A:$B)&amp;CHAR(10)&amp;CHAR(187)&amp;" "&amp;$C5,"")</f>
        <v/>
      </c>
      <c r="AM5" s="99" cm="1">
        <f t="array" ca="1" aca="1" ref="AM5">CreateID($AM$3,$AM:$AM,$AL5&lt;&gt;"")</f>
        <v>0</v>
      </c>
      <c r="AN5" s="99" t="str" cm="1">
        <f t="array" ca="1" aca="1" ref="AN5">IF(OR($C5="",OFFSET($C5,1,0)=""),"",IF(AND($A5=Questions!$A$59,OFFSET($A5,1,0)=Questions!$A$60,SimpleLookup(Questions!$A$49,$A:$C)=Definitions!$A$4),IF(MATCH($C5,Definitions!$AW:$AW,0)&gt;MATCH(OFFSET($C5,1,0),Definitions!AW:AW,0),$A5&amp;" "&amp;$K5&amp;": "&amp;$C5&amp;CHAR(10)&amp;"&lt;---&gt;"&amp;CHAR(10)&amp;OFFSET($A5,1,0)&amp;" "&amp;OFFSET($K5,1,0)&amp;": "&amp;OFFSET($C5,1,0),""),""))</f>
        <v/>
      </c>
      <c r="AO5" s="99" cm="1">
        <f t="array" ca="1" aca="1" ref="AO5">CreateID($AO$3,$AO:$AO,$AN5&lt;&gt;"")</f>
        <v>0</v>
      </c>
    </row>
    <row r="6" spans="1:41" ht="30">
      <c r="A6" s="96" t="s">
        <v>1102</v>
      </c>
      <c r="B6" s="4" t="str" cm="1">
        <f t="array" ca="1" aca="1" ref="B6">IF($A6="","",CreateIndentedString($K6,Definitions!$T$4,SimpleLookup($A6,Questions!$A:$C)))</f>
        <v xml:space="preserve">      Does  the  product  have  cameras  or  other  sensors
      that  can  potentially  recognize  people?</v>
      </c>
      <c r="C6" s="4" t="s">
        <v>11</v>
      </c>
      <c r="D6" s="8" t="str">
        <f ca="1">$AF6</f>
        <v/>
      </c>
      <c r="F6" s="8" t="str">
        <f ca="1">$AJ6</f>
        <v/>
      </c>
      <c r="I6" s="15" t="str">
        <f t="shared" ca="1" si="0"/>
        <v>QI1[No]</v>
      </c>
      <c r="J6" s="15" t="str">
        <f t="shared" ca="1" si="1"/>
        <v>QI1[No]</v>
      </c>
      <c r="K6" s="15" t="str" cm="1">
        <f t="array" ca="1" aca="1" ref="K6">SimpleLookup($A6,Questions!$A:$B)</f>
        <v>Does the product have cameras or other sensors that can potentially recognize people?</v>
      </c>
      <c r="L6" s="15" cm="1">
        <f t="array" ca="1" aca="1" ref="L6">CreateID($L$3,$L:$L,AND($A6&lt;&gt;"",$AC6))</f>
        <v>1</v>
      </c>
      <c r="M6" s="33" cm="1">
        <f t="array" ca="1" aca="1" ref="M6">CreateTaskID($M$3,$M:$M,Tasks!$B$17,$G6)</f>
        <v>0</v>
      </c>
      <c r="N6" s="15" t="str">
        <f t="shared" ca="1" si="2"/>
        <v/>
      </c>
      <c r="O6" s="16" cm="1">
        <f t="array" ca="1" aca="1" ref="O6">CreateID($O$3,$O:$O,$N6&lt;&gt;"")</f>
        <v>0</v>
      </c>
      <c r="P6" s="99" t="str">
        <f t="shared" ca="1" si="3"/>
        <v/>
      </c>
      <c r="Q6" s="99" cm="1">
        <f t="array" ca="1" aca="1" ref="Q6">CreateID($Q$3,$Q:$Q,$P6&lt;&gt;"")</f>
        <v>0</v>
      </c>
      <c r="R6" s="99" t="str">
        <f t="shared" ca="1" si="4"/>
        <v/>
      </c>
      <c r="S6" s="99" cm="1">
        <f t="array" ca="1" aca="1" ref="S6">CreateID($S$3,$S:$S,$R6&lt;&gt;"")</f>
        <v>0</v>
      </c>
      <c r="T6" s="99" t="str">
        <f t="shared" ca="1" si="5"/>
        <v/>
      </c>
      <c r="U6" s="99" cm="1">
        <f t="array" ca="1" aca="1" ref="U6">CreateID($U$3,$U:$U,$T6&lt;&gt;"")</f>
        <v>0</v>
      </c>
      <c r="V6" s="99" cm="1">
        <f t="array" ca="1" aca="1" ref="V6">CreateID($V$3,$V:$V,IFERROR(FIND(Definitions!$AR$4,$G6)&gt;0,FALSE))</f>
        <v>0</v>
      </c>
      <c r="W6" s="99">
        <f>_xlfn.LET(_xlpm._comment,$G6,_xlpm._keyWord,Definitions!$AR$4,_xlpm._diffLen,LEN(_xlpm._comment)-LEN(SUBSTITUTE(_xlpm._comment,_xlpm._keyWord,"")),_xlpm._diffLen/LEN(_xlpm._keyWord))</f>
        <v>0</v>
      </c>
      <c r="X6" s="99" cm="1">
        <f t="array" ca="1" aca="1" ref="X6">CreateID($X$3,$X:$X,IFERROR(FIND(Definitions!$AR$5,$G6)&gt;0,FALSE))</f>
        <v>0</v>
      </c>
      <c r="Y6" s="99">
        <f>_xlfn.LET(_xlpm._comment,$G6,_xlpm._keyWord,Definitions!$AR$5,_xlpm._diffLen,LEN(_xlpm._comment)-LEN(SUBSTITUTE(_xlpm._comment,_xlpm._keyWord,"")),_xlpm._diffLen/LEN(_xlpm._keyWord))</f>
        <v>0</v>
      </c>
      <c r="Z6" s="99" t="b">
        <f ca="1">OR(IFERROR(_xlfn.XMATCH("*,"&amp;$A6&amp;",*",Assumptions!$AL:$AL,2)&gt;0,FALSE),IFERROR(_xlfn.XMATCH("*,"&amp;$A6&amp;",*",Countermeasures!$AO:$AO,2)&gt;0,FALSE))</f>
        <v>0</v>
      </c>
      <c r="AA6" s="99" t="str" cm="1">
        <f t="array" ca="1" aca="1" ref="AA6">CreateSearchString($I6)</f>
        <v>,QI1[No],</v>
      </c>
      <c r="AB6" s="99" t="str">
        <f>IF($E6="","",IFERROR(VLOOKUP($E6,Definitions!$H:$J,COLUMNS(Definitions!$H:$J),FALSE),""))</f>
        <v/>
      </c>
      <c r="AC6" s="99" t="b" cm="1">
        <f t="array" ca="1" aca="1" ref="AC6">IF($A6="",FALSE,SimpleLookup($A6,Questions!$A:$D)="x")</f>
        <v>1</v>
      </c>
      <c r="AD6" s="99" t="str" cm="1">
        <f t="array" ca="1" aca="1" ref="AD6">IF(OR($A6="",NOT($AC6)),"",SimpleLookup($A6,Questions!$A:$E))</f>
        <v>'[QuBA-libre.xlsx]Definitions'!$A$4</v>
      </c>
      <c r="AE6" s="99" cm="1">
        <f t="array" ca="1" aca="1" ref="AE6">IF(OR($A6="",NOT($AC6)),"",SimpleLookup($A6,Questions!$A:$F))</f>
        <v>2</v>
      </c>
      <c r="AF6" s="99" t="str" cm="1">
        <f t="array" ca="1" aca="1" ref="AF6">_xlfn.LET(_xlpm._answer,$C6,_xlpm._infoTextFull,IF($AC6,CHAR(10)&amp;SimpleLookup($A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 s="99" t="b" cm="1">
        <f t="array" ca="1" aca="1" ref="AG6">IF(OR($A6="",NOT($AC6)),FALSE,_xlfn.LET(_xlpm._secondAnswerRequiredOn,SimpleLookup($A6,Questions!$A:$I),_xlpm._firstAnwer,$C6,IFERROR(FIND(CHAR(10)&amp;_xlpm._firstAnwer&amp;":",CHAR(10)&amp;_xlpm._secondAnswerRequiredOn)&gt;0,FALSE)))</f>
        <v>0</v>
      </c>
      <c r="AH6" s="99" t="str" cm="1">
        <f t="array" ca="1" aca="1" ref="AH6">IF(OR($A6="",NOT($AC6)),"",_xlfn.LET(_xlpm._id,$A6,_xlpm._firstAnswer,$C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 s="99" t="str" cm="1">
        <f t="array" ca="1" aca="1" ref="AI6">IF(OR($A6="",NOT($AC6)),"",_xlfn.LET(_xlpm._id,$A6,_xlpm._firstAnswer,$C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 s="99" t="str" cm="1">
        <f t="array" ca="1" aca="1" ref="AJ6">IF($AG6,_xlfn.LET(_xlpm._answer,$E6,_xlpm._infoTextFull,IF($AC6,CHAR(10)&amp;SimpleLookup($A6,Questions!$A:$L)&amp;CHAR(10),""),_xlpm._startSelectedByAnswerOne,IF(_xlpm._infoTextFull="",0,FIND("___"&amp;$C6&amp;"___",_xlpm._infoTextFull)+LEN("___"&amp;$C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 s="99" t="b" cm="1">
        <f t="array" ca="1" aca="1" ref="AK6">IF(OR($A6="",NOT($AC6)),FALSE,SimpleLookup($A6,Questions!$A:$Q))</f>
        <v>0</v>
      </c>
      <c r="AL6" s="99" t="str" cm="1">
        <f t="array" ca="1" aca="1" ref="AL6">IF(AND($A6=Questions!$A$41,IFERROR(SimpleLookup(Questions!$A$36,$A:$E)=Definitions!$O$5,FALSE),$C6=Definitions!$A$5),Questions!$A$36&amp;" "&amp;Questions!$B$36&amp;CHAR(10)&amp;CHAR(187)&amp;" "&amp;SimpleLookup(Questions!$A$36,$A:$C)&amp;CHAR(10)&amp;SimpleLookup(Questions!$A$36,$A:$D)&amp;CHAR(10)&amp;CHAR(187)&amp;" "&amp;Definitions!$O$5&amp;CHAR(10)&amp;CHAR(10)&amp;"is incosistent with"&amp;CHAR(10)&amp;CHAR(10)&amp;$A6&amp;" "&amp;SimpleLookup($A6,Questions!$A:$B)&amp;CHAR(10)&amp;CHAR(187)&amp;" "&amp;$C6,"")</f>
        <v/>
      </c>
      <c r="AM6" s="99" cm="1">
        <f t="array" ca="1" aca="1" ref="AM6">CreateID($AM$3,$AM:$AM,$AL6&lt;&gt;"")</f>
        <v>0</v>
      </c>
      <c r="AN6" s="99" t="str" cm="1">
        <f t="array" ca="1" aca="1" ref="AN6">IF(OR($C6="",OFFSET($C6,1,0)=""),"",IF(AND($A6=Questions!$A$59,OFFSET($A6,1,0)=Questions!$A$60,SimpleLookup(Questions!$A$49,$A:$C)=Definitions!$A$4),IF(MATCH($C6,Definitions!$AW:$AW,0)&gt;MATCH(OFFSET($C6,1,0),Definitions!AW:AW,0),$A6&amp;" "&amp;$K6&amp;": "&amp;$C6&amp;CHAR(10)&amp;"&lt;---&gt;"&amp;CHAR(10)&amp;OFFSET($A6,1,0)&amp;" "&amp;OFFSET($K6,1,0)&amp;": "&amp;OFFSET($C6,1,0),""),""))</f>
        <v/>
      </c>
      <c r="AO6" s="99" cm="1">
        <f t="array" ca="1" aca="1" ref="AO6">CreateID($AO$3,$AO:$AO,$AN6&lt;&gt;"")</f>
        <v>0</v>
      </c>
    </row>
    <row r="7" spans="1:41" ht="45">
      <c r="A7" s="96" t="s">
        <v>1099</v>
      </c>
      <c r="B7" s="4" t="str" cm="1">
        <f t="array" ca="1" aca="1" ref="B7">IF($A7="","",CreateIndentedString($K7,Definitions!$T$4,SimpleLookup($A7,Questions!$A:$C)))</f>
        <v xml:space="preserve">      Does  the  product  process  personal  data?
      Examples:
      User  ID,  address  labels</v>
      </c>
      <c r="C7" s="4" t="s">
        <v>11</v>
      </c>
      <c r="D7" s="8" t="str">
        <f ca="1">$AF7</f>
        <v/>
      </c>
      <c r="F7" s="8" t="str">
        <f ca="1">$AJ7</f>
        <v/>
      </c>
      <c r="I7" s="15" t="str">
        <f t="shared" ca="1" si="0"/>
        <v>QI2[No]</v>
      </c>
      <c r="J7" s="15" t="str">
        <f t="shared" ca="1" si="1"/>
        <v>QI2[No]</v>
      </c>
      <c r="K7" s="15" t="str" cm="1">
        <f t="array" ca="1" aca="1" ref="K7">SimpleLookup($A7,Questions!$A:$B)</f>
        <v>Does the product process personal data?
Examples: User ID, address labels</v>
      </c>
      <c r="L7" s="15" cm="1">
        <f t="array" ca="1" aca="1" ref="L7">CreateID($L$3,$L:$L,AND($A7&lt;&gt;"",$AC7))</f>
        <v>2</v>
      </c>
      <c r="M7" s="99" cm="1">
        <f t="array" ca="1" aca="1" ref="M7">CreateTaskID($M$3,$M:$M,Tasks!$B$17,$G7)</f>
        <v>0</v>
      </c>
      <c r="N7" s="15" t="str">
        <f t="shared" ca="1" si="2"/>
        <v/>
      </c>
      <c r="O7" s="15" cm="1">
        <f t="array" ca="1" aca="1" ref="O7">CreateID($O$3,$O:$O,$N7&lt;&gt;"")</f>
        <v>0</v>
      </c>
      <c r="P7" s="99" t="str">
        <f t="shared" ca="1" si="3"/>
        <v/>
      </c>
      <c r="Q7" s="99" cm="1">
        <f t="array" ca="1" aca="1" ref="Q7">CreateID($Q$3,$Q:$Q,$P7&lt;&gt;"")</f>
        <v>0</v>
      </c>
      <c r="R7" s="99" t="str">
        <f t="shared" ca="1" si="4"/>
        <v/>
      </c>
      <c r="S7" s="99" cm="1">
        <f t="array" ca="1" aca="1" ref="S7">CreateID($S$3,$S:$S,$R7&lt;&gt;"")</f>
        <v>0</v>
      </c>
      <c r="T7" s="99" t="str">
        <f t="shared" ca="1" si="5"/>
        <v/>
      </c>
      <c r="U7" s="99" cm="1">
        <f t="array" ca="1" aca="1" ref="U7">CreateID($U$3,$U:$U,$T7&lt;&gt;"")</f>
        <v>0</v>
      </c>
      <c r="V7" s="99" cm="1">
        <f t="array" ca="1" aca="1" ref="V7">CreateID($V$3,$V:$V,IFERROR(FIND(Definitions!$AR$4,$G7)&gt;0,FALSE))</f>
        <v>0</v>
      </c>
      <c r="W7" s="99">
        <f>_xlfn.LET(_xlpm._comment,$G7,_xlpm._keyWord,Definitions!$AR$4,_xlpm._diffLen,LEN(_xlpm._comment)-LEN(SUBSTITUTE(_xlpm._comment,_xlpm._keyWord,"")),_xlpm._diffLen/LEN(_xlpm._keyWord))</f>
        <v>0</v>
      </c>
      <c r="X7" s="99" cm="1">
        <f t="array" ca="1" aca="1" ref="X7">CreateID($X$3,$X:$X,IFERROR(FIND(Definitions!$AR$5,$G7)&gt;0,FALSE))</f>
        <v>0</v>
      </c>
      <c r="Y7" s="99">
        <f>_xlfn.LET(_xlpm._comment,$G7,_xlpm._keyWord,Definitions!$AR$5,_xlpm._diffLen,LEN(_xlpm._comment)-LEN(SUBSTITUTE(_xlpm._comment,_xlpm._keyWord,"")),_xlpm._diffLen/LEN(_xlpm._keyWord))</f>
        <v>0</v>
      </c>
      <c r="Z7" s="99" t="b">
        <f ca="1">OR(IFERROR(_xlfn.XMATCH("*,"&amp;$A7&amp;",*",Assumptions!$AL:$AL,2)&gt;0,FALSE),IFERROR(_xlfn.XMATCH("*,"&amp;$A7&amp;",*",Countermeasures!$AO:$AO,2)&gt;0,FALSE))</f>
        <v>1</v>
      </c>
      <c r="AA7" s="99" t="str" cm="1">
        <f t="array" ca="1" aca="1" ref="AA7">CreateSearchString($I7)</f>
        <v>,QI2[No],</v>
      </c>
      <c r="AB7" s="99" t="str">
        <f>IF($E7="","",IFERROR(VLOOKUP($E7,Definitions!$H:$J,COLUMNS(Definitions!$H:$J),FALSE),""))</f>
        <v/>
      </c>
      <c r="AC7" s="99" t="b" cm="1">
        <f t="array" ca="1" aca="1" ref="AC7">IF($A7="",FALSE,SimpleLookup($A7,Questions!$A:$D)="x")</f>
        <v>1</v>
      </c>
      <c r="AD7" s="99" t="str" cm="1">
        <f t="array" ca="1" aca="1" ref="AD7">IF(OR($A7="",NOT($AC7)),"",SimpleLookup($A7,Questions!$A:$E))</f>
        <v>'[QuBA-libre.xlsx]Definitions'!$A$4</v>
      </c>
      <c r="AE7" s="99" cm="1">
        <f t="array" ca="1" aca="1" ref="AE7">IF(OR($A7="",NOT($AC7)),"",SimpleLookup($A7,Questions!$A:$F))</f>
        <v>2</v>
      </c>
      <c r="AF7" s="99" t="str" cm="1">
        <f t="array" ca="1" aca="1" ref="AF7">_xlfn.LET(_xlpm._answer,$C7,_xlpm._infoTextFull,IF($AC7,CHAR(10)&amp;SimpleLookup($A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 s="99" t="b" cm="1">
        <f t="array" ca="1" aca="1" ref="AG7">IF(OR($A7="",NOT($AC7)),FALSE,_xlfn.LET(_xlpm._secondAnswerRequiredOn,SimpleLookup($A7,Questions!$A:$I),_xlpm._firstAnwer,$C7,IFERROR(FIND(CHAR(10)&amp;_xlpm._firstAnwer&amp;":",CHAR(10)&amp;_xlpm._secondAnswerRequiredOn)&gt;0,FALSE)))</f>
        <v>0</v>
      </c>
      <c r="AH7" s="99" t="str" cm="1">
        <f t="array" ca="1" aca="1" ref="AH7">IF(OR($A7="",NOT($AC7)),"",_xlfn.LET(_xlpm._id,$A7,_xlpm._firstAnswer,$C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 s="99" t="str" cm="1">
        <f t="array" ca="1" aca="1" ref="AI7">IF(OR($A7="",NOT($AC7)),"",_xlfn.LET(_xlpm._id,$A7,_xlpm._firstAnswer,$C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 s="99" t="str" cm="1">
        <f t="array" ca="1" aca="1" ref="AJ7">IF($AG7,_xlfn.LET(_xlpm._answer,$E7,_xlpm._infoTextFull,IF($AC7,CHAR(10)&amp;SimpleLookup($A7,Questions!$A:$L)&amp;CHAR(10),""),_xlpm._startSelectedByAnswerOne,IF(_xlpm._infoTextFull="",0,FIND("___"&amp;$C7&amp;"___",_xlpm._infoTextFull)+LEN("___"&amp;$C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 s="99" t="b" cm="1">
        <f t="array" ca="1" aca="1" ref="AK7">IF(OR($A7="",NOT($AC7)),FALSE,SimpleLookup($A7,Questions!$A:$Q))</f>
        <v>0</v>
      </c>
      <c r="AL7" s="99" t="str" cm="1">
        <f t="array" ca="1" aca="1" ref="AL7">IF(AND($A7=Questions!$A$41,IFERROR(SimpleLookup(Questions!$A$36,$A:$E)=Definitions!$O$5,FALSE),$C7=Definitions!$A$5),Questions!$A$36&amp;" "&amp;Questions!$B$36&amp;CHAR(10)&amp;CHAR(187)&amp;" "&amp;SimpleLookup(Questions!$A$36,$A:$C)&amp;CHAR(10)&amp;SimpleLookup(Questions!$A$36,$A:$D)&amp;CHAR(10)&amp;CHAR(187)&amp;" "&amp;Definitions!$O$5&amp;CHAR(10)&amp;CHAR(10)&amp;"is incosistent with"&amp;CHAR(10)&amp;CHAR(10)&amp;$A7&amp;" "&amp;SimpleLookup($A7,Questions!$A:$B)&amp;CHAR(10)&amp;CHAR(187)&amp;" "&amp;$C7,"")</f>
        <v/>
      </c>
      <c r="AM7" s="99" cm="1">
        <f t="array" ca="1" aca="1" ref="AM7">CreateID($AM$3,$AM:$AM,$AL7&lt;&gt;"")</f>
        <v>0</v>
      </c>
      <c r="AN7" s="99" t="str" cm="1">
        <f t="array" ca="1" aca="1" ref="AN7">IF(OR($C7="",OFFSET($C7,1,0)=""),"",IF(AND($A7=Questions!$A$59,OFFSET($A7,1,0)=Questions!$A$60,SimpleLookup(Questions!$A$49,$A:$C)=Definitions!$A$4),IF(MATCH($C7,Definitions!$AW:$AW,0)&gt;MATCH(OFFSET($C7,1,0),Definitions!AW:AW,0),$A7&amp;" "&amp;$K7&amp;": "&amp;$C7&amp;CHAR(10)&amp;"&lt;---&gt;"&amp;CHAR(10)&amp;OFFSET($A7,1,0)&amp;" "&amp;OFFSET($K7,1,0)&amp;": "&amp;OFFSET($C7,1,0),""),""))</f>
        <v/>
      </c>
      <c r="AO7" s="99" cm="1">
        <f t="array" ca="1" aca="1" ref="AO7">CreateID($AO$3,$AO:$AO,$AN7&lt;&gt;"")</f>
        <v>0</v>
      </c>
    </row>
    <row r="8" spans="1:41" ht="15">
      <c r="A8" s="96" t="s">
        <v>1180</v>
      </c>
      <c r="B8" s="4" t="str" cm="1">
        <f t="array" ca="1" aca="1" ref="B8">IF($A8="","",CreateIndentedString($K8,Definitions!$T$4,SimpleLookup($A8,Questions!$A:$C)))</f>
        <v xml:space="preserve">   Intellectual  property</v>
      </c>
      <c r="I8" s="15" t="str">
        <f t="shared" ca="1" si="0"/>
        <v/>
      </c>
      <c r="J8" s="15" t="str">
        <f t="shared" ca="1" si="1"/>
        <v/>
      </c>
      <c r="K8" s="15" t="str" cm="1">
        <f t="array" ca="1" aca="1" ref="K8">SimpleLookup($A8,Questions!$A:$B)</f>
        <v>Intellectual property</v>
      </c>
      <c r="L8" s="15" cm="1">
        <f t="array" ca="1" aca="1" ref="L8">CreateID($L$3,$L:$L,AND($A8&lt;&gt;"",$AC8))</f>
        <v>2</v>
      </c>
      <c r="M8" s="99" cm="1">
        <f t="array" ca="1" aca="1" ref="M8">CreateTaskID($M$3,$M:$M,Tasks!$B$17,$G8)</f>
        <v>0</v>
      </c>
      <c r="N8" s="15" t="str">
        <f t="shared" ca="1" si="2"/>
        <v/>
      </c>
      <c r="O8" s="15" cm="1">
        <f t="array" ca="1" aca="1" ref="O8">CreateID($O$3,$O:$O,$N8&lt;&gt;"")</f>
        <v>0</v>
      </c>
      <c r="P8" s="99" t="str">
        <f t="shared" si="3"/>
        <v/>
      </c>
      <c r="Q8" s="99" cm="1">
        <f t="array" ca="1" aca="1" ref="Q8">CreateID($Q$3,$Q:$Q,$P8&lt;&gt;"")</f>
        <v>0</v>
      </c>
      <c r="R8" s="99" t="str">
        <f t="shared" si="4"/>
        <v/>
      </c>
      <c r="S8" s="99" cm="1">
        <f t="array" ca="1" aca="1" ref="S8">CreateID($S$3,$S:$S,$R8&lt;&gt;"")</f>
        <v>0</v>
      </c>
      <c r="T8" s="99" t="str">
        <f t="shared" ca="1" si="5"/>
        <v/>
      </c>
      <c r="U8" s="99" cm="1">
        <f t="array" ca="1" aca="1" ref="U8">CreateID($U$3,$U:$U,$T8&lt;&gt;"")</f>
        <v>0</v>
      </c>
      <c r="V8" s="99" cm="1">
        <f t="array" ca="1" aca="1" ref="V8">CreateID($V$3,$V:$V,IFERROR(FIND(Definitions!$AR$4,$G8)&gt;0,FALSE))</f>
        <v>0</v>
      </c>
      <c r="W8" s="99">
        <f>_xlfn.LET(_xlpm._comment,$G8,_xlpm._keyWord,Definitions!$AR$4,_xlpm._diffLen,LEN(_xlpm._comment)-LEN(SUBSTITUTE(_xlpm._comment,_xlpm._keyWord,"")),_xlpm._diffLen/LEN(_xlpm._keyWord))</f>
        <v>0</v>
      </c>
      <c r="X8" s="99" cm="1">
        <f t="array" ca="1" aca="1" ref="X8">CreateID($X$3,$X:$X,IFERROR(FIND(Definitions!$AR$5,$G8)&gt;0,FALSE))</f>
        <v>0</v>
      </c>
      <c r="Y8" s="99">
        <f>_xlfn.LET(_xlpm._comment,$G8,_xlpm._keyWord,Definitions!$AR$5,_xlpm._diffLen,LEN(_xlpm._comment)-LEN(SUBSTITUTE(_xlpm._comment,_xlpm._keyWord,"")),_xlpm._diffLen/LEN(_xlpm._keyWord))</f>
        <v>0</v>
      </c>
      <c r="Z8" s="99" t="b">
        <f ca="1">OR(IFERROR(_xlfn.XMATCH("*,"&amp;$A8&amp;",*",Assumptions!$AL:$AL,2)&gt;0,FALSE),IFERROR(_xlfn.XMATCH("*,"&amp;$A8&amp;",*",Countermeasures!$AO:$AO,2)&gt;0,FALSE))</f>
        <v>0</v>
      </c>
      <c r="AA8" s="99" t="str" cm="1">
        <f t="array" ca="1" aca="1" ref="AA8">CreateSearchString($I8)</f>
        <v/>
      </c>
      <c r="AB8" s="99" t="str">
        <f>IF($E8="","",IFERROR(VLOOKUP($E8,Definitions!$H:$J,COLUMNS(Definitions!$H:$J),FALSE),""))</f>
        <v/>
      </c>
      <c r="AC8" s="99" t="b" cm="1">
        <f t="array" ca="1" aca="1" ref="AC8">IF($A8="",FALSE,SimpleLookup($A8,Questions!$A:$D)="x")</f>
        <v>0</v>
      </c>
      <c r="AD8" s="99" t="str" cm="1">
        <f t="array" ca="1" aca="1" ref="AD8">IF(OR($A8="",NOT($AC8)),"",SimpleLookup($A8,Questions!$A:$E))</f>
        <v/>
      </c>
      <c r="AE8" s="99" t="str" cm="1">
        <f t="array" ca="1" aca="1" ref="AE8">IF(OR($A8="",NOT($AC8)),"",SimpleLookup($A8,Questions!$A:$F))</f>
        <v/>
      </c>
      <c r="AF8" s="99" t="str" cm="1">
        <f t="array" ca="1" aca="1" ref="AF8">_xlfn.LET(_xlpm._answer,$C8,_xlpm._infoTextFull,IF($AC8,CHAR(10)&amp;SimpleLookup($A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 s="99" t="b" cm="1">
        <f t="array" ca="1" aca="1" ref="AG8">IF(OR($A8="",NOT($AC8)),FALSE,_xlfn.LET(_xlpm._secondAnswerRequiredOn,SimpleLookup($A8,Questions!$A:$I),_xlpm._firstAnwer,$C8,IFERROR(FIND(CHAR(10)&amp;_xlpm._firstAnwer&amp;":",CHAR(10)&amp;_xlpm._secondAnswerRequiredOn)&gt;0,FALSE)))</f>
        <v>0</v>
      </c>
      <c r="AH8" s="99" t="str" cm="1">
        <f t="array" ca="1" aca="1" ref="AH8">IF(OR($A8="",NOT($AC8)),"",_xlfn.LET(_xlpm._id,$A8,_xlpm._firstAnswer,$C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 s="99" t="str" cm="1">
        <f t="array" ca="1" aca="1" ref="AI8">IF(OR($A8="",NOT($AC8)),"",_xlfn.LET(_xlpm._id,$A8,_xlpm._firstAnswer,$C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 s="99" t="str" cm="1">
        <f t="array" ca="1" aca="1" ref="AJ8">IF($AG8,_xlfn.LET(_xlpm._answer,$E8,_xlpm._infoTextFull,IF($AC8,CHAR(10)&amp;SimpleLookup($A8,Questions!$A:$L)&amp;CHAR(10),""),_xlpm._startSelectedByAnswerOne,IF(_xlpm._infoTextFull="",0,FIND("___"&amp;$C8&amp;"___",_xlpm._infoTextFull)+LEN("___"&amp;$C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 s="99" t="b" cm="1">
        <f t="array" ca="1" aca="1" ref="AK8">IF(OR($A8="",NOT($AC8)),FALSE,SimpleLookup($A8,Questions!$A:$Q))</f>
        <v>0</v>
      </c>
      <c r="AL8" s="99" t="str" cm="1">
        <f t="array" ca="1" aca="1" ref="AL8">IF(AND($A8=Questions!$A$41,IFERROR(SimpleLookup(Questions!$A$36,$A:$E)=Definitions!$O$5,FALSE),$C8=Definitions!$A$5),Questions!$A$36&amp;" "&amp;Questions!$B$36&amp;CHAR(10)&amp;CHAR(187)&amp;" "&amp;SimpleLookup(Questions!$A$36,$A:$C)&amp;CHAR(10)&amp;SimpleLookup(Questions!$A$36,$A:$D)&amp;CHAR(10)&amp;CHAR(187)&amp;" "&amp;Definitions!$O$5&amp;CHAR(10)&amp;CHAR(10)&amp;"is incosistent with"&amp;CHAR(10)&amp;CHAR(10)&amp;$A8&amp;" "&amp;SimpleLookup($A8,Questions!$A:$B)&amp;CHAR(10)&amp;CHAR(187)&amp;" "&amp;$C8,"")</f>
        <v/>
      </c>
      <c r="AM8" s="99" cm="1">
        <f t="array" ca="1" aca="1" ref="AM8">CreateID($AM$3,$AM:$AM,$AL8&lt;&gt;"")</f>
        <v>0</v>
      </c>
      <c r="AN8" s="99" t="str" cm="1">
        <f t="array" ca="1" aca="1" ref="AN8">IF(OR($C8="",OFFSET($C8,1,0)=""),"",IF(AND($A8=Questions!$A$59,OFFSET($A8,1,0)=Questions!$A$60,SimpleLookup(Questions!$A$49,$A:$C)=Definitions!$A$4),IF(MATCH($C8,Definitions!$AW:$AW,0)&gt;MATCH(OFFSET($C8,1,0),Definitions!AW:AW,0),$A8&amp;" "&amp;$K8&amp;": "&amp;$C8&amp;CHAR(10)&amp;"&lt;---&gt;"&amp;CHAR(10)&amp;OFFSET($A8,1,0)&amp;" "&amp;OFFSET($K8,1,0)&amp;": "&amp;OFFSET($C8,1,0),""),""))</f>
        <v/>
      </c>
      <c r="AO8" s="99" cm="1">
        <f t="array" ca="1" aca="1" ref="AO8">CreateID($AO$3,$AO:$AO,$AN8&lt;&gt;"")</f>
        <v>0</v>
      </c>
    </row>
    <row r="9" spans="1:41" ht="120">
      <c r="A9" s="96" t="s">
        <v>1097</v>
      </c>
      <c r="B9" s="4" t="str" cm="1">
        <f t="array" ca="1" aca="1" ref="B9">IF($A9="","",CreateIndentedString($K9,Definitions!$T$4,SimpleLookup($A9,Questions!$A:$C)))</f>
        <v xml:space="preserve">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v>
      </c>
      <c r="C9" s="4" t="s">
        <v>10</v>
      </c>
      <c r="D9" s="8" t="str">
        <f ca="1">$AF9</f>
        <v>What is the criticality of the intellectual property?</v>
      </c>
      <c r="E9" s="4" t="s">
        <v>22</v>
      </c>
      <c r="F9" s="8" t="str">
        <f ca="1">$AJ9</f>
        <v>Relevant aspects of system is comprehensible or moderate impact on markets (some innovation in the product / medium size market). Please list the affected data:</v>
      </c>
      <c r="G9" s="4" t="s">
        <v>1787</v>
      </c>
      <c r="I9" s="15" t="str">
        <f t="shared" ca="1" si="0"/>
        <v>QI3[Yes|IP(moderatelyinnovative)]</v>
      </c>
      <c r="J9" s="15" t="str">
        <f t="shared" ca="1" si="1"/>
        <v>QI3[Yes|*]</v>
      </c>
      <c r="K9" s="15" t="str" cm="1">
        <f t="array" ca="1" aca="1" ref="K9">SimpleLookup($A9,Questions!$A:$B)</f>
        <v>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v>
      </c>
      <c r="L9" s="15" cm="1">
        <f t="array" ca="1" aca="1" ref="L9">CreateID($L$3,$L:$L,AND($A9&lt;&gt;"",$AC9))</f>
        <v>3</v>
      </c>
      <c r="M9" s="99" cm="1">
        <f t="array" ca="1" aca="1" ref="M9">CreateTaskID($M$3,$M:$M,Tasks!$B$17,$G9)</f>
        <v>0</v>
      </c>
      <c r="N9" s="15" t="str">
        <f t="shared" ca="1" si="2"/>
        <v/>
      </c>
      <c r="O9" s="15" cm="1">
        <f t="array" ca="1" aca="1" ref="O9">CreateID($O$3,$O:$O,$N9&lt;&gt;"")</f>
        <v>0</v>
      </c>
      <c r="P9" s="99" t="str">
        <f t="shared" ca="1" si="3"/>
        <v/>
      </c>
      <c r="Q9" s="99" cm="1">
        <f t="array" ca="1" aca="1" ref="Q9">CreateID($Q$3,$Q:$Q,$P9&lt;&gt;"")</f>
        <v>0</v>
      </c>
      <c r="R9" s="99" t="str">
        <f t="shared" ca="1" si="4"/>
        <v/>
      </c>
      <c r="S9" s="99" cm="1">
        <f t="array" ca="1" aca="1" ref="S9">CreateID($S$3,$S:$S,$R9&lt;&gt;"")</f>
        <v>0</v>
      </c>
      <c r="T9" s="99" t="str">
        <f t="shared" ca="1" si="5"/>
        <v/>
      </c>
      <c r="U9" s="99" cm="1">
        <f t="array" ca="1" aca="1" ref="U9">CreateID($U$3,$U:$U,$T9&lt;&gt;"")</f>
        <v>0</v>
      </c>
      <c r="V9" s="99" cm="1">
        <f t="array" ca="1" aca="1" ref="V9">CreateID($V$3,$V:$V,IFERROR(FIND(Definitions!$AR$4,$G9)&gt;0,FALSE))</f>
        <v>0</v>
      </c>
      <c r="W9" s="99">
        <f>_xlfn.LET(_xlpm._comment,$G9,_xlpm._keyWord,Definitions!$AR$4,_xlpm._diffLen,LEN(_xlpm._comment)-LEN(SUBSTITUTE(_xlpm._comment,_xlpm._keyWord,"")),_xlpm._diffLen/LEN(_xlpm._keyWord))</f>
        <v>0</v>
      </c>
      <c r="X9" s="99" cm="1">
        <f t="array" ca="1" aca="1" ref="X9">CreateID($X$3,$X:$X,IFERROR(FIND(Definitions!$AR$5,$G9)&gt;0,FALSE))</f>
        <v>0</v>
      </c>
      <c r="Y9" s="99">
        <f>_xlfn.LET(_xlpm._comment,$G9,_xlpm._keyWord,Definitions!$AR$5,_xlpm._diffLen,LEN(_xlpm._comment)-LEN(SUBSTITUTE(_xlpm._comment,_xlpm._keyWord,"")),_xlpm._diffLen/LEN(_xlpm._keyWord))</f>
        <v>0</v>
      </c>
      <c r="Z9" s="99" t="b">
        <f ca="1">OR(IFERROR(_xlfn.XMATCH("*,"&amp;$A9&amp;",*",Assumptions!$AL:$AL,2)&gt;0,FALSE),IFERROR(_xlfn.XMATCH("*,"&amp;$A9&amp;",*",Countermeasures!$AO:$AO,2)&gt;0,FALSE))</f>
        <v>0</v>
      </c>
      <c r="AA9" s="99" t="str" cm="1">
        <f t="array" ca="1" aca="1" ref="AA9">CreateSearchString($I9)</f>
        <v>,QI3[Yes|IP(moderatelyinnovative)],</v>
      </c>
      <c r="AB9" s="99" t="str">
        <f>IF($E9="","",IFERROR(VLOOKUP($E9,Definitions!$H:$J,COLUMNS(Definitions!$H:$J),FALSE),""))</f>
        <v>Medium</v>
      </c>
      <c r="AC9" s="99" t="b" cm="1">
        <f t="array" ca="1" aca="1" ref="AC9">IF($A9="",FALSE,SimpleLookup($A9,Questions!$A:$D)="x")</f>
        <v>1</v>
      </c>
      <c r="AD9" s="99" t="str" cm="1">
        <f t="array" ca="1" aca="1" ref="AD9">IF(OR($A9="",NOT($AC9)),"",SimpleLookup($A9,Questions!$A:$E))</f>
        <v>'[QuBA-libre.xlsx]Definitions'!$A$4</v>
      </c>
      <c r="AE9" s="99" cm="1">
        <f t="array" ca="1" aca="1" ref="AE9">IF(OR($A9="",NOT($AC9)),"",SimpleLookup($A9,Questions!$A:$F))</f>
        <v>2</v>
      </c>
      <c r="AF9" s="99" t="str" cm="1">
        <f t="array" ca="1" aca="1" ref="AF9">_xlfn.LET(_xlpm._answer,$C9,_xlpm._infoTextFull,IF($AC9,CHAR(10)&amp;SimpleLookup($A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criticality of the intellectual property?</v>
      </c>
      <c r="AG9" s="99" t="b" cm="1">
        <f t="array" ca="1" aca="1" ref="AG9">IF(OR($A9="",NOT($AC9)),FALSE,_xlfn.LET(_xlpm._secondAnswerRequiredOn,SimpleLookup($A9,Questions!$A:$I),_xlpm._firstAnwer,$C9,IFERROR(FIND(CHAR(10)&amp;_xlpm._firstAnwer&amp;":",CHAR(10)&amp;_xlpm._secondAnswerRequiredOn)&gt;0,FALSE)))</f>
        <v>1</v>
      </c>
      <c r="AH9" s="99" t="str" cm="1">
        <f t="array" ca="1" aca="1" ref="AH9">IF(OR($A9="",NOT($AC9)),"",_xlfn.LET(_xlpm._id,$A9,_xlpm._firstAnswer,$C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'[QuBA-libre.xlsx]Definitions'!$H$7</v>
      </c>
      <c r="AI9" s="99" cm="1">
        <f t="array" ca="1" aca="1" ref="AI9">IF(OR($A9="",NOT($AC9)),"",_xlfn.LET(_xlpm._id,$A9,_xlpm._firstAnswer,$C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3</v>
      </c>
      <c r="AJ9" s="99" t="str" cm="1">
        <f t="array" ca="1" aca="1" ref="AJ9">IF($AG9,_xlfn.LET(_xlpm._answer,$E9,_xlpm._infoTextFull,IF($AC9,CHAR(10)&amp;SimpleLookup($A9,Questions!$A:$L)&amp;CHAR(10),""),_xlpm._startSelectedByAnswerOne,IF(_xlpm._infoTextFull="",0,FIND("___"&amp;$C9&amp;"___",_xlpm._infoTextFull)+LEN("___"&amp;$C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Relevant aspects of system is comprehensible or moderate impact on markets (some innovation in the product / medium size market). Please list the affected data:</v>
      </c>
      <c r="AK9" s="99" t="b" cm="1">
        <f t="array" ca="1" aca="1" ref="AK9">IF(OR($A9="",NOT($AC9)),FALSE,SimpleLookup($A9,Questions!$A:$Q))</f>
        <v>0</v>
      </c>
      <c r="AL9" s="99" t="str" cm="1">
        <f t="array" ca="1" aca="1" ref="AL9">IF(AND($A9=Questions!$A$41,IFERROR(SimpleLookup(Questions!$A$36,$A:$E)=Definitions!$O$5,FALSE),$C9=Definitions!$A$5),Questions!$A$36&amp;" "&amp;Questions!$B$36&amp;CHAR(10)&amp;CHAR(187)&amp;" "&amp;SimpleLookup(Questions!$A$36,$A:$C)&amp;CHAR(10)&amp;SimpleLookup(Questions!$A$36,$A:$D)&amp;CHAR(10)&amp;CHAR(187)&amp;" "&amp;Definitions!$O$5&amp;CHAR(10)&amp;CHAR(10)&amp;"is incosistent with"&amp;CHAR(10)&amp;CHAR(10)&amp;$A9&amp;" "&amp;SimpleLookup($A9,Questions!$A:$B)&amp;CHAR(10)&amp;CHAR(187)&amp;" "&amp;$C9,"")</f>
        <v/>
      </c>
      <c r="AM9" s="99" cm="1">
        <f t="array" ca="1" aca="1" ref="AM9">CreateID($AM$3,$AM:$AM,$AL9&lt;&gt;"")</f>
        <v>0</v>
      </c>
      <c r="AN9" s="99" t="str" cm="1">
        <f t="array" ca="1" aca="1" ref="AN9">IF(OR($C9="",OFFSET($C9,1,0)=""),"",IF(AND($A9=Questions!$A$59,OFFSET($A9,1,0)=Questions!$A$60,SimpleLookup(Questions!$A$49,$A:$C)=Definitions!$A$4),IF(MATCH($C9,Definitions!$AW:$AW,0)&gt;MATCH(OFFSET($C9,1,0),Definitions!AW:AW,0),$A9&amp;" "&amp;$K9&amp;": "&amp;$C9&amp;CHAR(10)&amp;"&lt;---&gt;"&amp;CHAR(10)&amp;OFFSET($A9,1,0)&amp;" "&amp;OFFSET($K9,1,0)&amp;": "&amp;OFFSET($C9,1,0),""),""))</f>
        <v/>
      </c>
      <c r="AO9" s="99" cm="1">
        <f t="array" ca="1" aca="1" ref="AO9">CreateID($AO$3,$AO:$AO,$AN9&lt;&gt;"")</f>
        <v>0</v>
      </c>
    </row>
    <row r="10" spans="1:41" ht="15">
      <c r="A10" s="96" t="s">
        <v>1181</v>
      </c>
      <c r="B10" s="4" t="str" cm="1">
        <f t="array" ca="1" aca="1" ref="B10">IF($A10="","",CreateIndentedString($K10,Definitions!$T$4,SimpleLookup($A10,Questions!$A:$C)))</f>
        <v xml:space="preserve">   Financial  and  legal</v>
      </c>
      <c r="I10" s="15" t="str">
        <f t="shared" ca="1" si="0"/>
        <v/>
      </c>
      <c r="J10" s="15" t="str">
        <f t="shared" ca="1" si="1"/>
        <v/>
      </c>
      <c r="K10" s="15" t="str" cm="1">
        <f t="array" ca="1" aca="1" ref="K10">SimpleLookup($A10,Questions!$A:$B)</f>
        <v>Financial and legal</v>
      </c>
      <c r="L10" s="15" cm="1">
        <f t="array" ca="1" aca="1" ref="L10">CreateID($L$3,$L:$L,AND($A10&lt;&gt;"",$AC10))</f>
        <v>3</v>
      </c>
      <c r="M10" s="99" cm="1">
        <f t="array" ca="1" aca="1" ref="M10">CreateTaskID($M$3,$M:$M,Tasks!$B$17,$G10)</f>
        <v>0</v>
      </c>
      <c r="N10" s="15" t="str">
        <f t="shared" ca="1" si="2"/>
        <v/>
      </c>
      <c r="O10" s="15" cm="1">
        <f t="array" ca="1" aca="1" ref="O10">CreateID($O$3,$O:$O,$N10&lt;&gt;"")</f>
        <v>0</v>
      </c>
      <c r="P10" s="99" t="str">
        <f t="shared" si="3"/>
        <v/>
      </c>
      <c r="Q10" s="99" cm="1">
        <f t="array" ca="1" aca="1" ref="Q10">CreateID($Q$3,$Q:$Q,$P10&lt;&gt;"")</f>
        <v>0</v>
      </c>
      <c r="R10" s="99" t="str">
        <f t="shared" si="4"/>
        <v/>
      </c>
      <c r="S10" s="99" cm="1">
        <f t="array" ca="1" aca="1" ref="S10">CreateID($S$3,$S:$S,$R10&lt;&gt;"")</f>
        <v>0</v>
      </c>
      <c r="T10" s="99" t="str">
        <f t="shared" ca="1" si="5"/>
        <v/>
      </c>
      <c r="U10" s="99" cm="1">
        <f t="array" ca="1" aca="1" ref="U10">CreateID($U$3,$U:$U,$T10&lt;&gt;"")</f>
        <v>0</v>
      </c>
      <c r="V10" s="99" cm="1">
        <f t="array" ca="1" aca="1" ref="V10">CreateID($V$3,$V:$V,IFERROR(FIND(Definitions!$AR$4,$G10)&gt;0,FALSE))</f>
        <v>0</v>
      </c>
      <c r="W10" s="99">
        <f>_xlfn.LET(_xlpm._comment,$G10,_xlpm._keyWord,Definitions!$AR$4,_xlpm._diffLen,LEN(_xlpm._comment)-LEN(SUBSTITUTE(_xlpm._comment,_xlpm._keyWord,"")),_xlpm._diffLen/LEN(_xlpm._keyWord))</f>
        <v>0</v>
      </c>
      <c r="X10" s="99" cm="1">
        <f t="array" ca="1" aca="1" ref="X10">CreateID($X$3,$X:$X,IFERROR(FIND(Definitions!$AR$5,$G10)&gt;0,FALSE))</f>
        <v>0</v>
      </c>
      <c r="Y10" s="99">
        <f>_xlfn.LET(_xlpm._comment,$G10,_xlpm._keyWord,Definitions!$AR$5,_xlpm._diffLen,LEN(_xlpm._comment)-LEN(SUBSTITUTE(_xlpm._comment,_xlpm._keyWord,"")),_xlpm._diffLen/LEN(_xlpm._keyWord))</f>
        <v>0</v>
      </c>
      <c r="Z10" s="99" t="b">
        <f ca="1">OR(IFERROR(_xlfn.XMATCH("*,"&amp;$A10&amp;",*",Assumptions!$AL:$AL,2)&gt;0,FALSE),IFERROR(_xlfn.XMATCH("*,"&amp;$A10&amp;",*",Countermeasures!$AO:$AO,2)&gt;0,FALSE))</f>
        <v>0</v>
      </c>
      <c r="AA10" s="99" t="str" cm="1">
        <f t="array" ca="1" aca="1" ref="AA10">CreateSearchString($I10)</f>
        <v/>
      </c>
      <c r="AB10" s="99" t="str">
        <f>IF($E10="","",IFERROR(VLOOKUP($E10,Definitions!$H:$J,COLUMNS(Definitions!$H:$J),FALSE),""))</f>
        <v/>
      </c>
      <c r="AC10" s="99" t="b" cm="1">
        <f t="array" ca="1" aca="1" ref="AC10">IF($A10="",FALSE,SimpleLookup($A10,Questions!$A:$D)="x")</f>
        <v>0</v>
      </c>
      <c r="AD10" s="99" t="str" cm="1">
        <f t="array" ca="1" aca="1" ref="AD10">IF(OR($A10="",NOT($AC10)),"",SimpleLookup($A10,Questions!$A:$E))</f>
        <v/>
      </c>
      <c r="AE10" s="99" t="str" cm="1">
        <f t="array" ca="1" aca="1" ref="AE10">IF(OR($A10="",NOT($AC10)),"",SimpleLookup($A10,Questions!$A:$F))</f>
        <v/>
      </c>
      <c r="AF10" s="99" t="str" cm="1">
        <f t="array" ca="1" aca="1" ref="AF10">_xlfn.LET(_xlpm._answer,$C10,_xlpm._infoTextFull,IF($AC10,CHAR(10)&amp;SimpleLookup($A10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0" s="99" t="b" cm="1">
        <f t="array" ca="1" aca="1" ref="AG10">IF(OR($A10="",NOT($AC10)),FALSE,_xlfn.LET(_xlpm._secondAnswerRequiredOn,SimpleLookup($A10,Questions!$A:$I),_xlpm._firstAnwer,$C10,IFERROR(FIND(CHAR(10)&amp;_xlpm._firstAnwer&amp;":",CHAR(10)&amp;_xlpm._secondAnswerRequiredOn)&gt;0,FALSE)))</f>
        <v>0</v>
      </c>
      <c r="AH10" s="99" t="str" cm="1">
        <f t="array" ca="1" aca="1" ref="AH10">IF(OR($A10="",NOT($AC10)),"",_xlfn.LET(_xlpm._id,$A10,_xlpm._firstAnswer,$C10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0" s="99" t="str" cm="1">
        <f t="array" ca="1" aca="1" ref="AI10">IF(OR($A10="",NOT($AC10)),"",_xlfn.LET(_xlpm._id,$A10,_xlpm._firstAnswer,$C10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0" s="99" t="str" cm="1">
        <f t="array" ca="1" aca="1" ref="AJ10">IF($AG10,_xlfn.LET(_xlpm._answer,$E10,_xlpm._infoTextFull,IF($AC10,CHAR(10)&amp;SimpleLookup($A10,Questions!$A:$L)&amp;CHAR(10),""),_xlpm._startSelectedByAnswerOne,IF(_xlpm._infoTextFull="",0,FIND("___"&amp;$C10&amp;"___",_xlpm._infoTextFull)+LEN("___"&amp;$C10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0" s="99" t="b" cm="1">
        <f t="array" ca="1" aca="1" ref="AK10">IF(OR($A10="",NOT($AC10)),FALSE,SimpleLookup($A10,Questions!$A:$Q))</f>
        <v>0</v>
      </c>
      <c r="AL10" s="99" t="str" cm="1">
        <f t="array" ca="1" aca="1" ref="AL10">IF(AND($A10=Questions!$A$41,IFERROR(SimpleLookup(Questions!$A$36,$A:$E)=Definitions!$O$5,FALSE),$C10=Definitions!$A$5),Questions!$A$36&amp;" "&amp;Questions!$B$36&amp;CHAR(10)&amp;CHAR(187)&amp;" "&amp;SimpleLookup(Questions!$A$36,$A:$C)&amp;CHAR(10)&amp;SimpleLookup(Questions!$A$36,$A:$D)&amp;CHAR(10)&amp;CHAR(187)&amp;" "&amp;Definitions!$O$5&amp;CHAR(10)&amp;CHAR(10)&amp;"is incosistent with"&amp;CHAR(10)&amp;CHAR(10)&amp;$A10&amp;" "&amp;SimpleLookup($A10,Questions!$A:$B)&amp;CHAR(10)&amp;CHAR(187)&amp;" "&amp;$C10,"")</f>
        <v/>
      </c>
      <c r="AM10" s="99" cm="1">
        <f t="array" ca="1" aca="1" ref="AM10">CreateID($AM$3,$AM:$AM,$AL10&lt;&gt;"")</f>
        <v>0</v>
      </c>
      <c r="AN10" s="99" t="str" cm="1">
        <f t="array" ca="1" aca="1" ref="AN10">IF(OR($C10="",OFFSET($C10,1,0)=""),"",IF(AND($A10=Questions!$A$59,OFFSET($A10,1,0)=Questions!$A$60,SimpleLookup(Questions!$A$49,$A:$C)=Definitions!$A$4),IF(MATCH($C10,Definitions!$AW:$AW,0)&gt;MATCH(OFFSET($C10,1,0),Definitions!AW:AW,0),$A10&amp;" "&amp;$K10&amp;": "&amp;$C10&amp;CHAR(10)&amp;"&lt;---&gt;"&amp;CHAR(10)&amp;OFFSET($A10,1,0)&amp;" "&amp;OFFSET($K10,1,0)&amp;": "&amp;OFFSET($C10,1,0),""),""))</f>
        <v/>
      </c>
      <c r="AO10" s="99" cm="1">
        <f t="array" ca="1" aca="1" ref="AO10">CreateID($AO$3,$AO:$AO,$AN10&lt;&gt;"")</f>
        <v>0</v>
      </c>
    </row>
    <row r="11" spans="1:41" ht="75">
      <c r="A11" s="96" t="s">
        <v>1095</v>
      </c>
      <c r="B11" s="4" t="str" cm="1">
        <f t="array" ca="1" aca="1" ref="B11">IF($A11="","",CreateIndentedString($K11,Definitions!$T$4,SimpleLookup($A11,Questions!$A:$C)))</f>
        <v xml:space="preserve">      Is  acontis  techonlogies  GmbH  (typically)  obliged
      to  keep  the  processed  /  stored  data  (including
      third-party  IP)  confidential  by  contract  or  law?
      (Note  that  this  concerns  individual  obligations,
      not  the  standard  product  warranty).</v>
      </c>
      <c r="C11" s="4" t="s">
        <v>11</v>
      </c>
      <c r="D11" s="8" t="str">
        <f ca="1">$AF11</f>
        <v/>
      </c>
      <c r="F11" s="8" t="str">
        <f ca="1">$AJ11</f>
        <v/>
      </c>
      <c r="G11" s="4" t="s">
        <v>1788</v>
      </c>
      <c r="I11" s="15" t="str">
        <f t="shared" ca="1" si="0"/>
        <v>QI4[No]</v>
      </c>
      <c r="J11" s="15" t="str">
        <f t="shared" ca="1" si="1"/>
        <v>QI4[No]</v>
      </c>
      <c r="K11" s="15" t="str" cm="1">
        <f t="array" ca="1" aca="1" ref="K11">SimpleLookup($A11,Questions!$A:$B)</f>
        <v>Is acontis techonlogies GmbH (typically) obliged to keep the processed / stored data (including third-party IP) confidential by contract or law? (Note that this concerns individual obligations, not the standard product warranty).</v>
      </c>
      <c r="L11" s="15" cm="1">
        <f t="array" ca="1" aca="1" ref="L11">CreateID($L$3,$L:$L,AND($A11&lt;&gt;"",$AC11))</f>
        <v>4</v>
      </c>
      <c r="M11" s="99" cm="1">
        <f t="array" ca="1" aca="1" ref="M11">CreateTaskID($M$3,$M:$M,Tasks!$B$17,$G11)</f>
        <v>0</v>
      </c>
      <c r="N11" s="15" t="str">
        <f t="shared" ca="1" si="2"/>
        <v/>
      </c>
      <c r="O11" s="15" cm="1">
        <f t="array" ca="1" aca="1" ref="O11">CreateID($O$3,$O:$O,$N11&lt;&gt;"")</f>
        <v>0</v>
      </c>
      <c r="P11" s="99" t="str">
        <f t="shared" ca="1" si="3"/>
        <v/>
      </c>
      <c r="Q11" s="99" cm="1">
        <f t="array" ca="1" aca="1" ref="Q11">CreateID($Q$3,$Q:$Q,$P11&lt;&gt;"")</f>
        <v>0</v>
      </c>
      <c r="R11" s="99" t="str">
        <f t="shared" ca="1" si="4"/>
        <v/>
      </c>
      <c r="S11" s="99" cm="1">
        <f t="array" ca="1" aca="1" ref="S11">CreateID($S$3,$S:$S,$R11&lt;&gt;"")</f>
        <v>0</v>
      </c>
      <c r="T11" s="99" t="str">
        <f t="shared" ca="1" si="5"/>
        <v/>
      </c>
      <c r="U11" s="99" cm="1">
        <f t="array" ca="1" aca="1" ref="U11">CreateID($U$3,$U:$U,$T11&lt;&gt;"")</f>
        <v>0</v>
      </c>
      <c r="V11" s="99" cm="1">
        <f t="array" ca="1" aca="1" ref="V11">CreateID($V$3,$V:$V,IFERROR(FIND(Definitions!$AR$4,$G11)&gt;0,FALSE))</f>
        <v>0</v>
      </c>
      <c r="W11" s="99">
        <f>_xlfn.LET(_xlpm._comment,$G11,_xlpm._keyWord,Definitions!$AR$4,_xlpm._diffLen,LEN(_xlpm._comment)-LEN(SUBSTITUTE(_xlpm._comment,_xlpm._keyWord,"")),_xlpm._diffLen/LEN(_xlpm._keyWord))</f>
        <v>0</v>
      </c>
      <c r="X11" s="99" cm="1">
        <f t="array" ca="1" aca="1" ref="X11">CreateID($X$3,$X:$X,IFERROR(FIND(Definitions!$AR$5,$G11)&gt;0,FALSE))</f>
        <v>0</v>
      </c>
      <c r="Y11" s="99">
        <f>_xlfn.LET(_xlpm._comment,$G11,_xlpm._keyWord,Definitions!$AR$5,_xlpm._diffLen,LEN(_xlpm._comment)-LEN(SUBSTITUTE(_xlpm._comment,_xlpm._keyWord,"")),_xlpm._diffLen/LEN(_xlpm._keyWord))</f>
        <v>0</v>
      </c>
      <c r="Z11" s="99" t="b">
        <f ca="1">OR(IFERROR(_xlfn.XMATCH("*,"&amp;$A11&amp;",*",Assumptions!$AL:$AL,2)&gt;0,FALSE),IFERROR(_xlfn.XMATCH("*,"&amp;$A11&amp;",*",Countermeasures!$AO:$AO,2)&gt;0,FALSE))</f>
        <v>1</v>
      </c>
      <c r="AA11" s="99" t="str" cm="1">
        <f t="array" ca="1" aca="1" ref="AA11">CreateSearchString($I11)</f>
        <v>,QI4[No],</v>
      </c>
      <c r="AB11" s="99" t="str">
        <f>IF($E11="","",IFERROR(VLOOKUP($E11,Definitions!$H:$J,COLUMNS(Definitions!$H:$J),FALSE),""))</f>
        <v/>
      </c>
      <c r="AC11" s="99" t="b" cm="1">
        <f t="array" ca="1" aca="1" ref="AC11">IF($A11="",FALSE,SimpleLookup($A11,Questions!$A:$D)="x")</f>
        <v>1</v>
      </c>
      <c r="AD11" s="99" t="str" cm="1">
        <f t="array" ca="1" aca="1" ref="AD11">IF(OR($A11="",NOT($AC11)),"",SimpleLookup($A11,Questions!$A:$E))</f>
        <v>'[QuBA-libre.xlsx]Definitions'!$A$4</v>
      </c>
      <c r="AE11" s="99" cm="1">
        <f t="array" ca="1" aca="1" ref="AE11">IF(OR($A11="",NOT($AC11)),"",SimpleLookup($A11,Questions!$A:$F))</f>
        <v>2</v>
      </c>
      <c r="AF11" s="99" t="str" cm="1">
        <f t="array" ca="1" aca="1" ref="AF11">_xlfn.LET(_xlpm._answer,$C11,_xlpm._infoTextFull,IF($AC11,CHAR(10)&amp;SimpleLookup($A11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1" s="99" t="b" cm="1">
        <f t="array" ca="1" aca="1" ref="AG11">IF(OR($A11="",NOT($AC11)),FALSE,_xlfn.LET(_xlpm._secondAnswerRequiredOn,SimpleLookup($A11,Questions!$A:$I),_xlpm._firstAnwer,$C11,IFERROR(FIND(CHAR(10)&amp;_xlpm._firstAnwer&amp;":",CHAR(10)&amp;_xlpm._secondAnswerRequiredOn)&gt;0,FALSE)))</f>
        <v>0</v>
      </c>
      <c r="AH11" s="99" t="str" cm="1">
        <f t="array" ca="1" aca="1" ref="AH11">IF(OR($A11="",NOT($AC11)),"",_xlfn.LET(_xlpm._id,$A11,_xlpm._firstAnswer,$C11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1" s="99" t="str" cm="1">
        <f t="array" ca="1" aca="1" ref="AI11">IF(OR($A11="",NOT($AC11)),"",_xlfn.LET(_xlpm._id,$A11,_xlpm._firstAnswer,$C11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1" s="99" t="str" cm="1">
        <f t="array" ca="1" aca="1" ref="AJ11">IF($AG11,_xlfn.LET(_xlpm._answer,$E11,_xlpm._infoTextFull,IF($AC11,CHAR(10)&amp;SimpleLookup($A11,Questions!$A:$L)&amp;CHAR(10),""),_xlpm._startSelectedByAnswerOne,IF(_xlpm._infoTextFull="",0,FIND("___"&amp;$C11&amp;"___",_xlpm._infoTextFull)+LEN("___"&amp;$C11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1" s="99" t="b" cm="1">
        <f t="array" ca="1" aca="1" ref="AK11">IF(OR($A11="",NOT($AC11)),FALSE,SimpleLookup($A11,Questions!$A:$Q))</f>
        <v>0</v>
      </c>
      <c r="AL11" s="99" t="str" cm="1">
        <f t="array" ca="1" aca="1" ref="AL11">IF(AND($A11=Questions!$A$41,IFERROR(SimpleLookup(Questions!$A$36,$A:$E)=Definitions!$O$5,FALSE),$C11=Definitions!$A$5),Questions!$A$36&amp;" "&amp;Questions!$B$36&amp;CHAR(10)&amp;CHAR(187)&amp;" "&amp;SimpleLookup(Questions!$A$36,$A:$C)&amp;CHAR(10)&amp;SimpleLookup(Questions!$A$36,$A:$D)&amp;CHAR(10)&amp;CHAR(187)&amp;" "&amp;Definitions!$O$5&amp;CHAR(10)&amp;CHAR(10)&amp;"is incosistent with"&amp;CHAR(10)&amp;CHAR(10)&amp;$A11&amp;" "&amp;SimpleLookup($A11,Questions!$A:$B)&amp;CHAR(10)&amp;CHAR(187)&amp;" "&amp;$C11,"")</f>
        <v/>
      </c>
      <c r="AM11" s="99" cm="1">
        <f t="array" ca="1" aca="1" ref="AM11">CreateID($AM$3,$AM:$AM,$AL11&lt;&gt;"")</f>
        <v>0</v>
      </c>
      <c r="AN11" s="99" t="str" cm="1">
        <f t="array" ca="1" aca="1" ref="AN11">IF(OR($C11="",OFFSET($C11,1,0)=""),"",IF(AND($A11=Questions!$A$59,OFFSET($A11,1,0)=Questions!$A$60,SimpleLookup(Questions!$A$49,$A:$C)=Definitions!$A$4),IF(MATCH($C11,Definitions!$AW:$AW,0)&gt;MATCH(OFFSET($C11,1,0),Definitions!AW:AW,0),$A11&amp;" "&amp;$K11&amp;": "&amp;$C11&amp;CHAR(10)&amp;"&lt;---&gt;"&amp;CHAR(10)&amp;OFFSET($A11,1,0)&amp;" "&amp;OFFSET($K11,1,0)&amp;": "&amp;OFFSET($C11,1,0),""),""))</f>
        <v/>
      </c>
      <c r="AO11" s="99" cm="1">
        <f t="array" ca="1" aca="1" ref="AO11">CreateID($AO$3,$AO:$AO,$AN11&lt;&gt;"")</f>
        <v>0</v>
      </c>
    </row>
    <row r="12" spans="1:41" ht="75">
      <c r="A12" s="96" t="s">
        <v>1093</v>
      </c>
      <c r="B12" s="4" t="str" cm="1">
        <f t="array" ca="1" aca="1" ref="B12">IF($A12="","",CreateIndentedString($K12,Definitions!$T$4,SimpleLookup($A12,Questions!$A:$C)))</f>
        <v xml:space="preserve">      Does  the  product  contain  credentials  /
      cryptographic  keys  that  allow  access  to
      sensitive  data  or  to  systems  in  the  product's
      operational  environment?  (Note:  this  includes
      cryptographic  data  introduced  by  the  customer.)</v>
      </c>
      <c r="C12" s="4" t="s">
        <v>11</v>
      </c>
      <c r="D12" s="8" t="str">
        <f ca="1">$AF12</f>
        <v/>
      </c>
      <c r="F12" s="8" t="str">
        <f ca="1">$AJ12</f>
        <v/>
      </c>
      <c r="G12" s="4" t="s">
        <v>1789</v>
      </c>
      <c r="I12" s="15" t="str">
        <f t="shared" ca="1" si="0"/>
        <v>QI5[No]</v>
      </c>
      <c r="J12" s="15" t="str">
        <f t="shared" ca="1" si="1"/>
        <v>QI5[No]</v>
      </c>
      <c r="K12" s="15" t="str" cm="1">
        <f t="array" ca="1" aca="1" ref="K12">SimpleLookup($A12,Questions!$A:$B)</f>
        <v>Does the product contain credentials / cryptographic keys that allow access to sensitive data or to systems in the product's operational environment? (Note: this includes cryptographic data introduced by the customer.)</v>
      </c>
      <c r="L12" s="15" cm="1">
        <f t="array" ca="1" aca="1" ref="L12">CreateID($L$3,$L:$L,AND($A12&lt;&gt;"",$AC12))</f>
        <v>5</v>
      </c>
      <c r="M12" s="99" cm="1">
        <f t="array" ca="1" aca="1" ref="M12">CreateTaskID($M$3,$M:$M,Tasks!$B$17,$G12)</f>
        <v>0</v>
      </c>
      <c r="N12" s="15" t="str">
        <f t="shared" ca="1" si="2"/>
        <v/>
      </c>
      <c r="O12" s="15" cm="1">
        <f t="array" ca="1" aca="1" ref="O12">CreateID($O$3,$O:$O,$N12&lt;&gt;"")</f>
        <v>0</v>
      </c>
      <c r="P12" s="99" t="str">
        <f t="shared" ca="1" si="3"/>
        <v/>
      </c>
      <c r="Q12" s="99" cm="1">
        <f t="array" ca="1" aca="1" ref="Q12">CreateID($Q$3,$Q:$Q,$P12&lt;&gt;"")</f>
        <v>0</v>
      </c>
      <c r="R12" s="99" t="str">
        <f t="shared" ca="1" si="4"/>
        <v/>
      </c>
      <c r="S12" s="99" cm="1">
        <f t="array" ca="1" aca="1" ref="S12">CreateID($S$3,$S:$S,$R12&lt;&gt;"")</f>
        <v>0</v>
      </c>
      <c r="T12" s="99" t="str">
        <f t="shared" ca="1" si="5"/>
        <v/>
      </c>
      <c r="U12" s="99" cm="1">
        <f t="array" ca="1" aca="1" ref="U12">CreateID($U$3,$U:$U,$T12&lt;&gt;"")</f>
        <v>0</v>
      </c>
      <c r="V12" s="99" cm="1">
        <f t="array" ca="1" aca="1" ref="V12">CreateID($V$3,$V:$V,IFERROR(FIND(Definitions!$AR$4,$G12)&gt;0,FALSE))</f>
        <v>0</v>
      </c>
      <c r="W12" s="99">
        <f>_xlfn.LET(_xlpm._comment,$G12,_xlpm._keyWord,Definitions!$AR$4,_xlpm._diffLen,LEN(_xlpm._comment)-LEN(SUBSTITUTE(_xlpm._comment,_xlpm._keyWord,"")),_xlpm._diffLen/LEN(_xlpm._keyWord))</f>
        <v>0</v>
      </c>
      <c r="X12" s="99" cm="1">
        <f t="array" ca="1" aca="1" ref="X12">CreateID($X$3,$X:$X,IFERROR(FIND(Definitions!$AR$5,$G12)&gt;0,FALSE))</f>
        <v>0</v>
      </c>
      <c r="Y12" s="99">
        <f>_xlfn.LET(_xlpm._comment,$G12,_xlpm._keyWord,Definitions!$AR$5,_xlpm._diffLen,LEN(_xlpm._comment)-LEN(SUBSTITUTE(_xlpm._comment,_xlpm._keyWord,"")),_xlpm._diffLen/LEN(_xlpm._keyWord))</f>
        <v>0</v>
      </c>
      <c r="Z12" s="99" t="b">
        <f ca="1">OR(IFERROR(_xlfn.XMATCH("*,"&amp;$A12&amp;",*",Assumptions!$AL:$AL,2)&gt;0,FALSE),IFERROR(_xlfn.XMATCH("*,"&amp;$A12&amp;",*",Countermeasures!$AO:$AO,2)&gt;0,FALSE))</f>
        <v>1</v>
      </c>
      <c r="AA12" s="99" t="str" cm="1">
        <f t="array" ca="1" aca="1" ref="AA12">CreateSearchString($I12)</f>
        <v>,QI5[No],</v>
      </c>
      <c r="AB12" s="99" t="str">
        <f>IF($E12="","",IFERROR(VLOOKUP($E12,Definitions!$H:$J,COLUMNS(Definitions!$H:$J),FALSE),""))</f>
        <v/>
      </c>
      <c r="AC12" s="99" t="b" cm="1">
        <f t="array" ca="1" aca="1" ref="AC12">IF($A12="",FALSE,SimpleLookup($A12,Questions!$A:$D)="x")</f>
        <v>1</v>
      </c>
      <c r="AD12" s="99" t="str" cm="1">
        <f t="array" ca="1" aca="1" ref="AD12">IF(OR($A12="",NOT($AC12)),"",SimpleLookup($A12,Questions!$A:$E))</f>
        <v>'[QuBA-libre.xlsx]Definitions'!$A$4</v>
      </c>
      <c r="AE12" s="99" cm="1">
        <f t="array" ca="1" aca="1" ref="AE12">IF(OR($A12="",NOT($AC12)),"",SimpleLookup($A12,Questions!$A:$F))</f>
        <v>2</v>
      </c>
      <c r="AF12" s="99" t="str" cm="1">
        <f t="array" ca="1" aca="1" ref="AF12">_xlfn.LET(_xlpm._answer,$C12,_xlpm._infoTextFull,IF($AC12,CHAR(10)&amp;SimpleLookup($A12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2" s="99" t="b" cm="1">
        <f t="array" ca="1" aca="1" ref="AG12">IF(OR($A12="",NOT($AC12)),FALSE,_xlfn.LET(_xlpm._secondAnswerRequiredOn,SimpleLookup($A12,Questions!$A:$I),_xlpm._firstAnwer,$C12,IFERROR(FIND(CHAR(10)&amp;_xlpm._firstAnwer&amp;":",CHAR(10)&amp;_xlpm._secondAnswerRequiredOn)&gt;0,FALSE)))</f>
        <v>0</v>
      </c>
      <c r="AH12" s="99" t="str" cm="1">
        <f t="array" ca="1" aca="1" ref="AH12">IF(OR($A12="",NOT($AC12)),"",_xlfn.LET(_xlpm._id,$A12,_xlpm._firstAnswer,$C12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2" s="99" t="str" cm="1">
        <f t="array" ca="1" aca="1" ref="AI12">IF(OR($A12="",NOT($AC12)),"",_xlfn.LET(_xlpm._id,$A12,_xlpm._firstAnswer,$C12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2" s="99" t="str" cm="1">
        <f t="array" ca="1" aca="1" ref="AJ12">IF($AG12,_xlfn.LET(_xlpm._answer,$E12,_xlpm._infoTextFull,IF($AC12,CHAR(10)&amp;SimpleLookup($A12,Questions!$A:$L)&amp;CHAR(10),""),_xlpm._startSelectedByAnswerOne,IF(_xlpm._infoTextFull="",0,FIND("___"&amp;$C12&amp;"___",_xlpm._infoTextFull)+LEN("___"&amp;$C12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2" s="99" t="b" cm="1">
        <f t="array" ca="1" aca="1" ref="AK12">IF(OR($A12="",NOT($AC12)),FALSE,SimpleLookup($A12,Questions!$A:$Q))</f>
        <v>0</v>
      </c>
      <c r="AL12" s="99" t="str" cm="1">
        <f t="array" ca="1" aca="1" ref="AL12">IF(AND($A12=Questions!$A$41,IFERROR(SimpleLookup(Questions!$A$36,$A:$E)=Definitions!$O$5,FALSE),$C12=Definitions!$A$5),Questions!$A$36&amp;" "&amp;Questions!$B$36&amp;CHAR(10)&amp;CHAR(187)&amp;" "&amp;SimpleLookup(Questions!$A$36,$A:$C)&amp;CHAR(10)&amp;SimpleLookup(Questions!$A$36,$A:$D)&amp;CHAR(10)&amp;CHAR(187)&amp;" "&amp;Definitions!$O$5&amp;CHAR(10)&amp;CHAR(10)&amp;"is incosistent with"&amp;CHAR(10)&amp;CHAR(10)&amp;$A12&amp;" "&amp;SimpleLookup($A12,Questions!$A:$B)&amp;CHAR(10)&amp;CHAR(187)&amp;" "&amp;$C12,"")</f>
        <v/>
      </c>
      <c r="AM12" s="99" cm="1">
        <f t="array" ca="1" aca="1" ref="AM12">CreateID($AM$3,$AM:$AM,$AL12&lt;&gt;"")</f>
        <v>0</v>
      </c>
      <c r="AN12" s="99" t="str" cm="1">
        <f t="array" ca="1" aca="1" ref="AN12">IF(OR($C12="",OFFSET($C12,1,0)=""),"",IF(AND($A12=Questions!$A$59,OFFSET($A12,1,0)=Questions!$A$60,SimpleLookup(Questions!$A$49,$A:$C)=Definitions!$A$4),IF(MATCH($C12,Definitions!$AW:$AW,0)&gt;MATCH(OFFSET($C12,1,0),Definitions!AW:AW,0),$A12&amp;" "&amp;$K12&amp;": "&amp;$C12&amp;CHAR(10)&amp;"&lt;---&gt;"&amp;CHAR(10)&amp;OFFSET($A12,1,0)&amp;" "&amp;OFFSET($K12,1,0)&amp;": "&amp;OFFSET($C12,1,0),""),""))</f>
        <v/>
      </c>
      <c r="AO12" s="99" cm="1">
        <f t="array" ca="1" aca="1" ref="AO12">CreateID($AO$3,$AO:$AO,$AN12&lt;&gt;"")</f>
        <v>0</v>
      </c>
    </row>
    <row r="13" spans="1:41" ht="15">
      <c r="A13" s="96" t="s">
        <v>1172</v>
      </c>
      <c r="B13" s="4" t="str" cm="1">
        <f t="array" ca="1" aca="1" ref="B13">IF($A13="","",CreateIndentedString($K13,Definitions!$T$4,SimpleLookup($A13,Questions!$A:$C)))</f>
        <v>Worst  case  impact  for  loss  of  availability</v>
      </c>
      <c r="I13" s="15" t="str">
        <f t="shared" ca="1" si="0"/>
        <v/>
      </c>
      <c r="J13" s="15" t="str">
        <f t="shared" ca="1" si="1"/>
        <v/>
      </c>
      <c r="K13" s="15" t="str" cm="1">
        <f t="array" ca="1" aca="1" ref="K13">SimpleLookup($A13,Questions!$A:$B)</f>
        <v>Worst case impact for loss of availability</v>
      </c>
      <c r="L13" s="15" cm="1">
        <f t="array" ca="1" aca="1" ref="L13">CreateID($L$3,$L:$L,AND($A13&lt;&gt;"",$AC13))</f>
        <v>5</v>
      </c>
      <c r="M13" s="99" cm="1">
        <f t="array" ca="1" aca="1" ref="M13">CreateTaskID($M$3,$M:$M,Tasks!$B$17,$G13)</f>
        <v>0</v>
      </c>
      <c r="N13" s="15" t="str">
        <f t="shared" ca="1" si="2"/>
        <v/>
      </c>
      <c r="O13" s="15" cm="1">
        <f t="array" ca="1" aca="1" ref="O13">CreateID($O$3,$O:$O,$N13&lt;&gt;"")</f>
        <v>0</v>
      </c>
      <c r="P13" s="99" t="str">
        <f t="shared" si="3"/>
        <v/>
      </c>
      <c r="Q13" s="99" cm="1">
        <f t="array" ca="1" aca="1" ref="Q13">CreateID($Q$3,$Q:$Q,$P13&lt;&gt;"")</f>
        <v>0</v>
      </c>
      <c r="R13" s="99" t="str">
        <f t="shared" si="4"/>
        <v/>
      </c>
      <c r="S13" s="99" cm="1">
        <f t="array" ca="1" aca="1" ref="S13">CreateID($S$3,$S:$S,$R13&lt;&gt;"")</f>
        <v>0</v>
      </c>
      <c r="T13" s="99" t="str">
        <f t="shared" ca="1" si="5"/>
        <v/>
      </c>
      <c r="U13" s="99" cm="1">
        <f t="array" ca="1" aca="1" ref="U13">CreateID($U$3,$U:$U,$T13&lt;&gt;"")</f>
        <v>0</v>
      </c>
      <c r="V13" s="99" cm="1">
        <f t="array" ca="1" aca="1" ref="V13">CreateID($V$3,$V:$V,IFERROR(FIND(Definitions!$AR$4,$G13)&gt;0,FALSE))</f>
        <v>0</v>
      </c>
      <c r="W13" s="99">
        <f>_xlfn.LET(_xlpm._comment,$G13,_xlpm._keyWord,Definitions!$AR$4,_xlpm._diffLen,LEN(_xlpm._comment)-LEN(SUBSTITUTE(_xlpm._comment,_xlpm._keyWord,"")),_xlpm._diffLen/LEN(_xlpm._keyWord))</f>
        <v>0</v>
      </c>
      <c r="X13" s="99" cm="1">
        <f t="array" ca="1" aca="1" ref="X13">CreateID($X$3,$X:$X,IFERROR(FIND(Definitions!$AR$5,$G13)&gt;0,FALSE))</f>
        <v>0</v>
      </c>
      <c r="Y13" s="99">
        <f>_xlfn.LET(_xlpm._comment,$G13,_xlpm._keyWord,Definitions!$AR$5,_xlpm._diffLen,LEN(_xlpm._comment)-LEN(SUBSTITUTE(_xlpm._comment,_xlpm._keyWord,"")),_xlpm._diffLen/LEN(_xlpm._keyWord))</f>
        <v>0</v>
      </c>
      <c r="Z13" s="99" t="b">
        <f ca="1">OR(IFERROR(_xlfn.XMATCH("*,"&amp;$A13&amp;",*",Assumptions!$AL:$AL,2)&gt;0,FALSE),IFERROR(_xlfn.XMATCH("*,"&amp;$A13&amp;",*",Countermeasures!$AO:$AO,2)&gt;0,FALSE))</f>
        <v>0</v>
      </c>
      <c r="AA13" s="99" t="str" cm="1">
        <f t="array" ca="1" aca="1" ref="AA13">CreateSearchString($I13)</f>
        <v/>
      </c>
      <c r="AB13" s="99" t="str">
        <f>IF($E13="","",IFERROR(VLOOKUP($E13,Definitions!$H:$J,COLUMNS(Definitions!$H:$J),FALSE),""))</f>
        <v/>
      </c>
      <c r="AC13" s="99" t="b" cm="1">
        <f t="array" ca="1" aca="1" ref="AC13">IF($A13="",FALSE,SimpleLookup($A13,Questions!$A:$D)="x")</f>
        <v>0</v>
      </c>
      <c r="AD13" s="99" t="str" cm="1">
        <f t="array" ca="1" aca="1" ref="AD13">IF(OR($A13="",NOT($AC13)),"",SimpleLookup($A13,Questions!$A:$E))</f>
        <v/>
      </c>
      <c r="AE13" s="99" t="str" cm="1">
        <f t="array" ca="1" aca="1" ref="AE13">IF(OR($A13="",NOT($AC13)),"",SimpleLookup($A13,Questions!$A:$F))</f>
        <v/>
      </c>
      <c r="AF13" s="99" t="str" cm="1">
        <f t="array" ca="1" aca="1" ref="AF13">_xlfn.LET(_xlpm._answer,$C13,_xlpm._infoTextFull,IF($AC13,CHAR(10)&amp;SimpleLookup($A13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3" s="99" t="b" cm="1">
        <f t="array" ca="1" aca="1" ref="AG13">IF(OR($A13="",NOT($AC13)),FALSE,_xlfn.LET(_xlpm._secondAnswerRequiredOn,SimpleLookup($A13,Questions!$A:$I),_xlpm._firstAnwer,$C13,IFERROR(FIND(CHAR(10)&amp;_xlpm._firstAnwer&amp;":",CHAR(10)&amp;_xlpm._secondAnswerRequiredOn)&gt;0,FALSE)))</f>
        <v>0</v>
      </c>
      <c r="AH13" s="99" t="str" cm="1">
        <f t="array" ca="1" aca="1" ref="AH13">IF(OR($A13="",NOT($AC13)),"",_xlfn.LET(_xlpm._id,$A13,_xlpm._firstAnswer,$C13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3" s="99" t="str" cm="1">
        <f t="array" ca="1" aca="1" ref="AI13">IF(OR($A13="",NOT($AC13)),"",_xlfn.LET(_xlpm._id,$A13,_xlpm._firstAnswer,$C13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3" s="99" t="str" cm="1">
        <f t="array" ca="1" aca="1" ref="AJ13">IF($AG13,_xlfn.LET(_xlpm._answer,$E13,_xlpm._infoTextFull,IF($AC13,CHAR(10)&amp;SimpleLookup($A13,Questions!$A:$L)&amp;CHAR(10),""),_xlpm._startSelectedByAnswerOne,IF(_xlpm._infoTextFull="",0,FIND("___"&amp;$C13&amp;"___",_xlpm._infoTextFull)+LEN("___"&amp;$C13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3" s="99" t="b" cm="1">
        <f t="array" ca="1" aca="1" ref="AK13">IF(OR($A13="",NOT($AC13)),FALSE,SimpleLookup($A13,Questions!$A:$Q))</f>
        <v>0</v>
      </c>
      <c r="AL13" s="99" t="str" cm="1">
        <f t="array" ca="1" aca="1" ref="AL13">IF(AND($A13=Questions!$A$41,IFERROR(SimpleLookup(Questions!$A$36,$A:$E)=Definitions!$O$5,FALSE),$C13=Definitions!$A$5),Questions!$A$36&amp;" "&amp;Questions!$B$36&amp;CHAR(10)&amp;CHAR(187)&amp;" "&amp;SimpleLookup(Questions!$A$36,$A:$C)&amp;CHAR(10)&amp;SimpleLookup(Questions!$A$36,$A:$D)&amp;CHAR(10)&amp;CHAR(187)&amp;" "&amp;Definitions!$O$5&amp;CHAR(10)&amp;CHAR(10)&amp;"is incosistent with"&amp;CHAR(10)&amp;CHAR(10)&amp;$A13&amp;" "&amp;SimpleLookup($A13,Questions!$A:$B)&amp;CHAR(10)&amp;CHAR(187)&amp;" "&amp;$C13,"")</f>
        <v/>
      </c>
      <c r="AM13" s="99" cm="1">
        <f t="array" ca="1" aca="1" ref="AM13">CreateID($AM$3,$AM:$AM,$AL13&lt;&gt;"")</f>
        <v>0</v>
      </c>
      <c r="AN13" s="99" t="str" cm="1">
        <f t="array" ca="1" aca="1" ref="AN13">IF(OR($C13="",OFFSET($C13,1,0)=""),"",IF(AND($A13=Questions!$A$59,OFFSET($A13,1,0)=Questions!$A$60,SimpleLookup(Questions!$A$49,$A:$C)=Definitions!$A$4),IF(MATCH($C13,Definitions!$AW:$AW,0)&gt;MATCH(OFFSET($C13,1,0),Definitions!AW:AW,0),$A13&amp;" "&amp;$K13&amp;": "&amp;$C13&amp;CHAR(10)&amp;"&lt;---&gt;"&amp;CHAR(10)&amp;OFFSET($A13,1,0)&amp;" "&amp;OFFSET($K13,1,0)&amp;": "&amp;OFFSET($C13,1,0),""),""))</f>
        <v/>
      </c>
      <c r="AO13" s="99" cm="1">
        <f t="array" ca="1" aca="1" ref="AO13">CreateID($AO$3,$AO:$AO,$AN13&lt;&gt;"")</f>
        <v>0</v>
      </c>
    </row>
    <row r="14" spans="1:41" ht="15">
      <c r="A14" s="96" t="s">
        <v>1182</v>
      </c>
      <c r="B14" s="4" t="str" cm="1">
        <f t="array" ca="1" aca="1" ref="B14">IF($A14="","",CreateIndentedString($K14,Definitions!$T$4,SimpleLookup($A14,Questions!$A:$C)))</f>
        <v xml:space="preserve">   Safety</v>
      </c>
      <c r="I14" s="15" t="str">
        <f t="shared" ca="1" si="0"/>
        <v/>
      </c>
      <c r="J14" s="15" t="str">
        <f t="shared" ca="1" si="1"/>
        <v/>
      </c>
      <c r="K14" s="15" t="str" cm="1">
        <f t="array" ca="1" aca="1" ref="K14">SimpleLookup($A14,Questions!$A:$B)</f>
        <v>Safety</v>
      </c>
      <c r="L14" s="15" cm="1">
        <f t="array" ca="1" aca="1" ref="L14">CreateID($L$3,$L:$L,AND($A14&lt;&gt;"",$AC14))</f>
        <v>5</v>
      </c>
      <c r="M14" s="99" cm="1">
        <f t="array" ca="1" aca="1" ref="M14">CreateTaskID($M$3,$M:$M,Tasks!$B$17,$G14)</f>
        <v>0</v>
      </c>
      <c r="N14" s="15" t="str">
        <f t="shared" ca="1" si="2"/>
        <v/>
      </c>
      <c r="O14" s="15" cm="1">
        <f t="array" ca="1" aca="1" ref="O14">CreateID($O$3,$O:$O,$N14&lt;&gt;"")</f>
        <v>0</v>
      </c>
      <c r="P14" s="99" t="str">
        <f t="shared" si="3"/>
        <v/>
      </c>
      <c r="Q14" s="99" cm="1">
        <f t="array" ca="1" aca="1" ref="Q14">CreateID($Q$3,$Q:$Q,$P14&lt;&gt;"")</f>
        <v>0</v>
      </c>
      <c r="R14" s="99" t="str">
        <f t="shared" si="4"/>
        <v/>
      </c>
      <c r="S14" s="99" cm="1">
        <f t="array" ca="1" aca="1" ref="S14">CreateID($S$3,$S:$S,$R14&lt;&gt;"")</f>
        <v>0</v>
      </c>
      <c r="T14" s="99" t="str">
        <f t="shared" ca="1" si="5"/>
        <v/>
      </c>
      <c r="U14" s="99" cm="1">
        <f t="array" ca="1" aca="1" ref="U14">CreateID($U$3,$U:$U,$T14&lt;&gt;"")</f>
        <v>0</v>
      </c>
      <c r="V14" s="99" cm="1">
        <f t="array" ca="1" aca="1" ref="V14">CreateID($V$3,$V:$V,IFERROR(FIND(Definitions!$AR$4,$G14)&gt;0,FALSE))</f>
        <v>0</v>
      </c>
      <c r="W14" s="99">
        <f>_xlfn.LET(_xlpm._comment,$G14,_xlpm._keyWord,Definitions!$AR$4,_xlpm._diffLen,LEN(_xlpm._comment)-LEN(SUBSTITUTE(_xlpm._comment,_xlpm._keyWord,"")),_xlpm._diffLen/LEN(_xlpm._keyWord))</f>
        <v>0</v>
      </c>
      <c r="X14" s="99" cm="1">
        <f t="array" ca="1" aca="1" ref="X14">CreateID($X$3,$X:$X,IFERROR(FIND(Definitions!$AR$5,$G14)&gt;0,FALSE))</f>
        <v>0</v>
      </c>
      <c r="Y14" s="99">
        <f>_xlfn.LET(_xlpm._comment,$G14,_xlpm._keyWord,Definitions!$AR$5,_xlpm._diffLen,LEN(_xlpm._comment)-LEN(SUBSTITUTE(_xlpm._comment,_xlpm._keyWord,"")),_xlpm._diffLen/LEN(_xlpm._keyWord))</f>
        <v>0</v>
      </c>
      <c r="Z14" s="99" t="b">
        <f ca="1">OR(IFERROR(_xlfn.XMATCH("*,"&amp;$A14&amp;",*",Assumptions!$AL:$AL,2)&gt;0,FALSE),IFERROR(_xlfn.XMATCH("*,"&amp;$A14&amp;",*",Countermeasures!$AO:$AO,2)&gt;0,FALSE))</f>
        <v>0</v>
      </c>
      <c r="AA14" s="99" t="str" cm="1">
        <f t="array" ca="1" aca="1" ref="AA14">CreateSearchString($I14)</f>
        <v/>
      </c>
      <c r="AB14" s="99" t="str">
        <f>IF($E14="","",IFERROR(VLOOKUP($E14,Definitions!$H:$J,COLUMNS(Definitions!$H:$J),FALSE),""))</f>
        <v/>
      </c>
      <c r="AC14" s="99" t="b" cm="1">
        <f t="array" ca="1" aca="1" ref="AC14">IF($A14="",FALSE,SimpleLookup($A14,Questions!$A:$D)="x")</f>
        <v>0</v>
      </c>
      <c r="AD14" s="99" t="str" cm="1">
        <f t="array" ca="1" aca="1" ref="AD14">IF(OR($A14="",NOT($AC14)),"",SimpleLookup($A14,Questions!$A:$E))</f>
        <v/>
      </c>
      <c r="AE14" s="99" t="str" cm="1">
        <f t="array" ca="1" aca="1" ref="AE14">IF(OR($A14="",NOT($AC14)),"",SimpleLookup($A14,Questions!$A:$F))</f>
        <v/>
      </c>
      <c r="AF14" s="99" t="str" cm="1">
        <f t="array" ca="1" aca="1" ref="AF14">_xlfn.LET(_xlpm._answer,$C14,_xlpm._infoTextFull,IF($AC14,CHAR(10)&amp;SimpleLookup($A14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4" s="99" t="b" cm="1">
        <f t="array" ca="1" aca="1" ref="AG14">IF(OR($A14="",NOT($AC14)),FALSE,_xlfn.LET(_xlpm._secondAnswerRequiredOn,SimpleLookup($A14,Questions!$A:$I),_xlpm._firstAnwer,$C14,IFERROR(FIND(CHAR(10)&amp;_xlpm._firstAnwer&amp;":",CHAR(10)&amp;_xlpm._secondAnswerRequiredOn)&gt;0,FALSE)))</f>
        <v>0</v>
      </c>
      <c r="AH14" s="99" t="str" cm="1">
        <f t="array" ca="1" aca="1" ref="AH14">IF(OR($A14="",NOT($AC14)),"",_xlfn.LET(_xlpm._id,$A14,_xlpm._firstAnswer,$C14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4" s="99" t="str" cm="1">
        <f t="array" ca="1" aca="1" ref="AI14">IF(OR($A14="",NOT($AC14)),"",_xlfn.LET(_xlpm._id,$A14,_xlpm._firstAnswer,$C14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4" s="99" t="str" cm="1">
        <f t="array" ca="1" aca="1" ref="AJ14">IF($AG14,_xlfn.LET(_xlpm._answer,$E14,_xlpm._infoTextFull,IF($AC14,CHAR(10)&amp;SimpleLookup($A14,Questions!$A:$L)&amp;CHAR(10),""),_xlpm._startSelectedByAnswerOne,IF(_xlpm._infoTextFull="",0,FIND("___"&amp;$C14&amp;"___",_xlpm._infoTextFull)+LEN("___"&amp;$C14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4" s="99" t="b" cm="1">
        <f t="array" ca="1" aca="1" ref="AK14">IF(OR($A14="",NOT($AC14)),FALSE,SimpleLookup($A14,Questions!$A:$Q))</f>
        <v>0</v>
      </c>
      <c r="AL14" s="99" t="str" cm="1">
        <f t="array" ca="1" aca="1" ref="AL14">IF(AND($A14=Questions!$A$41,IFERROR(SimpleLookup(Questions!$A$36,$A:$E)=Definitions!$O$5,FALSE),$C14=Definitions!$A$5),Questions!$A$36&amp;" "&amp;Questions!$B$36&amp;CHAR(10)&amp;CHAR(187)&amp;" "&amp;SimpleLookup(Questions!$A$36,$A:$C)&amp;CHAR(10)&amp;SimpleLookup(Questions!$A$36,$A:$D)&amp;CHAR(10)&amp;CHAR(187)&amp;" "&amp;Definitions!$O$5&amp;CHAR(10)&amp;CHAR(10)&amp;"is incosistent with"&amp;CHAR(10)&amp;CHAR(10)&amp;$A14&amp;" "&amp;SimpleLookup($A14,Questions!$A:$B)&amp;CHAR(10)&amp;CHAR(187)&amp;" "&amp;$C14,"")</f>
        <v/>
      </c>
      <c r="AM14" s="99" cm="1">
        <f t="array" ca="1" aca="1" ref="AM14">CreateID($AM$3,$AM:$AM,$AL14&lt;&gt;"")</f>
        <v>0</v>
      </c>
      <c r="AN14" s="99" t="str" cm="1">
        <f t="array" ca="1" aca="1" ref="AN14">IF(OR($C14="",OFFSET($C14,1,0)=""),"",IF(AND($A14=Questions!$A$59,OFFSET($A14,1,0)=Questions!$A$60,SimpleLookup(Questions!$A$49,$A:$C)=Definitions!$A$4),IF(MATCH($C14,Definitions!$AW:$AW,0)&gt;MATCH(OFFSET($C14,1,0),Definitions!AW:AW,0),$A14&amp;" "&amp;$K14&amp;": "&amp;$C14&amp;CHAR(10)&amp;"&lt;---&gt;"&amp;CHAR(10)&amp;OFFSET($A14,1,0)&amp;" "&amp;OFFSET($K14,1,0)&amp;": "&amp;OFFSET($C14,1,0),""),""))</f>
        <v/>
      </c>
      <c r="AO14" s="99" cm="1">
        <f t="array" ca="1" aca="1" ref="AO14">CreateID($AO$3,$AO:$AO,$AN14&lt;&gt;"")</f>
        <v>0</v>
      </c>
    </row>
    <row r="15" spans="1:41" ht="90">
      <c r="A15" s="96" t="s">
        <v>1090</v>
      </c>
      <c r="B15" s="4" t="str" cm="1">
        <f t="array" ca="1" aca="1" ref="B15">IF($A15="","",CreateIndentedString($K15,Definitions!$T$4,SimpleLookup($A15,Questions!$A:$C)))</f>
        <v xml:space="preserve">      Can  a  loss  of  availability  of  the  product  (or
      its  communication)  endanger  the  health  of
      people?
      (Consider  how  the  operational  environment
      reacts  to  a  loss  of  availability  of  the
      product.)</v>
      </c>
      <c r="C15" s="4" t="s">
        <v>10</v>
      </c>
      <c r="D15" s="8" t="str">
        <f ca="1">$AF15</f>
        <v>What is the worst case severity of the injury for the intended use of the product?</v>
      </c>
      <c r="E15" s="4" t="s">
        <v>32</v>
      </c>
      <c r="F15" s="8" t="str">
        <f ca="1">$AJ15</f>
        <v>Life-threatening injury. Please provide a rationale:</v>
      </c>
      <c r="G15" s="4" t="s">
        <v>1790</v>
      </c>
      <c r="I15" s="15" t="str">
        <f t="shared" ca="1" si="0"/>
        <v>QI6[Yes|Life-threateninginjury]</v>
      </c>
      <c r="J15" s="15" t="str">
        <f t="shared" ca="1" si="1"/>
        <v>QI6[Yes|*]</v>
      </c>
      <c r="K15" s="15" t="str" cm="1">
        <f t="array" ca="1" aca="1" ref="K15">SimpleLookup($A15,Questions!$A:$B)</f>
        <v>Can a loss of availability of the product (or its communication) endanger the health of people?
(Consider how the operational environment reacts to a loss of availability of the product.)</v>
      </c>
      <c r="L15" s="15" cm="1">
        <f t="array" ca="1" aca="1" ref="L15">CreateID($L$3,$L:$L,AND($A15&lt;&gt;"",$AC15))</f>
        <v>6</v>
      </c>
      <c r="M15" s="99" cm="1">
        <f t="array" ca="1" aca="1" ref="M15">CreateTaskID($M$3,$M:$M,Tasks!$B$17,$G15)</f>
        <v>0</v>
      </c>
      <c r="N15" s="15" t="str">
        <f t="shared" ca="1" si="2"/>
        <v/>
      </c>
      <c r="O15" s="15" cm="1">
        <f t="array" ca="1" aca="1" ref="O15">CreateID($O$3,$O:$O,$N15&lt;&gt;"")</f>
        <v>0</v>
      </c>
      <c r="P15" s="99" t="str">
        <f t="shared" ca="1" si="3"/>
        <v/>
      </c>
      <c r="Q15" s="99" cm="1">
        <f t="array" ca="1" aca="1" ref="Q15">CreateID($Q$3,$Q:$Q,$P15&lt;&gt;"")</f>
        <v>0</v>
      </c>
      <c r="R15" s="99" t="str">
        <f t="shared" ca="1" si="4"/>
        <v/>
      </c>
      <c r="S15" s="99" cm="1">
        <f t="array" ca="1" aca="1" ref="S15">CreateID($S$3,$S:$S,$R15&lt;&gt;"")</f>
        <v>0</v>
      </c>
      <c r="T15" s="99" t="str">
        <f t="shared" ca="1" si="5"/>
        <v/>
      </c>
      <c r="U15" s="99" cm="1">
        <f t="array" ca="1" aca="1" ref="U15">CreateID($U$3,$U:$U,$T15&lt;&gt;"")</f>
        <v>0</v>
      </c>
      <c r="V15" s="99" cm="1">
        <f t="array" ca="1" aca="1" ref="V15">CreateID($V$3,$V:$V,IFERROR(FIND(Definitions!$AR$4,$G15)&gt;0,FALSE))</f>
        <v>0</v>
      </c>
      <c r="W15" s="99">
        <f>_xlfn.LET(_xlpm._comment,$G15,_xlpm._keyWord,Definitions!$AR$4,_xlpm._diffLen,LEN(_xlpm._comment)-LEN(SUBSTITUTE(_xlpm._comment,_xlpm._keyWord,"")),_xlpm._diffLen/LEN(_xlpm._keyWord))</f>
        <v>0</v>
      </c>
      <c r="X15" s="99" cm="1">
        <f t="array" ca="1" aca="1" ref="X15">CreateID($X$3,$X:$X,IFERROR(FIND(Definitions!$AR$5,$G15)&gt;0,FALSE))</f>
        <v>0</v>
      </c>
      <c r="Y15" s="99">
        <f>_xlfn.LET(_xlpm._comment,$G15,_xlpm._keyWord,Definitions!$AR$5,_xlpm._diffLen,LEN(_xlpm._comment)-LEN(SUBSTITUTE(_xlpm._comment,_xlpm._keyWord,"")),_xlpm._diffLen/LEN(_xlpm._keyWord))</f>
        <v>0</v>
      </c>
      <c r="Z15" s="99" t="b">
        <f ca="1">OR(IFERROR(_xlfn.XMATCH("*,"&amp;$A15&amp;",*",Assumptions!$AL:$AL,2)&gt;0,FALSE),IFERROR(_xlfn.XMATCH("*,"&amp;$A15&amp;",*",Countermeasures!$AO:$AO,2)&gt;0,FALSE))</f>
        <v>1</v>
      </c>
      <c r="AA15" s="99" t="str" cm="1">
        <f t="array" ca="1" aca="1" ref="AA15">CreateSearchString($I15)</f>
        <v>,QI6[Yes|Life-threateninginjury],</v>
      </c>
      <c r="AB15" s="99" t="str">
        <f>IF($E15="","",IFERROR(VLOOKUP($E15,Definitions!$H:$J,COLUMNS(Definitions!$H:$J),FALSE),""))</f>
        <v>Critical</v>
      </c>
      <c r="AC15" s="99" t="b" cm="1">
        <f t="array" ca="1" aca="1" ref="AC15">IF($A15="",FALSE,SimpleLookup($A15,Questions!$A:$D)="x")</f>
        <v>1</v>
      </c>
      <c r="AD15" s="99" t="str" cm="1">
        <f t="array" ca="1" aca="1" ref="AD15">IF(OR($A15="",NOT($AC15)),"",SimpleLookup($A15,Questions!$A:$E))</f>
        <v>'[QuBA-libre.xlsx]Definitions'!$A$4</v>
      </c>
      <c r="AE15" s="99" cm="1">
        <f t="array" ca="1" aca="1" ref="AE15">IF(OR($A15="",NOT($AC15)),"",SimpleLookup($A15,Questions!$A:$F))</f>
        <v>2</v>
      </c>
      <c r="AF15" s="99" t="str" cm="1">
        <f t="array" ca="1" aca="1" ref="AF15">_xlfn.LET(_xlpm._answer,$C15,_xlpm._infoTextFull,IF($AC15,CHAR(10)&amp;SimpleLookup($A15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worst case severity of the injury for the intended use of the product?</v>
      </c>
      <c r="AG15" s="99" t="b" cm="1">
        <f t="array" ca="1" aca="1" ref="AG15">IF(OR($A15="",NOT($AC15)),FALSE,_xlfn.LET(_xlpm._secondAnswerRequiredOn,SimpleLookup($A15,Questions!$A:$I),_xlpm._firstAnwer,$C15,IFERROR(FIND(CHAR(10)&amp;_xlpm._firstAnwer&amp;":",CHAR(10)&amp;_xlpm._secondAnswerRequiredOn)&gt;0,FALSE)))</f>
        <v>1</v>
      </c>
      <c r="AH15" s="99" t="str" cm="1">
        <f t="array" ca="1" aca="1" ref="AH15">IF(OR($A15="",NOT($AC15)),"",_xlfn.LET(_xlpm._id,$A15,_xlpm._firstAnswer,$C15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'[QuBA-libre.xlsx]Definitions'!$H$14</v>
      </c>
      <c r="AI15" s="99" cm="1">
        <f t="array" ca="1" aca="1" ref="AI15">IF(OR($A15="",NOT($AC15)),"",_xlfn.LET(_xlpm._id,$A15,_xlpm._firstAnswer,$C15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4</v>
      </c>
      <c r="AJ15" s="99" t="str" cm="1">
        <f t="array" ca="1" aca="1" ref="AJ15">IF($AG15,_xlfn.LET(_xlpm._answer,$E15,_xlpm._infoTextFull,IF($AC15,CHAR(10)&amp;SimpleLookup($A15,Questions!$A:$L)&amp;CHAR(10),""),_xlpm._startSelectedByAnswerOne,IF(_xlpm._infoTextFull="",0,FIND("___"&amp;$C15&amp;"___",_xlpm._infoTextFull)+LEN("___"&amp;$C15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Life-threatening injury. Please provide a rationale:</v>
      </c>
      <c r="AK15" s="99" t="b" cm="1">
        <f t="array" ca="1" aca="1" ref="AK15">IF(OR($A15="",NOT($AC15)),FALSE,SimpleLookup($A15,Questions!$A:$Q))</f>
        <v>0</v>
      </c>
      <c r="AL15" s="99" t="str" cm="1">
        <f t="array" ca="1" aca="1" ref="AL15">IF(AND($A15=Questions!$A$41,IFERROR(SimpleLookup(Questions!$A$36,$A:$E)=Definitions!$O$5,FALSE),$C15=Definitions!$A$5),Questions!$A$36&amp;" "&amp;Questions!$B$36&amp;CHAR(10)&amp;CHAR(187)&amp;" "&amp;SimpleLookup(Questions!$A$36,$A:$C)&amp;CHAR(10)&amp;SimpleLookup(Questions!$A$36,$A:$D)&amp;CHAR(10)&amp;CHAR(187)&amp;" "&amp;Definitions!$O$5&amp;CHAR(10)&amp;CHAR(10)&amp;"is incosistent with"&amp;CHAR(10)&amp;CHAR(10)&amp;$A15&amp;" "&amp;SimpleLookup($A15,Questions!$A:$B)&amp;CHAR(10)&amp;CHAR(187)&amp;" "&amp;$C15,"")</f>
        <v/>
      </c>
      <c r="AM15" s="99" cm="1">
        <f t="array" ca="1" aca="1" ref="AM15">CreateID($AM$3,$AM:$AM,$AL15&lt;&gt;"")</f>
        <v>0</v>
      </c>
      <c r="AN15" s="99" t="str" cm="1">
        <f t="array" ca="1" aca="1" ref="AN15">IF(OR($C15="",OFFSET($C15,1,0)=""),"",IF(AND($A15=Questions!$A$59,OFFSET($A15,1,0)=Questions!$A$60,SimpleLookup(Questions!$A$49,$A:$C)=Definitions!$A$4),IF(MATCH($C15,Definitions!$AW:$AW,0)&gt;MATCH(OFFSET($C15,1,0),Definitions!AW:AW,0),$A15&amp;" "&amp;$K15&amp;": "&amp;$C15&amp;CHAR(10)&amp;"&lt;---&gt;"&amp;CHAR(10)&amp;OFFSET($A15,1,0)&amp;" "&amp;OFFSET($K15,1,0)&amp;": "&amp;OFFSET($C15,1,0),""),""))</f>
        <v/>
      </c>
      <c r="AO15" s="99" cm="1">
        <f t="array" ca="1" aca="1" ref="AO15">CreateID($AO$3,$AO:$AO,$AN15&lt;&gt;"")</f>
        <v>0</v>
      </c>
    </row>
    <row r="16" spans="1:41" ht="15">
      <c r="A16" s="96" t="s">
        <v>1183</v>
      </c>
      <c r="B16" s="4" t="str" cm="1">
        <f t="array" ca="1" aca="1" ref="B16">IF($A16="","",CreateIndentedString($K16,Definitions!$T$4,SimpleLookup($A16,Questions!$A:$C)))</f>
        <v xml:space="preserve">   Function  and  availability</v>
      </c>
      <c r="I16" s="15" t="str">
        <f t="shared" ca="1" si="0"/>
        <v/>
      </c>
      <c r="J16" s="15" t="str">
        <f t="shared" ca="1" si="1"/>
        <v/>
      </c>
      <c r="K16" s="15" t="str" cm="1">
        <f t="array" ca="1" aca="1" ref="K16">SimpleLookup($A16,Questions!$A:$B)</f>
        <v>Function and availability</v>
      </c>
      <c r="L16" s="15" cm="1">
        <f t="array" ca="1" aca="1" ref="L16">CreateID($L$3,$L:$L,AND($A16&lt;&gt;"",$AC16))</f>
        <v>6</v>
      </c>
      <c r="M16" s="99" cm="1">
        <f t="array" ca="1" aca="1" ref="M16">CreateTaskID($M$3,$M:$M,Tasks!$B$17,$G16)</f>
        <v>0</v>
      </c>
      <c r="N16" s="15" t="str">
        <f t="shared" ca="1" si="2"/>
        <v/>
      </c>
      <c r="O16" s="15" cm="1">
        <f t="array" ca="1" aca="1" ref="O16">CreateID($O$3,$O:$O,$N16&lt;&gt;"")</f>
        <v>0</v>
      </c>
      <c r="P16" s="99" t="str">
        <f t="shared" si="3"/>
        <v/>
      </c>
      <c r="Q16" s="99" cm="1">
        <f t="array" ca="1" aca="1" ref="Q16">CreateID($Q$3,$Q:$Q,$P16&lt;&gt;"")</f>
        <v>0</v>
      </c>
      <c r="R16" s="99" t="str">
        <f t="shared" si="4"/>
        <v/>
      </c>
      <c r="S16" s="99" cm="1">
        <f t="array" ca="1" aca="1" ref="S16">CreateID($S$3,$S:$S,$R16&lt;&gt;"")</f>
        <v>0</v>
      </c>
      <c r="T16" s="99" t="str">
        <f t="shared" ca="1" si="5"/>
        <v/>
      </c>
      <c r="U16" s="99" cm="1">
        <f t="array" ca="1" aca="1" ref="U16">CreateID($U$3,$U:$U,$T16&lt;&gt;"")</f>
        <v>0</v>
      </c>
      <c r="V16" s="99" cm="1">
        <f t="array" ca="1" aca="1" ref="V16">CreateID($V$3,$V:$V,IFERROR(FIND(Definitions!$AR$4,$G16)&gt;0,FALSE))</f>
        <v>0</v>
      </c>
      <c r="W16" s="99">
        <f>_xlfn.LET(_xlpm._comment,$G16,_xlpm._keyWord,Definitions!$AR$4,_xlpm._diffLen,LEN(_xlpm._comment)-LEN(SUBSTITUTE(_xlpm._comment,_xlpm._keyWord,"")),_xlpm._diffLen/LEN(_xlpm._keyWord))</f>
        <v>0</v>
      </c>
      <c r="X16" s="99" cm="1">
        <f t="array" ca="1" aca="1" ref="X16">CreateID($X$3,$X:$X,IFERROR(FIND(Definitions!$AR$5,$G16)&gt;0,FALSE))</f>
        <v>0</v>
      </c>
      <c r="Y16" s="99">
        <f>_xlfn.LET(_xlpm._comment,$G16,_xlpm._keyWord,Definitions!$AR$5,_xlpm._diffLen,LEN(_xlpm._comment)-LEN(SUBSTITUTE(_xlpm._comment,_xlpm._keyWord,"")),_xlpm._diffLen/LEN(_xlpm._keyWord))</f>
        <v>0</v>
      </c>
      <c r="Z16" s="99" t="b">
        <f ca="1">OR(IFERROR(_xlfn.XMATCH("*,"&amp;$A16&amp;",*",Assumptions!$AL:$AL,2)&gt;0,FALSE),IFERROR(_xlfn.XMATCH("*,"&amp;$A16&amp;",*",Countermeasures!$AO:$AO,2)&gt;0,FALSE))</f>
        <v>0</v>
      </c>
      <c r="AA16" s="99" t="str" cm="1">
        <f t="array" ca="1" aca="1" ref="AA16">CreateSearchString($I16)</f>
        <v/>
      </c>
      <c r="AB16" s="99" t="str">
        <f>IF($E16="","",IFERROR(VLOOKUP($E16,Definitions!$H:$J,COLUMNS(Definitions!$H:$J),FALSE),""))</f>
        <v/>
      </c>
      <c r="AC16" s="99" t="b" cm="1">
        <f t="array" ca="1" aca="1" ref="AC16">IF($A16="",FALSE,SimpleLookup($A16,Questions!$A:$D)="x")</f>
        <v>0</v>
      </c>
      <c r="AD16" s="99" t="str" cm="1">
        <f t="array" ca="1" aca="1" ref="AD16">IF(OR($A16="",NOT($AC16)),"",SimpleLookup($A16,Questions!$A:$E))</f>
        <v/>
      </c>
      <c r="AE16" s="99" t="str" cm="1">
        <f t="array" ca="1" aca="1" ref="AE16">IF(OR($A16="",NOT($AC16)),"",SimpleLookup($A16,Questions!$A:$F))</f>
        <v/>
      </c>
      <c r="AF16" s="99" t="str" cm="1">
        <f t="array" ca="1" aca="1" ref="AF16">_xlfn.LET(_xlpm._answer,$C16,_xlpm._infoTextFull,IF($AC16,CHAR(10)&amp;SimpleLookup($A16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6" s="99" t="b" cm="1">
        <f t="array" ca="1" aca="1" ref="AG16">IF(OR($A16="",NOT($AC16)),FALSE,_xlfn.LET(_xlpm._secondAnswerRequiredOn,SimpleLookup($A16,Questions!$A:$I),_xlpm._firstAnwer,$C16,IFERROR(FIND(CHAR(10)&amp;_xlpm._firstAnwer&amp;":",CHAR(10)&amp;_xlpm._secondAnswerRequiredOn)&gt;0,FALSE)))</f>
        <v>0</v>
      </c>
      <c r="AH16" s="99" t="str" cm="1">
        <f t="array" ca="1" aca="1" ref="AH16">IF(OR($A16="",NOT($AC16)),"",_xlfn.LET(_xlpm._id,$A16,_xlpm._firstAnswer,$C16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6" s="99" t="str" cm="1">
        <f t="array" ca="1" aca="1" ref="AI16">IF(OR($A16="",NOT($AC16)),"",_xlfn.LET(_xlpm._id,$A16,_xlpm._firstAnswer,$C16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6" s="99" t="str" cm="1">
        <f t="array" ca="1" aca="1" ref="AJ16">IF($AG16,_xlfn.LET(_xlpm._answer,$E16,_xlpm._infoTextFull,IF($AC16,CHAR(10)&amp;SimpleLookup($A16,Questions!$A:$L)&amp;CHAR(10),""),_xlpm._startSelectedByAnswerOne,IF(_xlpm._infoTextFull="",0,FIND("___"&amp;$C16&amp;"___",_xlpm._infoTextFull)+LEN("___"&amp;$C16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6" s="99" t="b" cm="1">
        <f t="array" ca="1" aca="1" ref="AK16">IF(OR($A16="",NOT($AC16)),FALSE,SimpleLookup($A16,Questions!$A:$Q))</f>
        <v>0</v>
      </c>
      <c r="AL16" s="99" t="str" cm="1">
        <f t="array" ca="1" aca="1" ref="AL16">IF(AND($A16=Questions!$A$41,IFERROR(SimpleLookup(Questions!$A$36,$A:$E)=Definitions!$O$5,FALSE),$C16=Definitions!$A$5),Questions!$A$36&amp;" "&amp;Questions!$B$36&amp;CHAR(10)&amp;CHAR(187)&amp;" "&amp;SimpleLookup(Questions!$A$36,$A:$C)&amp;CHAR(10)&amp;SimpleLookup(Questions!$A$36,$A:$D)&amp;CHAR(10)&amp;CHAR(187)&amp;" "&amp;Definitions!$O$5&amp;CHAR(10)&amp;CHAR(10)&amp;"is incosistent with"&amp;CHAR(10)&amp;CHAR(10)&amp;$A16&amp;" "&amp;SimpleLookup($A16,Questions!$A:$B)&amp;CHAR(10)&amp;CHAR(187)&amp;" "&amp;$C16,"")</f>
        <v/>
      </c>
      <c r="AM16" s="99" cm="1">
        <f t="array" ca="1" aca="1" ref="AM16">CreateID($AM$3,$AM:$AM,$AL16&lt;&gt;"")</f>
        <v>0</v>
      </c>
      <c r="AN16" s="99" t="str" cm="1">
        <f t="array" ca="1" aca="1" ref="AN16">IF(OR($C16="",OFFSET($C16,1,0)=""),"",IF(AND($A16=Questions!$A$59,OFFSET($A16,1,0)=Questions!$A$60,SimpleLookup(Questions!$A$49,$A:$C)=Definitions!$A$4),IF(MATCH($C16,Definitions!$AW:$AW,0)&gt;MATCH(OFFSET($C16,1,0),Definitions!AW:AW,0),$A16&amp;" "&amp;$K16&amp;": "&amp;$C16&amp;CHAR(10)&amp;"&lt;---&gt;"&amp;CHAR(10)&amp;OFFSET($A16,1,0)&amp;" "&amp;OFFSET($K16,1,0)&amp;": "&amp;OFFSET($C16,1,0),""),""))</f>
        <v/>
      </c>
      <c r="AO16" s="99" cm="1">
        <f t="array" ca="1" aca="1" ref="AO16">CreateID($AO$3,$AO:$AO,$AN16&lt;&gt;"")</f>
        <v>0</v>
      </c>
    </row>
    <row r="17" spans="1:41" ht="60">
      <c r="A17" s="96" t="s">
        <v>1088</v>
      </c>
      <c r="B17" s="4" t="str" cm="1">
        <f t="array" ca="1" aca="1" ref="B17">IF($A17="","",CreateIndentedString($K17,Definitions!$T$4,SimpleLookup($A17,Questions!$A:$C)))</f>
        <v xml:space="preserve">      Is  the  availability  of  the  product  relevant  for
      its  operational  environment?</v>
      </c>
      <c r="C17" s="4" t="s">
        <v>10</v>
      </c>
      <c r="D17" s="8" t="str">
        <f ca="1">$AF17</f>
        <v>What is the worst case effect on the operational environment for the intended use of the product?</v>
      </c>
      <c r="E17" s="4" t="s">
        <v>1136</v>
      </c>
      <c r="F17" s="8" t="str">
        <f ca="1">$AJ17</f>
        <v>Environmental damages that accumulate to critical impact over time as well as critical damages that happen in a single incident. Please explain the expected effects:</v>
      </c>
      <c r="G17" s="4" t="s">
        <v>1791</v>
      </c>
      <c r="I17" s="15" t="str">
        <f t="shared" ca="1" si="0"/>
        <v>QI7[Yes|Criticalenvironmentaldamage]</v>
      </c>
      <c r="J17" s="15" t="str">
        <f t="shared" ca="1" si="1"/>
        <v>QI7[Yes|*]</v>
      </c>
      <c r="K17" s="15" t="str" cm="1">
        <f t="array" ca="1" aca="1" ref="K17">SimpleLookup($A17,Questions!$A:$B)</f>
        <v>Is the availability of the product relevant for its operational environment?</v>
      </c>
      <c r="L17" s="15" cm="1">
        <f t="array" ca="1" aca="1" ref="L17">CreateID($L$3,$L:$L,AND($A17&lt;&gt;"",$AC17))</f>
        <v>7</v>
      </c>
      <c r="M17" s="99" cm="1">
        <f t="array" ca="1" aca="1" ref="M17">CreateTaskID($M$3,$M:$M,Tasks!$B$17,$G17)</f>
        <v>0</v>
      </c>
      <c r="N17" s="15" t="str">
        <f t="shared" ca="1" si="2"/>
        <v/>
      </c>
      <c r="O17" s="15" cm="1">
        <f t="array" ca="1" aca="1" ref="O17">CreateID($O$3,$O:$O,$N17&lt;&gt;"")</f>
        <v>0</v>
      </c>
      <c r="P17" s="99" t="str">
        <f t="shared" ca="1" si="3"/>
        <v/>
      </c>
      <c r="Q17" s="99" cm="1">
        <f t="array" ca="1" aca="1" ref="Q17">CreateID($Q$3,$Q:$Q,$P17&lt;&gt;"")</f>
        <v>0</v>
      </c>
      <c r="R17" s="99" t="str">
        <f t="shared" ca="1" si="4"/>
        <v/>
      </c>
      <c r="S17" s="99" cm="1">
        <f t="array" ca="1" aca="1" ref="S17">CreateID($S$3,$S:$S,$R17&lt;&gt;"")</f>
        <v>0</v>
      </c>
      <c r="T17" s="99" t="str">
        <f t="shared" ca="1" si="5"/>
        <v/>
      </c>
      <c r="U17" s="99" cm="1">
        <f t="array" ca="1" aca="1" ref="U17">CreateID($U$3,$U:$U,$T17&lt;&gt;"")</f>
        <v>0</v>
      </c>
      <c r="V17" s="99" cm="1">
        <f t="array" ca="1" aca="1" ref="V17">CreateID($V$3,$V:$V,IFERROR(FIND(Definitions!$AR$4,$G17)&gt;0,FALSE))</f>
        <v>0</v>
      </c>
      <c r="W17" s="99">
        <f>_xlfn.LET(_xlpm._comment,$G17,_xlpm._keyWord,Definitions!$AR$4,_xlpm._diffLen,LEN(_xlpm._comment)-LEN(SUBSTITUTE(_xlpm._comment,_xlpm._keyWord,"")),_xlpm._diffLen/LEN(_xlpm._keyWord))</f>
        <v>0</v>
      </c>
      <c r="X17" s="99" cm="1">
        <f t="array" ca="1" aca="1" ref="X17">CreateID($X$3,$X:$X,IFERROR(FIND(Definitions!$AR$5,$G17)&gt;0,FALSE))</f>
        <v>0</v>
      </c>
      <c r="Y17" s="99">
        <f>_xlfn.LET(_xlpm._comment,$G17,_xlpm._keyWord,Definitions!$AR$5,_xlpm._diffLen,LEN(_xlpm._comment)-LEN(SUBSTITUTE(_xlpm._comment,_xlpm._keyWord,"")),_xlpm._diffLen/LEN(_xlpm._keyWord))</f>
        <v>0</v>
      </c>
      <c r="Z17" s="99" t="b">
        <f ca="1">OR(IFERROR(_xlfn.XMATCH("*,"&amp;$A17&amp;",*",Assumptions!$AL:$AL,2)&gt;0,FALSE),IFERROR(_xlfn.XMATCH("*,"&amp;$A17&amp;",*",Countermeasures!$AO:$AO,2)&gt;0,FALSE))</f>
        <v>1</v>
      </c>
      <c r="AA17" s="99" t="str" cm="1">
        <f t="array" ca="1" aca="1" ref="AA17">CreateSearchString($I17)</f>
        <v>,QI7[Yes|Criticalenvironmentaldamage],</v>
      </c>
      <c r="AB17" s="99" t="str">
        <f>IF($E17="","",IFERROR(VLOOKUP($E17,Definitions!$H:$J,COLUMNS(Definitions!$H:$J),FALSE),""))</f>
        <v>Critical</v>
      </c>
      <c r="AC17" s="99" t="b" cm="1">
        <f t="array" ca="1" aca="1" ref="AC17">IF($A17="",FALSE,SimpleLookup($A17,Questions!$A:$D)="x")</f>
        <v>1</v>
      </c>
      <c r="AD17" s="99" t="str" cm="1">
        <f t="array" ca="1" aca="1" ref="AD17">IF(OR($A17="",NOT($AC17)),"",SimpleLookup($A17,Questions!$A:$E))</f>
        <v>'[QuBA-libre.xlsx]Definitions'!$A$4</v>
      </c>
      <c r="AE17" s="99" cm="1">
        <f t="array" ca="1" aca="1" ref="AE17">IF(OR($A17="",NOT($AC17)),"",SimpleLookup($A17,Questions!$A:$F))</f>
        <v>2</v>
      </c>
      <c r="AF17" s="99" t="str" cm="1">
        <f t="array" ca="1" aca="1" ref="AF17">_xlfn.LET(_xlpm._answer,$C17,_xlpm._infoTextFull,IF($AC17,CHAR(10)&amp;SimpleLookup($A17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worst case effect on the operational environment for the intended use of the product?</v>
      </c>
      <c r="AG17" s="99" t="b" cm="1">
        <f t="array" ca="1" aca="1" ref="AG17">IF(OR($A17="",NOT($AC17)),FALSE,_xlfn.LET(_xlpm._secondAnswerRequiredOn,SimpleLookup($A17,Questions!$A:$I),_xlpm._firstAnwer,$C17,IFERROR(FIND(CHAR(10)&amp;_xlpm._firstAnwer&amp;":",CHAR(10)&amp;_xlpm._secondAnswerRequiredOn)&gt;0,FALSE)))</f>
        <v>1</v>
      </c>
      <c r="AH17" s="99" t="str" cm="1">
        <f t="array" ca="1" aca="1" ref="AH17">IF(OR($A17="",NOT($AC17)),"",_xlfn.LET(_xlpm._id,$A17,_xlpm._firstAnswer,$C17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'[QuBA-libre.xlsx]Definitions'!$H$18</v>
      </c>
      <c r="AI17" s="99" cm="1">
        <f t="array" ca="1" aca="1" ref="AI17">IF(OR($A17="",NOT($AC17)),"",_xlfn.LET(_xlpm._id,$A17,_xlpm._firstAnswer,$C17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6</v>
      </c>
      <c r="AJ17" s="99" t="str" cm="1">
        <f t="array" ca="1" aca="1" ref="AJ17">IF($AG17,_xlfn.LET(_xlpm._answer,$E17,_xlpm._infoTextFull,IF($AC17,CHAR(10)&amp;SimpleLookup($A17,Questions!$A:$L)&amp;CHAR(10),""),_xlpm._startSelectedByAnswerOne,IF(_xlpm._infoTextFull="",0,FIND("___"&amp;$C17&amp;"___",_xlpm._infoTextFull)+LEN("___"&amp;$C17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Environmental damages that accumulate to critical impact over time as well as critical damages that happen in a single incident. Please explain the expected effects:</v>
      </c>
      <c r="AK17" s="99" t="b" cm="1">
        <f t="array" ca="1" aca="1" ref="AK17">IF(OR($A17="",NOT($AC17)),FALSE,SimpleLookup($A17,Questions!$A:$Q))</f>
        <v>0</v>
      </c>
      <c r="AL17" s="99" t="str" cm="1">
        <f t="array" ca="1" aca="1" ref="AL17">IF(AND($A17=Questions!$A$41,IFERROR(SimpleLookup(Questions!$A$36,$A:$E)=Definitions!$O$5,FALSE),$C17=Definitions!$A$5),Questions!$A$36&amp;" "&amp;Questions!$B$36&amp;CHAR(10)&amp;CHAR(187)&amp;" "&amp;SimpleLookup(Questions!$A$36,$A:$C)&amp;CHAR(10)&amp;SimpleLookup(Questions!$A$36,$A:$D)&amp;CHAR(10)&amp;CHAR(187)&amp;" "&amp;Definitions!$O$5&amp;CHAR(10)&amp;CHAR(10)&amp;"is incosistent with"&amp;CHAR(10)&amp;CHAR(10)&amp;$A17&amp;" "&amp;SimpleLookup($A17,Questions!$A:$B)&amp;CHAR(10)&amp;CHAR(187)&amp;" "&amp;$C17,"")</f>
        <v/>
      </c>
      <c r="AM17" s="99" cm="1">
        <f t="array" ca="1" aca="1" ref="AM17">CreateID($AM$3,$AM:$AM,$AL17&lt;&gt;"")</f>
        <v>0</v>
      </c>
      <c r="AN17" s="99" t="str" cm="1">
        <f t="array" ca="1" aca="1" ref="AN17">IF(OR($C17="",OFFSET($C17,1,0)=""),"",IF(AND($A17=Questions!$A$59,OFFSET($A17,1,0)=Questions!$A$60,SimpleLookup(Questions!$A$49,$A:$C)=Definitions!$A$4),IF(MATCH($C17,Definitions!$AW:$AW,0)&gt;MATCH(OFFSET($C17,1,0),Definitions!AW:AW,0),$A17&amp;" "&amp;$K17&amp;": "&amp;$C17&amp;CHAR(10)&amp;"&lt;---&gt;"&amp;CHAR(10)&amp;OFFSET($A17,1,0)&amp;" "&amp;OFFSET($K17,1,0)&amp;": "&amp;OFFSET($C17,1,0),""),""))</f>
        <v/>
      </c>
      <c r="AO17" s="99" cm="1">
        <f t="array" ca="1" aca="1" ref="AO17">CreateID($AO$3,$AO:$AO,$AN17&lt;&gt;"")</f>
        <v>0</v>
      </c>
    </row>
    <row r="18" spans="1:41" ht="15">
      <c r="A18" s="96" t="s">
        <v>1184</v>
      </c>
      <c r="B18" s="4" t="str" cm="1">
        <f t="array" ca="1" aca="1" ref="B18">IF($A18="","",CreateIndentedString($K18,Definitions!$T$4,SimpleLookup($A18,Questions!$A:$C)))</f>
        <v xml:space="preserve">   Financial  and  legal</v>
      </c>
      <c r="I18" s="15" t="str">
        <f t="shared" ca="1" si="0"/>
        <v/>
      </c>
      <c r="J18" s="15" t="str">
        <f t="shared" ca="1" si="1"/>
        <v/>
      </c>
      <c r="K18" s="15" t="str" cm="1">
        <f t="array" ca="1" aca="1" ref="K18">SimpleLookup($A18,Questions!$A:$B)</f>
        <v>Financial and legal</v>
      </c>
      <c r="L18" s="15" cm="1">
        <f t="array" ca="1" aca="1" ref="L18">CreateID($L$3,$L:$L,AND($A18&lt;&gt;"",$AC18))</f>
        <v>7</v>
      </c>
      <c r="M18" s="99" cm="1">
        <f t="array" ca="1" aca="1" ref="M18">CreateTaskID($M$3,$M:$M,Tasks!$B$17,$G18)</f>
        <v>0</v>
      </c>
      <c r="N18" s="15" t="str">
        <f t="shared" ca="1" si="2"/>
        <v/>
      </c>
      <c r="O18" s="15" cm="1">
        <f t="array" ca="1" aca="1" ref="O18">CreateID($O$3,$O:$O,$N18&lt;&gt;"")</f>
        <v>0</v>
      </c>
      <c r="P18" s="99" t="str">
        <f t="shared" si="3"/>
        <v/>
      </c>
      <c r="Q18" s="99" cm="1">
        <f t="array" ca="1" aca="1" ref="Q18">CreateID($Q$3,$Q:$Q,$P18&lt;&gt;"")</f>
        <v>0</v>
      </c>
      <c r="R18" s="99" t="str">
        <f t="shared" si="4"/>
        <v/>
      </c>
      <c r="S18" s="99" cm="1">
        <f t="array" ca="1" aca="1" ref="S18">CreateID($S$3,$S:$S,$R18&lt;&gt;"")</f>
        <v>0</v>
      </c>
      <c r="T18" s="99" t="str">
        <f t="shared" ca="1" si="5"/>
        <v/>
      </c>
      <c r="U18" s="99" cm="1">
        <f t="array" ca="1" aca="1" ref="U18">CreateID($U$3,$U:$U,$T18&lt;&gt;"")</f>
        <v>0</v>
      </c>
      <c r="V18" s="99" cm="1">
        <f t="array" ca="1" aca="1" ref="V18">CreateID($V$3,$V:$V,IFERROR(FIND(Definitions!$AR$4,$G18)&gt;0,FALSE))</f>
        <v>0</v>
      </c>
      <c r="W18" s="99">
        <f>_xlfn.LET(_xlpm._comment,$G18,_xlpm._keyWord,Definitions!$AR$4,_xlpm._diffLen,LEN(_xlpm._comment)-LEN(SUBSTITUTE(_xlpm._comment,_xlpm._keyWord,"")),_xlpm._diffLen/LEN(_xlpm._keyWord))</f>
        <v>0</v>
      </c>
      <c r="X18" s="99" cm="1">
        <f t="array" ca="1" aca="1" ref="X18">CreateID($X$3,$X:$X,IFERROR(FIND(Definitions!$AR$5,$G18)&gt;0,FALSE))</f>
        <v>0</v>
      </c>
      <c r="Y18" s="99">
        <f>_xlfn.LET(_xlpm._comment,$G18,_xlpm._keyWord,Definitions!$AR$5,_xlpm._diffLen,LEN(_xlpm._comment)-LEN(SUBSTITUTE(_xlpm._comment,_xlpm._keyWord,"")),_xlpm._diffLen/LEN(_xlpm._keyWord))</f>
        <v>0</v>
      </c>
      <c r="Z18" s="99" t="b">
        <f ca="1">OR(IFERROR(_xlfn.XMATCH("*,"&amp;$A18&amp;",*",Assumptions!$AL:$AL,2)&gt;0,FALSE),IFERROR(_xlfn.XMATCH("*,"&amp;$A18&amp;",*",Countermeasures!$AO:$AO,2)&gt;0,FALSE))</f>
        <v>0</v>
      </c>
      <c r="AA18" s="99" t="str" cm="1">
        <f t="array" ca="1" aca="1" ref="AA18">CreateSearchString($I18)</f>
        <v/>
      </c>
      <c r="AB18" s="99" t="str">
        <f>IF($E18="","",IFERROR(VLOOKUP($E18,Definitions!$H:$J,COLUMNS(Definitions!$H:$J),FALSE),""))</f>
        <v/>
      </c>
      <c r="AC18" s="99" t="b" cm="1">
        <f t="array" ca="1" aca="1" ref="AC18">IF($A18="",FALSE,SimpleLookup($A18,Questions!$A:$D)="x")</f>
        <v>0</v>
      </c>
      <c r="AD18" s="99" t="str" cm="1">
        <f t="array" ca="1" aca="1" ref="AD18">IF(OR($A18="",NOT($AC18)),"",SimpleLookup($A18,Questions!$A:$E))</f>
        <v/>
      </c>
      <c r="AE18" s="99" t="str" cm="1">
        <f t="array" ca="1" aca="1" ref="AE18">IF(OR($A18="",NOT($AC18)),"",SimpleLookup($A18,Questions!$A:$F))</f>
        <v/>
      </c>
      <c r="AF18" s="99" t="str" cm="1">
        <f t="array" ca="1" aca="1" ref="AF18">_xlfn.LET(_xlpm._answer,$C18,_xlpm._infoTextFull,IF($AC18,CHAR(10)&amp;SimpleLookup($A18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8" s="99" t="b" cm="1">
        <f t="array" ca="1" aca="1" ref="AG18">IF(OR($A18="",NOT($AC18)),FALSE,_xlfn.LET(_xlpm._secondAnswerRequiredOn,SimpleLookup($A18,Questions!$A:$I),_xlpm._firstAnwer,$C18,IFERROR(FIND(CHAR(10)&amp;_xlpm._firstAnwer&amp;":",CHAR(10)&amp;_xlpm._secondAnswerRequiredOn)&gt;0,FALSE)))</f>
        <v>0</v>
      </c>
      <c r="AH18" s="99" t="str" cm="1">
        <f t="array" ca="1" aca="1" ref="AH18">IF(OR($A18="",NOT($AC18)),"",_xlfn.LET(_xlpm._id,$A18,_xlpm._firstAnswer,$C18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8" s="99" t="str" cm="1">
        <f t="array" ca="1" aca="1" ref="AI18">IF(OR($A18="",NOT($AC18)),"",_xlfn.LET(_xlpm._id,$A18,_xlpm._firstAnswer,$C18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8" s="99" t="str" cm="1">
        <f t="array" ca="1" aca="1" ref="AJ18">IF($AG18,_xlfn.LET(_xlpm._answer,$E18,_xlpm._infoTextFull,IF($AC18,CHAR(10)&amp;SimpleLookup($A18,Questions!$A:$L)&amp;CHAR(10),""),_xlpm._startSelectedByAnswerOne,IF(_xlpm._infoTextFull="",0,FIND("___"&amp;$C18&amp;"___",_xlpm._infoTextFull)+LEN("___"&amp;$C18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8" s="99" t="b" cm="1">
        <f t="array" ca="1" aca="1" ref="AK18">IF(OR($A18="",NOT($AC18)),FALSE,SimpleLookup($A18,Questions!$A:$Q))</f>
        <v>0</v>
      </c>
      <c r="AL18" s="99" t="str" cm="1">
        <f t="array" ca="1" aca="1" ref="AL18">IF(AND($A18=Questions!$A$41,IFERROR(SimpleLookup(Questions!$A$36,$A:$E)=Definitions!$O$5,FALSE),$C18=Definitions!$A$5),Questions!$A$36&amp;" "&amp;Questions!$B$36&amp;CHAR(10)&amp;CHAR(187)&amp;" "&amp;SimpleLookup(Questions!$A$36,$A:$C)&amp;CHAR(10)&amp;SimpleLookup(Questions!$A$36,$A:$D)&amp;CHAR(10)&amp;CHAR(187)&amp;" "&amp;Definitions!$O$5&amp;CHAR(10)&amp;CHAR(10)&amp;"is incosistent with"&amp;CHAR(10)&amp;CHAR(10)&amp;$A18&amp;" "&amp;SimpleLookup($A18,Questions!$A:$B)&amp;CHAR(10)&amp;CHAR(187)&amp;" "&amp;$C18,"")</f>
        <v/>
      </c>
      <c r="AM18" s="99" cm="1">
        <f t="array" ca="1" aca="1" ref="AM18">CreateID($AM$3,$AM:$AM,$AL18&lt;&gt;"")</f>
        <v>0</v>
      </c>
      <c r="AN18" s="99" t="str" cm="1">
        <f t="array" ca="1" aca="1" ref="AN18">IF(OR($C18="",OFFSET($C18,1,0)=""),"",IF(AND($A18=Questions!$A$59,OFFSET($A18,1,0)=Questions!$A$60,SimpleLookup(Questions!$A$49,$A:$C)=Definitions!$A$4),IF(MATCH($C18,Definitions!$AW:$AW,0)&gt;MATCH(OFFSET($C18,1,0),Definitions!AW:AW,0),$A18&amp;" "&amp;$K18&amp;": "&amp;$C18&amp;CHAR(10)&amp;"&lt;---&gt;"&amp;CHAR(10)&amp;OFFSET($A18,1,0)&amp;" "&amp;OFFSET($K18,1,0)&amp;": "&amp;OFFSET($C18,1,0),""),""))</f>
        <v/>
      </c>
      <c r="AO18" s="99" cm="1">
        <f t="array" ca="1" aca="1" ref="AO18">CreateID($AO$3,$AO:$AO,$AN18&lt;&gt;"")</f>
        <v>0</v>
      </c>
    </row>
    <row r="19" spans="1:41" ht="90">
      <c r="A19" s="96" t="s">
        <v>1086</v>
      </c>
      <c r="B19" s="4" t="str" cm="1">
        <f t="array" ca="1" aca="1" ref="B19">IF($A19="","",CreateIndentedString($K19,Definitions!$T$4,SimpleLookup($A19,Questions!$A:$C)))</f>
        <v xml:space="preserve">      Can  a  loss  of  availability  allow  an  attacker
      access  to  assets  of  the  customer  (including
      physical  access  not  detected  by  the  acontis
      techonlogies  GmbH  product)?  Example:  The  product
      is  used  for  access  control.</v>
      </c>
      <c r="C19" s="4" t="s">
        <v>10</v>
      </c>
      <c r="D19" s="8" t="str">
        <f ca="1">$AF19</f>
        <v>What is the worst case value of these assets for the intended use of the product?</v>
      </c>
      <c r="E19" s="4" t="s">
        <v>1739</v>
      </c>
      <c r="F19" s="8" t="str">
        <f ca="1">$AJ19</f>
        <v>Loss of freedom for employees, direct loss, fines for infringements of laws, or violations of contracts (critical volume). Please characterize the affected assets:</v>
      </c>
      <c r="G19" s="4" t="s">
        <v>1792</v>
      </c>
      <c r="I19" s="15" t="str">
        <f t="shared" ca="1" si="0"/>
        <v>QI8[Yes|Criticalfinancialdamage]</v>
      </c>
      <c r="J19" s="15" t="str">
        <f t="shared" ca="1" si="1"/>
        <v>QI8[Yes|*]</v>
      </c>
      <c r="K19" s="15" t="str" cm="1">
        <f t="array" ca="1" aca="1" ref="K19">SimpleLookup($A19,Questions!$A:$B)</f>
        <v>Can a loss of availability allow an attacker access to assets of the customer (including physical access not detected by the acontis techonlogies GmbH product)? Example: The product is used for access control.</v>
      </c>
      <c r="L19" s="15" cm="1">
        <f t="array" ca="1" aca="1" ref="L19">CreateID($L$3,$L:$L,AND($A19&lt;&gt;"",$AC19))</f>
        <v>8</v>
      </c>
      <c r="M19" s="99" cm="1">
        <f t="array" ca="1" aca="1" ref="M19">CreateTaskID($M$3,$M:$M,Tasks!$B$17,$G19)</f>
        <v>0</v>
      </c>
      <c r="N19" s="15" t="str">
        <f t="shared" ca="1" si="2"/>
        <v/>
      </c>
      <c r="O19" s="15" cm="1">
        <f t="array" ca="1" aca="1" ref="O19">CreateID($O$3,$O:$O,$N19&lt;&gt;"")</f>
        <v>0</v>
      </c>
      <c r="P19" s="99" t="str">
        <f t="shared" ca="1" si="3"/>
        <v/>
      </c>
      <c r="Q19" s="99" cm="1">
        <f t="array" ca="1" aca="1" ref="Q19">CreateID($Q$3,$Q:$Q,$P19&lt;&gt;"")</f>
        <v>0</v>
      </c>
      <c r="R19" s="99" t="str">
        <f t="shared" ca="1" si="4"/>
        <v/>
      </c>
      <c r="S19" s="99" cm="1">
        <f t="array" ca="1" aca="1" ref="S19">CreateID($S$3,$S:$S,$R19&lt;&gt;"")</f>
        <v>0</v>
      </c>
      <c r="T19" s="99" t="str">
        <f t="shared" ca="1" si="5"/>
        <v/>
      </c>
      <c r="U19" s="99" cm="1">
        <f t="array" ca="1" aca="1" ref="U19">CreateID($U$3,$U:$U,$T19&lt;&gt;"")</f>
        <v>0</v>
      </c>
      <c r="V19" s="99" cm="1">
        <f t="array" ca="1" aca="1" ref="V19">CreateID($V$3,$V:$V,IFERROR(FIND(Definitions!$AR$4,$G19)&gt;0,FALSE))</f>
        <v>0</v>
      </c>
      <c r="W19" s="99">
        <f>_xlfn.LET(_xlpm._comment,$G19,_xlpm._keyWord,Definitions!$AR$4,_xlpm._diffLen,LEN(_xlpm._comment)-LEN(SUBSTITUTE(_xlpm._comment,_xlpm._keyWord,"")),_xlpm._diffLen/LEN(_xlpm._keyWord))</f>
        <v>0</v>
      </c>
      <c r="X19" s="99" cm="1">
        <f t="array" ca="1" aca="1" ref="X19">CreateID($X$3,$X:$X,IFERROR(FIND(Definitions!$AR$5,$G19)&gt;0,FALSE))</f>
        <v>0</v>
      </c>
      <c r="Y19" s="99">
        <f>_xlfn.LET(_xlpm._comment,$G19,_xlpm._keyWord,Definitions!$AR$5,_xlpm._diffLen,LEN(_xlpm._comment)-LEN(SUBSTITUTE(_xlpm._comment,_xlpm._keyWord,"")),_xlpm._diffLen/LEN(_xlpm._keyWord))</f>
        <v>0</v>
      </c>
      <c r="Z19" s="99" t="b">
        <f ca="1">OR(IFERROR(_xlfn.XMATCH("*,"&amp;$A19&amp;",*",Assumptions!$AL:$AL,2)&gt;0,FALSE),IFERROR(_xlfn.XMATCH("*,"&amp;$A19&amp;",*",Countermeasures!$AO:$AO,2)&gt;0,FALSE))</f>
        <v>0</v>
      </c>
      <c r="AA19" s="99" t="str" cm="1">
        <f t="array" ca="1" aca="1" ref="AA19">CreateSearchString($I19)</f>
        <v>,QI8[Yes|Criticalfinancialdamage],</v>
      </c>
      <c r="AB19" s="99" t="str">
        <f>IF($E19="","",IFERROR(VLOOKUP($E19,Definitions!$H:$J,COLUMNS(Definitions!$H:$J),FALSE),""))</f>
        <v>Critical</v>
      </c>
      <c r="AC19" s="99" t="b" cm="1">
        <f t="array" ca="1" aca="1" ref="AC19">IF($A19="",FALSE,SimpleLookup($A19,Questions!$A:$D)="x")</f>
        <v>1</v>
      </c>
      <c r="AD19" s="99" t="str" cm="1">
        <f t="array" ca="1" aca="1" ref="AD19">IF(OR($A19="",NOT($AC19)),"",SimpleLookup($A19,Questions!$A:$E))</f>
        <v>'[QuBA-libre.xlsx]Definitions'!$A$4</v>
      </c>
      <c r="AE19" s="99" cm="1">
        <f t="array" ca="1" aca="1" ref="AE19">IF(OR($A19="",NOT($AC19)),"",SimpleLookup($A19,Questions!$A:$F))</f>
        <v>2</v>
      </c>
      <c r="AF19" s="99" t="str" cm="1">
        <f t="array" ca="1" aca="1" ref="AF19">_xlfn.LET(_xlpm._answer,$C19,_xlpm._infoTextFull,IF($AC19,CHAR(10)&amp;SimpleLookup($A19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worst case value of these assets for the intended use of the product?</v>
      </c>
      <c r="AG19" s="99" t="b" cm="1">
        <f t="array" ca="1" aca="1" ref="AG19">IF(OR($A19="",NOT($AC19)),FALSE,_xlfn.LET(_xlpm._secondAnswerRequiredOn,SimpleLookup($A19,Questions!$A:$I),_xlpm._firstAnwer,$C19,IFERROR(FIND(CHAR(10)&amp;_xlpm._firstAnwer&amp;":",CHAR(10)&amp;_xlpm._secondAnswerRequiredOn)&gt;0,FALSE)))</f>
        <v>1</v>
      </c>
      <c r="AH19" s="99" t="str" cm="1">
        <f t="array" ca="1" aca="1" ref="AH19">IF(OR($A19="",NOT($AC19)),"",_xlfn.LET(_xlpm._id,$A19,_xlpm._firstAnswer,$C19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'[QuBA-libre.xlsx]Definitions'!$H$10</v>
      </c>
      <c r="AI19" s="99" cm="1">
        <f t="array" ca="1" aca="1" ref="AI19">IF(OR($A19="",NOT($AC19)),"",_xlfn.LET(_xlpm._id,$A19,_xlpm._firstAnswer,$C19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4</v>
      </c>
      <c r="AJ19" s="99" t="str" cm="1">
        <f t="array" ca="1" aca="1" ref="AJ19">IF($AG19,_xlfn.LET(_xlpm._answer,$E19,_xlpm._infoTextFull,IF($AC19,CHAR(10)&amp;SimpleLookup($A19,Questions!$A:$L)&amp;CHAR(10),""),_xlpm._startSelectedByAnswerOne,IF(_xlpm._infoTextFull="",0,FIND("___"&amp;$C19&amp;"___",_xlpm._infoTextFull)+LEN("___"&amp;$C19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Loss of freedom for employees, direct loss, fines for infringements of laws, or violations of contracts (critical volume). Please characterize the affected assets:</v>
      </c>
      <c r="AK19" s="99" t="b" cm="1">
        <f t="array" ca="1" aca="1" ref="AK19">IF(OR($A19="",NOT($AC19)),FALSE,SimpleLookup($A19,Questions!$A:$Q))</f>
        <v>0</v>
      </c>
      <c r="AL19" s="99" t="str" cm="1">
        <f t="array" ca="1" aca="1" ref="AL19">IF(AND($A19=Questions!$A$41,IFERROR(SimpleLookup(Questions!$A$36,$A:$E)=Definitions!$O$5,FALSE),$C19=Definitions!$A$5),Questions!$A$36&amp;" "&amp;Questions!$B$36&amp;CHAR(10)&amp;CHAR(187)&amp;" "&amp;SimpleLookup(Questions!$A$36,$A:$C)&amp;CHAR(10)&amp;SimpleLookup(Questions!$A$36,$A:$D)&amp;CHAR(10)&amp;CHAR(187)&amp;" "&amp;Definitions!$O$5&amp;CHAR(10)&amp;CHAR(10)&amp;"is incosistent with"&amp;CHAR(10)&amp;CHAR(10)&amp;$A19&amp;" "&amp;SimpleLookup($A19,Questions!$A:$B)&amp;CHAR(10)&amp;CHAR(187)&amp;" "&amp;$C19,"")</f>
        <v/>
      </c>
      <c r="AM19" s="99" cm="1">
        <f t="array" ca="1" aca="1" ref="AM19">CreateID($AM$3,$AM:$AM,$AL19&lt;&gt;"")</f>
        <v>0</v>
      </c>
      <c r="AN19" s="99" t="str" cm="1">
        <f t="array" ca="1" aca="1" ref="AN19">IF(OR($C19="",OFFSET($C19,1,0)=""),"",IF(AND($A19=Questions!$A$59,OFFSET($A19,1,0)=Questions!$A$60,SimpleLookup(Questions!$A$49,$A:$C)=Definitions!$A$4),IF(MATCH($C19,Definitions!$AW:$AW,0)&gt;MATCH(OFFSET($C19,1,0),Definitions!AW:AW,0),$A19&amp;" "&amp;$K19&amp;": "&amp;$C19&amp;CHAR(10)&amp;"&lt;---&gt;"&amp;CHAR(10)&amp;OFFSET($A19,1,0)&amp;" "&amp;OFFSET($K19,1,0)&amp;": "&amp;OFFSET($C19,1,0),""),""))</f>
        <v/>
      </c>
      <c r="AO19" s="99" cm="1">
        <f t="array" ca="1" aca="1" ref="AO19">CreateID($AO$3,$AO:$AO,$AN19&lt;&gt;"")</f>
        <v>0</v>
      </c>
    </row>
    <row r="20" spans="1:41" ht="45">
      <c r="A20" s="96" t="s">
        <v>1084</v>
      </c>
      <c r="B20" s="4" t="str" cm="1">
        <f t="array" ca="1" aca="1" ref="B20">IF($A20="","",CreateIndentedString($K20,Definitions!$T$4,SimpleLookup($A20,Questions!$A:$C)))</f>
        <v xml:space="preserve">      Can  a  loss  of  availability  cause
      contract-related  fines  (e.g.,  based  on  a  service
      level  agreement)?</v>
      </c>
      <c r="C20" s="4" t="s">
        <v>11</v>
      </c>
      <c r="D20" s="8" t="str">
        <f ca="1">$AF20</f>
        <v/>
      </c>
      <c r="F20" s="8" t="str">
        <f ca="1">$AJ20</f>
        <v/>
      </c>
      <c r="I20" s="15" t="str">
        <f t="shared" ca="1" si="0"/>
        <v>QI9[No]</v>
      </c>
      <c r="J20" s="15" t="str">
        <f t="shared" ca="1" si="1"/>
        <v>QI9[No]</v>
      </c>
      <c r="K20" s="15" t="str" cm="1">
        <f t="array" ca="1" aca="1" ref="K20">SimpleLookup($A20,Questions!$A:$B)</f>
        <v>Can a loss of availability cause contract-related fines (e.g., based on a service level agreement)?</v>
      </c>
      <c r="L20" s="15" cm="1">
        <f t="array" ca="1" aca="1" ref="L20">CreateID($L$3,$L:$L,AND($A20&lt;&gt;"",$AC20))</f>
        <v>9</v>
      </c>
      <c r="M20" s="99" cm="1">
        <f t="array" ca="1" aca="1" ref="M20">CreateTaskID($M$3,$M:$M,Tasks!$B$17,$G20)</f>
        <v>0</v>
      </c>
      <c r="N20" s="15" t="str">
        <f t="shared" ca="1" si="2"/>
        <v/>
      </c>
      <c r="O20" s="15" cm="1">
        <f t="array" ca="1" aca="1" ref="O20">CreateID($O$3,$O:$O,$N20&lt;&gt;"")</f>
        <v>0</v>
      </c>
      <c r="P20" s="99" t="str">
        <f t="shared" ca="1" si="3"/>
        <v/>
      </c>
      <c r="Q20" s="99" cm="1">
        <f t="array" ca="1" aca="1" ref="Q20">CreateID($Q$3,$Q:$Q,$P20&lt;&gt;"")</f>
        <v>0</v>
      </c>
      <c r="R20" s="99" t="str">
        <f t="shared" ca="1" si="4"/>
        <v/>
      </c>
      <c r="S20" s="99" cm="1">
        <f t="array" ca="1" aca="1" ref="S20">CreateID($S$3,$S:$S,$R20&lt;&gt;"")</f>
        <v>0</v>
      </c>
      <c r="T20" s="99" t="str">
        <f t="shared" ca="1" si="5"/>
        <v/>
      </c>
      <c r="U20" s="99" cm="1">
        <f t="array" ca="1" aca="1" ref="U20">CreateID($U$3,$U:$U,$T20&lt;&gt;"")</f>
        <v>0</v>
      </c>
      <c r="V20" s="99" cm="1">
        <f t="array" ca="1" aca="1" ref="V20">CreateID($V$3,$V:$V,IFERROR(FIND(Definitions!$AR$4,$G20)&gt;0,FALSE))</f>
        <v>0</v>
      </c>
      <c r="W20" s="99">
        <f>_xlfn.LET(_xlpm._comment,$G20,_xlpm._keyWord,Definitions!$AR$4,_xlpm._diffLen,LEN(_xlpm._comment)-LEN(SUBSTITUTE(_xlpm._comment,_xlpm._keyWord,"")),_xlpm._diffLen/LEN(_xlpm._keyWord))</f>
        <v>0</v>
      </c>
      <c r="X20" s="99" cm="1">
        <f t="array" ca="1" aca="1" ref="X20">CreateID($X$3,$X:$X,IFERROR(FIND(Definitions!$AR$5,$G20)&gt;0,FALSE))</f>
        <v>0</v>
      </c>
      <c r="Y20" s="99">
        <f>_xlfn.LET(_xlpm._comment,$G20,_xlpm._keyWord,Definitions!$AR$5,_xlpm._diffLen,LEN(_xlpm._comment)-LEN(SUBSTITUTE(_xlpm._comment,_xlpm._keyWord,"")),_xlpm._diffLen/LEN(_xlpm._keyWord))</f>
        <v>0</v>
      </c>
      <c r="Z20" s="99" t="b">
        <f ca="1">OR(IFERROR(_xlfn.XMATCH("*,"&amp;$A20&amp;",*",Assumptions!$AL:$AL,2)&gt;0,FALSE),IFERROR(_xlfn.XMATCH("*,"&amp;$A20&amp;",*",Countermeasures!$AO:$AO,2)&gt;0,FALSE))</f>
        <v>1</v>
      </c>
      <c r="AA20" s="99" t="str" cm="1">
        <f t="array" ca="1" aca="1" ref="AA20">CreateSearchString($I20)</f>
        <v>,QI9[No],</v>
      </c>
      <c r="AB20" s="99" t="str">
        <f>IF($E20="","",IFERROR(VLOOKUP($E20,Definitions!$H:$J,COLUMNS(Definitions!$H:$J),FALSE),""))</f>
        <v/>
      </c>
      <c r="AC20" s="99" t="b" cm="1">
        <f t="array" ca="1" aca="1" ref="AC20">IF($A20="",FALSE,SimpleLookup($A20,Questions!$A:$D)="x")</f>
        <v>1</v>
      </c>
      <c r="AD20" s="99" t="str" cm="1">
        <f t="array" ca="1" aca="1" ref="AD20">IF(OR($A20="",NOT($AC20)),"",SimpleLookup($A20,Questions!$A:$E))</f>
        <v>'[QuBA-libre.xlsx]Definitions'!$A$4</v>
      </c>
      <c r="AE20" s="99" cm="1">
        <f t="array" ca="1" aca="1" ref="AE20">IF(OR($A20="",NOT($AC20)),"",SimpleLookup($A20,Questions!$A:$F))</f>
        <v>2</v>
      </c>
      <c r="AF20" s="99" t="str" cm="1">
        <f t="array" ca="1" aca="1" ref="AF20">_xlfn.LET(_xlpm._answer,$C20,_xlpm._infoTextFull,IF($AC20,CHAR(10)&amp;SimpleLookup($A20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20" s="99" t="b" cm="1">
        <f t="array" ca="1" aca="1" ref="AG20">IF(OR($A20="",NOT($AC20)),FALSE,_xlfn.LET(_xlpm._secondAnswerRequiredOn,SimpleLookup($A20,Questions!$A:$I),_xlpm._firstAnwer,$C20,IFERROR(FIND(CHAR(10)&amp;_xlpm._firstAnwer&amp;":",CHAR(10)&amp;_xlpm._secondAnswerRequiredOn)&gt;0,FALSE)))</f>
        <v>0</v>
      </c>
      <c r="AH20" s="99" t="str" cm="1">
        <f t="array" ca="1" aca="1" ref="AH20">IF(OR($A20="",NOT($AC20)),"",_xlfn.LET(_xlpm._id,$A20,_xlpm._firstAnswer,$C20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20" s="99" t="str" cm="1">
        <f t="array" ca="1" aca="1" ref="AI20">IF(OR($A20="",NOT($AC20)),"",_xlfn.LET(_xlpm._id,$A20,_xlpm._firstAnswer,$C20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20" s="99" t="str" cm="1">
        <f t="array" ca="1" aca="1" ref="AJ20">IF($AG20,_xlfn.LET(_xlpm._answer,$E20,_xlpm._infoTextFull,IF($AC20,CHAR(10)&amp;SimpleLookup($A20,Questions!$A:$L)&amp;CHAR(10),""),_xlpm._startSelectedByAnswerOne,IF(_xlpm._infoTextFull="",0,FIND("___"&amp;$C20&amp;"___",_xlpm._infoTextFull)+LEN("___"&amp;$C20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20" s="99" t="b" cm="1">
        <f t="array" ca="1" aca="1" ref="AK20">IF(OR($A20="",NOT($AC20)),FALSE,SimpleLookup($A20,Questions!$A:$Q))</f>
        <v>0</v>
      </c>
      <c r="AL20" s="99" t="str" cm="1">
        <f t="array" ca="1" aca="1" ref="AL20">IF(AND($A20=Questions!$A$41,IFERROR(SimpleLookup(Questions!$A$36,$A:$E)=Definitions!$O$5,FALSE),$C20=Definitions!$A$5),Questions!$A$36&amp;" "&amp;Questions!$B$36&amp;CHAR(10)&amp;CHAR(187)&amp;" "&amp;SimpleLookup(Questions!$A$36,$A:$C)&amp;CHAR(10)&amp;SimpleLookup(Questions!$A$36,$A:$D)&amp;CHAR(10)&amp;CHAR(187)&amp;" "&amp;Definitions!$O$5&amp;CHAR(10)&amp;CHAR(10)&amp;"is incosistent with"&amp;CHAR(10)&amp;CHAR(10)&amp;$A20&amp;" "&amp;SimpleLookup($A20,Questions!$A:$B)&amp;CHAR(10)&amp;CHAR(187)&amp;" "&amp;$C20,"")</f>
        <v/>
      </c>
      <c r="AM20" s="99" cm="1">
        <f t="array" ca="1" aca="1" ref="AM20">CreateID($AM$3,$AM:$AM,$AL20&lt;&gt;"")</f>
        <v>0</v>
      </c>
      <c r="AN20" s="99" t="str" cm="1">
        <f t="array" ca="1" aca="1" ref="AN20">IF(OR($C20="",OFFSET($C20,1,0)=""),"",IF(AND($A20=Questions!$A$59,OFFSET($A20,1,0)=Questions!$A$60,SimpleLookup(Questions!$A$49,$A:$C)=Definitions!$A$4),IF(MATCH($C20,Definitions!$AW:$AW,0)&gt;MATCH(OFFSET($C20,1,0),Definitions!AW:AW,0),$A20&amp;" "&amp;$K20&amp;": "&amp;$C20&amp;CHAR(10)&amp;"&lt;---&gt;"&amp;CHAR(10)&amp;OFFSET($A20,1,0)&amp;" "&amp;OFFSET($K20,1,0)&amp;": "&amp;OFFSET($C20,1,0),""),""))</f>
        <v/>
      </c>
      <c r="AO20" s="99" cm="1">
        <f t="array" ca="1" aca="1" ref="AO20">CreateID($AO$3,$AO:$AO,$AN20&lt;&gt;"")</f>
        <v>0</v>
      </c>
    </row>
    <row r="21" spans="1:41" ht="15">
      <c r="A21" s="96" t="s">
        <v>1173</v>
      </c>
      <c r="B21" s="4" t="str" cm="1">
        <f t="array" ca="1" aca="1" ref="B21">IF($A21="","",CreateIndentedString($K21,Definitions!$T$4,SimpleLookup($A21,Questions!$A:$C)))</f>
        <v>Worst  case  impact  for  loss  of  integrity</v>
      </c>
      <c r="I21" s="15" t="str">
        <f t="shared" ca="1" si="0"/>
        <v/>
      </c>
      <c r="J21" s="15" t="str">
        <f t="shared" ca="1" si="1"/>
        <v/>
      </c>
      <c r="K21" s="15" t="str" cm="1">
        <f t="array" ca="1" aca="1" ref="K21">SimpleLookup($A21,Questions!$A:$B)</f>
        <v>Worst case impact for loss of integrity</v>
      </c>
      <c r="L21" s="15" cm="1">
        <f t="array" ca="1" aca="1" ref="L21">CreateID($L$3,$L:$L,AND($A21&lt;&gt;"",$AC21))</f>
        <v>9</v>
      </c>
      <c r="M21" s="99" cm="1">
        <f t="array" ca="1" aca="1" ref="M21">CreateTaskID($M$3,$M:$M,Tasks!$B$17,$G21)</f>
        <v>0</v>
      </c>
      <c r="N21" s="15" t="str">
        <f t="shared" ca="1" si="2"/>
        <v/>
      </c>
      <c r="O21" s="15" cm="1">
        <f t="array" ca="1" aca="1" ref="O21">CreateID($O$3,$O:$O,$N21&lt;&gt;"")</f>
        <v>0</v>
      </c>
      <c r="P21" s="99" t="str">
        <f t="shared" si="3"/>
        <v/>
      </c>
      <c r="Q21" s="99" cm="1">
        <f t="array" ca="1" aca="1" ref="Q21">CreateID($Q$3,$Q:$Q,$P21&lt;&gt;"")</f>
        <v>0</v>
      </c>
      <c r="R21" s="99" t="str">
        <f t="shared" si="4"/>
        <v/>
      </c>
      <c r="S21" s="99" cm="1">
        <f t="array" ca="1" aca="1" ref="S21">CreateID($S$3,$S:$S,$R21&lt;&gt;"")</f>
        <v>0</v>
      </c>
      <c r="T21" s="99" t="str">
        <f t="shared" ca="1" si="5"/>
        <v/>
      </c>
      <c r="U21" s="99" cm="1">
        <f t="array" ca="1" aca="1" ref="U21">CreateID($U$3,$U:$U,$T21&lt;&gt;"")</f>
        <v>0</v>
      </c>
      <c r="V21" s="99" cm="1">
        <f t="array" ca="1" aca="1" ref="V21">CreateID($V$3,$V:$V,IFERROR(FIND(Definitions!$AR$4,$G21)&gt;0,FALSE))</f>
        <v>0</v>
      </c>
      <c r="W21" s="99">
        <f>_xlfn.LET(_xlpm._comment,$G21,_xlpm._keyWord,Definitions!$AR$4,_xlpm._diffLen,LEN(_xlpm._comment)-LEN(SUBSTITUTE(_xlpm._comment,_xlpm._keyWord,"")),_xlpm._diffLen/LEN(_xlpm._keyWord))</f>
        <v>0</v>
      </c>
      <c r="X21" s="99" cm="1">
        <f t="array" ca="1" aca="1" ref="X21">CreateID($X$3,$X:$X,IFERROR(FIND(Definitions!$AR$5,$G21)&gt;0,FALSE))</f>
        <v>0</v>
      </c>
      <c r="Y21" s="99">
        <f>_xlfn.LET(_xlpm._comment,$G21,_xlpm._keyWord,Definitions!$AR$5,_xlpm._diffLen,LEN(_xlpm._comment)-LEN(SUBSTITUTE(_xlpm._comment,_xlpm._keyWord,"")),_xlpm._diffLen/LEN(_xlpm._keyWord))</f>
        <v>0</v>
      </c>
      <c r="Z21" s="99" t="b">
        <f ca="1">OR(IFERROR(_xlfn.XMATCH("*,"&amp;$A21&amp;",*",Assumptions!$AL:$AL,2)&gt;0,FALSE),IFERROR(_xlfn.XMATCH("*,"&amp;$A21&amp;",*",Countermeasures!$AO:$AO,2)&gt;0,FALSE))</f>
        <v>0</v>
      </c>
      <c r="AA21" s="99" t="str" cm="1">
        <f t="array" ca="1" aca="1" ref="AA21">CreateSearchString($I21)</f>
        <v/>
      </c>
      <c r="AB21" s="99" t="str">
        <f>IF($E21="","",IFERROR(VLOOKUP($E21,Definitions!$H:$J,COLUMNS(Definitions!$H:$J),FALSE),""))</f>
        <v/>
      </c>
      <c r="AC21" s="99" t="b" cm="1">
        <f t="array" ca="1" aca="1" ref="AC21">IF($A21="",FALSE,SimpleLookup($A21,Questions!$A:$D)="x")</f>
        <v>0</v>
      </c>
      <c r="AD21" s="99" t="str" cm="1">
        <f t="array" ca="1" aca="1" ref="AD21">IF(OR($A21="",NOT($AC21)),"",SimpleLookup($A21,Questions!$A:$E))</f>
        <v/>
      </c>
      <c r="AE21" s="99" t="str" cm="1">
        <f t="array" ca="1" aca="1" ref="AE21">IF(OR($A21="",NOT($AC21)),"",SimpleLookup($A21,Questions!$A:$F))</f>
        <v/>
      </c>
      <c r="AF21" s="99" t="str" cm="1">
        <f t="array" ca="1" aca="1" ref="AF21">_xlfn.LET(_xlpm._answer,$C21,_xlpm._infoTextFull,IF($AC21,CHAR(10)&amp;SimpleLookup($A21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21" s="99" t="b" cm="1">
        <f t="array" ca="1" aca="1" ref="AG21">IF(OR($A21="",NOT($AC21)),FALSE,_xlfn.LET(_xlpm._secondAnswerRequiredOn,SimpleLookup($A21,Questions!$A:$I),_xlpm._firstAnwer,$C21,IFERROR(FIND(CHAR(10)&amp;_xlpm._firstAnwer&amp;":",CHAR(10)&amp;_xlpm._secondAnswerRequiredOn)&gt;0,FALSE)))</f>
        <v>0</v>
      </c>
      <c r="AH21" s="99" t="str" cm="1">
        <f t="array" ca="1" aca="1" ref="AH21">IF(OR($A21="",NOT($AC21)),"",_xlfn.LET(_xlpm._id,$A21,_xlpm._firstAnswer,$C21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21" s="99" t="str" cm="1">
        <f t="array" ca="1" aca="1" ref="AI21">IF(OR($A21="",NOT($AC21)),"",_xlfn.LET(_xlpm._id,$A21,_xlpm._firstAnswer,$C21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21" s="99" t="str" cm="1">
        <f t="array" ca="1" aca="1" ref="AJ21">IF($AG21,_xlfn.LET(_xlpm._answer,$E21,_xlpm._infoTextFull,IF($AC21,CHAR(10)&amp;SimpleLookup($A21,Questions!$A:$L)&amp;CHAR(10),""),_xlpm._startSelectedByAnswerOne,IF(_xlpm._infoTextFull="",0,FIND("___"&amp;$C21&amp;"___",_xlpm._infoTextFull)+LEN("___"&amp;$C21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21" s="99" t="b" cm="1">
        <f t="array" ca="1" aca="1" ref="AK21">IF(OR($A21="",NOT($AC21)),FALSE,SimpleLookup($A21,Questions!$A:$Q))</f>
        <v>0</v>
      </c>
      <c r="AL21" s="99" t="str" cm="1">
        <f t="array" ca="1" aca="1" ref="AL21">IF(AND($A21=Questions!$A$41,IFERROR(SimpleLookup(Questions!$A$36,$A:$E)=Definitions!$O$5,FALSE),$C21=Definitions!$A$5),Questions!$A$36&amp;" "&amp;Questions!$B$36&amp;CHAR(10)&amp;CHAR(187)&amp;" "&amp;SimpleLookup(Questions!$A$36,$A:$C)&amp;CHAR(10)&amp;SimpleLookup(Questions!$A$36,$A:$D)&amp;CHAR(10)&amp;CHAR(187)&amp;" "&amp;Definitions!$O$5&amp;CHAR(10)&amp;CHAR(10)&amp;"is incosistent with"&amp;CHAR(10)&amp;CHAR(10)&amp;$A21&amp;" "&amp;SimpleLookup($A21,Questions!$A:$B)&amp;CHAR(10)&amp;CHAR(187)&amp;" "&amp;$C21,"")</f>
        <v/>
      </c>
      <c r="AM21" s="99" cm="1">
        <f t="array" ca="1" aca="1" ref="AM21">CreateID($AM$3,$AM:$AM,$AL21&lt;&gt;"")</f>
        <v>0</v>
      </c>
      <c r="AN21" s="99" t="str" cm="1">
        <f t="array" ca="1" aca="1" ref="AN21">IF(OR($C21="",OFFSET($C21,1,0)=""),"",IF(AND($A21=Questions!$A$59,OFFSET($A21,1,0)=Questions!$A$60,SimpleLookup(Questions!$A$49,$A:$C)=Definitions!$A$4),IF(MATCH($C21,Definitions!$AW:$AW,0)&gt;MATCH(OFFSET($C21,1,0),Definitions!AW:AW,0),$A21&amp;" "&amp;$K21&amp;": "&amp;$C21&amp;CHAR(10)&amp;"&lt;---&gt;"&amp;CHAR(10)&amp;OFFSET($A21,1,0)&amp;" "&amp;OFFSET($K21,1,0)&amp;": "&amp;OFFSET($C21,1,0),""),""))</f>
        <v/>
      </c>
      <c r="AO21" s="99" cm="1">
        <f t="array" ca="1" aca="1" ref="AO21">CreateID($AO$3,$AO:$AO,$AN21&lt;&gt;"")</f>
        <v>0</v>
      </c>
    </row>
    <row r="22" spans="1:41" ht="15">
      <c r="A22" s="96" t="s">
        <v>1185</v>
      </c>
      <c r="B22" s="4" t="str" cm="1">
        <f t="array" ca="1" aca="1" ref="B22">IF($A22="","",CreateIndentedString($K22,Definitions!$T$4,SimpleLookup($A22,Questions!$A:$C)))</f>
        <v xml:space="preserve">   Safety</v>
      </c>
      <c r="I22" s="15" t="str">
        <f t="shared" ca="1" si="0"/>
        <v/>
      </c>
      <c r="J22" s="15" t="str">
        <f t="shared" ca="1" si="1"/>
        <v/>
      </c>
      <c r="K22" s="15" t="str" cm="1">
        <f t="array" ca="1" aca="1" ref="K22">SimpleLookup($A22,Questions!$A:$B)</f>
        <v>Safety</v>
      </c>
      <c r="L22" s="15" cm="1">
        <f t="array" ca="1" aca="1" ref="L22">CreateID($L$3,$L:$L,AND($A22&lt;&gt;"",$AC22))</f>
        <v>9</v>
      </c>
      <c r="M22" s="99" cm="1">
        <f t="array" ca="1" aca="1" ref="M22">CreateTaskID($M$3,$M:$M,Tasks!$B$17,$G22)</f>
        <v>0</v>
      </c>
      <c r="N22" s="15" t="str">
        <f t="shared" ca="1" si="2"/>
        <v/>
      </c>
      <c r="O22" s="15" cm="1">
        <f t="array" ca="1" aca="1" ref="O22">CreateID($O$3,$O:$O,$N22&lt;&gt;"")</f>
        <v>0</v>
      </c>
      <c r="P22" s="99" t="str">
        <f t="shared" si="3"/>
        <v/>
      </c>
      <c r="Q22" s="99" cm="1">
        <f t="array" ca="1" aca="1" ref="Q22">CreateID($Q$3,$Q:$Q,$P22&lt;&gt;"")</f>
        <v>0</v>
      </c>
      <c r="R22" s="99" t="str">
        <f t="shared" si="4"/>
        <v/>
      </c>
      <c r="S22" s="99" cm="1">
        <f t="array" ca="1" aca="1" ref="S22">CreateID($S$3,$S:$S,$R22&lt;&gt;"")</f>
        <v>0</v>
      </c>
      <c r="T22" s="99" t="str">
        <f t="shared" ca="1" si="5"/>
        <v/>
      </c>
      <c r="U22" s="99" cm="1">
        <f t="array" ca="1" aca="1" ref="U22">CreateID($U$3,$U:$U,$T22&lt;&gt;"")</f>
        <v>0</v>
      </c>
      <c r="V22" s="99" cm="1">
        <f t="array" ca="1" aca="1" ref="V22">CreateID($V$3,$V:$V,IFERROR(FIND(Definitions!$AR$4,$G22)&gt;0,FALSE))</f>
        <v>0</v>
      </c>
      <c r="W22" s="99">
        <f>_xlfn.LET(_xlpm._comment,$G22,_xlpm._keyWord,Definitions!$AR$4,_xlpm._diffLen,LEN(_xlpm._comment)-LEN(SUBSTITUTE(_xlpm._comment,_xlpm._keyWord,"")),_xlpm._diffLen/LEN(_xlpm._keyWord))</f>
        <v>0</v>
      </c>
      <c r="X22" s="99" cm="1">
        <f t="array" ca="1" aca="1" ref="X22">CreateID($X$3,$X:$X,IFERROR(FIND(Definitions!$AR$5,$G22)&gt;0,FALSE))</f>
        <v>0</v>
      </c>
      <c r="Y22" s="99">
        <f>_xlfn.LET(_xlpm._comment,$G22,_xlpm._keyWord,Definitions!$AR$5,_xlpm._diffLen,LEN(_xlpm._comment)-LEN(SUBSTITUTE(_xlpm._comment,_xlpm._keyWord,"")),_xlpm._diffLen/LEN(_xlpm._keyWord))</f>
        <v>0</v>
      </c>
      <c r="Z22" s="99" t="b">
        <f ca="1">OR(IFERROR(_xlfn.XMATCH("*,"&amp;$A22&amp;",*",Assumptions!$AL:$AL,2)&gt;0,FALSE),IFERROR(_xlfn.XMATCH("*,"&amp;$A22&amp;",*",Countermeasures!$AO:$AO,2)&gt;0,FALSE))</f>
        <v>0</v>
      </c>
      <c r="AA22" s="99" t="str" cm="1">
        <f t="array" ca="1" aca="1" ref="AA22">CreateSearchString($I22)</f>
        <v/>
      </c>
      <c r="AB22" s="99" t="str">
        <f>IF($E22="","",IFERROR(VLOOKUP($E22,Definitions!$H:$J,COLUMNS(Definitions!$H:$J),FALSE),""))</f>
        <v/>
      </c>
      <c r="AC22" s="99" t="b" cm="1">
        <f t="array" ca="1" aca="1" ref="AC22">IF($A22="",FALSE,SimpleLookup($A22,Questions!$A:$D)="x")</f>
        <v>0</v>
      </c>
      <c r="AD22" s="99" t="str" cm="1">
        <f t="array" ca="1" aca="1" ref="AD22">IF(OR($A22="",NOT($AC22)),"",SimpleLookup($A22,Questions!$A:$E))</f>
        <v/>
      </c>
      <c r="AE22" s="99" t="str" cm="1">
        <f t="array" ca="1" aca="1" ref="AE22">IF(OR($A22="",NOT($AC22)),"",SimpleLookup($A22,Questions!$A:$F))</f>
        <v/>
      </c>
      <c r="AF22" s="99" t="str" cm="1">
        <f t="array" ca="1" aca="1" ref="AF22">_xlfn.LET(_xlpm._answer,$C22,_xlpm._infoTextFull,IF($AC22,CHAR(10)&amp;SimpleLookup($A22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22" s="99" t="b" cm="1">
        <f t="array" ca="1" aca="1" ref="AG22">IF(OR($A22="",NOT($AC22)),FALSE,_xlfn.LET(_xlpm._secondAnswerRequiredOn,SimpleLookup($A22,Questions!$A:$I),_xlpm._firstAnwer,$C22,IFERROR(FIND(CHAR(10)&amp;_xlpm._firstAnwer&amp;":",CHAR(10)&amp;_xlpm._secondAnswerRequiredOn)&gt;0,FALSE)))</f>
        <v>0</v>
      </c>
      <c r="AH22" s="99" t="str" cm="1">
        <f t="array" ca="1" aca="1" ref="AH22">IF(OR($A22="",NOT($AC22)),"",_xlfn.LET(_xlpm._id,$A22,_xlpm._firstAnswer,$C22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22" s="99" t="str" cm="1">
        <f t="array" ca="1" aca="1" ref="AI22">IF(OR($A22="",NOT($AC22)),"",_xlfn.LET(_xlpm._id,$A22,_xlpm._firstAnswer,$C22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22" s="99" t="str" cm="1">
        <f t="array" ca="1" aca="1" ref="AJ22">IF($AG22,_xlfn.LET(_xlpm._answer,$E22,_xlpm._infoTextFull,IF($AC22,CHAR(10)&amp;SimpleLookup($A22,Questions!$A:$L)&amp;CHAR(10),""),_xlpm._startSelectedByAnswerOne,IF(_xlpm._infoTextFull="",0,FIND("___"&amp;$C22&amp;"___",_xlpm._infoTextFull)+LEN("___"&amp;$C22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22" s="99" t="b" cm="1">
        <f t="array" ca="1" aca="1" ref="AK22">IF(OR($A22="",NOT($AC22)),FALSE,SimpleLookup($A22,Questions!$A:$Q))</f>
        <v>0</v>
      </c>
      <c r="AL22" s="99" t="str" cm="1">
        <f t="array" ca="1" aca="1" ref="AL22">IF(AND($A22=Questions!$A$41,IFERROR(SimpleLookup(Questions!$A$36,$A:$E)=Definitions!$O$5,FALSE),$C22=Definitions!$A$5),Questions!$A$36&amp;" "&amp;Questions!$B$36&amp;CHAR(10)&amp;CHAR(187)&amp;" "&amp;SimpleLookup(Questions!$A$36,$A:$C)&amp;CHAR(10)&amp;SimpleLookup(Questions!$A$36,$A:$D)&amp;CHAR(10)&amp;CHAR(187)&amp;" "&amp;Definitions!$O$5&amp;CHAR(10)&amp;CHAR(10)&amp;"is incosistent with"&amp;CHAR(10)&amp;CHAR(10)&amp;$A22&amp;" "&amp;SimpleLookup($A22,Questions!$A:$B)&amp;CHAR(10)&amp;CHAR(187)&amp;" "&amp;$C22,"")</f>
        <v/>
      </c>
      <c r="AM22" s="99" cm="1">
        <f t="array" ca="1" aca="1" ref="AM22">CreateID($AM$3,$AM:$AM,$AL22&lt;&gt;"")</f>
        <v>0</v>
      </c>
      <c r="AN22" s="99" t="str" cm="1">
        <f t="array" ca="1" aca="1" ref="AN22">IF(OR($C22="",OFFSET($C22,1,0)=""),"",IF(AND($A22=Questions!$A$59,OFFSET($A22,1,0)=Questions!$A$60,SimpleLookup(Questions!$A$49,$A:$C)=Definitions!$A$4),IF(MATCH($C22,Definitions!$AW:$AW,0)&gt;MATCH(OFFSET($C22,1,0),Definitions!AW:AW,0),$A22&amp;" "&amp;$K22&amp;": "&amp;$C22&amp;CHAR(10)&amp;"&lt;---&gt;"&amp;CHAR(10)&amp;OFFSET($A22,1,0)&amp;" "&amp;OFFSET($K22,1,0)&amp;": "&amp;OFFSET($C22,1,0),""),""))</f>
        <v/>
      </c>
      <c r="AO22" s="99" cm="1">
        <f t="array" ca="1" aca="1" ref="AO22">CreateID($AO$3,$AO:$AO,$AN22&lt;&gt;"")</f>
        <v>0</v>
      </c>
    </row>
    <row r="23" spans="1:41" ht="75">
      <c r="A23" s="96" t="s">
        <v>1080</v>
      </c>
      <c r="B23" s="4" t="str" cm="1">
        <f t="array" ca="1" aca="1" ref="B23">IF($A23="","",CreateIndentedString($K23,Definitions!$T$4,SimpleLookup($A23,Questions!$A:$C)))</f>
        <v xml:space="preserve">      Can  a  manipulated  product  (or  its  communication)
      endanger  the  health  of  people?  Also  consider
      cases  where  the  product  is  used  against  its
      intended  use  or  misconfigured!</v>
      </c>
      <c r="C23" s="4" t="s">
        <v>10</v>
      </c>
      <c r="D23" s="8" t="str">
        <f ca="1">$AF23</f>
        <v>What is the worst case severity of the injury for the intended use of the product?</v>
      </c>
      <c r="E23" s="4" t="s">
        <v>32</v>
      </c>
      <c r="F23" s="8" t="str">
        <f ca="1">$AJ23</f>
        <v>Life-threatening injury. Please provide a rationale:</v>
      </c>
      <c r="G23" s="4" t="s">
        <v>1792</v>
      </c>
      <c r="I23" s="15" t="str">
        <f t="shared" ca="1" si="0"/>
        <v>QI10[Yes|Life-threateninginjury]</v>
      </c>
      <c r="J23" s="15" t="str">
        <f t="shared" ca="1" si="1"/>
        <v>QI10[Yes|*]</v>
      </c>
      <c r="K23" s="15" t="str" cm="1">
        <f t="array" ca="1" aca="1" ref="K23">SimpleLookup($A23,Questions!$A:$B)</f>
        <v>Can a manipulated product (or its communication) endanger the health of people? Also consider cases where the product is used against its intended use or misconfigured!</v>
      </c>
      <c r="L23" s="15" cm="1">
        <f t="array" ca="1" aca="1" ref="L23">CreateID($L$3,$L:$L,AND($A23&lt;&gt;"",$AC23))</f>
        <v>10</v>
      </c>
      <c r="M23" s="99" cm="1">
        <f t="array" ca="1" aca="1" ref="M23">CreateTaskID($M$3,$M:$M,Tasks!$B$17,$G23)</f>
        <v>0</v>
      </c>
      <c r="N23" s="15" t="str">
        <f t="shared" ca="1" si="2"/>
        <v/>
      </c>
      <c r="O23" s="15" cm="1">
        <f t="array" ca="1" aca="1" ref="O23">CreateID($O$3,$O:$O,$N23&lt;&gt;"")</f>
        <v>0</v>
      </c>
      <c r="P23" s="99" t="str">
        <f t="shared" ca="1" si="3"/>
        <v/>
      </c>
      <c r="Q23" s="99" cm="1">
        <f t="array" ca="1" aca="1" ref="Q23">CreateID($Q$3,$Q:$Q,$P23&lt;&gt;"")</f>
        <v>0</v>
      </c>
      <c r="R23" s="99" t="str">
        <f t="shared" ca="1" si="4"/>
        <v/>
      </c>
      <c r="S23" s="99" cm="1">
        <f t="array" ca="1" aca="1" ref="S23">CreateID($S$3,$S:$S,$R23&lt;&gt;"")</f>
        <v>0</v>
      </c>
      <c r="T23" s="99" t="str">
        <f t="shared" ca="1" si="5"/>
        <v/>
      </c>
      <c r="U23" s="99" cm="1">
        <f t="array" ca="1" aca="1" ref="U23">CreateID($U$3,$U:$U,$T23&lt;&gt;"")</f>
        <v>0</v>
      </c>
      <c r="V23" s="99" cm="1">
        <f t="array" ca="1" aca="1" ref="V23">CreateID($V$3,$V:$V,IFERROR(FIND(Definitions!$AR$4,$G23)&gt;0,FALSE))</f>
        <v>0</v>
      </c>
      <c r="W23" s="99">
        <f>_xlfn.LET(_xlpm._comment,$G23,_xlpm._keyWord,Definitions!$AR$4,_xlpm._diffLen,LEN(_xlpm._comment)-LEN(SUBSTITUTE(_xlpm._comment,_xlpm._keyWord,"")),_xlpm._diffLen/LEN(_xlpm._keyWord))</f>
        <v>0</v>
      </c>
      <c r="X23" s="99" cm="1">
        <f t="array" ca="1" aca="1" ref="X23">CreateID($X$3,$X:$X,IFERROR(FIND(Definitions!$AR$5,$G23)&gt;0,FALSE))</f>
        <v>0</v>
      </c>
      <c r="Y23" s="99">
        <f>_xlfn.LET(_xlpm._comment,$G23,_xlpm._keyWord,Definitions!$AR$5,_xlpm._diffLen,LEN(_xlpm._comment)-LEN(SUBSTITUTE(_xlpm._comment,_xlpm._keyWord,"")),_xlpm._diffLen/LEN(_xlpm._keyWord))</f>
        <v>0</v>
      </c>
      <c r="Z23" s="99" t="b">
        <f ca="1">OR(IFERROR(_xlfn.XMATCH("*,"&amp;$A23&amp;",*",Assumptions!$AL:$AL,2)&gt;0,FALSE),IFERROR(_xlfn.XMATCH("*,"&amp;$A23&amp;",*",Countermeasures!$AO:$AO,2)&gt;0,FALSE))</f>
        <v>0</v>
      </c>
      <c r="AA23" s="99" t="str" cm="1">
        <f t="array" ca="1" aca="1" ref="AA23">CreateSearchString($I23)</f>
        <v>,QI10[Yes|Life-threateninginjury],</v>
      </c>
      <c r="AB23" s="99" t="str">
        <f>IF($E23="","",IFERROR(VLOOKUP($E23,Definitions!$H:$J,COLUMNS(Definitions!$H:$J),FALSE),""))</f>
        <v>Critical</v>
      </c>
      <c r="AC23" s="99" t="b" cm="1">
        <f t="array" ca="1" aca="1" ref="AC23">IF($A23="",FALSE,SimpleLookup($A23,Questions!$A:$D)="x")</f>
        <v>1</v>
      </c>
      <c r="AD23" s="99" t="str" cm="1">
        <f t="array" ca="1" aca="1" ref="AD23">IF(OR($A23="",NOT($AC23)),"",SimpleLookup($A23,Questions!$A:$E))</f>
        <v>'[QuBA-libre.xlsx]Definitions'!$A$4</v>
      </c>
      <c r="AE23" s="99" cm="1">
        <f t="array" ca="1" aca="1" ref="AE23">IF(OR($A23="",NOT($AC23)),"",SimpleLookup($A23,Questions!$A:$F))</f>
        <v>2</v>
      </c>
      <c r="AF23" s="99" t="str" cm="1">
        <f t="array" ca="1" aca="1" ref="AF23">_xlfn.LET(_xlpm._answer,$C23,_xlpm._infoTextFull,IF($AC23,CHAR(10)&amp;SimpleLookup($A23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worst case severity of the injury for the intended use of the product?</v>
      </c>
      <c r="AG23" s="99" t="b" cm="1">
        <f t="array" ca="1" aca="1" ref="AG23">IF(OR($A23="",NOT($AC23)),FALSE,_xlfn.LET(_xlpm._secondAnswerRequiredOn,SimpleLookup($A23,Questions!$A:$I),_xlpm._firstAnwer,$C23,IFERROR(FIND(CHAR(10)&amp;_xlpm._firstAnwer&amp;":",CHAR(10)&amp;_xlpm._secondAnswerRequiredOn)&gt;0,FALSE)))</f>
        <v>1</v>
      </c>
      <c r="AH23" s="99" t="str" cm="1">
        <f t="array" ca="1" aca="1" ref="AH23">IF(OR($A23="",NOT($AC23)),"",_xlfn.LET(_xlpm._id,$A23,_xlpm._firstAnswer,$C23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'[QuBA-libre.xlsx]Definitions'!$H$14</v>
      </c>
      <c r="AI23" s="99" cm="1">
        <f t="array" ca="1" aca="1" ref="AI23">IF(OR($A23="",NOT($AC23)),"",_xlfn.LET(_xlpm._id,$A23,_xlpm._firstAnswer,$C23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4</v>
      </c>
      <c r="AJ23" s="99" t="str" cm="1">
        <f t="array" ca="1" aca="1" ref="AJ23">IF($AG23,_xlfn.LET(_xlpm._answer,$E23,_xlpm._infoTextFull,IF($AC23,CHAR(10)&amp;SimpleLookup($A23,Questions!$A:$L)&amp;CHAR(10),""),_xlpm._startSelectedByAnswerOne,IF(_xlpm._infoTextFull="",0,FIND("___"&amp;$C23&amp;"___",_xlpm._infoTextFull)+LEN("___"&amp;$C23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Life-threatening injury. Please provide a rationale:</v>
      </c>
      <c r="AK23" s="99" t="b" cm="1">
        <f t="array" ca="1" aca="1" ref="AK23">IF(OR($A23="",NOT($AC23)),FALSE,SimpleLookup($A23,Questions!$A:$Q))</f>
        <v>0</v>
      </c>
      <c r="AL23" s="99" t="str" cm="1">
        <f t="array" ca="1" aca="1" ref="AL23">IF(AND($A23=Questions!$A$41,IFERROR(SimpleLookup(Questions!$A$36,$A:$E)=Definitions!$O$5,FALSE),$C23=Definitions!$A$5),Questions!$A$36&amp;" "&amp;Questions!$B$36&amp;CHAR(10)&amp;CHAR(187)&amp;" "&amp;SimpleLookup(Questions!$A$36,$A:$C)&amp;CHAR(10)&amp;SimpleLookup(Questions!$A$36,$A:$D)&amp;CHAR(10)&amp;CHAR(187)&amp;" "&amp;Definitions!$O$5&amp;CHAR(10)&amp;CHAR(10)&amp;"is incosistent with"&amp;CHAR(10)&amp;CHAR(10)&amp;$A23&amp;" "&amp;SimpleLookup($A23,Questions!$A:$B)&amp;CHAR(10)&amp;CHAR(187)&amp;" "&amp;$C23,"")</f>
        <v/>
      </c>
      <c r="AM23" s="99" cm="1">
        <f t="array" ca="1" aca="1" ref="AM23">CreateID($AM$3,$AM:$AM,$AL23&lt;&gt;"")</f>
        <v>0</v>
      </c>
      <c r="AN23" s="99" t="str" cm="1">
        <f t="array" ca="1" aca="1" ref="AN23">IF(OR($C23="",OFFSET($C23,1,0)=""),"",IF(AND($A23=Questions!$A$59,OFFSET($A23,1,0)=Questions!$A$60,SimpleLookup(Questions!$A$49,$A:$C)=Definitions!$A$4),IF(MATCH($C23,Definitions!$AW:$AW,0)&gt;MATCH(OFFSET($C23,1,0),Definitions!AW:AW,0),$A23&amp;" "&amp;$K23&amp;": "&amp;$C23&amp;CHAR(10)&amp;"&lt;---&gt;"&amp;CHAR(10)&amp;OFFSET($A23,1,0)&amp;" "&amp;OFFSET($K23,1,0)&amp;": "&amp;OFFSET($C23,1,0),""),""))</f>
        <v/>
      </c>
      <c r="AO23" s="99" cm="1">
        <f t="array" ca="1" aca="1" ref="AO23">CreateID($AO$3,$AO:$AO,$AN23&lt;&gt;"")</f>
        <v>0</v>
      </c>
    </row>
    <row r="24" spans="1:41" ht="15">
      <c r="A24" s="96" t="s">
        <v>1186</v>
      </c>
      <c r="B24" s="4" t="str" cm="1">
        <f t="array" ca="1" aca="1" ref="B24">IF($A24="","",CreateIndentedString($K24,Definitions!$T$4,SimpleLookup($A24,Questions!$A:$C)))</f>
        <v xml:space="preserve">   Personal  data  /  IP</v>
      </c>
      <c r="I24" s="15" t="str">
        <f t="shared" ca="1" si="0"/>
        <v/>
      </c>
      <c r="J24" s="15" t="str">
        <f t="shared" ca="1" si="1"/>
        <v/>
      </c>
      <c r="K24" s="15" t="str" cm="1">
        <f t="array" ca="1" aca="1" ref="K24">SimpleLookup($A24,Questions!$A:$B)</f>
        <v>Personal data / IP</v>
      </c>
      <c r="L24" s="15" cm="1">
        <f t="array" ca="1" aca="1" ref="L24">CreateID($L$3,$L:$L,AND($A24&lt;&gt;"",$AC24))</f>
        <v>10</v>
      </c>
      <c r="M24" s="99" cm="1">
        <f t="array" ca="1" aca="1" ref="M24">CreateTaskID($M$3,$M:$M,Tasks!$B$17,$G24)</f>
        <v>0</v>
      </c>
      <c r="N24" s="15" t="str">
        <f t="shared" ca="1" si="2"/>
        <v/>
      </c>
      <c r="O24" s="15" cm="1">
        <f t="array" ca="1" aca="1" ref="O24">CreateID($O$3,$O:$O,$N24&lt;&gt;"")</f>
        <v>0</v>
      </c>
      <c r="P24" s="99" t="str">
        <f t="shared" si="3"/>
        <v/>
      </c>
      <c r="Q24" s="99" cm="1">
        <f t="array" ca="1" aca="1" ref="Q24">CreateID($Q$3,$Q:$Q,$P24&lt;&gt;"")</f>
        <v>0</v>
      </c>
      <c r="R24" s="99" t="str">
        <f t="shared" si="4"/>
        <v/>
      </c>
      <c r="S24" s="99" cm="1">
        <f t="array" ca="1" aca="1" ref="S24">CreateID($S$3,$S:$S,$R24&lt;&gt;"")</f>
        <v>0</v>
      </c>
      <c r="T24" s="99" t="str">
        <f t="shared" ca="1" si="5"/>
        <v/>
      </c>
      <c r="U24" s="99" cm="1">
        <f t="array" ca="1" aca="1" ref="U24">CreateID($U$3,$U:$U,$T24&lt;&gt;"")</f>
        <v>0</v>
      </c>
      <c r="V24" s="99" cm="1">
        <f t="array" ca="1" aca="1" ref="V24">CreateID($V$3,$V:$V,IFERROR(FIND(Definitions!$AR$4,$G24)&gt;0,FALSE))</f>
        <v>0</v>
      </c>
      <c r="W24" s="99">
        <f>_xlfn.LET(_xlpm._comment,$G24,_xlpm._keyWord,Definitions!$AR$4,_xlpm._diffLen,LEN(_xlpm._comment)-LEN(SUBSTITUTE(_xlpm._comment,_xlpm._keyWord,"")),_xlpm._diffLen/LEN(_xlpm._keyWord))</f>
        <v>0</v>
      </c>
      <c r="X24" s="99" cm="1">
        <f t="array" ca="1" aca="1" ref="X24">CreateID($X$3,$X:$X,IFERROR(FIND(Definitions!$AR$5,$G24)&gt;0,FALSE))</f>
        <v>0</v>
      </c>
      <c r="Y24" s="99">
        <f>_xlfn.LET(_xlpm._comment,$G24,_xlpm._keyWord,Definitions!$AR$5,_xlpm._diffLen,LEN(_xlpm._comment)-LEN(SUBSTITUTE(_xlpm._comment,_xlpm._keyWord,"")),_xlpm._diffLen/LEN(_xlpm._keyWord))</f>
        <v>0</v>
      </c>
      <c r="Z24" s="99" t="b">
        <f ca="1">OR(IFERROR(_xlfn.XMATCH("*,"&amp;$A24&amp;",*",Assumptions!$AL:$AL,2)&gt;0,FALSE),IFERROR(_xlfn.XMATCH("*,"&amp;$A24&amp;",*",Countermeasures!$AO:$AO,2)&gt;0,FALSE))</f>
        <v>0</v>
      </c>
      <c r="AA24" s="99" t="str" cm="1">
        <f t="array" ca="1" aca="1" ref="AA24">CreateSearchString($I24)</f>
        <v/>
      </c>
      <c r="AB24" s="99" t="str">
        <f>IF($E24="","",IFERROR(VLOOKUP($E24,Definitions!$H:$J,COLUMNS(Definitions!$H:$J),FALSE),""))</f>
        <v/>
      </c>
      <c r="AC24" s="99" t="b" cm="1">
        <f t="array" ca="1" aca="1" ref="AC24">IF($A24="",FALSE,SimpleLookup($A24,Questions!$A:$D)="x")</f>
        <v>0</v>
      </c>
      <c r="AD24" s="99" t="str" cm="1">
        <f t="array" ca="1" aca="1" ref="AD24">IF(OR($A24="",NOT($AC24)),"",SimpleLookup($A24,Questions!$A:$E))</f>
        <v/>
      </c>
      <c r="AE24" s="99" t="str" cm="1">
        <f t="array" ca="1" aca="1" ref="AE24">IF(OR($A24="",NOT($AC24)),"",SimpleLookup($A24,Questions!$A:$F))</f>
        <v/>
      </c>
      <c r="AF24" s="99" t="str" cm="1">
        <f t="array" ca="1" aca="1" ref="AF24">_xlfn.LET(_xlpm._answer,$C24,_xlpm._infoTextFull,IF($AC24,CHAR(10)&amp;SimpleLookup($A24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24" s="99" t="b" cm="1">
        <f t="array" ca="1" aca="1" ref="AG24">IF(OR($A24="",NOT($AC24)),FALSE,_xlfn.LET(_xlpm._secondAnswerRequiredOn,SimpleLookup($A24,Questions!$A:$I),_xlpm._firstAnwer,$C24,IFERROR(FIND(CHAR(10)&amp;_xlpm._firstAnwer&amp;":",CHAR(10)&amp;_xlpm._secondAnswerRequiredOn)&gt;0,FALSE)))</f>
        <v>0</v>
      </c>
      <c r="AH24" s="99" t="str" cm="1">
        <f t="array" ca="1" aca="1" ref="AH24">IF(OR($A24="",NOT($AC24)),"",_xlfn.LET(_xlpm._id,$A24,_xlpm._firstAnswer,$C24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24" s="99" t="str" cm="1">
        <f t="array" ca="1" aca="1" ref="AI24">IF(OR($A24="",NOT($AC24)),"",_xlfn.LET(_xlpm._id,$A24,_xlpm._firstAnswer,$C24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24" s="99" t="str" cm="1">
        <f t="array" ca="1" aca="1" ref="AJ24">IF($AG24,_xlfn.LET(_xlpm._answer,$E24,_xlpm._infoTextFull,IF($AC24,CHAR(10)&amp;SimpleLookup($A24,Questions!$A:$L)&amp;CHAR(10),""),_xlpm._startSelectedByAnswerOne,IF(_xlpm._infoTextFull="",0,FIND("___"&amp;$C24&amp;"___",_xlpm._infoTextFull)+LEN("___"&amp;$C24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24" s="99" t="b" cm="1">
        <f t="array" ca="1" aca="1" ref="AK24">IF(OR($A24="",NOT($AC24)),FALSE,SimpleLookup($A24,Questions!$A:$Q))</f>
        <v>0</v>
      </c>
      <c r="AL24" s="99" t="str" cm="1">
        <f t="array" ca="1" aca="1" ref="AL24">IF(AND($A24=Questions!$A$41,IFERROR(SimpleLookup(Questions!$A$36,$A:$E)=Definitions!$O$5,FALSE),$C24=Definitions!$A$5),Questions!$A$36&amp;" "&amp;Questions!$B$36&amp;CHAR(10)&amp;CHAR(187)&amp;" "&amp;SimpleLookup(Questions!$A$36,$A:$C)&amp;CHAR(10)&amp;SimpleLookup(Questions!$A$36,$A:$D)&amp;CHAR(10)&amp;CHAR(187)&amp;" "&amp;Definitions!$O$5&amp;CHAR(10)&amp;CHAR(10)&amp;"is incosistent with"&amp;CHAR(10)&amp;CHAR(10)&amp;$A24&amp;" "&amp;SimpleLookup($A24,Questions!$A:$B)&amp;CHAR(10)&amp;CHAR(187)&amp;" "&amp;$C24,"")</f>
        <v/>
      </c>
      <c r="AM24" s="99" cm="1">
        <f t="array" ca="1" aca="1" ref="AM24">CreateID($AM$3,$AM:$AM,$AL24&lt;&gt;"")</f>
        <v>0</v>
      </c>
      <c r="AN24" s="99" t="str" cm="1">
        <f t="array" ca="1" aca="1" ref="AN24">IF(OR($C24="",OFFSET($C24,1,0)=""),"",IF(AND($A24=Questions!$A$59,OFFSET($A24,1,0)=Questions!$A$60,SimpleLookup(Questions!$A$49,$A:$C)=Definitions!$A$4),IF(MATCH($C24,Definitions!$AW:$AW,0)&gt;MATCH(OFFSET($C24,1,0),Definitions!AW:AW,0),$A24&amp;" "&amp;$K24&amp;": "&amp;$C24&amp;CHAR(10)&amp;"&lt;---&gt;"&amp;CHAR(10)&amp;OFFSET($A24,1,0)&amp;" "&amp;OFFSET($K24,1,0)&amp;": "&amp;OFFSET($C24,1,0),""),""))</f>
        <v/>
      </c>
      <c r="AO24" s="99" cm="1">
        <f t="array" ca="1" aca="1" ref="AO24">CreateID($AO$3,$AO:$AO,$AN24&lt;&gt;"")</f>
        <v>0</v>
      </c>
    </row>
    <row r="25" spans="1:41" ht="75">
      <c r="A25" s="96" t="s">
        <v>1079</v>
      </c>
      <c r="B25" s="4" t="str" cm="1">
        <f t="array" ca="1" aca="1" ref="B25">IF($A25="","",CreateIndentedString($K25,Definitions!$T$4,SimpleLookup($A25,Questions!$A:$C)))</f>
        <v xml:space="preserve">      Can  a  manipulated  product  disclose  personal  data
      to  an  attacker?  Also  consider  cases  where  the
      product  is  used  against  its  intended  use  or
      misconfigured!</v>
      </c>
      <c r="C25" s="4" t="s">
        <v>10</v>
      </c>
      <c r="D25" s="8" t="str">
        <f ca="1">$AF25</f>
        <v>What is the criticality of the disclosed data?</v>
      </c>
      <c r="E25" s="4" t="s">
        <v>16</v>
      </c>
      <c r="F25" s="8" t="str">
        <f ca="1">$AJ25</f>
        <v>The person affected can be ruinously impaired in his social status and economic circumstances. The freedom of the person concerned is threatened (e.g., health data, biometric data, racial or ethnic origin, political opinions, religious beliefs). Please list the affected data:</v>
      </c>
      <c r="G25" s="4" t="s">
        <v>1792</v>
      </c>
      <c r="I25" s="15" t="str">
        <f t="shared" ca="1" si="0"/>
        <v>QI11[Yes|Personaldata(ruinous)]</v>
      </c>
      <c r="J25" s="15" t="str">
        <f t="shared" ca="1" si="1"/>
        <v>QI11[Yes|*]</v>
      </c>
      <c r="K25" s="15" t="str" cm="1">
        <f t="array" ca="1" aca="1" ref="K25">SimpleLookup($A25,Questions!$A:$B)</f>
        <v>Can a manipulated product disclose personal data to an attacker? Also consider cases where the product is used against its intended use or misconfigured!</v>
      </c>
      <c r="L25" s="15" cm="1">
        <f t="array" ca="1" aca="1" ref="L25">CreateID($L$3,$L:$L,AND($A25&lt;&gt;"",$AC25))</f>
        <v>11</v>
      </c>
      <c r="M25" s="99" cm="1">
        <f t="array" ca="1" aca="1" ref="M25">CreateTaskID($M$3,$M:$M,Tasks!$B$17,$G25)</f>
        <v>0</v>
      </c>
      <c r="N25" s="15" t="str">
        <f t="shared" ca="1" si="2"/>
        <v/>
      </c>
      <c r="O25" s="15" cm="1">
        <f t="array" ca="1" aca="1" ref="O25">CreateID($O$3,$O:$O,$N25&lt;&gt;"")</f>
        <v>0</v>
      </c>
      <c r="P25" s="99" t="str">
        <f t="shared" ca="1" si="3"/>
        <v/>
      </c>
      <c r="Q25" s="99" cm="1">
        <f t="array" ca="1" aca="1" ref="Q25">CreateID($Q$3,$Q:$Q,$P25&lt;&gt;"")</f>
        <v>0</v>
      </c>
      <c r="R25" s="99" t="str">
        <f t="shared" ca="1" si="4"/>
        <v/>
      </c>
      <c r="S25" s="99" cm="1">
        <f t="array" ca="1" aca="1" ref="S25">CreateID($S$3,$S:$S,$R25&lt;&gt;"")</f>
        <v>0</v>
      </c>
      <c r="T25" s="99" t="str">
        <f t="shared" ca="1" si="5"/>
        <v/>
      </c>
      <c r="U25" s="99" cm="1">
        <f t="array" ca="1" aca="1" ref="U25">CreateID($U$3,$U:$U,$T25&lt;&gt;"")</f>
        <v>0</v>
      </c>
      <c r="V25" s="99" cm="1">
        <f t="array" ca="1" aca="1" ref="V25">CreateID($V$3,$V:$V,IFERROR(FIND(Definitions!$AR$4,$G25)&gt;0,FALSE))</f>
        <v>0</v>
      </c>
      <c r="W25" s="99">
        <f>_xlfn.LET(_xlpm._comment,$G25,_xlpm._keyWord,Definitions!$AR$4,_xlpm._diffLen,LEN(_xlpm._comment)-LEN(SUBSTITUTE(_xlpm._comment,_xlpm._keyWord,"")),_xlpm._diffLen/LEN(_xlpm._keyWord))</f>
        <v>0</v>
      </c>
      <c r="X25" s="99" cm="1">
        <f t="array" ca="1" aca="1" ref="X25">CreateID($X$3,$X:$X,IFERROR(FIND(Definitions!$AR$5,$G25)&gt;0,FALSE))</f>
        <v>0</v>
      </c>
      <c r="Y25" s="99">
        <f>_xlfn.LET(_xlpm._comment,$G25,_xlpm._keyWord,Definitions!$AR$5,_xlpm._diffLen,LEN(_xlpm._comment)-LEN(SUBSTITUTE(_xlpm._comment,_xlpm._keyWord,"")),_xlpm._diffLen/LEN(_xlpm._keyWord))</f>
        <v>0</v>
      </c>
      <c r="Z25" s="99" t="b">
        <f ca="1">OR(IFERROR(_xlfn.XMATCH("*,"&amp;$A25&amp;",*",Assumptions!$AL:$AL,2)&gt;0,FALSE),IFERROR(_xlfn.XMATCH("*,"&amp;$A25&amp;",*",Countermeasures!$AO:$AO,2)&gt;0,FALSE))</f>
        <v>0</v>
      </c>
      <c r="AA25" s="99" t="str" cm="1">
        <f t="array" ca="1" aca="1" ref="AA25">CreateSearchString($I25)</f>
        <v>,QI11[Yes|Personaldata(ruinous)],</v>
      </c>
      <c r="AB25" s="99" t="str">
        <f>IF($E25="","",IFERROR(VLOOKUP($E25,Definitions!$H:$J,COLUMNS(Definitions!$H:$J),FALSE),""))</f>
        <v>Critical</v>
      </c>
      <c r="AC25" s="99" t="b" cm="1">
        <f t="array" ca="1" aca="1" ref="AC25">IF($A25="",FALSE,SimpleLookup($A25,Questions!$A:$D)="x")</f>
        <v>1</v>
      </c>
      <c r="AD25" s="99" t="str" cm="1">
        <f t="array" ca="1" aca="1" ref="AD25">IF(OR($A25="",NOT($AC25)),"",SimpleLookup($A25,Questions!$A:$E))</f>
        <v>'[QuBA-libre.xlsx]Definitions'!$A$4</v>
      </c>
      <c r="AE25" s="99" cm="1">
        <f t="array" ca="1" aca="1" ref="AE25">IF(OR($A25="",NOT($AC25)),"",SimpleLookup($A25,Questions!$A:$F))</f>
        <v>2</v>
      </c>
      <c r="AF25" s="99" t="str" cm="1">
        <f t="array" ca="1" aca="1" ref="AF25">_xlfn.LET(_xlpm._answer,$C25,_xlpm._infoTextFull,IF($AC25,CHAR(10)&amp;SimpleLookup($A25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criticality of the disclosed data?</v>
      </c>
      <c r="AG25" s="99" t="b" cm="1">
        <f t="array" ca="1" aca="1" ref="AG25">IF(OR($A25="",NOT($AC25)),FALSE,_xlfn.LET(_xlpm._secondAnswerRequiredOn,SimpleLookup($A25,Questions!$A:$I),_xlpm._firstAnwer,$C25,IFERROR(FIND(CHAR(10)&amp;_xlpm._firstAnwer&amp;":",CHAR(10)&amp;_xlpm._secondAnswerRequiredOn)&gt;0,FALSE)))</f>
        <v>1</v>
      </c>
      <c r="AH25" s="99" t="str" cm="1">
        <f t="array" ca="1" aca="1" ref="AH25">IF(OR($A25="",NOT($AC25)),"",_xlfn.LET(_xlpm._id,$A25,_xlpm._firstAnswer,$C25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'[QuBA-libre.xlsx]Definitions'!$H$4</v>
      </c>
      <c r="AI25" s="99" cm="1">
        <f t="array" ca="1" aca="1" ref="AI25">IF(OR($A25="",NOT($AC25)),"",_xlfn.LET(_xlpm._id,$A25,_xlpm._firstAnswer,$C25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3</v>
      </c>
      <c r="AJ25" s="99" t="str" cm="1">
        <f t="array" ca="1" aca="1" ref="AJ25">IF($AG25,_xlfn.LET(_xlpm._answer,$E25,_xlpm._infoTextFull,IF($AC25,CHAR(10)&amp;SimpleLookup($A25,Questions!$A:$L)&amp;CHAR(10),""),_xlpm._startSelectedByAnswerOne,IF(_xlpm._infoTextFull="",0,FIND("___"&amp;$C25&amp;"___",_xlpm._infoTextFull)+LEN("___"&amp;$C25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The person affected can be ruinously impaired in his social status and economic circumstances. The freedom of the person concerned is threatened (e.g., health data, biometric data, racial or ethnic origin, political opinions, religious beliefs). Please list the affected data:</v>
      </c>
      <c r="AK25" s="99" t="b" cm="1">
        <f t="array" ca="1" aca="1" ref="AK25">IF(OR($A25="",NOT($AC25)),FALSE,SimpleLookup($A25,Questions!$A:$Q))</f>
        <v>0</v>
      </c>
      <c r="AL25" s="99" t="str" cm="1">
        <f t="array" ca="1" aca="1" ref="AL25">IF(AND($A25=Questions!$A$41,IFERROR(SimpleLookup(Questions!$A$36,$A:$E)=Definitions!$O$5,FALSE),$C25=Definitions!$A$5),Questions!$A$36&amp;" "&amp;Questions!$B$36&amp;CHAR(10)&amp;CHAR(187)&amp;" "&amp;SimpleLookup(Questions!$A$36,$A:$C)&amp;CHAR(10)&amp;SimpleLookup(Questions!$A$36,$A:$D)&amp;CHAR(10)&amp;CHAR(187)&amp;" "&amp;Definitions!$O$5&amp;CHAR(10)&amp;CHAR(10)&amp;"is incosistent with"&amp;CHAR(10)&amp;CHAR(10)&amp;$A25&amp;" "&amp;SimpleLookup($A25,Questions!$A:$B)&amp;CHAR(10)&amp;CHAR(187)&amp;" "&amp;$C25,"")</f>
        <v/>
      </c>
      <c r="AM25" s="99" cm="1">
        <f t="array" ca="1" aca="1" ref="AM25">CreateID($AM$3,$AM:$AM,$AL25&lt;&gt;"")</f>
        <v>0</v>
      </c>
      <c r="AN25" s="99" t="str" cm="1">
        <f t="array" ca="1" aca="1" ref="AN25">IF(OR($C25="",OFFSET($C25,1,0)=""),"",IF(AND($A25=Questions!$A$59,OFFSET($A25,1,0)=Questions!$A$60,SimpleLookup(Questions!$A$49,$A:$C)=Definitions!$A$4),IF(MATCH($C25,Definitions!$AW:$AW,0)&gt;MATCH(OFFSET($C25,1,0),Definitions!AW:AW,0),$A25&amp;" "&amp;$K25&amp;": "&amp;$C25&amp;CHAR(10)&amp;"&lt;---&gt;"&amp;CHAR(10)&amp;OFFSET($A25,1,0)&amp;" "&amp;OFFSET($K25,1,0)&amp;": "&amp;OFFSET($C25,1,0),""),""))</f>
        <v/>
      </c>
      <c r="AO25" s="99" cm="1">
        <f t="array" ca="1" aca="1" ref="AO25">CreateID($AO$3,$AO:$AO,$AN25&lt;&gt;"")</f>
        <v>0</v>
      </c>
    </row>
    <row r="26" spans="1:41" ht="60">
      <c r="A26" s="96" t="s">
        <v>1078</v>
      </c>
      <c r="B26" s="4" t="str" cm="1">
        <f t="array" ca="1" aca="1" ref="B26">IF($A26="","",CreateIndentedString($K26,Definitions!$T$4,SimpleLookup($A26,Questions!$A:$C)))</f>
        <v xml:space="preserve">      Can  a  manipulated  product  disclose  intellectual
      property  to  an  attacker?  Also  consider  cases
      where  the  product  is  used  against  its  intended
      use  or  misconfigured!</v>
      </c>
      <c r="C26" s="4" t="s">
        <v>10</v>
      </c>
      <c r="D26" s="8" t="str">
        <f ca="1">$AF26</f>
        <v>What is the criticality of the disclosed data?</v>
      </c>
      <c r="E26" s="4" t="s">
        <v>25</v>
      </c>
      <c r="F26" s="8" t="str">
        <f ca="1">$AJ26</f>
        <v>Can be copied / technology available or high impact on markets (highly innovative product / high-volume market). Please list the affected data:</v>
      </c>
      <c r="G26" s="4" t="s">
        <v>1792</v>
      </c>
      <c r="I26" s="15" t="str">
        <f t="shared" ca="1" si="0"/>
        <v>QI12[Yes|IP(highlyinnovative)]</v>
      </c>
      <c r="J26" s="15" t="str">
        <f t="shared" ca="1" si="1"/>
        <v>QI12[Yes|*]</v>
      </c>
      <c r="K26" s="15" t="str" cm="1">
        <f t="array" ca="1" aca="1" ref="K26">SimpleLookup($A26,Questions!$A:$B)</f>
        <v>Can a manipulated product disclose intellectual property to an attacker? Also consider cases where the product is used against its intended use or misconfigured!</v>
      </c>
      <c r="L26" s="15" cm="1">
        <f t="array" ca="1" aca="1" ref="L26">CreateID($L$3,$L:$L,AND($A26&lt;&gt;"",$AC26))</f>
        <v>12</v>
      </c>
      <c r="M26" s="99" cm="1">
        <f t="array" ca="1" aca="1" ref="M26">CreateTaskID($M$3,$M:$M,Tasks!$B$17,$G26)</f>
        <v>0</v>
      </c>
      <c r="N26" s="15" t="str">
        <f t="shared" ca="1" si="2"/>
        <v/>
      </c>
      <c r="O26" s="15" cm="1">
        <f t="array" ca="1" aca="1" ref="O26">CreateID($O$3,$O:$O,$N26&lt;&gt;"")</f>
        <v>0</v>
      </c>
      <c r="P26" s="99" t="str">
        <f t="shared" ca="1" si="3"/>
        <v/>
      </c>
      <c r="Q26" s="99" cm="1">
        <f t="array" ca="1" aca="1" ref="Q26">CreateID($Q$3,$Q:$Q,$P26&lt;&gt;"")</f>
        <v>0</v>
      </c>
      <c r="R26" s="99" t="str">
        <f t="shared" ca="1" si="4"/>
        <v/>
      </c>
      <c r="S26" s="99" cm="1">
        <f t="array" ca="1" aca="1" ref="S26">CreateID($S$3,$S:$S,$R26&lt;&gt;"")</f>
        <v>0</v>
      </c>
      <c r="T26" s="99" t="str">
        <f t="shared" ca="1" si="5"/>
        <v/>
      </c>
      <c r="U26" s="99" cm="1">
        <f t="array" ca="1" aca="1" ref="U26">CreateID($U$3,$U:$U,$T26&lt;&gt;"")</f>
        <v>0</v>
      </c>
      <c r="V26" s="99" cm="1">
        <f t="array" ca="1" aca="1" ref="V26">CreateID($V$3,$V:$V,IFERROR(FIND(Definitions!$AR$4,$G26)&gt;0,FALSE))</f>
        <v>0</v>
      </c>
      <c r="W26" s="99">
        <f>_xlfn.LET(_xlpm._comment,$G26,_xlpm._keyWord,Definitions!$AR$4,_xlpm._diffLen,LEN(_xlpm._comment)-LEN(SUBSTITUTE(_xlpm._comment,_xlpm._keyWord,"")),_xlpm._diffLen/LEN(_xlpm._keyWord))</f>
        <v>0</v>
      </c>
      <c r="X26" s="99" cm="1">
        <f t="array" ca="1" aca="1" ref="X26">CreateID($X$3,$X:$X,IFERROR(FIND(Definitions!$AR$5,$G26)&gt;0,FALSE))</f>
        <v>0</v>
      </c>
      <c r="Y26" s="99">
        <f>_xlfn.LET(_xlpm._comment,$G26,_xlpm._keyWord,Definitions!$AR$5,_xlpm._diffLen,LEN(_xlpm._comment)-LEN(SUBSTITUTE(_xlpm._comment,_xlpm._keyWord,"")),_xlpm._diffLen/LEN(_xlpm._keyWord))</f>
        <v>0</v>
      </c>
      <c r="Z26" s="99" t="b">
        <f ca="1">OR(IFERROR(_xlfn.XMATCH("*,"&amp;$A26&amp;",*",Assumptions!$AL:$AL,2)&gt;0,FALSE),IFERROR(_xlfn.XMATCH("*,"&amp;$A26&amp;",*",Countermeasures!$AO:$AO,2)&gt;0,FALSE))</f>
        <v>0</v>
      </c>
      <c r="AA26" s="99" t="str" cm="1">
        <f t="array" ca="1" aca="1" ref="AA26">CreateSearchString($I26)</f>
        <v>,QI12[Yes|IP(highlyinnovative)],</v>
      </c>
      <c r="AB26" s="99" t="str">
        <f>IF($E26="","",IFERROR(VLOOKUP($E26,Definitions!$H:$J,COLUMNS(Definitions!$H:$J),FALSE),""))</f>
        <v>High</v>
      </c>
      <c r="AC26" s="99" t="b" cm="1">
        <f t="array" ca="1" aca="1" ref="AC26">IF($A26="",FALSE,SimpleLookup($A26,Questions!$A:$D)="x")</f>
        <v>1</v>
      </c>
      <c r="AD26" s="99" t="str" cm="1">
        <f t="array" ca="1" aca="1" ref="AD26">IF(OR($A26="",NOT($AC26)),"",SimpleLookup($A26,Questions!$A:$E))</f>
        <v>'[QuBA-libre.xlsx]Definitions'!$A$4</v>
      </c>
      <c r="AE26" s="99" cm="1">
        <f t="array" ca="1" aca="1" ref="AE26">IF(OR($A26="",NOT($AC26)),"",SimpleLookup($A26,Questions!$A:$F))</f>
        <v>2</v>
      </c>
      <c r="AF26" s="99" t="str" cm="1">
        <f t="array" ca="1" aca="1" ref="AF26">_xlfn.LET(_xlpm._answer,$C26,_xlpm._infoTextFull,IF($AC26,CHAR(10)&amp;SimpleLookup($A26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criticality of the disclosed data?</v>
      </c>
      <c r="AG26" s="99" t="b" cm="1">
        <f t="array" ca="1" aca="1" ref="AG26">IF(OR($A26="",NOT($AC26)),FALSE,_xlfn.LET(_xlpm._secondAnswerRequiredOn,SimpleLookup($A26,Questions!$A:$I),_xlpm._firstAnwer,$C26,IFERROR(FIND(CHAR(10)&amp;_xlpm._firstAnwer&amp;":",CHAR(10)&amp;_xlpm._secondAnswerRequiredOn)&gt;0,FALSE)))</f>
        <v>1</v>
      </c>
      <c r="AH26" s="99" t="str" cm="1">
        <f t="array" ca="1" aca="1" ref="AH26">IF(OR($A26="",NOT($AC26)),"",_xlfn.LET(_xlpm._id,$A26,_xlpm._firstAnswer,$C26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'[QuBA-libre.xlsx]Definitions'!$H$7</v>
      </c>
      <c r="AI26" s="99" cm="1">
        <f t="array" ca="1" aca="1" ref="AI26">IF(OR($A26="",NOT($AC26)),"",_xlfn.LET(_xlpm._id,$A26,_xlpm._firstAnswer,$C26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3</v>
      </c>
      <c r="AJ26" s="99" t="str" cm="1">
        <f t="array" ca="1" aca="1" ref="AJ26">IF($AG26,_xlfn.LET(_xlpm._answer,$E26,_xlpm._infoTextFull,IF($AC26,CHAR(10)&amp;SimpleLookup($A26,Questions!$A:$L)&amp;CHAR(10),""),_xlpm._startSelectedByAnswerOne,IF(_xlpm._infoTextFull="",0,FIND("___"&amp;$C26&amp;"___",_xlpm._infoTextFull)+LEN("___"&amp;$C26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Can be copied / technology available or high impact on markets (highly innovative product / high-volume market). Please list the affected data:</v>
      </c>
      <c r="AK26" s="99" t="b" cm="1">
        <f t="array" ca="1" aca="1" ref="AK26">IF(OR($A26="",NOT($AC26)),FALSE,SimpleLookup($A26,Questions!$A:$Q))</f>
        <v>0</v>
      </c>
      <c r="AL26" s="99" t="str" cm="1">
        <f t="array" ca="1" aca="1" ref="AL26">IF(AND($A26=Questions!$A$41,IFERROR(SimpleLookup(Questions!$A$36,$A:$E)=Definitions!$O$5,FALSE),$C26=Definitions!$A$5),Questions!$A$36&amp;" "&amp;Questions!$B$36&amp;CHAR(10)&amp;CHAR(187)&amp;" "&amp;SimpleLookup(Questions!$A$36,$A:$C)&amp;CHAR(10)&amp;SimpleLookup(Questions!$A$36,$A:$D)&amp;CHAR(10)&amp;CHAR(187)&amp;" "&amp;Definitions!$O$5&amp;CHAR(10)&amp;CHAR(10)&amp;"is incosistent with"&amp;CHAR(10)&amp;CHAR(10)&amp;$A26&amp;" "&amp;SimpleLookup($A26,Questions!$A:$B)&amp;CHAR(10)&amp;CHAR(187)&amp;" "&amp;$C26,"")</f>
        <v/>
      </c>
      <c r="AM26" s="99" cm="1">
        <f t="array" ca="1" aca="1" ref="AM26">CreateID($AM$3,$AM:$AM,$AL26&lt;&gt;"")</f>
        <v>0</v>
      </c>
      <c r="AN26" s="99" t="str" cm="1">
        <f t="array" ca="1" aca="1" ref="AN26">IF(OR($C26="",OFFSET($C26,1,0)=""),"",IF(AND($A26=Questions!$A$59,OFFSET($A26,1,0)=Questions!$A$60,SimpleLookup(Questions!$A$49,$A:$C)=Definitions!$A$4),IF(MATCH($C26,Definitions!$AW:$AW,0)&gt;MATCH(OFFSET($C26,1,0),Definitions!AW:AW,0),$A26&amp;" "&amp;$K26&amp;": "&amp;$C26&amp;CHAR(10)&amp;"&lt;---&gt;"&amp;CHAR(10)&amp;OFFSET($A26,1,0)&amp;" "&amp;OFFSET($K26,1,0)&amp;": "&amp;OFFSET($C26,1,0),""),""))</f>
        <v/>
      </c>
      <c r="AO26" s="99" cm="1">
        <f t="array" ca="1" aca="1" ref="AO26">CreateID($AO$3,$AO:$AO,$AN26&lt;&gt;"")</f>
        <v>0</v>
      </c>
    </row>
    <row r="27" spans="1:41" ht="90">
      <c r="A27" s="96" t="s">
        <v>1077</v>
      </c>
      <c r="B27" s="4" t="str" cm="1">
        <f t="array" ca="1" aca="1" ref="B27">IF($A27="","",CreateIndentedString($K27,Definitions!$T$4,SimpleLookup($A27,Questions!$A:$C)))</f>
        <v xml:space="preserve">      Can  a  manipulated  product  disclose  credentials  /
      cryptographic  material  to  an  attacker?  Also
      consider  cases  where  the  product  does  not
      disclose  the  material  but  misuses  its  access  to
      other  systems!  (E.g.,  product  contains  access
      credentials  to  store  data  on  a  server.)</v>
      </c>
      <c r="C27" s="4" t="s">
        <v>10</v>
      </c>
      <c r="D27" s="8" t="str">
        <f ca="1">$AF27</f>
        <v>What is the criticality of the disclosed data / what are the consequences of the malicious access?</v>
      </c>
      <c r="E27" s="4" t="s">
        <v>1136</v>
      </c>
      <c r="F27" s="8" t="str">
        <f ca="1">$AJ27</f>
        <v>Environmental damages that accumulate to critical impact over time as well as critical damages that happen in a single incident. Please list the affected data:</v>
      </c>
      <c r="G27" s="4" t="s">
        <v>1792</v>
      </c>
      <c r="I27" s="15" t="str">
        <f t="shared" ca="1" si="0"/>
        <v>QI13[Yes|Criticalenvironmentaldamage]</v>
      </c>
      <c r="J27" s="15" t="str">
        <f t="shared" ca="1" si="1"/>
        <v>QI13[Yes|*]</v>
      </c>
      <c r="K27" s="15" t="str" cm="1">
        <f t="array" ca="1" aca="1" ref="K27">SimpleLookup($A27,Questions!$A:$B)</f>
        <v>Can a manipulated product disclose credentials / cryptographic material to an attacker? Also consider cases where the product does not disclose the material but misuses its access to other systems! (E.g., product contains access credentials to store data on a server.)</v>
      </c>
      <c r="L27" s="15" cm="1">
        <f t="array" ca="1" aca="1" ref="L27">CreateID($L$3,$L:$L,AND($A27&lt;&gt;"",$AC27))</f>
        <v>13</v>
      </c>
      <c r="M27" s="99" cm="1">
        <f t="array" ca="1" aca="1" ref="M27">CreateTaskID($M$3,$M:$M,Tasks!$B$17,$G27)</f>
        <v>0</v>
      </c>
      <c r="N27" s="15" t="str">
        <f t="shared" ca="1" si="2"/>
        <v/>
      </c>
      <c r="O27" s="15" cm="1">
        <f t="array" ca="1" aca="1" ref="O27">CreateID($O$3,$O:$O,$N27&lt;&gt;"")</f>
        <v>0</v>
      </c>
      <c r="P27" s="99" t="str">
        <f t="shared" ca="1" si="3"/>
        <v/>
      </c>
      <c r="Q27" s="99" cm="1">
        <f t="array" ca="1" aca="1" ref="Q27">CreateID($Q$3,$Q:$Q,$P27&lt;&gt;"")</f>
        <v>0</v>
      </c>
      <c r="R27" s="99" t="str">
        <f t="shared" ca="1" si="4"/>
        <v/>
      </c>
      <c r="S27" s="99" cm="1">
        <f t="array" ca="1" aca="1" ref="S27">CreateID($S$3,$S:$S,$R27&lt;&gt;"")</f>
        <v>0</v>
      </c>
      <c r="T27" s="99" t="str">
        <f t="shared" ca="1" si="5"/>
        <v/>
      </c>
      <c r="U27" s="99" cm="1">
        <f t="array" ca="1" aca="1" ref="U27">CreateID($U$3,$U:$U,$T27&lt;&gt;"")</f>
        <v>0</v>
      </c>
      <c r="V27" s="99" cm="1">
        <f t="array" ca="1" aca="1" ref="V27">CreateID($V$3,$V:$V,IFERROR(FIND(Definitions!$AR$4,$G27)&gt;0,FALSE))</f>
        <v>0</v>
      </c>
      <c r="W27" s="99">
        <f>_xlfn.LET(_xlpm._comment,$G27,_xlpm._keyWord,Definitions!$AR$4,_xlpm._diffLen,LEN(_xlpm._comment)-LEN(SUBSTITUTE(_xlpm._comment,_xlpm._keyWord,"")),_xlpm._diffLen/LEN(_xlpm._keyWord))</f>
        <v>0</v>
      </c>
      <c r="X27" s="99" cm="1">
        <f t="array" ca="1" aca="1" ref="X27">CreateID($X$3,$X:$X,IFERROR(FIND(Definitions!$AR$5,$G27)&gt;0,FALSE))</f>
        <v>0</v>
      </c>
      <c r="Y27" s="99">
        <f>_xlfn.LET(_xlpm._comment,$G27,_xlpm._keyWord,Definitions!$AR$5,_xlpm._diffLen,LEN(_xlpm._comment)-LEN(SUBSTITUTE(_xlpm._comment,_xlpm._keyWord,"")),_xlpm._diffLen/LEN(_xlpm._keyWord))</f>
        <v>0</v>
      </c>
      <c r="Z27" s="99" t="b">
        <f ca="1">OR(IFERROR(_xlfn.XMATCH("*,"&amp;$A27&amp;",*",Assumptions!$AL:$AL,2)&gt;0,FALSE),IFERROR(_xlfn.XMATCH("*,"&amp;$A27&amp;",*",Countermeasures!$AO:$AO,2)&gt;0,FALSE))</f>
        <v>0</v>
      </c>
      <c r="AA27" s="99" t="str" cm="1">
        <f t="array" ca="1" aca="1" ref="AA27">CreateSearchString($I27)</f>
        <v>,QI13[Yes|Criticalenvironmentaldamage],</v>
      </c>
      <c r="AB27" s="99" t="str">
        <f>IF($E27="","",IFERROR(VLOOKUP($E27,Definitions!$H:$J,COLUMNS(Definitions!$H:$J),FALSE),""))</f>
        <v>Critical</v>
      </c>
      <c r="AC27" s="99" t="b" cm="1">
        <f t="array" ca="1" aca="1" ref="AC27">IF($A27="",FALSE,SimpleLookup($A27,Questions!$A:$D)="x")</f>
        <v>1</v>
      </c>
      <c r="AD27" s="99" t="str" cm="1">
        <f t="array" ca="1" aca="1" ref="AD27">IF(OR($A27="",NOT($AC27)),"",SimpleLookup($A27,Questions!$A:$E))</f>
        <v>'[QuBA-libre.xlsx]Definitions'!$A$4</v>
      </c>
      <c r="AE27" s="99" cm="1">
        <f t="array" ca="1" aca="1" ref="AE27">IF(OR($A27="",NOT($AC27)),"",SimpleLookup($A27,Questions!$A:$F))</f>
        <v>2</v>
      </c>
      <c r="AF27" s="99" t="str" cm="1">
        <f t="array" ca="1" aca="1" ref="AF27">_xlfn.LET(_xlpm._answer,$C27,_xlpm._infoTextFull,IF($AC27,CHAR(10)&amp;SimpleLookup($A27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criticality of the disclosed data / what are the consequences of the malicious access?</v>
      </c>
      <c r="AG27" s="99" t="b" cm="1">
        <f t="array" ca="1" aca="1" ref="AG27">IF(OR($A27="",NOT($AC27)),FALSE,_xlfn.LET(_xlpm._secondAnswerRequiredOn,SimpleLookup($A27,Questions!$A:$I),_xlpm._firstAnwer,$C27,IFERROR(FIND(CHAR(10)&amp;_xlpm._firstAnwer&amp;":",CHAR(10)&amp;_xlpm._secondAnswerRequiredOn)&gt;0,FALSE)))</f>
        <v>1</v>
      </c>
      <c r="AH27" s="99" t="str" cm="1">
        <f t="array" ca="1" aca="1" ref="AH27">IF(OR($A27="",NOT($AC27)),"",_xlfn.LET(_xlpm._id,$A27,_xlpm._firstAnswer,$C27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'[QuBA-libre.xlsx]Definitions'!$H$4</v>
      </c>
      <c r="AI27" s="99" cm="1">
        <f t="array" ca="1" aca="1" ref="AI27">IF(OR($A27="",NOT($AC27)),"",_xlfn.LET(_xlpm._id,$A27,_xlpm._firstAnswer,$C27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20</v>
      </c>
      <c r="AJ27" s="99" t="str" cm="1">
        <f t="array" ca="1" aca="1" ref="AJ27">IF($AG27,_xlfn.LET(_xlpm._answer,$E27,_xlpm._infoTextFull,IF($AC27,CHAR(10)&amp;SimpleLookup($A27,Questions!$A:$L)&amp;CHAR(10),""),_xlpm._startSelectedByAnswerOne,IF(_xlpm._infoTextFull="",0,FIND("___"&amp;$C27&amp;"___",_xlpm._infoTextFull)+LEN("___"&amp;$C27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Environmental damages that accumulate to critical impact over time as well as critical damages that happen in a single incident. Please list the affected data:</v>
      </c>
      <c r="AK27" s="99" t="b" cm="1">
        <f t="array" ca="1" aca="1" ref="AK27">IF(OR($A27="",NOT($AC27)),FALSE,SimpleLookup($A27,Questions!$A:$Q))</f>
        <v>0</v>
      </c>
      <c r="AL27" s="99" t="str" cm="1">
        <f t="array" ca="1" aca="1" ref="AL27">IF(AND($A27=Questions!$A$41,IFERROR(SimpleLookup(Questions!$A$36,$A:$E)=Definitions!$O$5,FALSE),$C27=Definitions!$A$5),Questions!$A$36&amp;" "&amp;Questions!$B$36&amp;CHAR(10)&amp;CHAR(187)&amp;" "&amp;SimpleLookup(Questions!$A$36,$A:$C)&amp;CHAR(10)&amp;SimpleLookup(Questions!$A$36,$A:$D)&amp;CHAR(10)&amp;CHAR(187)&amp;" "&amp;Definitions!$O$5&amp;CHAR(10)&amp;CHAR(10)&amp;"is incosistent with"&amp;CHAR(10)&amp;CHAR(10)&amp;$A27&amp;" "&amp;SimpleLookup($A27,Questions!$A:$B)&amp;CHAR(10)&amp;CHAR(187)&amp;" "&amp;$C27,"")</f>
        <v/>
      </c>
      <c r="AM27" s="99" cm="1">
        <f t="array" ca="1" aca="1" ref="AM27">CreateID($AM$3,$AM:$AM,$AL27&lt;&gt;"")</f>
        <v>0</v>
      </c>
      <c r="AN27" s="99" t="str" cm="1">
        <f t="array" ca="1" aca="1" ref="AN27">IF(OR($C27="",OFFSET($C27,1,0)=""),"",IF(AND($A27=Questions!$A$59,OFFSET($A27,1,0)=Questions!$A$60,SimpleLookup(Questions!$A$49,$A:$C)=Definitions!$A$4),IF(MATCH($C27,Definitions!$AW:$AW,0)&gt;MATCH(OFFSET($C27,1,0),Definitions!AW:AW,0),$A27&amp;" "&amp;$K27&amp;": "&amp;$C27&amp;CHAR(10)&amp;"&lt;---&gt;"&amp;CHAR(10)&amp;OFFSET($A27,1,0)&amp;" "&amp;OFFSET($K27,1,0)&amp;": "&amp;OFFSET($C27,1,0),""),""))</f>
        <v/>
      </c>
      <c r="AO27" s="99" cm="1">
        <f t="array" ca="1" aca="1" ref="AO27">CreateID($AO$3,$AO:$AO,$AN27&lt;&gt;"")</f>
        <v>0</v>
      </c>
    </row>
    <row r="28" spans="1:41" ht="15">
      <c r="A28" s="96" t="s">
        <v>1187</v>
      </c>
      <c r="B28" s="4" t="str" cm="1">
        <f t="array" ca="1" aca="1" ref="B28">IF($A28="","",CreateIndentedString($K28,Definitions!$T$4,SimpleLookup($A28,Questions!$A:$C)))</f>
        <v xml:space="preserve">   Function  and  availability</v>
      </c>
      <c r="I28" s="15" t="str">
        <f t="shared" ca="1" si="0"/>
        <v/>
      </c>
      <c r="J28" s="15" t="str">
        <f t="shared" ca="1" si="1"/>
        <v/>
      </c>
      <c r="K28" s="15" t="str" cm="1">
        <f t="array" ca="1" aca="1" ref="K28">SimpleLookup($A28,Questions!$A:$B)</f>
        <v>Function and availability</v>
      </c>
      <c r="L28" s="15" cm="1">
        <f t="array" ca="1" aca="1" ref="L28">CreateID($L$3,$L:$L,AND($A28&lt;&gt;"",$AC28))</f>
        <v>13</v>
      </c>
      <c r="M28" s="99" cm="1">
        <f t="array" ca="1" aca="1" ref="M28">CreateTaskID($M$3,$M:$M,Tasks!$B$17,$G28)</f>
        <v>0</v>
      </c>
      <c r="N28" s="15" t="str">
        <f t="shared" ca="1" si="2"/>
        <v/>
      </c>
      <c r="O28" s="15" cm="1">
        <f t="array" ca="1" aca="1" ref="O28">CreateID($O$3,$O:$O,$N28&lt;&gt;"")</f>
        <v>0</v>
      </c>
      <c r="P28" s="99" t="str">
        <f t="shared" si="3"/>
        <v/>
      </c>
      <c r="Q28" s="99" cm="1">
        <f t="array" ca="1" aca="1" ref="Q28">CreateID($Q$3,$Q:$Q,$P28&lt;&gt;"")</f>
        <v>0</v>
      </c>
      <c r="R28" s="99" t="str">
        <f t="shared" si="4"/>
        <v/>
      </c>
      <c r="S28" s="99" cm="1">
        <f t="array" ca="1" aca="1" ref="S28">CreateID($S$3,$S:$S,$R28&lt;&gt;"")</f>
        <v>0</v>
      </c>
      <c r="T28" s="99" t="str">
        <f t="shared" ca="1" si="5"/>
        <v/>
      </c>
      <c r="U28" s="99" cm="1">
        <f t="array" ca="1" aca="1" ref="U28">CreateID($U$3,$U:$U,$T28&lt;&gt;"")</f>
        <v>0</v>
      </c>
      <c r="V28" s="99" cm="1">
        <f t="array" ca="1" aca="1" ref="V28">CreateID($V$3,$V:$V,IFERROR(FIND(Definitions!$AR$4,$G28)&gt;0,FALSE))</f>
        <v>0</v>
      </c>
      <c r="W28" s="99">
        <f>_xlfn.LET(_xlpm._comment,$G28,_xlpm._keyWord,Definitions!$AR$4,_xlpm._diffLen,LEN(_xlpm._comment)-LEN(SUBSTITUTE(_xlpm._comment,_xlpm._keyWord,"")),_xlpm._diffLen/LEN(_xlpm._keyWord))</f>
        <v>0</v>
      </c>
      <c r="X28" s="99" cm="1">
        <f t="array" ca="1" aca="1" ref="X28">CreateID($X$3,$X:$X,IFERROR(FIND(Definitions!$AR$5,$G28)&gt;0,FALSE))</f>
        <v>0</v>
      </c>
      <c r="Y28" s="99">
        <f>_xlfn.LET(_xlpm._comment,$G28,_xlpm._keyWord,Definitions!$AR$5,_xlpm._diffLen,LEN(_xlpm._comment)-LEN(SUBSTITUTE(_xlpm._comment,_xlpm._keyWord,"")),_xlpm._diffLen/LEN(_xlpm._keyWord))</f>
        <v>0</v>
      </c>
      <c r="Z28" s="99" t="b">
        <f ca="1">OR(IFERROR(_xlfn.XMATCH("*,"&amp;$A28&amp;",*",Assumptions!$AL:$AL,2)&gt;0,FALSE),IFERROR(_xlfn.XMATCH("*,"&amp;$A28&amp;",*",Countermeasures!$AO:$AO,2)&gt;0,FALSE))</f>
        <v>0</v>
      </c>
      <c r="AA28" s="99" t="str" cm="1">
        <f t="array" ca="1" aca="1" ref="AA28">CreateSearchString($I28)</f>
        <v/>
      </c>
      <c r="AB28" s="99" t="str">
        <f>IF($E28="","",IFERROR(VLOOKUP($E28,Definitions!$H:$J,COLUMNS(Definitions!$H:$J),FALSE),""))</f>
        <v/>
      </c>
      <c r="AC28" s="99" t="b" cm="1">
        <f t="array" ca="1" aca="1" ref="AC28">IF($A28="",FALSE,SimpleLookup($A28,Questions!$A:$D)="x")</f>
        <v>0</v>
      </c>
      <c r="AD28" s="99" t="str" cm="1">
        <f t="array" ca="1" aca="1" ref="AD28">IF(OR($A28="",NOT($AC28)),"",SimpleLookup($A28,Questions!$A:$E))</f>
        <v/>
      </c>
      <c r="AE28" s="99" t="str" cm="1">
        <f t="array" ca="1" aca="1" ref="AE28">IF(OR($A28="",NOT($AC28)),"",SimpleLookup($A28,Questions!$A:$F))</f>
        <v/>
      </c>
      <c r="AF28" s="99" t="str" cm="1">
        <f t="array" ca="1" aca="1" ref="AF28">_xlfn.LET(_xlpm._answer,$C28,_xlpm._infoTextFull,IF($AC28,CHAR(10)&amp;SimpleLookup($A28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28" s="99" t="b" cm="1">
        <f t="array" ca="1" aca="1" ref="AG28">IF(OR($A28="",NOT($AC28)),FALSE,_xlfn.LET(_xlpm._secondAnswerRequiredOn,SimpleLookup($A28,Questions!$A:$I),_xlpm._firstAnwer,$C28,IFERROR(FIND(CHAR(10)&amp;_xlpm._firstAnwer&amp;":",CHAR(10)&amp;_xlpm._secondAnswerRequiredOn)&gt;0,FALSE)))</f>
        <v>0</v>
      </c>
      <c r="AH28" s="99" t="str" cm="1">
        <f t="array" ca="1" aca="1" ref="AH28">IF(OR($A28="",NOT($AC28)),"",_xlfn.LET(_xlpm._id,$A28,_xlpm._firstAnswer,$C28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28" s="99" t="str" cm="1">
        <f t="array" ca="1" aca="1" ref="AI28">IF(OR($A28="",NOT($AC28)),"",_xlfn.LET(_xlpm._id,$A28,_xlpm._firstAnswer,$C28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28" s="99" t="str" cm="1">
        <f t="array" ca="1" aca="1" ref="AJ28">IF($AG28,_xlfn.LET(_xlpm._answer,$E28,_xlpm._infoTextFull,IF($AC28,CHAR(10)&amp;SimpleLookup($A28,Questions!$A:$L)&amp;CHAR(10),""),_xlpm._startSelectedByAnswerOne,IF(_xlpm._infoTextFull="",0,FIND("___"&amp;$C28&amp;"___",_xlpm._infoTextFull)+LEN("___"&amp;$C28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28" s="99" t="b" cm="1">
        <f t="array" ca="1" aca="1" ref="AK28">IF(OR($A28="",NOT($AC28)),FALSE,SimpleLookup($A28,Questions!$A:$Q))</f>
        <v>0</v>
      </c>
      <c r="AL28" s="99" t="str" cm="1">
        <f t="array" ca="1" aca="1" ref="AL28">IF(AND($A28=Questions!$A$41,IFERROR(SimpleLookup(Questions!$A$36,$A:$E)=Definitions!$O$5,FALSE),$C28=Definitions!$A$5),Questions!$A$36&amp;" "&amp;Questions!$B$36&amp;CHAR(10)&amp;CHAR(187)&amp;" "&amp;SimpleLookup(Questions!$A$36,$A:$C)&amp;CHAR(10)&amp;SimpleLookup(Questions!$A$36,$A:$D)&amp;CHAR(10)&amp;CHAR(187)&amp;" "&amp;Definitions!$O$5&amp;CHAR(10)&amp;CHAR(10)&amp;"is incosistent with"&amp;CHAR(10)&amp;CHAR(10)&amp;$A28&amp;" "&amp;SimpleLookup($A28,Questions!$A:$B)&amp;CHAR(10)&amp;CHAR(187)&amp;" "&amp;$C28,"")</f>
        <v/>
      </c>
      <c r="AM28" s="99" cm="1">
        <f t="array" ca="1" aca="1" ref="AM28">CreateID($AM$3,$AM:$AM,$AL28&lt;&gt;"")</f>
        <v>0</v>
      </c>
      <c r="AN28" s="99" t="str" cm="1">
        <f t="array" ca="1" aca="1" ref="AN28">IF(OR($C28="",OFFSET($C28,1,0)=""),"",IF(AND($A28=Questions!$A$59,OFFSET($A28,1,0)=Questions!$A$60,SimpleLookup(Questions!$A$49,$A:$C)=Definitions!$A$4),IF(MATCH($C28,Definitions!$AW:$AW,0)&gt;MATCH(OFFSET($C28,1,0),Definitions!AW:AW,0),$A28&amp;" "&amp;$K28&amp;": "&amp;$C28&amp;CHAR(10)&amp;"&lt;---&gt;"&amp;CHAR(10)&amp;OFFSET($A28,1,0)&amp;" "&amp;OFFSET($K28,1,0)&amp;": "&amp;OFFSET($C28,1,0),""),""))</f>
        <v/>
      </c>
      <c r="AO28" s="99" cm="1">
        <f t="array" ca="1" aca="1" ref="AO28">CreateID($AO$3,$AO:$AO,$AN28&lt;&gt;"")</f>
        <v>0</v>
      </c>
    </row>
    <row r="29" spans="1:41" ht="45">
      <c r="A29" s="96" t="s">
        <v>1075</v>
      </c>
      <c r="B29" s="4" t="str" cm="1">
        <f t="array" ca="1" aca="1" ref="B29">IF($A29="","",CreateIndentedString($K29,Definitions!$T$4,SimpleLookup($A29,Questions!$A:$C)))</f>
        <v xml:space="preserve">      Can  a  manipulated  product  affect  the  operation
      of  its  operational  environment?</v>
      </c>
      <c r="C29" s="4" t="s">
        <v>10</v>
      </c>
      <c r="D29" s="8" t="str">
        <f ca="1">$AF29</f>
        <v>What is the worst case effect on the operational environment for the intended use of the product?</v>
      </c>
      <c r="E29" s="4" t="s">
        <v>1136</v>
      </c>
      <c r="F29" s="8" t="str">
        <f ca="1">$AJ29</f>
        <v>Environmental damages that accumulate to critical impact over time as well as critical damages that happen in a single incident. Please explain the expected effects:</v>
      </c>
      <c r="G29" s="4" t="s">
        <v>1792</v>
      </c>
      <c r="I29" s="15" t="str">
        <f t="shared" ca="1" si="0"/>
        <v>QI14[Yes|Criticalenvironmentaldamage]</v>
      </c>
      <c r="J29" s="15" t="str">
        <f t="shared" ca="1" si="1"/>
        <v>QI14[Yes|*]</v>
      </c>
      <c r="K29" s="15" t="str" cm="1">
        <f t="array" ca="1" aca="1" ref="K29">SimpleLookup($A29,Questions!$A:$B)</f>
        <v>Can a manipulated product affect the operation of its operational environment?</v>
      </c>
      <c r="L29" s="15" cm="1">
        <f t="array" ca="1" aca="1" ref="L29">CreateID($L$3,$L:$L,AND($A29&lt;&gt;"",$AC29))</f>
        <v>14</v>
      </c>
      <c r="M29" s="99" cm="1">
        <f t="array" ca="1" aca="1" ref="M29">CreateTaskID($M$3,$M:$M,Tasks!$B$17,$G29)</f>
        <v>0</v>
      </c>
      <c r="N29" s="15" t="str">
        <f t="shared" ca="1" si="2"/>
        <v/>
      </c>
      <c r="O29" s="15" cm="1">
        <f t="array" ca="1" aca="1" ref="O29">CreateID($O$3,$O:$O,$N29&lt;&gt;"")</f>
        <v>0</v>
      </c>
      <c r="P29" s="99" t="str">
        <f t="shared" ca="1" si="3"/>
        <v/>
      </c>
      <c r="Q29" s="99" cm="1">
        <f t="array" ca="1" aca="1" ref="Q29">CreateID($Q$3,$Q:$Q,$P29&lt;&gt;"")</f>
        <v>0</v>
      </c>
      <c r="R29" s="99" t="str">
        <f t="shared" ca="1" si="4"/>
        <v/>
      </c>
      <c r="S29" s="99" cm="1">
        <f t="array" ca="1" aca="1" ref="S29">CreateID($S$3,$S:$S,$R29&lt;&gt;"")</f>
        <v>0</v>
      </c>
      <c r="T29" s="99" t="str">
        <f t="shared" ca="1" si="5"/>
        <v/>
      </c>
      <c r="U29" s="99" cm="1">
        <f t="array" ca="1" aca="1" ref="U29">CreateID($U$3,$U:$U,$T29&lt;&gt;"")</f>
        <v>0</v>
      </c>
      <c r="V29" s="99" cm="1">
        <f t="array" ca="1" aca="1" ref="V29">CreateID($V$3,$V:$V,IFERROR(FIND(Definitions!$AR$4,$G29)&gt;0,FALSE))</f>
        <v>0</v>
      </c>
      <c r="W29" s="99">
        <f>_xlfn.LET(_xlpm._comment,$G29,_xlpm._keyWord,Definitions!$AR$4,_xlpm._diffLen,LEN(_xlpm._comment)-LEN(SUBSTITUTE(_xlpm._comment,_xlpm._keyWord,"")),_xlpm._diffLen/LEN(_xlpm._keyWord))</f>
        <v>0</v>
      </c>
      <c r="X29" s="99" cm="1">
        <f t="array" ca="1" aca="1" ref="X29">CreateID($X$3,$X:$X,IFERROR(FIND(Definitions!$AR$5,$G29)&gt;0,FALSE))</f>
        <v>0</v>
      </c>
      <c r="Y29" s="99">
        <f>_xlfn.LET(_xlpm._comment,$G29,_xlpm._keyWord,Definitions!$AR$5,_xlpm._diffLen,LEN(_xlpm._comment)-LEN(SUBSTITUTE(_xlpm._comment,_xlpm._keyWord,"")),_xlpm._diffLen/LEN(_xlpm._keyWord))</f>
        <v>0</v>
      </c>
      <c r="Z29" s="99" t="b">
        <f ca="1">OR(IFERROR(_xlfn.XMATCH("*,"&amp;$A29&amp;",*",Assumptions!$AL:$AL,2)&gt;0,FALSE),IFERROR(_xlfn.XMATCH("*,"&amp;$A29&amp;",*",Countermeasures!$AO:$AO,2)&gt;0,FALSE))</f>
        <v>1</v>
      </c>
      <c r="AA29" s="99" t="str" cm="1">
        <f t="array" ca="1" aca="1" ref="AA29">CreateSearchString($I29)</f>
        <v>,QI14[Yes|Criticalenvironmentaldamage],</v>
      </c>
      <c r="AB29" s="99" t="str">
        <f>IF($E29="","",IFERROR(VLOOKUP($E29,Definitions!$H:$J,COLUMNS(Definitions!$H:$J),FALSE),""))</f>
        <v>Critical</v>
      </c>
      <c r="AC29" s="99" t="b" cm="1">
        <f t="array" ca="1" aca="1" ref="AC29">IF($A29="",FALSE,SimpleLookup($A29,Questions!$A:$D)="x")</f>
        <v>1</v>
      </c>
      <c r="AD29" s="99" t="str" cm="1">
        <f t="array" ca="1" aca="1" ref="AD29">IF(OR($A29="",NOT($AC29)),"",SimpleLookup($A29,Questions!$A:$E))</f>
        <v>'[QuBA-libre.xlsx]Definitions'!$A$4</v>
      </c>
      <c r="AE29" s="99" cm="1">
        <f t="array" ca="1" aca="1" ref="AE29">IF(OR($A29="",NOT($AC29)),"",SimpleLookup($A29,Questions!$A:$F))</f>
        <v>2</v>
      </c>
      <c r="AF29" s="99" t="str" cm="1">
        <f t="array" ca="1" aca="1" ref="AF29">_xlfn.LET(_xlpm._answer,$C29,_xlpm._infoTextFull,IF($AC29,CHAR(10)&amp;SimpleLookup($A29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worst case effect on the operational environment for the intended use of the product?</v>
      </c>
      <c r="AG29" s="99" t="b" cm="1">
        <f t="array" ca="1" aca="1" ref="AG29">IF(OR($A29="",NOT($AC29)),FALSE,_xlfn.LET(_xlpm._secondAnswerRequiredOn,SimpleLookup($A29,Questions!$A:$I),_xlpm._firstAnwer,$C29,IFERROR(FIND(CHAR(10)&amp;_xlpm._firstAnwer&amp;":",CHAR(10)&amp;_xlpm._secondAnswerRequiredOn)&gt;0,FALSE)))</f>
        <v>1</v>
      </c>
      <c r="AH29" s="99" t="str" cm="1">
        <f t="array" ca="1" aca="1" ref="AH29">IF(OR($A29="",NOT($AC29)),"",_xlfn.LET(_xlpm._id,$A29,_xlpm._firstAnswer,$C29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'[QuBA-libre.xlsx]Definitions'!$H$18</v>
      </c>
      <c r="AI29" s="99" cm="1">
        <f t="array" ca="1" aca="1" ref="AI29">IF(OR($A29="",NOT($AC29)),"",_xlfn.LET(_xlpm._id,$A29,_xlpm._firstAnswer,$C29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6</v>
      </c>
      <c r="AJ29" s="99" t="str" cm="1">
        <f t="array" ca="1" aca="1" ref="AJ29">IF($AG29,_xlfn.LET(_xlpm._answer,$E29,_xlpm._infoTextFull,IF($AC29,CHAR(10)&amp;SimpleLookup($A29,Questions!$A:$L)&amp;CHAR(10),""),_xlpm._startSelectedByAnswerOne,IF(_xlpm._infoTextFull="",0,FIND("___"&amp;$C29&amp;"___",_xlpm._infoTextFull)+LEN("___"&amp;$C29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Environmental damages that accumulate to critical impact over time as well as critical damages that happen in a single incident. Please explain the expected effects:</v>
      </c>
      <c r="AK29" s="99" t="b" cm="1">
        <f t="array" ca="1" aca="1" ref="AK29">IF(OR($A29="",NOT($AC29)),FALSE,SimpleLookup($A29,Questions!$A:$Q))</f>
        <v>0</v>
      </c>
      <c r="AL29" s="99" t="str" cm="1">
        <f t="array" ca="1" aca="1" ref="AL29">IF(AND($A29=Questions!$A$41,IFERROR(SimpleLookup(Questions!$A$36,$A:$E)=Definitions!$O$5,FALSE),$C29=Definitions!$A$5),Questions!$A$36&amp;" "&amp;Questions!$B$36&amp;CHAR(10)&amp;CHAR(187)&amp;" "&amp;SimpleLookup(Questions!$A$36,$A:$C)&amp;CHAR(10)&amp;SimpleLookup(Questions!$A$36,$A:$D)&amp;CHAR(10)&amp;CHAR(187)&amp;" "&amp;Definitions!$O$5&amp;CHAR(10)&amp;CHAR(10)&amp;"is incosistent with"&amp;CHAR(10)&amp;CHAR(10)&amp;$A29&amp;" "&amp;SimpleLookup($A29,Questions!$A:$B)&amp;CHAR(10)&amp;CHAR(187)&amp;" "&amp;$C29,"")</f>
        <v/>
      </c>
      <c r="AM29" s="99" cm="1">
        <f t="array" ca="1" aca="1" ref="AM29">CreateID($AM$3,$AM:$AM,$AL29&lt;&gt;"")</f>
        <v>0</v>
      </c>
      <c r="AN29" s="99" t="str" cm="1">
        <f t="array" ca="1" aca="1" ref="AN29">IF(OR($C29="",OFFSET($C29,1,0)=""),"",IF(AND($A29=Questions!$A$59,OFFSET($A29,1,0)=Questions!$A$60,SimpleLookup(Questions!$A$49,$A:$C)=Definitions!$A$4),IF(MATCH($C29,Definitions!$AW:$AW,0)&gt;MATCH(OFFSET($C29,1,0),Definitions!AW:AW,0),$A29&amp;" "&amp;$K29&amp;": "&amp;$C29&amp;CHAR(10)&amp;"&lt;---&gt;"&amp;CHAR(10)&amp;OFFSET($A29,1,0)&amp;" "&amp;OFFSET($K29,1,0)&amp;": "&amp;OFFSET($C29,1,0),""),""))</f>
        <v/>
      </c>
      <c r="AO29" s="99" cm="1">
        <f t="array" ca="1" aca="1" ref="AO29">CreateID($AO$3,$AO:$AO,$AN29&lt;&gt;"")</f>
        <v>0</v>
      </c>
    </row>
    <row r="30" spans="1:41" ht="15">
      <c r="A30" s="96" t="s">
        <v>1188</v>
      </c>
      <c r="B30" s="4" t="str" cm="1">
        <f t="array" ca="1" aca="1" ref="B30">IF($A30="","",CreateIndentedString($K30,Definitions!$T$4,SimpleLookup($A30,Questions!$A:$C)))</f>
        <v xml:space="preserve">   Financial  and  legal</v>
      </c>
      <c r="I30" s="15" t="str">
        <f t="shared" ca="1" si="0"/>
        <v/>
      </c>
      <c r="J30" s="15" t="str">
        <f t="shared" ca="1" si="1"/>
        <v/>
      </c>
      <c r="K30" s="15" t="str" cm="1">
        <f t="array" ca="1" aca="1" ref="K30">SimpleLookup($A30,Questions!$A:$B)</f>
        <v>Financial and legal</v>
      </c>
      <c r="L30" s="15" cm="1">
        <f t="array" ca="1" aca="1" ref="L30">CreateID($L$3,$L:$L,AND($A30&lt;&gt;"",$AC30))</f>
        <v>14</v>
      </c>
      <c r="M30" s="99" cm="1">
        <f t="array" ca="1" aca="1" ref="M30">CreateTaskID($M$3,$M:$M,Tasks!$B$17,$G30)</f>
        <v>0</v>
      </c>
      <c r="N30" s="15" t="str">
        <f t="shared" ca="1" si="2"/>
        <v/>
      </c>
      <c r="O30" s="15" cm="1">
        <f t="array" ca="1" aca="1" ref="O30">CreateID($O$3,$O:$O,$N30&lt;&gt;"")</f>
        <v>0</v>
      </c>
      <c r="P30" s="99" t="str">
        <f t="shared" si="3"/>
        <v/>
      </c>
      <c r="Q30" s="99" cm="1">
        <f t="array" ca="1" aca="1" ref="Q30">CreateID($Q$3,$Q:$Q,$P30&lt;&gt;"")</f>
        <v>0</v>
      </c>
      <c r="R30" s="99" t="str">
        <f t="shared" si="4"/>
        <v/>
      </c>
      <c r="S30" s="99" cm="1">
        <f t="array" ca="1" aca="1" ref="S30">CreateID($S$3,$S:$S,$R30&lt;&gt;"")</f>
        <v>0</v>
      </c>
      <c r="T30" s="99" t="str">
        <f t="shared" ca="1" si="5"/>
        <v/>
      </c>
      <c r="U30" s="99" cm="1">
        <f t="array" ca="1" aca="1" ref="U30">CreateID($U$3,$U:$U,$T30&lt;&gt;"")</f>
        <v>0</v>
      </c>
      <c r="V30" s="99" cm="1">
        <f t="array" ca="1" aca="1" ref="V30">CreateID($V$3,$V:$V,IFERROR(FIND(Definitions!$AR$4,$G30)&gt;0,FALSE))</f>
        <v>0</v>
      </c>
      <c r="W30" s="99">
        <f>_xlfn.LET(_xlpm._comment,$G30,_xlpm._keyWord,Definitions!$AR$4,_xlpm._diffLen,LEN(_xlpm._comment)-LEN(SUBSTITUTE(_xlpm._comment,_xlpm._keyWord,"")),_xlpm._diffLen/LEN(_xlpm._keyWord))</f>
        <v>0</v>
      </c>
      <c r="X30" s="99" cm="1">
        <f t="array" ca="1" aca="1" ref="X30">CreateID($X$3,$X:$X,IFERROR(FIND(Definitions!$AR$5,$G30)&gt;0,FALSE))</f>
        <v>0</v>
      </c>
      <c r="Y30" s="99">
        <f>_xlfn.LET(_xlpm._comment,$G30,_xlpm._keyWord,Definitions!$AR$5,_xlpm._diffLen,LEN(_xlpm._comment)-LEN(SUBSTITUTE(_xlpm._comment,_xlpm._keyWord,"")),_xlpm._diffLen/LEN(_xlpm._keyWord))</f>
        <v>0</v>
      </c>
      <c r="Z30" s="99" t="b">
        <f ca="1">OR(IFERROR(_xlfn.XMATCH("*,"&amp;$A30&amp;",*",Assumptions!$AL:$AL,2)&gt;0,FALSE),IFERROR(_xlfn.XMATCH("*,"&amp;$A30&amp;",*",Countermeasures!$AO:$AO,2)&gt;0,FALSE))</f>
        <v>0</v>
      </c>
      <c r="AA30" s="99" t="str" cm="1">
        <f t="array" ca="1" aca="1" ref="AA30">CreateSearchString($I30)</f>
        <v/>
      </c>
      <c r="AB30" s="99" t="str">
        <f>IF($E30="","",IFERROR(VLOOKUP($E30,Definitions!$H:$J,COLUMNS(Definitions!$H:$J),FALSE),""))</f>
        <v/>
      </c>
      <c r="AC30" s="99" t="b" cm="1">
        <f t="array" ca="1" aca="1" ref="AC30">IF($A30="",FALSE,SimpleLookup($A30,Questions!$A:$D)="x")</f>
        <v>0</v>
      </c>
      <c r="AD30" s="99" t="str" cm="1">
        <f t="array" ca="1" aca="1" ref="AD30">IF(OR($A30="",NOT($AC30)),"",SimpleLookup($A30,Questions!$A:$E))</f>
        <v/>
      </c>
      <c r="AE30" s="99" t="str" cm="1">
        <f t="array" ca="1" aca="1" ref="AE30">IF(OR($A30="",NOT($AC30)),"",SimpleLookup($A30,Questions!$A:$F))</f>
        <v/>
      </c>
      <c r="AF30" s="99" t="str" cm="1">
        <f t="array" ca="1" aca="1" ref="AF30">_xlfn.LET(_xlpm._answer,$C30,_xlpm._infoTextFull,IF($AC30,CHAR(10)&amp;SimpleLookup($A30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0" s="99" t="b" cm="1">
        <f t="array" ca="1" aca="1" ref="AG30">IF(OR($A30="",NOT($AC30)),FALSE,_xlfn.LET(_xlpm._secondAnswerRequiredOn,SimpleLookup($A30,Questions!$A:$I),_xlpm._firstAnwer,$C30,IFERROR(FIND(CHAR(10)&amp;_xlpm._firstAnwer&amp;":",CHAR(10)&amp;_xlpm._secondAnswerRequiredOn)&gt;0,FALSE)))</f>
        <v>0</v>
      </c>
      <c r="AH30" s="99" t="str" cm="1">
        <f t="array" ca="1" aca="1" ref="AH30">IF(OR($A30="",NOT($AC30)),"",_xlfn.LET(_xlpm._id,$A30,_xlpm._firstAnswer,$C30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0" s="99" t="str" cm="1">
        <f t="array" ca="1" aca="1" ref="AI30">IF(OR($A30="",NOT($AC30)),"",_xlfn.LET(_xlpm._id,$A30,_xlpm._firstAnswer,$C30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0" s="99" t="str" cm="1">
        <f t="array" ca="1" aca="1" ref="AJ30">IF($AG30,_xlfn.LET(_xlpm._answer,$E30,_xlpm._infoTextFull,IF($AC30,CHAR(10)&amp;SimpleLookup($A30,Questions!$A:$L)&amp;CHAR(10),""),_xlpm._startSelectedByAnswerOne,IF(_xlpm._infoTextFull="",0,FIND("___"&amp;$C30&amp;"___",_xlpm._infoTextFull)+LEN("___"&amp;$C30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0" s="99" t="b" cm="1">
        <f t="array" ca="1" aca="1" ref="AK30">IF(OR($A30="",NOT($AC30)),FALSE,SimpleLookup($A30,Questions!$A:$Q))</f>
        <v>0</v>
      </c>
      <c r="AL30" s="99" t="str" cm="1">
        <f t="array" ca="1" aca="1" ref="AL30">IF(AND($A30=Questions!$A$41,IFERROR(SimpleLookup(Questions!$A$36,$A:$E)=Definitions!$O$5,FALSE),$C30=Definitions!$A$5),Questions!$A$36&amp;" "&amp;Questions!$B$36&amp;CHAR(10)&amp;CHAR(187)&amp;" "&amp;SimpleLookup(Questions!$A$36,$A:$C)&amp;CHAR(10)&amp;SimpleLookup(Questions!$A$36,$A:$D)&amp;CHAR(10)&amp;CHAR(187)&amp;" "&amp;Definitions!$O$5&amp;CHAR(10)&amp;CHAR(10)&amp;"is incosistent with"&amp;CHAR(10)&amp;CHAR(10)&amp;$A30&amp;" "&amp;SimpleLookup($A30,Questions!$A:$B)&amp;CHAR(10)&amp;CHAR(187)&amp;" "&amp;$C30,"")</f>
        <v/>
      </c>
      <c r="AM30" s="99" cm="1">
        <f t="array" ca="1" aca="1" ref="AM30">CreateID($AM$3,$AM:$AM,$AL30&lt;&gt;"")</f>
        <v>0</v>
      </c>
      <c r="AN30" s="99" t="str" cm="1">
        <f t="array" ca="1" aca="1" ref="AN30">IF(OR($C30="",OFFSET($C30,1,0)=""),"",IF(AND($A30=Questions!$A$59,OFFSET($A30,1,0)=Questions!$A$60,SimpleLookup(Questions!$A$49,$A:$C)=Definitions!$A$4),IF(MATCH($C30,Definitions!$AW:$AW,0)&gt;MATCH(OFFSET($C30,1,0),Definitions!AW:AW,0),$A30&amp;" "&amp;$K30&amp;": "&amp;$C30&amp;CHAR(10)&amp;"&lt;---&gt;"&amp;CHAR(10)&amp;OFFSET($A30,1,0)&amp;" "&amp;OFFSET($K30,1,0)&amp;": "&amp;OFFSET($C30,1,0),""),""))</f>
        <v/>
      </c>
      <c r="AO30" s="99" cm="1">
        <f t="array" ca="1" aca="1" ref="AO30">CreateID($AO$3,$AO:$AO,$AN30&lt;&gt;"")</f>
        <v>0</v>
      </c>
    </row>
    <row r="31" spans="1:41" ht="45">
      <c r="A31" s="96" t="s">
        <v>1074</v>
      </c>
      <c r="B31" s="4" t="str" cm="1">
        <f t="array" ca="1" aca="1" ref="B31">IF($A31="","",CreateIndentedString($K31,Definitions!$T$4,SimpleLookup($A31,Questions!$A:$C)))</f>
        <v xml:space="preserve">      Can  a  manipulated  product  allow  an  attacker
      access  to  assets  of  the  customer  or  allow  the
      attacker  to  attack  the  customer's  network?</v>
      </c>
      <c r="C31" s="4" t="s">
        <v>10</v>
      </c>
      <c r="D31" s="8" t="str">
        <f ca="1">$AF31</f>
        <v>What is the worst case damage caused by the manipulation for the intended use of the product?</v>
      </c>
      <c r="E31" s="4" t="s">
        <v>1136</v>
      </c>
      <c r="F31" s="8" t="str">
        <f ca="1">$AJ31</f>
        <v>Environmental damages that accumulate to critical impact over time as well as critical damages that happen in a single incident. Please characterize the affected assets:</v>
      </c>
      <c r="G31" s="4" t="s">
        <v>1792</v>
      </c>
      <c r="I31" s="15" t="str">
        <f t="shared" ca="1" si="0"/>
        <v>QI15[Yes|Criticalenvironmentaldamage]</v>
      </c>
      <c r="J31" s="15" t="str">
        <f t="shared" ca="1" si="1"/>
        <v>QI15[Yes|*]</v>
      </c>
      <c r="K31" s="15" t="str" cm="1">
        <f t="array" ca="1" aca="1" ref="K31">SimpleLookup($A31,Questions!$A:$B)</f>
        <v>Can a manipulated product allow an attacker access to assets of the customer or allow the attacker to attack the customer's network?</v>
      </c>
      <c r="L31" s="15" cm="1">
        <f t="array" ca="1" aca="1" ref="L31">CreateID($L$3,$L:$L,AND($A31&lt;&gt;"",$AC31))</f>
        <v>15</v>
      </c>
      <c r="M31" s="99" cm="1">
        <f t="array" ca="1" aca="1" ref="M31">CreateTaskID($M$3,$M:$M,Tasks!$B$17,$G31)</f>
        <v>0</v>
      </c>
      <c r="N31" s="15" t="str">
        <f t="shared" ca="1" si="2"/>
        <v/>
      </c>
      <c r="O31" s="15" cm="1">
        <f t="array" ca="1" aca="1" ref="O31">CreateID($O$3,$O:$O,$N31&lt;&gt;"")</f>
        <v>0</v>
      </c>
      <c r="P31" s="99" t="str">
        <f t="shared" ca="1" si="3"/>
        <v/>
      </c>
      <c r="Q31" s="99" cm="1">
        <f t="array" ca="1" aca="1" ref="Q31">CreateID($Q$3,$Q:$Q,$P31&lt;&gt;"")</f>
        <v>0</v>
      </c>
      <c r="R31" s="99" t="str">
        <f t="shared" ca="1" si="4"/>
        <v/>
      </c>
      <c r="S31" s="99" cm="1">
        <f t="array" ca="1" aca="1" ref="S31">CreateID($S$3,$S:$S,$R31&lt;&gt;"")</f>
        <v>0</v>
      </c>
      <c r="T31" s="99" t="str">
        <f t="shared" ca="1" si="5"/>
        <v/>
      </c>
      <c r="U31" s="99" cm="1">
        <f t="array" ca="1" aca="1" ref="U31">CreateID($U$3,$U:$U,$T31&lt;&gt;"")</f>
        <v>0</v>
      </c>
      <c r="V31" s="99" cm="1">
        <f t="array" ca="1" aca="1" ref="V31">CreateID($V$3,$V:$V,IFERROR(FIND(Definitions!$AR$4,$G31)&gt;0,FALSE))</f>
        <v>0</v>
      </c>
      <c r="W31" s="99">
        <f>_xlfn.LET(_xlpm._comment,$G31,_xlpm._keyWord,Definitions!$AR$4,_xlpm._diffLen,LEN(_xlpm._comment)-LEN(SUBSTITUTE(_xlpm._comment,_xlpm._keyWord,"")),_xlpm._diffLen/LEN(_xlpm._keyWord))</f>
        <v>0</v>
      </c>
      <c r="X31" s="99" cm="1">
        <f t="array" ca="1" aca="1" ref="X31">CreateID($X$3,$X:$X,IFERROR(FIND(Definitions!$AR$5,$G31)&gt;0,FALSE))</f>
        <v>0</v>
      </c>
      <c r="Y31" s="99">
        <f>_xlfn.LET(_xlpm._comment,$G31,_xlpm._keyWord,Definitions!$AR$5,_xlpm._diffLen,LEN(_xlpm._comment)-LEN(SUBSTITUTE(_xlpm._comment,_xlpm._keyWord,"")),_xlpm._diffLen/LEN(_xlpm._keyWord))</f>
        <v>0</v>
      </c>
      <c r="Z31" s="99" t="b">
        <f ca="1">OR(IFERROR(_xlfn.XMATCH("*,"&amp;$A31&amp;",*",Assumptions!$AL:$AL,2)&gt;0,FALSE),IFERROR(_xlfn.XMATCH("*,"&amp;$A31&amp;",*",Countermeasures!$AO:$AO,2)&gt;0,FALSE))</f>
        <v>0</v>
      </c>
      <c r="AA31" s="99" t="str" cm="1">
        <f t="array" ca="1" aca="1" ref="AA31">CreateSearchString($I31)</f>
        <v>,QI15[Yes|Criticalenvironmentaldamage],</v>
      </c>
      <c r="AB31" s="99" t="str">
        <f>IF($E31="","",IFERROR(VLOOKUP($E31,Definitions!$H:$J,COLUMNS(Definitions!$H:$J),FALSE),""))</f>
        <v>Critical</v>
      </c>
      <c r="AC31" s="99" t="b" cm="1">
        <f t="array" ca="1" aca="1" ref="AC31">IF($A31="",FALSE,SimpleLookup($A31,Questions!$A:$D)="x")</f>
        <v>1</v>
      </c>
      <c r="AD31" s="99" t="str" cm="1">
        <f t="array" ca="1" aca="1" ref="AD31">IF(OR($A31="",NOT($AC31)),"",SimpleLookup($A31,Questions!$A:$E))</f>
        <v>'[QuBA-libre.xlsx]Definitions'!$A$4</v>
      </c>
      <c r="AE31" s="99" cm="1">
        <f t="array" ca="1" aca="1" ref="AE31">IF(OR($A31="",NOT($AC31)),"",SimpleLookup($A31,Questions!$A:$F))</f>
        <v>2</v>
      </c>
      <c r="AF31" s="99" t="str" cm="1">
        <f t="array" ca="1" aca="1" ref="AF31">_xlfn.LET(_xlpm._answer,$C31,_xlpm._infoTextFull,IF($AC31,CHAR(10)&amp;SimpleLookup($A31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What is the worst case damage caused by the manipulation for the intended use of the product?</v>
      </c>
      <c r="AG31" s="99" t="b" cm="1">
        <f t="array" ca="1" aca="1" ref="AG31">IF(OR($A31="",NOT($AC31)),FALSE,_xlfn.LET(_xlpm._secondAnswerRequiredOn,SimpleLookup($A31,Questions!$A:$I),_xlpm._firstAnwer,$C31,IFERROR(FIND(CHAR(10)&amp;_xlpm._firstAnwer&amp;":",CHAR(10)&amp;_xlpm._secondAnswerRequiredOn)&gt;0,FALSE)))</f>
        <v>1</v>
      </c>
      <c r="AH31" s="99" t="str" cm="1">
        <f t="array" ca="1" aca="1" ref="AH31">IF(OR($A31="",NOT($AC31)),"",_xlfn.LET(_xlpm._id,$A31,_xlpm._firstAnswer,$C31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'[QuBA-libre.xlsx]Helper'!$D$2</v>
      </c>
      <c r="AI31" s="99" cm="1">
        <f t="array" ca="1" aca="1" ref="AI31">IF(OR($A31="",NOT($AC31)),"",_xlfn.LET(_xlpm._id,$A31,_xlpm._firstAnswer,$C31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10</v>
      </c>
      <c r="AJ31" s="99" t="str" cm="1">
        <f t="array" ca="1" aca="1" ref="AJ31">IF($AG31,_xlfn.LET(_xlpm._answer,$E31,_xlpm._infoTextFull,IF($AC31,CHAR(10)&amp;SimpleLookup($A31,Questions!$A:$L)&amp;CHAR(10),""),_xlpm._startSelectedByAnswerOne,IF(_xlpm._infoTextFull="",0,FIND("___"&amp;$C31&amp;"___",_xlpm._infoTextFull)+LEN("___"&amp;$C31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Environmental damages that accumulate to critical impact over time as well as critical damages that happen in a single incident. Please characterize the affected assets:</v>
      </c>
      <c r="AK31" s="99" t="b" cm="1">
        <f t="array" ca="1" aca="1" ref="AK31">IF(OR($A31="",NOT($AC31)),FALSE,SimpleLookup($A31,Questions!$A:$Q))</f>
        <v>0</v>
      </c>
      <c r="AL31" s="99" t="str" cm="1">
        <f t="array" ca="1" aca="1" ref="AL31">IF(AND($A31=Questions!$A$41,IFERROR(SimpleLookup(Questions!$A$36,$A:$E)=Definitions!$O$5,FALSE),$C31=Definitions!$A$5),Questions!$A$36&amp;" "&amp;Questions!$B$36&amp;CHAR(10)&amp;CHAR(187)&amp;" "&amp;SimpleLookup(Questions!$A$36,$A:$C)&amp;CHAR(10)&amp;SimpleLookup(Questions!$A$36,$A:$D)&amp;CHAR(10)&amp;CHAR(187)&amp;" "&amp;Definitions!$O$5&amp;CHAR(10)&amp;CHAR(10)&amp;"is incosistent with"&amp;CHAR(10)&amp;CHAR(10)&amp;$A31&amp;" "&amp;SimpleLookup($A31,Questions!$A:$B)&amp;CHAR(10)&amp;CHAR(187)&amp;" "&amp;$C31,"")</f>
        <v/>
      </c>
      <c r="AM31" s="99" cm="1">
        <f t="array" ca="1" aca="1" ref="AM31">CreateID($AM$3,$AM:$AM,$AL31&lt;&gt;"")</f>
        <v>0</v>
      </c>
      <c r="AN31" s="99" t="str" cm="1">
        <f t="array" ca="1" aca="1" ref="AN31">IF(OR($C31="",OFFSET($C31,1,0)=""),"",IF(AND($A31=Questions!$A$59,OFFSET($A31,1,0)=Questions!$A$60,SimpleLookup(Questions!$A$49,$A:$C)=Definitions!$A$4),IF(MATCH($C31,Definitions!$AW:$AW,0)&gt;MATCH(OFFSET($C31,1,0),Definitions!AW:AW,0),$A31&amp;" "&amp;$K31&amp;": "&amp;$C31&amp;CHAR(10)&amp;"&lt;---&gt;"&amp;CHAR(10)&amp;OFFSET($A31,1,0)&amp;" "&amp;OFFSET($K31,1,0)&amp;": "&amp;OFFSET($C31,1,0),""),""))</f>
        <v/>
      </c>
      <c r="AO31" s="99" cm="1">
        <f t="array" ca="1" aca="1" ref="AO31">CreateID($AO$3,$AO:$AO,$AN31&lt;&gt;"")</f>
        <v>0</v>
      </c>
    </row>
    <row r="32" spans="1:41" ht="60">
      <c r="A32" s="96" t="s">
        <v>1072</v>
      </c>
      <c r="B32" s="4" t="str" cm="1">
        <f t="array" ca="1" aca="1" ref="B32">IF($A32="","",CreateIndentedString($K32,Definitions!$T$4,SimpleLookup($A32,Questions!$A:$C)))</f>
        <v xml:space="preserve">      Can  a  manipulated  product  cause  contract-related
      /  legal  fines?  (Note  that  this  concerns
      individual  obligations,  not  the  standard  product
      warranty).</v>
      </c>
      <c r="C32" s="4" t="s">
        <v>11</v>
      </c>
      <c r="D32" s="8" t="str">
        <f ca="1">$AF32</f>
        <v/>
      </c>
      <c r="F32" s="8" t="str">
        <f ca="1">$AJ32</f>
        <v/>
      </c>
      <c r="I32" s="15" t="str">
        <f t="shared" ca="1" si="0"/>
        <v>QI16[No]</v>
      </c>
      <c r="J32" s="15" t="str">
        <f t="shared" ca="1" si="1"/>
        <v>QI16[No]</v>
      </c>
      <c r="K32" s="15" t="str" cm="1">
        <f t="array" ca="1" aca="1" ref="K32">SimpleLookup($A32,Questions!$A:$B)</f>
        <v>Can a manipulated product cause contract-related / legal fines? (Note that this concerns individual obligations, not the standard product warranty).</v>
      </c>
      <c r="L32" s="15" cm="1">
        <f t="array" ca="1" aca="1" ref="L32">CreateID($L$3,$L:$L,AND($A32&lt;&gt;"",$AC32))</f>
        <v>16</v>
      </c>
      <c r="M32" s="99" cm="1">
        <f t="array" ca="1" aca="1" ref="M32">CreateTaskID($M$3,$M:$M,Tasks!$B$17,$G32)</f>
        <v>0</v>
      </c>
      <c r="N32" s="15" t="str">
        <f t="shared" ca="1" si="2"/>
        <v/>
      </c>
      <c r="O32" s="15" cm="1">
        <f t="array" ca="1" aca="1" ref="O32">CreateID($O$3,$O:$O,$N32&lt;&gt;"")</f>
        <v>0</v>
      </c>
      <c r="P32" s="99" t="str">
        <f t="shared" ca="1" si="3"/>
        <v/>
      </c>
      <c r="Q32" s="99" cm="1">
        <f t="array" ca="1" aca="1" ref="Q32">CreateID($Q$3,$Q:$Q,$P32&lt;&gt;"")</f>
        <v>0</v>
      </c>
      <c r="R32" s="99" t="str">
        <f t="shared" ca="1" si="4"/>
        <v/>
      </c>
      <c r="S32" s="99" cm="1">
        <f t="array" ca="1" aca="1" ref="S32">CreateID($S$3,$S:$S,$R32&lt;&gt;"")</f>
        <v>0</v>
      </c>
      <c r="T32" s="99" t="str">
        <f t="shared" ca="1" si="5"/>
        <v/>
      </c>
      <c r="U32" s="99" cm="1">
        <f t="array" ca="1" aca="1" ref="U32">CreateID($U$3,$U:$U,$T32&lt;&gt;"")</f>
        <v>0</v>
      </c>
      <c r="V32" s="99" cm="1">
        <f t="array" ca="1" aca="1" ref="V32">CreateID($V$3,$V:$V,IFERROR(FIND(Definitions!$AR$4,$G32)&gt;0,FALSE))</f>
        <v>0</v>
      </c>
      <c r="W32" s="99">
        <f>_xlfn.LET(_xlpm._comment,$G32,_xlpm._keyWord,Definitions!$AR$4,_xlpm._diffLen,LEN(_xlpm._comment)-LEN(SUBSTITUTE(_xlpm._comment,_xlpm._keyWord,"")),_xlpm._diffLen/LEN(_xlpm._keyWord))</f>
        <v>0</v>
      </c>
      <c r="X32" s="99" cm="1">
        <f t="array" ca="1" aca="1" ref="X32">CreateID($X$3,$X:$X,IFERROR(FIND(Definitions!$AR$5,$G32)&gt;0,FALSE))</f>
        <v>0</v>
      </c>
      <c r="Y32" s="99">
        <f>_xlfn.LET(_xlpm._comment,$G32,_xlpm._keyWord,Definitions!$AR$5,_xlpm._diffLen,LEN(_xlpm._comment)-LEN(SUBSTITUTE(_xlpm._comment,_xlpm._keyWord,"")),_xlpm._diffLen/LEN(_xlpm._keyWord))</f>
        <v>0</v>
      </c>
      <c r="Z32" s="99" t="b">
        <f ca="1">OR(IFERROR(_xlfn.XMATCH("*,"&amp;$A32&amp;",*",Assumptions!$AL:$AL,2)&gt;0,FALSE),IFERROR(_xlfn.XMATCH("*,"&amp;$A32&amp;",*",Countermeasures!$AO:$AO,2)&gt;0,FALSE))</f>
        <v>1</v>
      </c>
      <c r="AA32" s="99" t="str" cm="1">
        <f t="array" ca="1" aca="1" ref="AA32">CreateSearchString($I32)</f>
        <v>,QI16[No],</v>
      </c>
      <c r="AB32" s="99" t="str">
        <f>IF($E32="","",IFERROR(VLOOKUP($E32,Definitions!$H:$J,COLUMNS(Definitions!$H:$J),FALSE),""))</f>
        <v/>
      </c>
      <c r="AC32" s="99" t="b" cm="1">
        <f t="array" ca="1" aca="1" ref="AC32">IF($A32="",FALSE,SimpleLookup($A32,Questions!$A:$D)="x")</f>
        <v>1</v>
      </c>
      <c r="AD32" s="99" t="str" cm="1">
        <f t="array" ca="1" aca="1" ref="AD32">IF(OR($A32="",NOT($AC32)),"",SimpleLookup($A32,Questions!$A:$E))</f>
        <v>'[QuBA-libre.xlsx]Definitions'!$A$4</v>
      </c>
      <c r="AE32" s="99" cm="1">
        <f t="array" ca="1" aca="1" ref="AE32">IF(OR($A32="",NOT($AC32)),"",SimpleLookup($A32,Questions!$A:$F))</f>
        <v>2</v>
      </c>
      <c r="AF32" s="99" t="str" cm="1">
        <f t="array" ca="1" aca="1" ref="AF32">_xlfn.LET(_xlpm._answer,$C32,_xlpm._infoTextFull,IF($AC32,CHAR(10)&amp;SimpleLookup($A32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2" s="99" t="b" cm="1">
        <f t="array" ca="1" aca="1" ref="AG32">IF(OR($A32="",NOT($AC32)),FALSE,_xlfn.LET(_xlpm._secondAnswerRequiredOn,SimpleLookup($A32,Questions!$A:$I),_xlpm._firstAnwer,$C32,IFERROR(FIND(CHAR(10)&amp;_xlpm._firstAnwer&amp;":",CHAR(10)&amp;_xlpm._secondAnswerRequiredOn)&gt;0,FALSE)))</f>
        <v>0</v>
      </c>
      <c r="AH32" s="99" t="str" cm="1">
        <f t="array" ca="1" aca="1" ref="AH32">IF(OR($A32="",NOT($AC32)),"",_xlfn.LET(_xlpm._id,$A32,_xlpm._firstAnswer,$C32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2" s="99" t="str" cm="1">
        <f t="array" ca="1" aca="1" ref="AI32">IF(OR($A32="",NOT($AC32)),"",_xlfn.LET(_xlpm._id,$A32,_xlpm._firstAnswer,$C32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2" s="99" t="str" cm="1">
        <f t="array" ca="1" aca="1" ref="AJ32">IF($AG32,_xlfn.LET(_xlpm._answer,$E32,_xlpm._infoTextFull,IF($AC32,CHAR(10)&amp;SimpleLookup($A32,Questions!$A:$L)&amp;CHAR(10),""),_xlpm._startSelectedByAnswerOne,IF(_xlpm._infoTextFull="",0,FIND("___"&amp;$C32&amp;"___",_xlpm._infoTextFull)+LEN("___"&amp;$C32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2" s="99" t="b" cm="1">
        <f t="array" ca="1" aca="1" ref="AK32">IF(OR($A32="",NOT($AC32)),FALSE,SimpleLookup($A32,Questions!$A:$Q))</f>
        <v>0</v>
      </c>
      <c r="AL32" s="99" t="str" cm="1">
        <f t="array" ca="1" aca="1" ref="AL32">IF(AND($A32=Questions!$A$41,IFERROR(SimpleLookup(Questions!$A$36,$A:$E)=Definitions!$O$5,FALSE),$C32=Definitions!$A$5),Questions!$A$36&amp;" "&amp;Questions!$B$36&amp;CHAR(10)&amp;CHAR(187)&amp;" "&amp;SimpleLookup(Questions!$A$36,$A:$C)&amp;CHAR(10)&amp;SimpleLookup(Questions!$A$36,$A:$D)&amp;CHAR(10)&amp;CHAR(187)&amp;" "&amp;Definitions!$O$5&amp;CHAR(10)&amp;CHAR(10)&amp;"is incosistent with"&amp;CHAR(10)&amp;CHAR(10)&amp;$A32&amp;" "&amp;SimpleLookup($A32,Questions!$A:$B)&amp;CHAR(10)&amp;CHAR(187)&amp;" "&amp;$C32,"")</f>
        <v/>
      </c>
      <c r="AM32" s="99" cm="1">
        <f t="array" ca="1" aca="1" ref="AM32">CreateID($AM$3,$AM:$AM,$AL32&lt;&gt;"")</f>
        <v>0</v>
      </c>
      <c r="AN32" s="99" t="str" cm="1">
        <f t="array" ca="1" aca="1" ref="AN32">IF(OR($C32="",OFFSET($C32,1,0)=""),"",IF(AND($A32=Questions!$A$59,OFFSET($A32,1,0)=Questions!$A$60,SimpleLookup(Questions!$A$49,$A:$C)=Definitions!$A$4),IF(MATCH($C32,Definitions!$AW:$AW,0)&gt;MATCH(OFFSET($C32,1,0),Definitions!AW:AW,0),$A32&amp;" "&amp;$K32&amp;": "&amp;$C32&amp;CHAR(10)&amp;"&lt;---&gt;"&amp;CHAR(10)&amp;OFFSET($A32,1,0)&amp;" "&amp;OFFSET($K32,1,0)&amp;": "&amp;OFFSET($C32,1,0),""),""))</f>
        <v/>
      </c>
      <c r="AO32" s="99" cm="1">
        <f t="array" ca="1" aca="1" ref="AO32">CreateID($AO$3,$AO:$AO,$AN32&lt;&gt;"")</f>
        <v>0</v>
      </c>
    </row>
    <row r="33" spans="2:41" ht="15">
      <c r="B33" s="4" t="str" cm="1">
        <f t="array" ref="B33">IF($A33="","",CreateIndentedString($K33,Definitions!$T$4,SimpleLookup($A33,Questions!$A:$C)))</f>
        <v/>
      </c>
      <c r="I33" s="15" t="str">
        <f t="shared" si="0"/>
        <v/>
      </c>
      <c r="J33" s="15" t="str">
        <f t="shared" si="1"/>
        <v/>
      </c>
      <c r="K33" s="15" t="e" cm="1">
        <f t="array" ca="1" aca="1" ref="K33">SimpleLookup($A33,Questions!$A:$B)</f>
        <v>#N/A</v>
      </c>
      <c r="L33" s="15" cm="1">
        <f t="array" ca="1" aca="1" ref="L33">CreateID($L$3,$L:$L,AND($A33&lt;&gt;"",$AC33))</f>
        <v>16</v>
      </c>
      <c r="M33" s="99" cm="1">
        <f t="array" ca="1" aca="1" ref="M33">CreateTaskID($M$3,$M:$M,Tasks!$B$17,$G33)</f>
        <v>0</v>
      </c>
      <c r="N33" s="15" t="str">
        <f t="shared" si="2"/>
        <v/>
      </c>
      <c r="O33" s="15" cm="1">
        <f t="array" ca="1" aca="1" ref="O33">CreateID($O$3,$O:$O,$N33&lt;&gt;"")</f>
        <v>0</v>
      </c>
      <c r="P33" s="99" t="str">
        <f t="shared" si="3"/>
        <v/>
      </c>
      <c r="Q33" s="99" cm="1">
        <f t="array" ca="1" aca="1" ref="Q33">CreateID($Q$3,$Q:$Q,$P33&lt;&gt;"")</f>
        <v>0</v>
      </c>
      <c r="R33" s="99" t="str">
        <f t="shared" si="4"/>
        <v/>
      </c>
      <c r="S33" s="99" cm="1">
        <f t="array" ca="1" aca="1" ref="S33">CreateID($S$3,$S:$S,$R33&lt;&gt;"")</f>
        <v>0</v>
      </c>
      <c r="T33" s="99" t="str">
        <f t="shared" si="5"/>
        <v/>
      </c>
      <c r="U33" s="99" cm="1">
        <f t="array" ca="1" aca="1" ref="U33">CreateID($U$3,$U:$U,$T33&lt;&gt;"")</f>
        <v>0</v>
      </c>
      <c r="V33" s="99" cm="1">
        <f t="array" ca="1" aca="1" ref="V33">CreateID($V$3,$V:$V,IFERROR(FIND(Definitions!$AR$4,$G33)&gt;0,FALSE))</f>
        <v>0</v>
      </c>
      <c r="W33" s="99">
        <f>_xlfn.LET(_xlpm._comment,$G33,_xlpm._keyWord,Definitions!$AR$4,_xlpm._diffLen,LEN(_xlpm._comment)-LEN(SUBSTITUTE(_xlpm._comment,_xlpm._keyWord,"")),_xlpm._diffLen/LEN(_xlpm._keyWord))</f>
        <v>0</v>
      </c>
      <c r="X33" s="99" cm="1">
        <f t="array" ca="1" aca="1" ref="X33">CreateID($X$3,$X:$X,IFERROR(FIND(Definitions!$AR$5,$G33)&gt;0,FALSE))</f>
        <v>0</v>
      </c>
      <c r="Y33" s="99">
        <f>_xlfn.LET(_xlpm._comment,$G33,_xlpm._keyWord,Definitions!$AR$5,_xlpm._diffLen,LEN(_xlpm._comment)-LEN(SUBSTITUTE(_xlpm._comment,_xlpm._keyWord,"")),_xlpm._diffLen/LEN(_xlpm._keyWord))</f>
        <v>0</v>
      </c>
      <c r="Z33" s="99" t="b">
        <f ca="1">OR(IFERROR(_xlfn.XMATCH("*,"&amp;$A33&amp;",*",Assumptions!$AL:$AL,2)&gt;0,FALSE),IFERROR(_xlfn.XMATCH("*,"&amp;$A33&amp;",*",Countermeasures!$AO:$AO,2)&gt;0,FALSE))</f>
        <v>0</v>
      </c>
      <c r="AA33" s="99" t="str" cm="1">
        <f t="array" ref="AA33">CreateSearchString($I33)</f>
        <v/>
      </c>
      <c r="AB33" s="99" t="str">
        <f>IF($E33="","",IFERROR(VLOOKUP($E33,Definitions!$H:$J,COLUMNS(Definitions!$H:$J),FALSE),""))</f>
        <v/>
      </c>
      <c r="AC33" s="99" t="b" cm="1">
        <f t="array" ref="AC33">IF($A33="",FALSE,SimpleLookup($A33,Questions!$A:$D)="x")</f>
        <v>0</v>
      </c>
      <c r="AD33" s="99" t="str" cm="1">
        <f t="array" ref="AD33">IF(OR($A33="",NOT($AC33)),"",SimpleLookup($A33,Questions!$A:$E))</f>
        <v/>
      </c>
      <c r="AE33" s="99" t="str" cm="1">
        <f t="array" ref="AE33">IF(OR($A33="",NOT($AC33)),"",SimpleLookup($A33,Questions!$A:$F))</f>
        <v/>
      </c>
      <c r="AF33" s="99" t="str" cm="1">
        <f t="array" ref="AF33">_xlfn.LET(_xlpm._answer,$C33,_xlpm._infoTextFull,IF($AC33,CHAR(10)&amp;SimpleLookup($A33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3" s="99" t="b" cm="1">
        <f t="array" ref="AG33">IF(OR($A33="",NOT($AC33)),FALSE,_xlfn.LET(_xlpm._secondAnswerRequiredOn,SimpleLookup($A33,Questions!$A:$I),_xlpm._firstAnwer,$C33,IFERROR(FIND(CHAR(10)&amp;_xlpm._firstAnwer&amp;":",CHAR(10)&amp;_xlpm._secondAnswerRequiredOn)&gt;0,FALSE)))</f>
        <v>0</v>
      </c>
      <c r="AH33" s="99" t="str" cm="1">
        <f t="array" ref="AH33">IF(OR($A33="",NOT($AC33)),"",_xlfn.LET(_xlpm._id,$A33,_xlpm._firstAnswer,$C33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3" s="99" t="str" cm="1">
        <f t="array" ref="AI33">IF(OR($A33="",NOT($AC33)),"",_xlfn.LET(_xlpm._id,$A33,_xlpm._firstAnswer,$C33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3" s="99" t="str" cm="1">
        <f t="array" ref="AJ33">IF($AG33,_xlfn.LET(_xlpm._answer,$E33,_xlpm._infoTextFull,IF($AC33,CHAR(10)&amp;SimpleLookup($A33,Questions!$A:$L)&amp;CHAR(10),""),_xlpm._startSelectedByAnswerOne,IF(_xlpm._infoTextFull="",0,FIND("___"&amp;$C33&amp;"___",_xlpm._infoTextFull)+LEN("___"&amp;$C33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3" s="99" t="b" cm="1">
        <f t="array" ref="AK33">IF(OR($A33="",NOT($AC33)),FALSE,SimpleLookup($A33,Questions!$A:$Q))</f>
        <v>0</v>
      </c>
      <c r="AL33" s="99" t="str" cm="1">
        <f t="array" ca="1" aca="1" ref="AL33">IF(AND($A33=Questions!$A$41,IFERROR(SimpleLookup(Questions!$A$36,$A:$E)=Definitions!$O$5,FALSE),$C33=Definitions!$A$5),Questions!$A$36&amp;" "&amp;Questions!$B$36&amp;CHAR(10)&amp;CHAR(187)&amp;" "&amp;SimpleLookup(Questions!$A$36,$A:$C)&amp;CHAR(10)&amp;SimpleLookup(Questions!$A$36,$A:$D)&amp;CHAR(10)&amp;CHAR(187)&amp;" "&amp;Definitions!$O$5&amp;CHAR(10)&amp;CHAR(10)&amp;"is incosistent with"&amp;CHAR(10)&amp;CHAR(10)&amp;$A33&amp;" "&amp;SimpleLookup($A33,Questions!$A:$B)&amp;CHAR(10)&amp;CHAR(187)&amp;" "&amp;$C33,"")</f>
        <v/>
      </c>
      <c r="AM33" s="99" cm="1">
        <f t="array" ca="1" aca="1" ref="AM33">CreateID($AM$3,$AM:$AM,$AL33&lt;&gt;"")</f>
        <v>0</v>
      </c>
      <c r="AN33" s="99" t="str" cm="1">
        <f t="array" ca="1" aca="1" ref="AN33">IF(OR($C33="",OFFSET($C33,1,0)=""),"",IF(AND($A33=Questions!$A$59,OFFSET($A33,1,0)=Questions!$A$60,SimpleLookup(Questions!$A$49,$A:$C)=Definitions!$A$4),IF(MATCH($C33,Definitions!$AW:$AW,0)&gt;MATCH(OFFSET($C33,1,0),Definitions!AW:AW,0),$A33&amp;" "&amp;$K33&amp;": "&amp;$C33&amp;CHAR(10)&amp;"&lt;---&gt;"&amp;CHAR(10)&amp;OFFSET($A33,1,0)&amp;" "&amp;OFFSET($K33,1,0)&amp;": "&amp;OFFSET($C33,1,0),""),""))</f>
        <v/>
      </c>
      <c r="AO33" s="99" cm="1">
        <f t="array" ca="1" aca="1" ref="AO33">CreateID($AO$3,$AO:$AO,$AN33&lt;&gt;"")</f>
        <v>0</v>
      </c>
    </row>
    <row r="34" spans="1:41" ht="23.25">
      <c r="A34" s="96" t="s">
        <v>1174</v>
      </c>
      <c r="B34" s="6" t="str" cm="1">
        <f t="array" ca="1" aca="1" ref="B34">IF($A34="","",CreateIndentedString($K34,Definitions!$T$4,SimpleLookup($A34,Questions!$A:$C)))</f>
        <v>Required  Attack  Potential</v>
      </c>
      <c r="I34" s="15" t="str">
        <f t="shared" ca="1" si="0"/>
        <v/>
      </c>
      <c r="J34" s="15" t="str">
        <f t="shared" ca="1" si="1"/>
        <v/>
      </c>
      <c r="K34" s="15" t="str" cm="1">
        <f t="array" ca="1" aca="1" ref="K34">SimpleLookup($A34,Questions!$A:$B)</f>
        <v>Required Attack Potential</v>
      </c>
      <c r="L34" s="15" cm="1">
        <f t="array" ca="1" aca="1" ref="L34">CreateID($L$3,$L:$L,AND($A34&lt;&gt;"",$AC34))</f>
        <v>16</v>
      </c>
      <c r="M34" s="99" cm="1">
        <f t="array" ca="1" aca="1" ref="M34">CreateTaskID($M$3,$M:$M,Tasks!$B$17,$G34)</f>
        <v>0</v>
      </c>
      <c r="N34" s="15" t="str">
        <f t="shared" ca="1" si="2"/>
        <v/>
      </c>
      <c r="O34" s="15" cm="1">
        <f t="array" ca="1" aca="1" ref="O34">CreateID($O$3,$O:$O,$N34&lt;&gt;"")</f>
        <v>0</v>
      </c>
      <c r="P34" s="99" t="str">
        <f t="shared" si="3"/>
        <v/>
      </c>
      <c r="Q34" s="99" cm="1">
        <f t="array" ca="1" aca="1" ref="Q34">CreateID($Q$3,$Q:$Q,$P34&lt;&gt;"")</f>
        <v>0</v>
      </c>
      <c r="R34" s="99" t="str">
        <f t="shared" si="4"/>
        <v/>
      </c>
      <c r="S34" s="99" cm="1">
        <f t="array" ca="1" aca="1" ref="S34">CreateID($S$3,$S:$S,$R34&lt;&gt;"")</f>
        <v>0</v>
      </c>
      <c r="T34" s="99" t="str">
        <f t="shared" ca="1" si="5"/>
        <v/>
      </c>
      <c r="U34" s="99" cm="1">
        <f t="array" ca="1" aca="1" ref="U34">CreateID($U$3,$U:$U,$T34&lt;&gt;"")</f>
        <v>0</v>
      </c>
      <c r="V34" s="99" cm="1">
        <f t="array" ca="1" aca="1" ref="V34">CreateID($V$3,$V:$V,IFERROR(FIND(Definitions!$AR$4,$G34)&gt;0,FALSE))</f>
        <v>0</v>
      </c>
      <c r="W34" s="99">
        <f>_xlfn.LET(_xlpm._comment,$G34,_xlpm._keyWord,Definitions!$AR$4,_xlpm._diffLen,LEN(_xlpm._comment)-LEN(SUBSTITUTE(_xlpm._comment,_xlpm._keyWord,"")),_xlpm._diffLen/LEN(_xlpm._keyWord))</f>
        <v>0</v>
      </c>
      <c r="X34" s="99" cm="1">
        <f t="array" ca="1" aca="1" ref="X34">CreateID($X$3,$X:$X,IFERROR(FIND(Definitions!$AR$5,$G34)&gt;0,FALSE))</f>
        <v>0</v>
      </c>
      <c r="Y34" s="99">
        <f>_xlfn.LET(_xlpm._comment,$G34,_xlpm._keyWord,Definitions!$AR$5,_xlpm._diffLen,LEN(_xlpm._comment)-LEN(SUBSTITUTE(_xlpm._comment,_xlpm._keyWord,"")),_xlpm._diffLen/LEN(_xlpm._keyWord))</f>
        <v>0</v>
      </c>
      <c r="Z34" s="99" t="b">
        <f ca="1">OR(IFERROR(_xlfn.XMATCH("*,"&amp;$A34&amp;",*",Assumptions!$AL:$AL,2)&gt;0,FALSE),IFERROR(_xlfn.XMATCH("*,"&amp;$A34&amp;",*",Countermeasures!$AO:$AO,2)&gt;0,FALSE))</f>
        <v>0</v>
      </c>
      <c r="AA34" s="99" t="str" cm="1">
        <f t="array" ca="1" aca="1" ref="AA34">CreateSearchString($I34)</f>
        <v/>
      </c>
      <c r="AB34" s="99" t="str">
        <f>IF($E34="","",IFERROR(VLOOKUP($E34,Definitions!$H:$J,COLUMNS(Definitions!$H:$J),FALSE),""))</f>
        <v/>
      </c>
      <c r="AC34" s="99" t="b" cm="1">
        <f t="array" ca="1" aca="1" ref="AC34">IF($A34="",FALSE,SimpleLookup($A34,Questions!$A:$D)="x")</f>
        <v>0</v>
      </c>
      <c r="AD34" s="99" t="str" cm="1">
        <f t="array" ca="1" aca="1" ref="AD34">IF(OR($A34="",NOT($AC34)),"",SimpleLookup($A34,Questions!$A:$E))</f>
        <v/>
      </c>
      <c r="AE34" s="99" t="str" cm="1">
        <f t="array" ca="1" aca="1" ref="AE34">IF(OR($A34="",NOT($AC34)),"",SimpleLookup($A34,Questions!$A:$F))</f>
        <v/>
      </c>
      <c r="AF34" s="99" t="str" cm="1">
        <f t="array" ca="1" aca="1" ref="AF34">_xlfn.LET(_xlpm._answer,$C34,_xlpm._infoTextFull,IF($AC34,CHAR(10)&amp;SimpleLookup($A34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4" s="99" t="b" cm="1">
        <f t="array" ca="1" aca="1" ref="AG34">IF(OR($A34="",NOT($AC34)),FALSE,_xlfn.LET(_xlpm._secondAnswerRequiredOn,SimpleLookup($A34,Questions!$A:$I),_xlpm._firstAnwer,$C34,IFERROR(FIND(CHAR(10)&amp;_xlpm._firstAnwer&amp;":",CHAR(10)&amp;_xlpm._secondAnswerRequiredOn)&gt;0,FALSE)))</f>
        <v>0</v>
      </c>
      <c r="AH34" s="99" t="str" cm="1">
        <f t="array" ca="1" aca="1" ref="AH34">IF(OR($A34="",NOT($AC34)),"",_xlfn.LET(_xlpm._id,$A34,_xlpm._firstAnswer,$C34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4" s="99" t="str" cm="1">
        <f t="array" ca="1" aca="1" ref="AI34">IF(OR($A34="",NOT($AC34)),"",_xlfn.LET(_xlpm._id,$A34,_xlpm._firstAnswer,$C34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4" s="99" t="str" cm="1">
        <f t="array" ca="1" aca="1" ref="AJ34">IF($AG34,_xlfn.LET(_xlpm._answer,$E34,_xlpm._infoTextFull,IF($AC34,CHAR(10)&amp;SimpleLookup($A34,Questions!$A:$L)&amp;CHAR(10),""),_xlpm._startSelectedByAnswerOne,IF(_xlpm._infoTextFull="",0,FIND("___"&amp;$C34&amp;"___",_xlpm._infoTextFull)+LEN("___"&amp;$C34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4" s="99" t="b" cm="1">
        <f t="array" ca="1" aca="1" ref="AK34">IF(OR($A34="",NOT($AC34)),FALSE,SimpleLookup($A34,Questions!$A:$Q))</f>
        <v>0</v>
      </c>
      <c r="AL34" s="99" t="str" cm="1">
        <f t="array" ca="1" aca="1" ref="AL34">IF(AND($A34=Questions!$A$41,IFERROR(SimpleLookup(Questions!$A$36,$A:$E)=Definitions!$O$5,FALSE),$C34=Definitions!$A$5),Questions!$A$36&amp;" "&amp;Questions!$B$36&amp;CHAR(10)&amp;CHAR(187)&amp;" "&amp;SimpleLookup(Questions!$A$36,$A:$C)&amp;CHAR(10)&amp;SimpleLookup(Questions!$A$36,$A:$D)&amp;CHAR(10)&amp;CHAR(187)&amp;" "&amp;Definitions!$O$5&amp;CHAR(10)&amp;CHAR(10)&amp;"is incosistent with"&amp;CHAR(10)&amp;CHAR(10)&amp;$A34&amp;" "&amp;SimpleLookup($A34,Questions!$A:$B)&amp;CHAR(10)&amp;CHAR(187)&amp;" "&amp;$C34,"")</f>
        <v/>
      </c>
      <c r="AM34" s="99" cm="1">
        <f t="array" ca="1" aca="1" ref="AM34">CreateID($AM$3,$AM:$AM,$AL34&lt;&gt;"")</f>
        <v>0</v>
      </c>
      <c r="AN34" s="99" t="str" cm="1">
        <f t="array" ca="1" aca="1" ref="AN34">IF(OR($C34="",OFFSET($C34,1,0)=""),"",IF(AND($A34=Questions!$A$59,OFFSET($A34,1,0)=Questions!$A$60,SimpleLookup(Questions!$A$49,$A:$C)=Definitions!$A$4),IF(MATCH($C34,Definitions!$AW:$AW,0)&gt;MATCH(OFFSET($C34,1,0),Definitions!AW:AW,0),$A34&amp;" "&amp;$K34&amp;": "&amp;$C34&amp;CHAR(10)&amp;"&lt;---&gt;"&amp;CHAR(10)&amp;OFFSET($A34,1,0)&amp;" "&amp;OFFSET($K34,1,0)&amp;": "&amp;OFFSET($C34,1,0),""),""))</f>
        <v/>
      </c>
      <c r="AO34" s="99" cm="1">
        <f t="array" ca="1" aca="1" ref="AO34">CreateID($AO$3,$AO:$AO,$AN34&lt;&gt;"")</f>
        <v>0</v>
      </c>
    </row>
    <row r="35" spans="1:41" ht="15">
      <c r="A35" s="96" t="s">
        <v>1038</v>
      </c>
      <c r="B35" s="4" t="str" cm="1">
        <f t="array" ca="1" aca="1" ref="B35">IF($A35="","",CreateIndentedString($K35,Definitions!$T$4,SimpleLookup($A35,Questions!$A:$C)))</f>
        <v>Does  the  product  have  any  connectivity?</v>
      </c>
      <c r="C35" s="4" t="s">
        <v>10</v>
      </c>
      <c r="D35" s="8" t="str">
        <f ca="1">$AF35</f>
        <v/>
      </c>
      <c r="F35" s="8" t="str">
        <f ca="1">$AJ35</f>
        <v/>
      </c>
      <c r="I35" s="15" t="str">
        <f t="shared" ca="1" si="0"/>
        <v>QA1[Yes]</v>
      </c>
      <c r="J35" s="15" t="str">
        <f t="shared" ca="1" si="1"/>
        <v>QA1[Yes]</v>
      </c>
      <c r="K35" s="15" t="str" cm="1">
        <f t="array" ca="1" aca="1" ref="K35">SimpleLookup($A35,Questions!$A:$B)</f>
        <v>Does the product have any connectivity?</v>
      </c>
      <c r="L35" s="15" cm="1">
        <f t="array" ca="1" aca="1" ref="L35">CreateID($L$3,$L:$L,AND($A35&lt;&gt;"",$AC35))</f>
        <v>17</v>
      </c>
      <c r="M35" s="99" cm="1">
        <f t="array" ca="1" aca="1" ref="M35">CreateTaskID($M$3,$M:$M,Tasks!$B$17,$G35)</f>
        <v>0</v>
      </c>
      <c r="N35" s="15" t="str">
        <f t="shared" ca="1" si="2"/>
        <v/>
      </c>
      <c r="O35" s="15" cm="1">
        <f t="array" ca="1" aca="1" ref="O35">CreateID($O$3,$O:$O,$N35&lt;&gt;"")</f>
        <v>0</v>
      </c>
      <c r="P35" s="99" t="str">
        <f t="shared" ca="1" si="3"/>
        <v/>
      </c>
      <c r="Q35" s="99" cm="1">
        <f t="array" ca="1" aca="1" ref="Q35">CreateID($Q$3,$Q:$Q,$P35&lt;&gt;"")</f>
        <v>0</v>
      </c>
      <c r="R35" s="99" t="str">
        <f t="shared" ca="1" si="4"/>
        <v/>
      </c>
      <c r="S35" s="99" cm="1">
        <f t="array" ca="1" aca="1" ref="S35">CreateID($S$3,$S:$S,$R35&lt;&gt;"")</f>
        <v>0</v>
      </c>
      <c r="T35" s="99" t="str">
        <f t="shared" ca="1" si="5"/>
        <v/>
      </c>
      <c r="U35" s="99" cm="1">
        <f t="array" ca="1" aca="1" ref="U35">CreateID($U$3,$U:$U,$T35&lt;&gt;"")</f>
        <v>0</v>
      </c>
      <c r="V35" s="99" cm="1">
        <f t="array" ca="1" aca="1" ref="V35">CreateID($V$3,$V:$V,IFERROR(FIND(Definitions!$AR$4,$G35)&gt;0,FALSE))</f>
        <v>0</v>
      </c>
      <c r="W35" s="99">
        <f>_xlfn.LET(_xlpm._comment,$G35,_xlpm._keyWord,Definitions!$AR$4,_xlpm._diffLen,LEN(_xlpm._comment)-LEN(SUBSTITUTE(_xlpm._comment,_xlpm._keyWord,"")),_xlpm._diffLen/LEN(_xlpm._keyWord))</f>
        <v>0</v>
      </c>
      <c r="X35" s="99" cm="1">
        <f t="array" ca="1" aca="1" ref="X35">CreateID($X$3,$X:$X,IFERROR(FIND(Definitions!$AR$5,$G35)&gt;0,FALSE))</f>
        <v>0</v>
      </c>
      <c r="Y35" s="99">
        <f>_xlfn.LET(_xlpm._comment,$G35,_xlpm._keyWord,Definitions!$AR$5,_xlpm._diffLen,LEN(_xlpm._comment)-LEN(SUBSTITUTE(_xlpm._comment,_xlpm._keyWord,"")),_xlpm._diffLen/LEN(_xlpm._keyWord))</f>
        <v>0</v>
      </c>
      <c r="Z35" s="99" t="b">
        <f ca="1">OR(IFERROR(_xlfn.XMATCH("*,"&amp;$A35&amp;",*",Assumptions!$AL:$AL,2)&gt;0,FALSE),IFERROR(_xlfn.XMATCH("*,"&amp;$A35&amp;",*",Countermeasures!$AO:$AO,2)&gt;0,FALSE))</f>
        <v>1</v>
      </c>
      <c r="AA35" s="99" t="str" cm="1">
        <f t="array" ca="1" aca="1" ref="AA35">CreateSearchString($I35)</f>
        <v>,QA1[Yes],</v>
      </c>
      <c r="AB35" s="99" t="str">
        <f>IF($E35="","",IFERROR(VLOOKUP($E35,Definitions!$H:$J,COLUMNS(Definitions!$H:$J),FALSE),""))</f>
        <v/>
      </c>
      <c r="AC35" s="99" t="b" cm="1">
        <f t="array" ca="1" aca="1" ref="AC35">IF($A35="",FALSE,SimpleLookup($A35,Questions!$A:$D)="x")</f>
        <v>1</v>
      </c>
      <c r="AD35" s="99" t="str" cm="1">
        <f t="array" ca="1" aca="1" ref="AD35">IF(OR($A35="",NOT($AC35)),"",SimpleLookup($A35,Questions!$A:$E))</f>
        <v>'[QuBA-libre.xlsx]Definitions'!$A$4</v>
      </c>
      <c r="AE35" s="99" cm="1">
        <f t="array" ca="1" aca="1" ref="AE35">IF(OR($A35="",NOT($AC35)),"",SimpleLookup($A35,Questions!$A:$F))</f>
        <v>2</v>
      </c>
      <c r="AF35" s="99" t="str" cm="1">
        <f t="array" ca="1" aca="1" ref="AF35">_xlfn.LET(_xlpm._answer,$C35,_xlpm._infoTextFull,IF($AC35,CHAR(10)&amp;SimpleLookup($A35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5" s="99" t="b" cm="1">
        <f t="array" ca="1" aca="1" ref="AG35">IF(OR($A35="",NOT($AC35)),FALSE,_xlfn.LET(_xlpm._secondAnswerRequiredOn,SimpleLookup($A35,Questions!$A:$I),_xlpm._firstAnwer,$C35,IFERROR(FIND(CHAR(10)&amp;_xlpm._firstAnwer&amp;":",CHAR(10)&amp;_xlpm._secondAnswerRequiredOn)&gt;0,FALSE)))</f>
        <v>0</v>
      </c>
      <c r="AH35" s="99" t="str" cm="1">
        <f t="array" ca="1" aca="1" ref="AH35">IF(OR($A35="",NOT($AC35)),"",_xlfn.LET(_xlpm._id,$A35,_xlpm._firstAnswer,$C35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5" s="99" t="str" cm="1">
        <f t="array" ca="1" aca="1" ref="AI35">IF(OR($A35="",NOT($AC35)),"",_xlfn.LET(_xlpm._id,$A35,_xlpm._firstAnswer,$C35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5" s="99" t="str" cm="1">
        <f t="array" ca="1" aca="1" ref="AJ35">IF($AG35,_xlfn.LET(_xlpm._answer,$E35,_xlpm._infoTextFull,IF($AC35,CHAR(10)&amp;SimpleLookup($A35,Questions!$A:$L)&amp;CHAR(10),""),_xlpm._startSelectedByAnswerOne,IF(_xlpm._infoTextFull="",0,FIND("___"&amp;$C35&amp;"___",_xlpm._infoTextFull)+LEN("___"&amp;$C35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5" s="99" t="b" cm="1">
        <f t="array" ca="1" aca="1" ref="AK35">IF(OR($A35="",NOT($AC35)),FALSE,SimpleLookup($A35,Questions!$A:$Q))</f>
        <v>0</v>
      </c>
      <c r="AL35" s="99" t="str" cm="1">
        <f t="array" ca="1" aca="1" ref="AL35">IF(AND($A35=Questions!$A$41,IFERROR(SimpleLookup(Questions!$A$36,$A:$E)=Definitions!$O$5,FALSE),$C35=Definitions!$A$5),Questions!$A$36&amp;" "&amp;Questions!$B$36&amp;CHAR(10)&amp;CHAR(187)&amp;" "&amp;SimpleLookup(Questions!$A$36,$A:$C)&amp;CHAR(10)&amp;SimpleLookup(Questions!$A$36,$A:$D)&amp;CHAR(10)&amp;CHAR(187)&amp;" "&amp;Definitions!$O$5&amp;CHAR(10)&amp;CHAR(10)&amp;"is incosistent with"&amp;CHAR(10)&amp;CHAR(10)&amp;$A35&amp;" "&amp;SimpleLookup($A35,Questions!$A:$B)&amp;CHAR(10)&amp;CHAR(187)&amp;" "&amp;$C35,"")</f>
        <v/>
      </c>
      <c r="AM35" s="99" cm="1">
        <f t="array" ca="1" aca="1" ref="AM35">CreateID($AM$3,$AM:$AM,$AL35&lt;&gt;"")</f>
        <v>0</v>
      </c>
      <c r="AN35" s="99" t="str" cm="1">
        <f t="array" ca="1" aca="1" ref="AN35">IF(OR($C35="",OFFSET($C35,1,0)=""),"",IF(AND($A35=Questions!$A$59,OFFSET($A35,1,0)=Questions!$A$60,SimpleLookup(Questions!$A$49,$A:$C)=Definitions!$A$4),IF(MATCH($C35,Definitions!$AW:$AW,0)&gt;MATCH(OFFSET($C35,1,0),Definitions!AW:AW,0),$A35&amp;" "&amp;$K35&amp;": "&amp;$C35&amp;CHAR(10)&amp;"&lt;---&gt;"&amp;CHAR(10)&amp;OFFSET($A35,1,0)&amp;" "&amp;OFFSET($K35,1,0)&amp;": "&amp;OFFSET($C35,1,0),""),""))</f>
        <v/>
      </c>
      <c r="AO35" s="99" cm="1">
        <f t="array" ca="1" aca="1" ref="AO35">CreateID($AO$3,$AO:$AO,$AN35&lt;&gt;"")</f>
        <v>0</v>
      </c>
    </row>
    <row r="36" spans="1:41" ht="45">
      <c r="A36" s="96" t="s">
        <v>1041</v>
      </c>
      <c r="B36" s="4" t="str" cm="1">
        <f t="array" ca="1" aca="1" ref="B36">IF($A36="","",CreateIndentedString($K36,Definitions!$T$4,SimpleLookup($A36,Questions!$A:$C)))</f>
        <v>Does  the  product  connect  two  networks  to  each  other
(e.g.,  as  a  gateway)?</v>
      </c>
      <c r="C36" s="4" t="s">
        <v>10</v>
      </c>
      <c r="D36" s="8" t="str">
        <f ca="1">$AF36</f>
        <v>Please select the kind of connectivity:</v>
      </c>
      <c r="E36" s="4" t="s">
        <v>49</v>
      </c>
      <c r="F36" s="8" t="str">
        <f ca="1">$AJ36</f>
        <v/>
      </c>
      <c r="I36" s="15" t="str">
        <f ca="1" t="shared" si="6" ref="I36:I69">IF($AC36,SUBSTITUTE(IF($A36="","",$A36&amp;"["&amp;$C36&amp;IF($E36="","","|"&amp;$E36)&amp;"]")," ",""),"")</f>
        <v>QA2[Yes|Localnetworkgateway]</v>
      </c>
      <c r="J36" s="15" t="str">
        <f ca="1" t="shared" si="7" ref="J36:J69">IF($AC36,SUBSTITUTE(IF($A36="","",$A36&amp;"["&amp;$C36&amp;IF($E36="","]","|*]"))," ",""),"")</f>
        <v>QA2[Yes|*]</v>
      </c>
      <c r="K36" s="15" t="str" cm="1">
        <f t="array" ca="1" aca="1" ref="K36">SimpleLookup($A36,Questions!$A:$B)</f>
        <v>Does the product connect two networks to each other (e.g., as a gateway)?</v>
      </c>
      <c r="L36" s="15" cm="1">
        <f t="array" ca="1" aca="1" ref="L36">CreateID($L$3,$L:$L,AND($A36&lt;&gt;"",$AC36))</f>
        <v>18</v>
      </c>
      <c r="M36" s="99" cm="1">
        <f t="array" ca="1" aca="1" ref="M36">CreateTaskID($M$3,$M:$M,Tasks!$B$17,$G36)</f>
        <v>0</v>
      </c>
      <c r="N36" s="15" t="str">
        <f ca="1" t="shared" si="8" ref="N36:N67">IF($AC36,IF(AND($A36&lt;&gt;"",$C36="",$AK36=FALSE),$A36&amp;" "&amp;$K36,""),"")</f>
        <v/>
      </c>
      <c r="O36" s="15" cm="1">
        <f t="array" ca="1" aca="1" ref="O36">CreateID($O$3,$O:$O,$N36&lt;&gt;"")</f>
        <v>0</v>
      </c>
      <c r="P36" s="99" t="str">
        <f ca="1" t="shared" si="9" ref="P36:P69">IF(AND($D36&lt;&gt;"",$E36=""),$A36&amp;" "&amp;$K36,"")</f>
        <v/>
      </c>
      <c r="Q36" s="99" cm="1">
        <f t="array" ca="1" aca="1" ref="Q36">CreateID($Q$3,$Q:$Q,$P36&lt;&gt;"")</f>
        <v>0</v>
      </c>
      <c r="R36" s="99" t="str">
        <f ca="1" t="shared" si="10" ref="R36:R69">IF(AND($F36&lt;&gt;"",$G36=""),$A36&amp;" "&amp;$K36,"")</f>
        <v/>
      </c>
      <c r="S36" s="99" cm="1">
        <f t="array" ca="1" aca="1" ref="S36">CreateID($S$3,$S:$S,$R36&lt;&gt;"")</f>
        <v>0</v>
      </c>
      <c r="T36" s="99" t="str">
        <f ca="1" t="shared" si="11" ref="T36:T69">IF($A36="","",IF(AND(NOT($AG36),$E36&lt;&gt;""),$A36&amp;" "&amp;$K36,""))</f>
        <v/>
      </c>
      <c r="U36" s="99" cm="1">
        <f t="array" ca="1" aca="1" ref="U36">CreateID($U$3,$U:$U,$T36&lt;&gt;"")</f>
        <v>0</v>
      </c>
      <c r="V36" s="99" cm="1">
        <f t="array" ca="1" aca="1" ref="V36">CreateID($V$3,$V:$V,IFERROR(FIND(Definitions!$AR$4,$G36)&gt;0,FALSE))</f>
        <v>0</v>
      </c>
      <c r="W36" s="99">
        <f>_xlfn.LET(_xlpm._comment,$G36,_xlpm._keyWord,Definitions!$AR$4,_xlpm._diffLen,LEN(_xlpm._comment)-LEN(SUBSTITUTE(_xlpm._comment,_xlpm._keyWord,"")),_xlpm._diffLen/LEN(_xlpm._keyWord))</f>
        <v>0</v>
      </c>
      <c r="X36" s="99" cm="1">
        <f t="array" ca="1" aca="1" ref="X36">CreateID($X$3,$X:$X,IFERROR(FIND(Definitions!$AR$5,$G36)&gt;0,FALSE))</f>
        <v>0</v>
      </c>
      <c r="Y36" s="99">
        <f>_xlfn.LET(_xlpm._comment,$G36,_xlpm._keyWord,Definitions!$AR$5,_xlpm._diffLen,LEN(_xlpm._comment)-LEN(SUBSTITUTE(_xlpm._comment,_xlpm._keyWord,"")),_xlpm._diffLen/LEN(_xlpm._keyWord))</f>
        <v>0</v>
      </c>
      <c r="Z36" s="99" t="b">
        <f ca="1">OR(IFERROR(_xlfn.XMATCH("*,"&amp;$A36&amp;",*",Assumptions!$AL:$AL,2)&gt;0,FALSE),IFERROR(_xlfn.XMATCH("*,"&amp;$A36&amp;",*",Countermeasures!$AO:$AO,2)&gt;0,FALSE))</f>
        <v>1</v>
      </c>
      <c r="AA36" s="99" t="str" cm="1">
        <f t="array" ca="1" aca="1" ref="AA36">CreateSearchString($I36)</f>
        <v>,QA2[Yes|Localnetworkgateway],</v>
      </c>
      <c r="AB36" s="99" t="str">
        <f>IF($E36="","",IFERROR(VLOOKUP($E36,Definitions!$H:$J,COLUMNS(Definitions!$H:$J),FALSE),""))</f>
        <v/>
      </c>
      <c r="AC36" s="99" t="b" cm="1">
        <f t="array" ca="1" aca="1" ref="AC36">IF($A36="",FALSE,SimpleLookup($A36,Questions!$A:$D)="x")</f>
        <v>1</v>
      </c>
      <c r="AD36" s="99" t="str" cm="1">
        <f t="array" ca="1" aca="1" ref="AD36">IF(OR($A36="",NOT($AC36)),"",SimpleLookup($A36,Questions!$A:$E))</f>
        <v>'[QuBA-libre.xlsx]Definitions'!$A$4</v>
      </c>
      <c r="AE36" s="99" cm="1">
        <f t="array" ca="1" aca="1" ref="AE36">IF(OR($A36="",NOT($AC36)),"",SimpleLookup($A36,Questions!$A:$F))</f>
        <v>2</v>
      </c>
      <c r="AF36" s="99" t="str" cm="1">
        <f t="array" ca="1" aca="1" ref="AF36">_xlfn.LET(_xlpm._answer,$C36,_xlpm._infoTextFull,IF($AC36,CHAR(10)&amp;SimpleLookup($A36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Please select the kind of connectivity:</v>
      </c>
      <c r="AG36" s="99" t="b" cm="1">
        <f t="array" ca="1" aca="1" ref="AG36">IF(OR($A36="",NOT($AC36)),FALSE,_xlfn.LET(_xlpm._secondAnswerRequiredOn,SimpleLookup($A36,Questions!$A:$I),_xlpm._firstAnwer,$C36,IFERROR(FIND(CHAR(10)&amp;_xlpm._firstAnwer&amp;":",CHAR(10)&amp;_xlpm._secondAnswerRequiredOn)&gt;0,FALSE)))</f>
        <v>1</v>
      </c>
      <c r="AH36" s="99" t="str" cm="1">
        <f t="array" ca="1" aca="1" ref="AH36">IF(OR($A36="",NOT($AC36)),"",_xlfn.LET(_xlpm._id,$A36,_xlpm._firstAnswer,$C36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'[QuBA-libre.xlsx]Definitions'!$O$4</v>
      </c>
      <c r="AI36" s="99" cm="1">
        <f t="array" ca="1" aca="1" ref="AI36">IF(OR($A36="",NOT($AC36)),"",_xlfn.LET(_xlpm._id,$A36,_xlpm._firstAnswer,$C36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v>
      </c>
      <c r="AJ36" s="99" t="str" cm="1">
        <f t="array" ca="1" aca="1" ref="AJ36">IF($AG36,_xlfn.LET(_xlpm._answer,$E36,_xlpm._infoTextFull,IF($AC36,CHAR(10)&amp;SimpleLookup($A36,Questions!$A:$L)&amp;CHAR(10),""),_xlpm._startSelectedByAnswerOne,IF(_xlpm._infoTextFull="",0,FIND("___"&amp;$C36&amp;"___",_xlpm._infoTextFull)+LEN("___"&amp;$C36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6" s="99" t="b" cm="1">
        <f t="array" ca="1" aca="1" ref="AK36">IF(OR($A36="",NOT($AC36)),FALSE,SimpleLookup($A36,Questions!$A:$Q))</f>
        <v>0</v>
      </c>
      <c r="AL36" s="99" t="str" cm="1">
        <f t="array" ca="1" aca="1" ref="AL36">IF(AND($A36=Questions!$A$41,IFERROR(SimpleLookup(Questions!$A$36,$A:$E)=Definitions!$O$5,FALSE),$C36=Definitions!$A$5),Questions!$A$36&amp;" "&amp;Questions!$B$36&amp;CHAR(10)&amp;CHAR(187)&amp;" "&amp;SimpleLookup(Questions!$A$36,$A:$C)&amp;CHAR(10)&amp;SimpleLookup(Questions!$A$36,$A:$D)&amp;CHAR(10)&amp;CHAR(187)&amp;" "&amp;Definitions!$O$5&amp;CHAR(10)&amp;CHAR(10)&amp;"is incosistent with"&amp;CHAR(10)&amp;CHAR(10)&amp;$A36&amp;" "&amp;SimpleLookup($A36,Questions!$A:$B)&amp;CHAR(10)&amp;CHAR(187)&amp;" "&amp;$C36,"")</f>
        <v/>
      </c>
      <c r="AM36" s="99" cm="1">
        <f t="array" ca="1" aca="1" ref="AM36">CreateID($AM$3,$AM:$AM,$AL36&lt;&gt;"")</f>
        <v>0</v>
      </c>
      <c r="AN36" s="99" t="str" cm="1">
        <f t="array" ca="1" aca="1" ref="AN36">IF(OR($C36="",OFFSET($C36,1,0)=""),"",IF(AND($A36=Questions!$A$59,OFFSET($A36,1,0)=Questions!$A$60,SimpleLookup(Questions!$A$49,$A:$C)=Definitions!$A$4),IF(MATCH($C36,Definitions!$AW:$AW,0)&gt;MATCH(OFFSET($C36,1,0),Definitions!AW:AW,0),$A36&amp;" "&amp;$K36&amp;": "&amp;$C36&amp;CHAR(10)&amp;"&lt;---&gt;"&amp;CHAR(10)&amp;OFFSET($A36,1,0)&amp;" "&amp;OFFSET($K36,1,0)&amp;": "&amp;OFFSET($C36,1,0),""),""))</f>
        <v/>
      </c>
      <c r="AO36" s="99" cm="1">
        <f t="array" ca="1" aca="1" ref="AO36">CreateID($AO$3,$AO:$AO,$AN36&lt;&gt;"")</f>
        <v>0</v>
      </c>
    </row>
    <row r="37" spans="1:41" ht="15">
      <c r="A37" s="96" t="s">
        <v>1175</v>
      </c>
      <c r="B37" s="4" t="str" cm="1">
        <f t="array" ca="1" aca="1" ref="B37">IF($A37="","",CreateIndentedString($K37,Definitions!$T$4,SimpleLookup($A37,Questions!$A:$C)))</f>
        <v>Physical  communication</v>
      </c>
      <c r="I37" s="15" t="str">
        <f t="shared" ca="1" si="6"/>
        <v/>
      </c>
      <c r="J37" s="15" t="str">
        <f t="shared" ca="1" si="7"/>
        <v/>
      </c>
      <c r="K37" s="15" t="str" cm="1">
        <f t="array" ca="1" aca="1" ref="K37">SimpleLookup($A37,Questions!$A:$B)</f>
        <v>Physical communication</v>
      </c>
      <c r="L37" s="15" cm="1">
        <f t="array" ca="1" aca="1" ref="L37">CreateID($L$3,$L:$L,AND($A37&lt;&gt;"",$AC37))</f>
        <v>18</v>
      </c>
      <c r="M37" s="99" cm="1">
        <f t="array" ca="1" aca="1" ref="M37">CreateTaskID($M$3,$M:$M,Tasks!$B$17,$G37)</f>
        <v>0</v>
      </c>
      <c r="N37" s="15" t="str">
        <f t="shared" ca="1" si="8"/>
        <v/>
      </c>
      <c r="O37" s="15" cm="1">
        <f t="array" ca="1" aca="1" ref="O37">CreateID($O$3,$O:$O,$N37&lt;&gt;"")</f>
        <v>0</v>
      </c>
      <c r="P37" s="99" t="str">
        <f t="shared" si="9"/>
        <v/>
      </c>
      <c r="Q37" s="99" cm="1">
        <f t="array" ca="1" aca="1" ref="Q37">CreateID($Q$3,$Q:$Q,$P37&lt;&gt;"")</f>
        <v>0</v>
      </c>
      <c r="R37" s="99" t="str">
        <f t="shared" si="10"/>
        <v/>
      </c>
      <c r="S37" s="99" cm="1">
        <f t="array" ca="1" aca="1" ref="S37">CreateID($S$3,$S:$S,$R37&lt;&gt;"")</f>
        <v>0</v>
      </c>
      <c r="T37" s="99" t="str">
        <f t="shared" ca="1" si="11"/>
        <v/>
      </c>
      <c r="U37" s="99" cm="1">
        <f t="array" ca="1" aca="1" ref="U37">CreateID($U$3,$U:$U,$T37&lt;&gt;"")</f>
        <v>0</v>
      </c>
      <c r="V37" s="99" cm="1">
        <f t="array" ca="1" aca="1" ref="V37">CreateID($V$3,$V:$V,IFERROR(FIND(Definitions!$AR$4,$G37)&gt;0,FALSE))</f>
        <v>0</v>
      </c>
      <c r="W37" s="99">
        <f>_xlfn.LET(_xlpm._comment,$G37,_xlpm._keyWord,Definitions!$AR$4,_xlpm._diffLen,LEN(_xlpm._comment)-LEN(SUBSTITUTE(_xlpm._comment,_xlpm._keyWord,"")),_xlpm._diffLen/LEN(_xlpm._keyWord))</f>
        <v>0</v>
      </c>
      <c r="X37" s="99" cm="1">
        <f t="array" ca="1" aca="1" ref="X37">CreateID($X$3,$X:$X,IFERROR(FIND(Definitions!$AR$5,$G37)&gt;0,FALSE))</f>
        <v>0</v>
      </c>
      <c r="Y37" s="99">
        <f>_xlfn.LET(_xlpm._comment,$G37,_xlpm._keyWord,Definitions!$AR$5,_xlpm._diffLen,LEN(_xlpm._comment)-LEN(SUBSTITUTE(_xlpm._comment,_xlpm._keyWord,"")),_xlpm._diffLen/LEN(_xlpm._keyWord))</f>
        <v>0</v>
      </c>
      <c r="Z37" s="99" t="b">
        <f ca="1">OR(IFERROR(_xlfn.XMATCH("*,"&amp;$A37&amp;",*",Assumptions!$AL:$AL,2)&gt;0,FALSE),IFERROR(_xlfn.XMATCH("*,"&amp;$A37&amp;",*",Countermeasures!$AO:$AO,2)&gt;0,FALSE))</f>
        <v>0</v>
      </c>
      <c r="AA37" s="99" t="str" cm="1">
        <f t="array" ca="1" aca="1" ref="AA37">CreateSearchString($I37)</f>
        <v/>
      </c>
      <c r="AB37" s="99" t="str">
        <f>IF($E37="","",IFERROR(VLOOKUP($E37,Definitions!$H:$J,COLUMNS(Definitions!$H:$J),FALSE),""))</f>
        <v/>
      </c>
      <c r="AC37" s="99" t="b" cm="1">
        <f t="array" ca="1" aca="1" ref="AC37">IF($A37="",FALSE,SimpleLookup($A37,Questions!$A:$D)="x")</f>
        <v>0</v>
      </c>
      <c r="AD37" s="99" t="str" cm="1">
        <f t="array" ca="1" aca="1" ref="AD37">IF(OR($A37="",NOT($AC37)),"",SimpleLookup($A37,Questions!$A:$E))</f>
        <v/>
      </c>
      <c r="AE37" s="99" t="str" cm="1">
        <f t="array" ca="1" aca="1" ref="AE37">IF(OR($A37="",NOT($AC37)),"",SimpleLookup($A37,Questions!$A:$F))</f>
        <v/>
      </c>
      <c r="AF37" s="99" t="str" cm="1">
        <f t="array" ca="1" aca="1" ref="AF37">_xlfn.LET(_xlpm._answer,$C37,_xlpm._infoTextFull,IF($AC37,CHAR(10)&amp;SimpleLookup($A37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7" s="99" t="b" cm="1">
        <f t="array" ca="1" aca="1" ref="AG37">IF(OR($A37="",NOT($AC37)),FALSE,_xlfn.LET(_xlpm._secondAnswerRequiredOn,SimpleLookup($A37,Questions!$A:$I),_xlpm._firstAnwer,$C37,IFERROR(FIND(CHAR(10)&amp;_xlpm._firstAnwer&amp;":",CHAR(10)&amp;_xlpm._secondAnswerRequiredOn)&gt;0,FALSE)))</f>
        <v>0</v>
      </c>
      <c r="AH37" s="99" t="str" cm="1">
        <f t="array" ca="1" aca="1" ref="AH37">IF(OR($A37="",NOT($AC37)),"",_xlfn.LET(_xlpm._id,$A37,_xlpm._firstAnswer,$C37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7" s="99" t="str" cm="1">
        <f t="array" ca="1" aca="1" ref="AI37">IF(OR($A37="",NOT($AC37)),"",_xlfn.LET(_xlpm._id,$A37,_xlpm._firstAnswer,$C37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7" s="99" t="str" cm="1">
        <f t="array" ca="1" aca="1" ref="AJ37">IF($AG37,_xlfn.LET(_xlpm._answer,$E37,_xlpm._infoTextFull,IF($AC37,CHAR(10)&amp;SimpleLookup($A37,Questions!$A:$L)&amp;CHAR(10),""),_xlpm._startSelectedByAnswerOne,IF(_xlpm._infoTextFull="",0,FIND("___"&amp;$C37&amp;"___",_xlpm._infoTextFull)+LEN("___"&amp;$C37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7" s="99" t="b" cm="1">
        <f t="array" ca="1" aca="1" ref="AK37">IF(OR($A37="",NOT($AC37)),FALSE,SimpleLookup($A37,Questions!$A:$Q))</f>
        <v>0</v>
      </c>
      <c r="AL37" s="99" t="str" cm="1">
        <f t="array" ca="1" aca="1" ref="AL37">IF(AND($A37=Questions!$A$41,IFERROR(SimpleLookup(Questions!$A$36,$A:$E)=Definitions!$O$5,FALSE),$C37=Definitions!$A$5),Questions!$A$36&amp;" "&amp;Questions!$B$36&amp;CHAR(10)&amp;CHAR(187)&amp;" "&amp;SimpleLookup(Questions!$A$36,$A:$C)&amp;CHAR(10)&amp;SimpleLookup(Questions!$A$36,$A:$D)&amp;CHAR(10)&amp;CHAR(187)&amp;" "&amp;Definitions!$O$5&amp;CHAR(10)&amp;CHAR(10)&amp;"is incosistent with"&amp;CHAR(10)&amp;CHAR(10)&amp;$A37&amp;" "&amp;SimpleLookup($A37,Questions!$A:$B)&amp;CHAR(10)&amp;CHAR(187)&amp;" "&amp;$C37,"")</f>
        <v/>
      </c>
      <c r="AM37" s="99" cm="1">
        <f t="array" ca="1" aca="1" ref="AM37">CreateID($AM$3,$AM:$AM,$AL37&lt;&gt;"")</f>
        <v>0</v>
      </c>
      <c r="AN37" s="99" t="str" cm="1">
        <f t="array" ca="1" aca="1" ref="AN37">IF(OR($C37="",OFFSET($C37,1,0)=""),"",IF(AND($A37=Questions!$A$59,OFFSET($A37,1,0)=Questions!$A$60,SimpleLookup(Questions!$A$49,$A:$C)=Definitions!$A$4),IF(MATCH($C37,Definitions!$AW:$AW,0)&gt;MATCH(OFFSET($C37,1,0),Definitions!AW:AW,0),$A37&amp;" "&amp;$K37&amp;": "&amp;$C37&amp;CHAR(10)&amp;"&lt;---&gt;"&amp;CHAR(10)&amp;OFFSET($A37,1,0)&amp;" "&amp;OFFSET($K37,1,0)&amp;": "&amp;OFFSET($C37,1,0),""),""))</f>
        <v/>
      </c>
      <c r="AO37" s="99" cm="1">
        <f t="array" ca="1" aca="1" ref="AO37">CreateID($AO$3,$AO:$AO,$AN37&lt;&gt;"")</f>
        <v>0</v>
      </c>
    </row>
    <row r="38" spans="1:41" ht="30">
      <c r="A38" s="96" t="s">
        <v>1043</v>
      </c>
      <c r="B38" s="4" t="str" cm="1">
        <f t="array" ca="1" aca="1" ref="B38">IF($A38="","",CreateIndentedString($K38,Definitions!$T$4,SimpleLookup($A38,Questions!$A:$C)))</f>
        <v xml:space="preserve">   Does  the  product  have  a  point-to-point  connection
   to  another  device?</v>
      </c>
      <c r="C38" s="4" t="s">
        <v>11</v>
      </c>
      <c r="D38" s="8" t="str">
        <f ca="1">$AF38</f>
        <v/>
      </c>
      <c r="F38" s="8" t="str">
        <f ca="1">$AJ38</f>
        <v/>
      </c>
      <c r="I38" s="15" t="str">
        <f t="shared" ca="1" si="6"/>
        <v>QA3[No]</v>
      </c>
      <c r="J38" s="15" t="str">
        <f t="shared" ca="1" si="7"/>
        <v>QA3[No]</v>
      </c>
      <c r="K38" s="15" t="str" cm="1">
        <f t="array" ca="1" aca="1" ref="K38">SimpleLookup($A38,Questions!$A:$B)</f>
        <v>Does the product have a point-to-point connection to another device?</v>
      </c>
      <c r="L38" s="15" cm="1">
        <f t="array" ca="1" aca="1" ref="L38">CreateID($L$3,$L:$L,AND($A38&lt;&gt;"",$AC38))</f>
        <v>19</v>
      </c>
      <c r="M38" s="99" cm="1">
        <f t="array" ca="1" aca="1" ref="M38">CreateTaskID($M$3,$M:$M,Tasks!$B$17,$G38)</f>
        <v>0</v>
      </c>
      <c r="N38" s="15" t="str">
        <f t="shared" ca="1" si="8"/>
        <v/>
      </c>
      <c r="O38" s="15" cm="1">
        <f t="array" ca="1" aca="1" ref="O38">CreateID($O$3,$O:$O,$N38&lt;&gt;"")</f>
        <v>0</v>
      </c>
      <c r="P38" s="99" t="str">
        <f t="shared" ca="1" si="9"/>
        <v/>
      </c>
      <c r="Q38" s="99" cm="1">
        <f t="array" ca="1" aca="1" ref="Q38">CreateID($Q$3,$Q:$Q,$P38&lt;&gt;"")</f>
        <v>0</v>
      </c>
      <c r="R38" s="99" t="str">
        <f t="shared" ca="1" si="10"/>
        <v/>
      </c>
      <c r="S38" s="99" cm="1">
        <f t="array" ca="1" aca="1" ref="S38">CreateID($S$3,$S:$S,$R38&lt;&gt;"")</f>
        <v>0</v>
      </c>
      <c r="T38" s="99" t="str">
        <f t="shared" ca="1" si="11"/>
        <v/>
      </c>
      <c r="U38" s="99" cm="1">
        <f t="array" ca="1" aca="1" ref="U38">CreateID($U$3,$U:$U,$T38&lt;&gt;"")</f>
        <v>0</v>
      </c>
      <c r="V38" s="99" cm="1">
        <f t="array" ca="1" aca="1" ref="V38">CreateID($V$3,$V:$V,IFERROR(FIND(Definitions!$AR$4,$G38)&gt;0,FALSE))</f>
        <v>0</v>
      </c>
      <c r="W38" s="99">
        <f>_xlfn.LET(_xlpm._comment,$G38,_xlpm._keyWord,Definitions!$AR$4,_xlpm._diffLen,LEN(_xlpm._comment)-LEN(SUBSTITUTE(_xlpm._comment,_xlpm._keyWord,"")),_xlpm._diffLen/LEN(_xlpm._keyWord))</f>
        <v>0</v>
      </c>
      <c r="X38" s="99" cm="1">
        <f t="array" ca="1" aca="1" ref="X38">CreateID($X$3,$X:$X,IFERROR(FIND(Definitions!$AR$5,$G38)&gt;0,FALSE))</f>
        <v>0</v>
      </c>
      <c r="Y38" s="99">
        <f>_xlfn.LET(_xlpm._comment,$G38,_xlpm._keyWord,Definitions!$AR$5,_xlpm._diffLen,LEN(_xlpm._comment)-LEN(SUBSTITUTE(_xlpm._comment,_xlpm._keyWord,"")),_xlpm._diffLen/LEN(_xlpm._keyWord))</f>
        <v>0</v>
      </c>
      <c r="Z38" s="99" t="b">
        <f ca="1">OR(IFERROR(_xlfn.XMATCH("*,"&amp;$A38&amp;",*",Assumptions!$AL:$AL,2)&gt;0,FALSE),IFERROR(_xlfn.XMATCH("*,"&amp;$A38&amp;",*",Countermeasures!$AO:$AO,2)&gt;0,FALSE))</f>
        <v>0</v>
      </c>
      <c r="AA38" s="99" t="str" cm="1">
        <f t="array" ca="1" aca="1" ref="AA38">CreateSearchString($I38)</f>
        <v>,QA3[No],</v>
      </c>
      <c r="AB38" s="99" t="str">
        <f>IF($E38="","",IFERROR(VLOOKUP($E38,Definitions!$H:$J,COLUMNS(Definitions!$H:$J),FALSE),""))</f>
        <v/>
      </c>
      <c r="AC38" s="99" t="b" cm="1">
        <f t="array" ca="1" aca="1" ref="AC38">IF($A38="",FALSE,SimpleLookup($A38,Questions!$A:$D)="x")</f>
        <v>1</v>
      </c>
      <c r="AD38" s="99" t="str" cm="1">
        <f t="array" ca="1" aca="1" ref="AD38">IF(OR($A38="",NOT($AC38)),"",SimpleLookup($A38,Questions!$A:$E))</f>
        <v>'[QuBA-libre.xlsx]Definitions'!$A$4</v>
      </c>
      <c r="AE38" s="99" cm="1">
        <f t="array" ca="1" aca="1" ref="AE38">IF(OR($A38="",NOT($AC38)),"",SimpleLookup($A38,Questions!$A:$F))</f>
        <v>2</v>
      </c>
      <c r="AF38" s="99" t="str" cm="1">
        <f t="array" ca="1" aca="1" ref="AF38">_xlfn.LET(_xlpm._answer,$C38,_xlpm._infoTextFull,IF($AC38,CHAR(10)&amp;SimpleLookup($A38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8" s="99" t="b" cm="1">
        <f t="array" ca="1" aca="1" ref="AG38">IF(OR($A38="",NOT($AC38)),FALSE,_xlfn.LET(_xlpm._secondAnswerRequiredOn,SimpleLookup($A38,Questions!$A:$I),_xlpm._firstAnwer,$C38,IFERROR(FIND(CHAR(10)&amp;_xlpm._firstAnwer&amp;":",CHAR(10)&amp;_xlpm._secondAnswerRequiredOn)&gt;0,FALSE)))</f>
        <v>0</v>
      </c>
      <c r="AH38" s="99" t="str" cm="1">
        <f t="array" ca="1" aca="1" ref="AH38">IF(OR($A38="",NOT($AC38)),"",_xlfn.LET(_xlpm._id,$A38,_xlpm._firstAnswer,$C38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8" s="99" t="str" cm="1">
        <f t="array" ca="1" aca="1" ref="AI38">IF(OR($A38="",NOT($AC38)),"",_xlfn.LET(_xlpm._id,$A38,_xlpm._firstAnswer,$C38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8" s="99" t="str" cm="1">
        <f t="array" ca="1" aca="1" ref="AJ38">IF($AG38,_xlfn.LET(_xlpm._answer,$E38,_xlpm._infoTextFull,IF($AC38,CHAR(10)&amp;SimpleLookup($A38,Questions!$A:$L)&amp;CHAR(10),""),_xlpm._startSelectedByAnswerOne,IF(_xlpm._infoTextFull="",0,FIND("___"&amp;$C38&amp;"___",_xlpm._infoTextFull)+LEN("___"&amp;$C38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8" s="99" t="b" cm="1">
        <f t="array" ca="1" aca="1" ref="AK38">IF(OR($A38="",NOT($AC38)),FALSE,SimpleLookup($A38,Questions!$A:$Q))</f>
        <v>0</v>
      </c>
      <c r="AL38" s="99" t="str" cm="1">
        <f t="array" ca="1" aca="1" ref="AL38">IF(AND($A38=Questions!$A$41,IFERROR(SimpleLookup(Questions!$A$36,$A:$E)=Definitions!$O$5,FALSE),$C38=Definitions!$A$5),Questions!$A$36&amp;" "&amp;Questions!$B$36&amp;CHAR(10)&amp;CHAR(187)&amp;" "&amp;SimpleLookup(Questions!$A$36,$A:$C)&amp;CHAR(10)&amp;SimpleLookup(Questions!$A$36,$A:$D)&amp;CHAR(10)&amp;CHAR(187)&amp;" "&amp;Definitions!$O$5&amp;CHAR(10)&amp;CHAR(10)&amp;"is incosistent with"&amp;CHAR(10)&amp;CHAR(10)&amp;$A38&amp;" "&amp;SimpleLookup($A38,Questions!$A:$B)&amp;CHAR(10)&amp;CHAR(187)&amp;" "&amp;$C38,"")</f>
        <v/>
      </c>
      <c r="AM38" s="99" cm="1">
        <f t="array" ca="1" aca="1" ref="AM38">CreateID($AM$3,$AM:$AM,$AL38&lt;&gt;"")</f>
        <v>0</v>
      </c>
      <c r="AN38" s="99" t="str" cm="1">
        <f t="array" ca="1" aca="1" ref="AN38">IF(OR($C38="",OFFSET($C38,1,0)=""),"",IF(AND($A38=Questions!$A$59,OFFSET($A38,1,0)=Questions!$A$60,SimpleLookup(Questions!$A$49,$A:$C)=Definitions!$A$4),IF(MATCH($C38,Definitions!$AW:$AW,0)&gt;MATCH(OFFSET($C38,1,0),Definitions!AW:AW,0),$A38&amp;" "&amp;$K38&amp;": "&amp;$C38&amp;CHAR(10)&amp;"&lt;---&gt;"&amp;CHAR(10)&amp;OFFSET($A38,1,0)&amp;" "&amp;OFFSET($K38,1,0)&amp;": "&amp;OFFSET($C38,1,0),""),""))</f>
        <v/>
      </c>
      <c r="AO38" s="99" cm="1">
        <f t="array" ca="1" aca="1" ref="AO38">CreateID($AO$3,$AO:$AO,$AN38&lt;&gt;"")</f>
        <v>0</v>
      </c>
    </row>
    <row r="39" spans="1:41" ht="30">
      <c r="A39" s="96" t="s">
        <v>1045</v>
      </c>
      <c r="B39" s="4" t="str" cm="1">
        <f t="array" ca="1" aca="1" ref="B39">IF($A39="","",CreateIndentedString($K39,Definitions!$T$4,SimpleLookup($A39,Questions!$A:$C)))</f>
        <v xml:space="preserve">   Does  the  product  have  a  direct  connection  to  a
   local  network?</v>
      </c>
      <c r="C39" s="4" t="s">
        <v>11</v>
      </c>
      <c r="D39" s="8" t="str">
        <f ca="1">$AF39</f>
        <v/>
      </c>
      <c r="F39" s="8" t="str">
        <f ca="1">$AJ39</f>
        <v/>
      </c>
      <c r="I39" s="15" t="str">
        <f t="shared" ca="1" si="6"/>
        <v>QA4[No]</v>
      </c>
      <c r="J39" s="15" t="str">
        <f t="shared" ca="1" si="7"/>
        <v>QA4[No]</v>
      </c>
      <c r="K39" s="15" t="str" cm="1">
        <f t="array" ca="1" aca="1" ref="K39">SimpleLookup($A39,Questions!$A:$B)</f>
        <v>Does the product have a direct connection to a local network?</v>
      </c>
      <c r="L39" s="15" cm="1">
        <f t="array" ca="1" aca="1" ref="L39">CreateID($L$3,$L:$L,AND($A39&lt;&gt;"",$AC39))</f>
        <v>20</v>
      </c>
      <c r="M39" s="99" cm="1">
        <f t="array" ca="1" aca="1" ref="M39">CreateTaskID($M$3,$M:$M,Tasks!$B$17,$G39)</f>
        <v>0</v>
      </c>
      <c r="N39" s="15" t="str">
        <f t="shared" ca="1" si="8"/>
        <v/>
      </c>
      <c r="O39" s="15" cm="1">
        <f t="array" ca="1" aca="1" ref="O39">CreateID($O$3,$O:$O,$N39&lt;&gt;"")</f>
        <v>0</v>
      </c>
      <c r="P39" s="99" t="str">
        <f t="shared" ca="1" si="9"/>
        <v/>
      </c>
      <c r="Q39" s="99" cm="1">
        <f t="array" ca="1" aca="1" ref="Q39">CreateID($Q$3,$Q:$Q,$P39&lt;&gt;"")</f>
        <v>0</v>
      </c>
      <c r="R39" s="99" t="str">
        <f t="shared" ca="1" si="10"/>
        <v/>
      </c>
      <c r="S39" s="99" cm="1">
        <f t="array" ca="1" aca="1" ref="S39">CreateID($S$3,$S:$S,$R39&lt;&gt;"")</f>
        <v>0</v>
      </c>
      <c r="T39" s="99" t="str">
        <f t="shared" ca="1" si="11"/>
        <v/>
      </c>
      <c r="U39" s="99" cm="1">
        <f t="array" ca="1" aca="1" ref="U39">CreateID($U$3,$U:$U,$T39&lt;&gt;"")</f>
        <v>0</v>
      </c>
      <c r="V39" s="99" cm="1">
        <f t="array" ca="1" aca="1" ref="V39">CreateID($V$3,$V:$V,IFERROR(FIND(Definitions!$AR$4,$G39)&gt;0,FALSE))</f>
        <v>0</v>
      </c>
      <c r="W39" s="99">
        <f>_xlfn.LET(_xlpm._comment,$G39,_xlpm._keyWord,Definitions!$AR$4,_xlpm._diffLen,LEN(_xlpm._comment)-LEN(SUBSTITUTE(_xlpm._comment,_xlpm._keyWord,"")),_xlpm._diffLen/LEN(_xlpm._keyWord))</f>
        <v>0</v>
      </c>
      <c r="X39" s="99" cm="1">
        <f t="array" ca="1" aca="1" ref="X39">CreateID($X$3,$X:$X,IFERROR(FIND(Definitions!$AR$5,$G39)&gt;0,FALSE))</f>
        <v>0</v>
      </c>
      <c r="Y39" s="99">
        <f>_xlfn.LET(_xlpm._comment,$G39,_xlpm._keyWord,Definitions!$AR$5,_xlpm._diffLen,LEN(_xlpm._comment)-LEN(SUBSTITUTE(_xlpm._comment,_xlpm._keyWord,"")),_xlpm._diffLen/LEN(_xlpm._keyWord))</f>
        <v>0</v>
      </c>
      <c r="Z39" s="99" t="b">
        <f ca="1">OR(IFERROR(_xlfn.XMATCH("*,"&amp;$A39&amp;",*",Assumptions!$AL:$AL,2)&gt;0,FALSE),IFERROR(_xlfn.XMATCH("*,"&amp;$A39&amp;",*",Countermeasures!$AO:$AO,2)&gt;0,FALSE))</f>
        <v>0</v>
      </c>
      <c r="AA39" s="99" t="str" cm="1">
        <f t="array" ca="1" aca="1" ref="AA39">CreateSearchString($I39)</f>
        <v>,QA4[No],</v>
      </c>
      <c r="AB39" s="99" t="str">
        <f>IF($E39="","",IFERROR(VLOOKUP($E39,Definitions!$H:$J,COLUMNS(Definitions!$H:$J),FALSE),""))</f>
        <v/>
      </c>
      <c r="AC39" s="99" t="b" cm="1">
        <f t="array" ca="1" aca="1" ref="AC39">IF($A39="",FALSE,SimpleLookup($A39,Questions!$A:$D)="x")</f>
        <v>1</v>
      </c>
      <c r="AD39" s="99" t="str" cm="1">
        <f t="array" ca="1" aca="1" ref="AD39">IF(OR($A39="",NOT($AC39)),"",SimpleLookup($A39,Questions!$A:$E))</f>
        <v>'[QuBA-libre.xlsx]Definitions'!$A$4</v>
      </c>
      <c r="AE39" s="99" cm="1">
        <f t="array" ca="1" aca="1" ref="AE39">IF(OR($A39="",NOT($AC39)),"",SimpleLookup($A39,Questions!$A:$F))</f>
        <v>2</v>
      </c>
      <c r="AF39" s="99" t="str" cm="1">
        <f t="array" ca="1" aca="1" ref="AF39">_xlfn.LET(_xlpm._answer,$C39,_xlpm._infoTextFull,IF($AC39,CHAR(10)&amp;SimpleLookup($A39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39" s="99" t="b" cm="1">
        <f t="array" ca="1" aca="1" ref="AG39">IF(OR($A39="",NOT($AC39)),FALSE,_xlfn.LET(_xlpm._secondAnswerRequiredOn,SimpleLookup($A39,Questions!$A:$I),_xlpm._firstAnwer,$C39,IFERROR(FIND(CHAR(10)&amp;_xlpm._firstAnwer&amp;":",CHAR(10)&amp;_xlpm._secondAnswerRequiredOn)&gt;0,FALSE)))</f>
        <v>0</v>
      </c>
      <c r="AH39" s="99" t="str" cm="1">
        <f t="array" ca="1" aca="1" ref="AH39">IF(OR($A39="",NOT($AC39)),"",_xlfn.LET(_xlpm._id,$A39,_xlpm._firstAnswer,$C39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39" s="99" t="str" cm="1">
        <f t="array" ca="1" aca="1" ref="AI39">IF(OR($A39="",NOT($AC39)),"",_xlfn.LET(_xlpm._id,$A39,_xlpm._firstAnswer,$C39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39" s="99" t="str" cm="1">
        <f t="array" ca="1" aca="1" ref="AJ39">IF($AG39,_xlfn.LET(_xlpm._answer,$E39,_xlpm._infoTextFull,IF($AC39,CHAR(10)&amp;SimpleLookup($A39,Questions!$A:$L)&amp;CHAR(10),""),_xlpm._startSelectedByAnswerOne,IF(_xlpm._infoTextFull="",0,FIND("___"&amp;$C39&amp;"___",_xlpm._infoTextFull)+LEN("___"&amp;$C39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39" s="99" t="b" cm="1">
        <f t="array" ca="1" aca="1" ref="AK39">IF(OR($A39="",NOT($AC39)),FALSE,SimpleLookup($A39,Questions!$A:$Q))</f>
        <v>0</v>
      </c>
      <c r="AL39" s="99" t="str" cm="1">
        <f t="array" ca="1" aca="1" ref="AL39">IF(AND($A39=Questions!$A$41,IFERROR(SimpleLookup(Questions!$A$36,$A:$E)=Definitions!$O$5,FALSE),$C39=Definitions!$A$5),Questions!$A$36&amp;" "&amp;Questions!$B$36&amp;CHAR(10)&amp;CHAR(187)&amp;" "&amp;SimpleLookup(Questions!$A$36,$A:$C)&amp;CHAR(10)&amp;SimpleLookup(Questions!$A$36,$A:$D)&amp;CHAR(10)&amp;CHAR(187)&amp;" "&amp;Definitions!$O$5&amp;CHAR(10)&amp;CHAR(10)&amp;"is incosistent with"&amp;CHAR(10)&amp;CHAR(10)&amp;$A39&amp;" "&amp;SimpleLookup($A39,Questions!$A:$B)&amp;CHAR(10)&amp;CHAR(187)&amp;" "&amp;$C39,"")</f>
        <v/>
      </c>
      <c r="AM39" s="99" cm="1">
        <f t="array" ca="1" aca="1" ref="AM39">CreateID($AM$3,$AM:$AM,$AL39&lt;&gt;"")</f>
        <v>0</v>
      </c>
      <c r="AN39" s="99" t="str" cm="1">
        <f t="array" ca="1" aca="1" ref="AN39">IF(OR($C39="",OFFSET($C39,1,0)=""),"",IF(AND($A39=Questions!$A$59,OFFSET($A39,1,0)=Questions!$A$60,SimpleLookup(Questions!$A$49,$A:$C)=Definitions!$A$4),IF(MATCH($C39,Definitions!$AW:$AW,0)&gt;MATCH(OFFSET($C39,1,0),Definitions!AW:AW,0),$A39&amp;" "&amp;$K39&amp;": "&amp;$C39&amp;CHAR(10)&amp;"&lt;---&gt;"&amp;CHAR(10)&amp;OFFSET($A39,1,0)&amp;" "&amp;OFFSET($K39,1,0)&amp;": "&amp;OFFSET($C39,1,0),""),""))</f>
        <v/>
      </c>
      <c r="AO39" s="99" cm="1">
        <f t="array" ca="1" aca="1" ref="AO39">CreateID($AO$3,$AO:$AO,$AN39&lt;&gt;"")</f>
        <v>0</v>
      </c>
    </row>
    <row r="40" spans="1:41" ht="15">
      <c r="A40" s="96" t="s">
        <v>1047</v>
      </c>
      <c r="B40" s="4" t="str" cm="1">
        <f t="array" ca="1" aca="1" ref="B40">IF($A40="","",CreateIndentedString($K40,Definitions!$T$4,SimpleLookup($A40,Questions!$A:$C)))</f>
        <v xml:space="preserve">   Does  the  product  support  wireless  connections?</v>
      </c>
      <c r="C40" s="4" t="s">
        <v>11</v>
      </c>
      <c r="D40" s="8" t="str">
        <f ca="1">$AF40</f>
        <v/>
      </c>
      <c r="F40" s="8" t="str">
        <f ca="1">$AJ40</f>
        <v/>
      </c>
      <c r="I40" s="15" t="str">
        <f t="shared" ca="1" si="6"/>
        <v>QA5[No]</v>
      </c>
      <c r="J40" s="15" t="str">
        <f t="shared" ca="1" si="7"/>
        <v>QA5[No]</v>
      </c>
      <c r="K40" s="15" t="str" cm="1">
        <f t="array" ca="1" aca="1" ref="K40">SimpleLookup($A40,Questions!$A:$B)</f>
        <v>Does the product support wireless connections?</v>
      </c>
      <c r="L40" s="15" cm="1">
        <f t="array" ca="1" aca="1" ref="L40">CreateID($L$3,$L:$L,AND($A40&lt;&gt;"",$AC40))</f>
        <v>21</v>
      </c>
      <c r="M40" s="99" cm="1">
        <f t="array" ca="1" aca="1" ref="M40">CreateTaskID($M$3,$M:$M,Tasks!$B$17,$G40)</f>
        <v>0</v>
      </c>
      <c r="N40" s="15" t="str">
        <f t="shared" ca="1" si="8"/>
        <v/>
      </c>
      <c r="O40" s="15" cm="1">
        <f t="array" ca="1" aca="1" ref="O40">CreateID($O$3,$O:$O,$N40&lt;&gt;"")</f>
        <v>0</v>
      </c>
      <c r="P40" s="99" t="str">
        <f t="shared" ca="1" si="9"/>
        <v/>
      </c>
      <c r="Q40" s="99" cm="1">
        <f t="array" ca="1" aca="1" ref="Q40">CreateID($Q$3,$Q:$Q,$P40&lt;&gt;"")</f>
        <v>0</v>
      </c>
      <c r="R40" s="99" t="str">
        <f t="shared" ca="1" si="10"/>
        <v/>
      </c>
      <c r="S40" s="99" cm="1">
        <f t="array" ca="1" aca="1" ref="S40">CreateID($S$3,$S:$S,$R40&lt;&gt;"")</f>
        <v>0</v>
      </c>
      <c r="T40" s="99" t="str">
        <f t="shared" ca="1" si="11"/>
        <v/>
      </c>
      <c r="U40" s="99" cm="1">
        <f t="array" ca="1" aca="1" ref="U40">CreateID($U$3,$U:$U,$T40&lt;&gt;"")</f>
        <v>0</v>
      </c>
      <c r="V40" s="99" cm="1">
        <f t="array" ca="1" aca="1" ref="V40">CreateID($V$3,$V:$V,IFERROR(FIND(Definitions!$AR$4,$G40)&gt;0,FALSE))</f>
        <v>0</v>
      </c>
      <c r="W40" s="99">
        <f>_xlfn.LET(_xlpm._comment,$G40,_xlpm._keyWord,Definitions!$AR$4,_xlpm._diffLen,LEN(_xlpm._comment)-LEN(SUBSTITUTE(_xlpm._comment,_xlpm._keyWord,"")),_xlpm._diffLen/LEN(_xlpm._keyWord))</f>
        <v>0</v>
      </c>
      <c r="X40" s="99" cm="1">
        <f t="array" ca="1" aca="1" ref="X40">CreateID($X$3,$X:$X,IFERROR(FIND(Definitions!$AR$5,$G40)&gt;0,FALSE))</f>
        <v>0</v>
      </c>
      <c r="Y40" s="99">
        <f>_xlfn.LET(_xlpm._comment,$G40,_xlpm._keyWord,Definitions!$AR$5,_xlpm._diffLen,LEN(_xlpm._comment)-LEN(SUBSTITUTE(_xlpm._comment,_xlpm._keyWord,"")),_xlpm._diffLen/LEN(_xlpm._keyWord))</f>
        <v>0</v>
      </c>
      <c r="Z40" s="99" t="b">
        <f ca="1">OR(IFERROR(_xlfn.XMATCH("*,"&amp;$A40&amp;",*",Assumptions!$AL:$AL,2)&gt;0,FALSE),IFERROR(_xlfn.XMATCH("*,"&amp;$A40&amp;",*",Countermeasures!$AO:$AO,2)&gt;0,FALSE))</f>
        <v>0</v>
      </c>
      <c r="AA40" s="99" t="str" cm="1">
        <f t="array" ca="1" aca="1" ref="AA40">CreateSearchString($I40)</f>
        <v>,QA5[No],</v>
      </c>
      <c r="AB40" s="99" t="str">
        <f>IF($E40="","",IFERROR(VLOOKUP($E40,Definitions!$H:$J,COLUMNS(Definitions!$H:$J),FALSE),""))</f>
        <v/>
      </c>
      <c r="AC40" s="99" t="b" cm="1">
        <f t="array" ca="1" aca="1" ref="AC40">IF($A40="",FALSE,SimpleLookup($A40,Questions!$A:$D)="x")</f>
        <v>1</v>
      </c>
      <c r="AD40" s="99" t="str" cm="1">
        <f t="array" ca="1" aca="1" ref="AD40">IF(OR($A40="",NOT($AC40)),"",SimpleLookup($A40,Questions!$A:$E))</f>
        <v>'[QuBA-libre.xlsx]Definitions'!$A$4</v>
      </c>
      <c r="AE40" s="99" cm="1">
        <f t="array" ca="1" aca="1" ref="AE40">IF(OR($A40="",NOT($AC40)),"",SimpleLookup($A40,Questions!$A:$F))</f>
        <v>2</v>
      </c>
      <c r="AF40" s="99" t="str" cm="1">
        <f t="array" ca="1" aca="1" ref="AF40">_xlfn.LET(_xlpm._answer,$C40,_xlpm._infoTextFull,IF($AC40,CHAR(10)&amp;SimpleLookup($A40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0" s="99" t="b" cm="1">
        <f t="array" ca="1" aca="1" ref="AG40">IF(OR($A40="",NOT($AC40)),FALSE,_xlfn.LET(_xlpm._secondAnswerRequiredOn,SimpleLookup($A40,Questions!$A:$I),_xlpm._firstAnwer,$C40,IFERROR(FIND(CHAR(10)&amp;_xlpm._firstAnwer&amp;":",CHAR(10)&amp;_xlpm._secondAnswerRequiredOn)&gt;0,FALSE)))</f>
        <v>0</v>
      </c>
      <c r="AH40" s="99" t="str" cm="1">
        <f t="array" ca="1" aca="1" ref="AH40">IF(OR($A40="",NOT($AC40)),"",_xlfn.LET(_xlpm._id,$A40,_xlpm._firstAnswer,$C40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0" s="99" t="str" cm="1">
        <f t="array" ca="1" aca="1" ref="AI40">IF(OR($A40="",NOT($AC40)),"",_xlfn.LET(_xlpm._id,$A40,_xlpm._firstAnswer,$C40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0" s="99" t="str" cm="1">
        <f t="array" ca="1" aca="1" ref="AJ40">IF($AG40,_xlfn.LET(_xlpm._answer,$E40,_xlpm._infoTextFull,IF($AC40,CHAR(10)&amp;SimpleLookup($A40,Questions!$A:$L)&amp;CHAR(10),""),_xlpm._startSelectedByAnswerOne,IF(_xlpm._infoTextFull="",0,FIND("___"&amp;$C40&amp;"___",_xlpm._infoTextFull)+LEN("___"&amp;$C40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0" s="99" t="b" cm="1">
        <f t="array" ca="1" aca="1" ref="AK40">IF(OR($A40="",NOT($AC40)),FALSE,SimpleLookup($A40,Questions!$A:$Q))</f>
        <v>0</v>
      </c>
      <c r="AL40" s="99" t="str" cm="1">
        <f t="array" ca="1" aca="1" ref="AL40">IF(AND($A40=Questions!$A$41,IFERROR(SimpleLookup(Questions!$A$36,$A:$E)=Definitions!$O$5,FALSE),$C40=Definitions!$A$5),Questions!$A$36&amp;" "&amp;Questions!$B$36&amp;CHAR(10)&amp;CHAR(187)&amp;" "&amp;SimpleLookup(Questions!$A$36,$A:$C)&amp;CHAR(10)&amp;SimpleLookup(Questions!$A$36,$A:$D)&amp;CHAR(10)&amp;CHAR(187)&amp;" "&amp;Definitions!$O$5&amp;CHAR(10)&amp;CHAR(10)&amp;"is incosistent with"&amp;CHAR(10)&amp;CHAR(10)&amp;$A40&amp;" "&amp;SimpleLookup($A40,Questions!$A:$B)&amp;CHAR(10)&amp;CHAR(187)&amp;" "&amp;$C40,"")</f>
        <v/>
      </c>
      <c r="AM40" s="99" cm="1">
        <f t="array" ca="1" aca="1" ref="AM40">CreateID($AM$3,$AM:$AM,$AL40&lt;&gt;"")</f>
        <v>0</v>
      </c>
      <c r="AN40" s="99" t="str" cm="1">
        <f t="array" ca="1" aca="1" ref="AN40">IF(OR($C40="",OFFSET($C40,1,0)=""),"",IF(AND($A40=Questions!$A$59,OFFSET($A40,1,0)=Questions!$A$60,SimpleLookup(Questions!$A$49,$A:$C)=Definitions!$A$4),IF(MATCH($C40,Definitions!$AW:$AW,0)&gt;MATCH(OFFSET($C40,1,0),Definitions!AW:AW,0),$A40&amp;" "&amp;$K40&amp;": "&amp;$C40&amp;CHAR(10)&amp;"&lt;---&gt;"&amp;CHAR(10)&amp;OFFSET($A40,1,0)&amp;" "&amp;OFFSET($K40,1,0)&amp;": "&amp;OFFSET($C40,1,0),""),""))</f>
        <v/>
      </c>
      <c r="AO40" s="99" cm="1">
        <f t="array" ca="1" aca="1" ref="AO40">CreateID($AO$3,$AO:$AO,$AN40&lt;&gt;"")</f>
        <v>0</v>
      </c>
    </row>
    <row r="41" spans="1:41" ht="30">
      <c r="A41" s="96" t="s">
        <v>1048</v>
      </c>
      <c r="B41" s="4" t="str" cm="1">
        <f t="array" ca="1" aca="1" ref="B41">IF($A41="","",CreateIndentedString($K41,Definitions!$T$4,SimpleLookup($A41,Questions!$A:$C)))</f>
        <v xml:space="preserve">   Does  the  product  have  a  direct  connection  to  a
   mobile  network  /  the  Internet?</v>
      </c>
      <c r="C41" s="4" t="s">
        <v>11</v>
      </c>
      <c r="D41" s="8" t="str">
        <f ca="1">$AF41</f>
        <v/>
      </c>
      <c r="F41" s="8" t="str">
        <f ca="1">$AJ41</f>
        <v/>
      </c>
      <c r="I41" s="15" t="str">
        <f t="shared" ca="1" si="6"/>
        <v>QA6[No]</v>
      </c>
      <c r="J41" s="15" t="str">
        <f t="shared" ca="1" si="7"/>
        <v>QA6[No]</v>
      </c>
      <c r="K41" s="15" t="str" cm="1">
        <f t="array" ca="1" aca="1" ref="K41">SimpleLookup($A41,Questions!$A:$B)</f>
        <v>Does the product have a direct connection to a mobile network / the Internet?</v>
      </c>
      <c r="L41" s="15" cm="1">
        <f t="array" ca="1" aca="1" ref="L41">CreateID($L$3,$L:$L,AND($A41&lt;&gt;"",$AC41))</f>
        <v>22</v>
      </c>
      <c r="M41" s="99" cm="1">
        <f t="array" ca="1" aca="1" ref="M41">CreateTaskID($M$3,$M:$M,Tasks!$B$17,$G41)</f>
        <v>0</v>
      </c>
      <c r="N41" s="15" t="str">
        <f t="shared" ca="1" si="8"/>
        <v/>
      </c>
      <c r="O41" s="15" cm="1">
        <f t="array" ca="1" aca="1" ref="O41">CreateID($O$3,$O:$O,$N41&lt;&gt;"")</f>
        <v>0</v>
      </c>
      <c r="P41" s="99" t="str">
        <f t="shared" ca="1" si="9"/>
        <v/>
      </c>
      <c r="Q41" s="99" cm="1">
        <f t="array" ca="1" aca="1" ref="Q41">CreateID($Q$3,$Q:$Q,$P41&lt;&gt;"")</f>
        <v>0</v>
      </c>
      <c r="R41" s="99" t="str">
        <f t="shared" ca="1" si="10"/>
        <v/>
      </c>
      <c r="S41" s="99" cm="1">
        <f t="array" ca="1" aca="1" ref="S41">CreateID($S$3,$S:$S,$R41&lt;&gt;"")</f>
        <v>0</v>
      </c>
      <c r="T41" s="99" t="str">
        <f t="shared" ca="1" si="11"/>
        <v/>
      </c>
      <c r="U41" s="99" cm="1">
        <f t="array" ca="1" aca="1" ref="U41">CreateID($U$3,$U:$U,$T41&lt;&gt;"")</f>
        <v>0</v>
      </c>
      <c r="V41" s="99" cm="1">
        <f t="array" ca="1" aca="1" ref="V41">CreateID($V$3,$V:$V,IFERROR(FIND(Definitions!$AR$4,$G41)&gt;0,FALSE))</f>
        <v>0</v>
      </c>
      <c r="W41" s="99">
        <f>_xlfn.LET(_xlpm._comment,$G41,_xlpm._keyWord,Definitions!$AR$4,_xlpm._diffLen,LEN(_xlpm._comment)-LEN(SUBSTITUTE(_xlpm._comment,_xlpm._keyWord,"")),_xlpm._diffLen/LEN(_xlpm._keyWord))</f>
        <v>0</v>
      </c>
      <c r="X41" s="99" cm="1">
        <f t="array" ca="1" aca="1" ref="X41">CreateID($X$3,$X:$X,IFERROR(FIND(Definitions!$AR$5,$G41)&gt;0,FALSE))</f>
        <v>0</v>
      </c>
      <c r="Y41" s="99">
        <f>_xlfn.LET(_xlpm._comment,$G41,_xlpm._keyWord,Definitions!$AR$5,_xlpm._diffLen,LEN(_xlpm._comment)-LEN(SUBSTITUTE(_xlpm._comment,_xlpm._keyWord,"")),_xlpm._diffLen/LEN(_xlpm._keyWord))</f>
        <v>0</v>
      </c>
      <c r="Z41" s="99" t="b">
        <f ca="1">OR(IFERROR(_xlfn.XMATCH("*,"&amp;$A41&amp;",*",Assumptions!$AL:$AL,2)&gt;0,FALSE),IFERROR(_xlfn.XMATCH("*,"&amp;$A41&amp;",*",Countermeasures!$AO:$AO,2)&gt;0,FALSE))</f>
        <v>0</v>
      </c>
      <c r="AA41" s="99" t="str" cm="1">
        <f t="array" ca="1" aca="1" ref="AA41">CreateSearchString($I41)</f>
        <v>,QA6[No],</v>
      </c>
      <c r="AB41" s="99" t="str">
        <f>IF($E41="","",IFERROR(VLOOKUP($E41,Definitions!$H:$J,COLUMNS(Definitions!$H:$J),FALSE),""))</f>
        <v/>
      </c>
      <c r="AC41" s="99" t="b" cm="1">
        <f t="array" ca="1" aca="1" ref="AC41">IF($A41="",FALSE,SimpleLookup($A41,Questions!$A:$D)="x")</f>
        <v>1</v>
      </c>
      <c r="AD41" s="99" t="str" cm="1">
        <f t="array" ca="1" aca="1" ref="AD41">IF(OR($A41="",NOT($AC41)),"",SimpleLookup($A41,Questions!$A:$E))</f>
        <v>'[QuBA-libre.xlsx]Definitions'!$A$4</v>
      </c>
      <c r="AE41" s="99" cm="1">
        <f t="array" ca="1" aca="1" ref="AE41">IF(OR($A41="",NOT($AC41)),"",SimpleLookup($A41,Questions!$A:$F))</f>
        <v>2</v>
      </c>
      <c r="AF41" s="99" t="str" cm="1">
        <f t="array" ca="1" aca="1" ref="AF41">_xlfn.LET(_xlpm._answer,$C41,_xlpm._infoTextFull,IF($AC41,CHAR(10)&amp;SimpleLookup($A41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1" s="99" t="b" cm="1">
        <f t="array" ca="1" aca="1" ref="AG41">IF(OR($A41="",NOT($AC41)),FALSE,_xlfn.LET(_xlpm._secondAnswerRequiredOn,SimpleLookup($A41,Questions!$A:$I),_xlpm._firstAnwer,$C41,IFERROR(FIND(CHAR(10)&amp;_xlpm._firstAnwer&amp;":",CHAR(10)&amp;_xlpm._secondAnswerRequiredOn)&gt;0,FALSE)))</f>
        <v>0</v>
      </c>
      <c r="AH41" s="99" t="str" cm="1">
        <f t="array" ca="1" aca="1" ref="AH41">IF(OR($A41="",NOT($AC41)),"",_xlfn.LET(_xlpm._id,$A41,_xlpm._firstAnswer,$C41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1" s="99" t="str" cm="1">
        <f t="array" ca="1" aca="1" ref="AI41">IF(OR($A41="",NOT($AC41)),"",_xlfn.LET(_xlpm._id,$A41,_xlpm._firstAnswer,$C41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1" s="99" t="str" cm="1">
        <f t="array" ca="1" aca="1" ref="AJ41">IF($AG41,_xlfn.LET(_xlpm._answer,$E41,_xlpm._infoTextFull,IF($AC41,CHAR(10)&amp;SimpleLookup($A41,Questions!$A:$L)&amp;CHAR(10),""),_xlpm._startSelectedByAnswerOne,IF(_xlpm._infoTextFull="",0,FIND("___"&amp;$C41&amp;"___",_xlpm._infoTextFull)+LEN("___"&amp;$C41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1" s="99" t="b" cm="1">
        <f t="array" ca="1" aca="1" ref="AK41">IF(OR($A41="",NOT($AC41)),FALSE,SimpleLookup($A41,Questions!$A:$Q))</f>
        <v>0</v>
      </c>
      <c r="AL41" s="113" t="str" cm="1">
        <f t="array" ca="1" aca="1" ref="AL41">IF(AND($A41=Questions!$A$41,IFERROR(SimpleLookup(Questions!$A$36,$A:$E)=Definitions!$O$5,FALSE),$C41=Definitions!$A$5),Questions!$A$36&amp;" "&amp;Questions!$B$36&amp;CHAR(10)&amp;CHAR(187)&amp;" "&amp;SimpleLookup(Questions!$A$36,$A:$C)&amp;CHAR(10)&amp;SimpleLookup(Questions!$A$36,$A:$D)&amp;CHAR(10)&amp;CHAR(187)&amp;" "&amp;Definitions!$O$5&amp;CHAR(10)&amp;CHAR(10)&amp;"is incosistent with"&amp;CHAR(10)&amp;CHAR(10)&amp;$A41&amp;" "&amp;SimpleLookup($A41,Questions!$A:$B)&amp;CHAR(10)&amp;CHAR(187)&amp;" "&amp;$C41,"")</f>
        <v/>
      </c>
      <c r="AM41" s="99" cm="1">
        <f t="array" ca="1" aca="1" ref="AM41">CreateID($AM$3,$AM:$AM,$AL41&lt;&gt;"")</f>
        <v>0</v>
      </c>
      <c r="AN41" s="99" t="str" cm="1">
        <f t="array" ca="1" aca="1" ref="AN41">IF(OR($C41="",OFFSET($C41,1,0)=""),"",IF(AND($A41=Questions!$A$59,OFFSET($A41,1,0)=Questions!$A$60,SimpleLookup(Questions!$A$49,$A:$C)=Definitions!$A$4),IF(MATCH($C41,Definitions!$AW:$AW,0)&gt;MATCH(OFFSET($C41,1,0),Definitions!AW:AW,0),$A41&amp;" "&amp;$K41&amp;": "&amp;$C41&amp;CHAR(10)&amp;"&lt;---&gt;"&amp;CHAR(10)&amp;OFFSET($A41,1,0)&amp;" "&amp;OFFSET($K41,1,0)&amp;": "&amp;OFFSET($C41,1,0),""),""))</f>
        <v/>
      </c>
      <c r="AO41" s="99" cm="1">
        <f t="array" ca="1" aca="1" ref="AO41">CreateID($AO$3,$AO:$AO,$AN41&lt;&gt;"")</f>
        <v>0</v>
      </c>
    </row>
    <row r="42" spans="1:41" ht="15">
      <c r="A42" s="96" t="s">
        <v>1176</v>
      </c>
      <c r="B42" s="4" t="str" cm="1">
        <f t="array" ca="1" aca="1" ref="B42">IF($A42="","",CreateIndentedString($K42,Definitions!$T$4,SimpleLookup($A42,Questions!$A:$C)))</f>
        <v>Logical  communication</v>
      </c>
      <c r="I42" s="15" t="str">
        <f t="shared" ca="1" si="6"/>
        <v/>
      </c>
      <c r="J42" s="15" t="str">
        <f t="shared" ca="1" si="7"/>
        <v/>
      </c>
      <c r="K42" s="15" t="str" cm="1">
        <f t="array" ca="1" aca="1" ref="K42">SimpleLookup($A42,Questions!$A:$B)</f>
        <v>Logical communication</v>
      </c>
      <c r="L42" s="15" cm="1">
        <f t="array" ca="1" aca="1" ref="L42">CreateID($L$3,$L:$L,AND($A42&lt;&gt;"",$AC42))</f>
        <v>22</v>
      </c>
      <c r="M42" s="99" cm="1">
        <f t="array" ca="1" aca="1" ref="M42">CreateTaskID($M$3,$M:$M,Tasks!$B$17,$G42)</f>
        <v>0</v>
      </c>
      <c r="N42" s="15" t="str">
        <f t="shared" ca="1" si="8"/>
        <v/>
      </c>
      <c r="O42" s="15" cm="1">
        <f t="array" ca="1" aca="1" ref="O42">CreateID($O$3,$O:$O,$N42&lt;&gt;"")</f>
        <v>0</v>
      </c>
      <c r="P42" s="99" t="str">
        <f t="shared" si="9"/>
        <v/>
      </c>
      <c r="Q42" s="99" cm="1">
        <f t="array" ca="1" aca="1" ref="Q42">CreateID($Q$3,$Q:$Q,$P42&lt;&gt;"")</f>
        <v>0</v>
      </c>
      <c r="R42" s="99" t="str">
        <f t="shared" si="10"/>
        <v/>
      </c>
      <c r="S42" s="99" cm="1">
        <f t="array" ca="1" aca="1" ref="S42">CreateID($S$3,$S:$S,$R42&lt;&gt;"")</f>
        <v>0</v>
      </c>
      <c r="T42" s="99" t="str">
        <f t="shared" ca="1" si="11"/>
        <v/>
      </c>
      <c r="U42" s="99" cm="1">
        <f t="array" ca="1" aca="1" ref="U42">CreateID($U$3,$U:$U,$T42&lt;&gt;"")</f>
        <v>0</v>
      </c>
      <c r="V42" s="99" cm="1">
        <f t="array" ca="1" aca="1" ref="V42">CreateID($V$3,$V:$V,IFERROR(FIND(Definitions!$AR$4,$G42)&gt;0,FALSE))</f>
        <v>0</v>
      </c>
      <c r="W42" s="99">
        <f>_xlfn.LET(_xlpm._comment,$G42,_xlpm._keyWord,Definitions!$AR$4,_xlpm._diffLen,LEN(_xlpm._comment)-LEN(SUBSTITUTE(_xlpm._comment,_xlpm._keyWord,"")),_xlpm._diffLen/LEN(_xlpm._keyWord))</f>
        <v>0</v>
      </c>
      <c r="X42" s="99" cm="1">
        <f t="array" ca="1" aca="1" ref="X42">CreateID($X$3,$X:$X,IFERROR(FIND(Definitions!$AR$5,$G42)&gt;0,FALSE))</f>
        <v>0</v>
      </c>
      <c r="Y42" s="99">
        <f>_xlfn.LET(_xlpm._comment,$G42,_xlpm._keyWord,Definitions!$AR$5,_xlpm._diffLen,LEN(_xlpm._comment)-LEN(SUBSTITUTE(_xlpm._comment,_xlpm._keyWord,"")),_xlpm._diffLen/LEN(_xlpm._keyWord))</f>
        <v>0</v>
      </c>
      <c r="Z42" s="99" t="b">
        <f ca="1">OR(IFERROR(_xlfn.XMATCH("*,"&amp;$A42&amp;",*",Assumptions!$AL:$AL,2)&gt;0,FALSE),IFERROR(_xlfn.XMATCH("*,"&amp;$A42&amp;",*",Countermeasures!$AO:$AO,2)&gt;0,FALSE))</f>
        <v>0</v>
      </c>
      <c r="AA42" s="99" t="str" cm="1">
        <f t="array" ca="1" aca="1" ref="AA42">CreateSearchString($I42)</f>
        <v/>
      </c>
      <c r="AB42" s="99" t="str">
        <f>IF($E42="","",IFERROR(VLOOKUP($E42,Definitions!$H:$J,COLUMNS(Definitions!$H:$J),FALSE),""))</f>
        <v/>
      </c>
      <c r="AC42" s="99" t="b" cm="1">
        <f t="array" ca="1" aca="1" ref="AC42">IF($A42="",FALSE,SimpleLookup($A42,Questions!$A:$D)="x")</f>
        <v>0</v>
      </c>
      <c r="AD42" s="99" t="str" cm="1">
        <f t="array" ca="1" aca="1" ref="AD42">IF(OR($A42="",NOT($AC42)),"",SimpleLookup($A42,Questions!$A:$E))</f>
        <v/>
      </c>
      <c r="AE42" s="99" t="str" cm="1">
        <f t="array" ca="1" aca="1" ref="AE42">IF(OR($A42="",NOT($AC42)),"",SimpleLookup($A42,Questions!$A:$F))</f>
        <v/>
      </c>
      <c r="AF42" s="99" t="str" cm="1">
        <f t="array" ca="1" aca="1" ref="AF42">_xlfn.LET(_xlpm._answer,$C42,_xlpm._infoTextFull,IF($AC42,CHAR(10)&amp;SimpleLookup($A42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2" s="99" t="b" cm="1">
        <f t="array" ca="1" aca="1" ref="AG42">IF(OR($A42="",NOT($AC42)),FALSE,_xlfn.LET(_xlpm._secondAnswerRequiredOn,SimpleLookup($A42,Questions!$A:$I),_xlpm._firstAnwer,$C42,IFERROR(FIND(CHAR(10)&amp;_xlpm._firstAnwer&amp;":",CHAR(10)&amp;_xlpm._secondAnswerRequiredOn)&gt;0,FALSE)))</f>
        <v>0</v>
      </c>
      <c r="AH42" s="99" t="str" cm="1">
        <f t="array" ca="1" aca="1" ref="AH42">IF(OR($A42="",NOT($AC42)),"",_xlfn.LET(_xlpm._id,$A42,_xlpm._firstAnswer,$C42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2" s="99" t="str" cm="1">
        <f t="array" ca="1" aca="1" ref="AI42">IF(OR($A42="",NOT($AC42)),"",_xlfn.LET(_xlpm._id,$A42,_xlpm._firstAnswer,$C42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2" s="99" t="str" cm="1">
        <f t="array" ca="1" aca="1" ref="AJ42">IF($AG42,_xlfn.LET(_xlpm._answer,$E42,_xlpm._infoTextFull,IF($AC42,CHAR(10)&amp;SimpleLookup($A42,Questions!$A:$L)&amp;CHAR(10),""),_xlpm._startSelectedByAnswerOne,IF(_xlpm._infoTextFull="",0,FIND("___"&amp;$C42&amp;"___",_xlpm._infoTextFull)+LEN("___"&amp;$C42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2" s="99" t="b" cm="1">
        <f t="array" ca="1" aca="1" ref="AK42">IF(OR($A42="",NOT($AC42)),FALSE,SimpleLookup($A42,Questions!$A:$Q))</f>
        <v>0</v>
      </c>
      <c r="AL42" s="99" t="str" cm="1">
        <f t="array" ca="1" aca="1" ref="AL42">IF(AND($A42=Questions!$A$41,IFERROR(SimpleLookup(Questions!$A$36,$A:$E)=Definitions!$O$5,FALSE),$C42=Definitions!$A$5),Questions!$A$36&amp;" "&amp;Questions!$B$36&amp;CHAR(10)&amp;CHAR(187)&amp;" "&amp;SimpleLookup(Questions!$A$36,$A:$C)&amp;CHAR(10)&amp;SimpleLookup(Questions!$A$36,$A:$D)&amp;CHAR(10)&amp;CHAR(187)&amp;" "&amp;Definitions!$O$5&amp;CHAR(10)&amp;CHAR(10)&amp;"is incosistent with"&amp;CHAR(10)&amp;CHAR(10)&amp;$A42&amp;" "&amp;SimpleLookup($A42,Questions!$A:$B)&amp;CHAR(10)&amp;CHAR(187)&amp;" "&amp;$C42,"")</f>
        <v/>
      </c>
      <c r="AM42" s="99" cm="1">
        <f t="array" ca="1" aca="1" ref="AM42">CreateID($AM$3,$AM:$AM,$AL42&lt;&gt;"")</f>
        <v>0</v>
      </c>
      <c r="AN42" s="99" t="str" cm="1">
        <f t="array" ca="1" aca="1" ref="AN42">IF(OR($C42="",OFFSET($C42,1,0)=""),"",IF(AND($A42=Questions!$A$59,OFFSET($A42,1,0)=Questions!$A$60,SimpleLookup(Questions!$A$49,$A:$C)=Definitions!$A$4),IF(MATCH($C42,Definitions!$AW:$AW,0)&gt;MATCH(OFFSET($C42,1,0),Definitions!AW:AW,0),$A42&amp;" "&amp;$K42&amp;": "&amp;$C42&amp;CHAR(10)&amp;"&lt;---&gt;"&amp;CHAR(10)&amp;OFFSET($A42,1,0)&amp;" "&amp;OFFSET($K42,1,0)&amp;": "&amp;OFFSET($C42,1,0),""),""))</f>
        <v/>
      </c>
      <c r="AO42" s="99" cm="1">
        <f t="array" ca="1" aca="1" ref="AO42">CreateID($AO$3,$AO:$AO,$AN42&lt;&gt;"")</f>
        <v>0</v>
      </c>
    </row>
    <row r="43" spans="1:41" ht="30">
      <c r="A43" s="96" t="s">
        <v>1049</v>
      </c>
      <c r="B43" s="4" t="str" cm="1">
        <f t="array" ca="1" aca="1" ref="B43">IF($A43="","",CreateIndentedString($K43,Definitions!$T$4,SimpleLookup($A43,Questions!$A:$C)))</f>
        <v xml:space="preserve">   Does  the  product  offer  services  to  other  entities
   on  the  network?</v>
      </c>
      <c r="C43" s="4" t="s">
        <v>10</v>
      </c>
      <c r="D43" s="8" t="str">
        <f ca="1" t="shared" si="12" ref="D43:D51">$AF43</f>
        <v/>
      </c>
      <c r="F43" s="8" t="str">
        <f ca="1" t="shared" si="13" ref="F43:F51">$AJ43</f>
        <v/>
      </c>
      <c r="I43" s="15" t="str">
        <f t="shared" ca="1" si="6"/>
        <v>QA7[Yes]</v>
      </c>
      <c r="J43" s="15" t="str">
        <f t="shared" ca="1" si="7"/>
        <v>QA7[Yes]</v>
      </c>
      <c r="K43" s="15" t="str" cm="1">
        <f t="array" ca="1" aca="1" ref="K43">SimpleLookup($A43,Questions!$A:$B)</f>
        <v>Does the product offer services to other entities on the network?</v>
      </c>
      <c r="L43" s="15" cm="1">
        <f t="array" ca="1" aca="1" ref="L43">CreateID($L$3,$L:$L,AND($A43&lt;&gt;"",$AC43))</f>
        <v>23</v>
      </c>
      <c r="M43" s="99" cm="1">
        <f t="array" ca="1" aca="1" ref="M43">CreateTaskID($M$3,$M:$M,Tasks!$B$17,$G43)</f>
        <v>0</v>
      </c>
      <c r="N43" s="15" t="str">
        <f t="shared" ca="1" si="8"/>
        <v/>
      </c>
      <c r="O43" s="15" cm="1">
        <f t="array" ca="1" aca="1" ref="O43">CreateID($O$3,$O:$O,$N43&lt;&gt;"")</f>
        <v>0</v>
      </c>
      <c r="P43" s="99" t="str">
        <f t="shared" ca="1" si="9"/>
        <v/>
      </c>
      <c r="Q43" s="99" cm="1">
        <f t="array" ca="1" aca="1" ref="Q43">CreateID($Q$3,$Q:$Q,$P43&lt;&gt;"")</f>
        <v>0</v>
      </c>
      <c r="R43" s="99" t="str">
        <f t="shared" ca="1" si="10"/>
        <v/>
      </c>
      <c r="S43" s="99" cm="1">
        <f t="array" ca="1" aca="1" ref="S43">CreateID($S$3,$S:$S,$R43&lt;&gt;"")</f>
        <v>0</v>
      </c>
      <c r="T43" s="99" t="str">
        <f t="shared" ca="1" si="11"/>
        <v/>
      </c>
      <c r="U43" s="99" cm="1">
        <f t="array" ca="1" aca="1" ref="U43">CreateID($U$3,$U:$U,$T43&lt;&gt;"")</f>
        <v>0</v>
      </c>
      <c r="V43" s="99" cm="1">
        <f t="array" ca="1" aca="1" ref="V43">CreateID($V$3,$V:$V,IFERROR(FIND(Definitions!$AR$4,$G43)&gt;0,FALSE))</f>
        <v>0</v>
      </c>
      <c r="W43" s="99">
        <f>_xlfn.LET(_xlpm._comment,$G43,_xlpm._keyWord,Definitions!$AR$4,_xlpm._diffLen,LEN(_xlpm._comment)-LEN(SUBSTITUTE(_xlpm._comment,_xlpm._keyWord,"")),_xlpm._diffLen/LEN(_xlpm._keyWord))</f>
        <v>0</v>
      </c>
      <c r="X43" s="99" cm="1">
        <f t="array" ca="1" aca="1" ref="X43">CreateID($X$3,$X:$X,IFERROR(FIND(Definitions!$AR$5,$G43)&gt;0,FALSE))</f>
        <v>0</v>
      </c>
      <c r="Y43" s="99">
        <f>_xlfn.LET(_xlpm._comment,$G43,_xlpm._keyWord,Definitions!$AR$5,_xlpm._diffLen,LEN(_xlpm._comment)-LEN(SUBSTITUTE(_xlpm._comment,_xlpm._keyWord,"")),_xlpm._diffLen/LEN(_xlpm._keyWord))</f>
        <v>0</v>
      </c>
      <c r="Z43" s="99" t="b">
        <f ca="1">OR(IFERROR(_xlfn.XMATCH("*,"&amp;$A43&amp;",*",Assumptions!$AL:$AL,2)&gt;0,FALSE),IFERROR(_xlfn.XMATCH("*,"&amp;$A43&amp;",*",Countermeasures!$AO:$AO,2)&gt;0,FALSE))</f>
        <v>0</v>
      </c>
      <c r="AA43" s="99" t="str" cm="1">
        <f t="array" ca="1" aca="1" ref="AA43">CreateSearchString($I43)</f>
        <v>,QA7[Yes],</v>
      </c>
      <c r="AB43" s="99" t="str">
        <f>IF($E43="","",IFERROR(VLOOKUP($E43,Definitions!$H:$J,COLUMNS(Definitions!$H:$J),FALSE),""))</f>
        <v/>
      </c>
      <c r="AC43" s="99" t="b" cm="1">
        <f t="array" ca="1" aca="1" ref="AC43">IF($A43="",FALSE,SimpleLookup($A43,Questions!$A:$D)="x")</f>
        <v>1</v>
      </c>
      <c r="AD43" s="99" t="str" cm="1">
        <f t="array" ca="1" aca="1" ref="AD43">IF(OR($A43="",NOT($AC43)),"",SimpleLookup($A43,Questions!$A:$E))</f>
        <v>'[QuBA-libre.xlsx]Definitions'!$A$4</v>
      </c>
      <c r="AE43" s="99" cm="1">
        <f t="array" ca="1" aca="1" ref="AE43">IF(OR($A43="",NOT($AC43)),"",SimpleLookup($A43,Questions!$A:$F))</f>
        <v>2</v>
      </c>
      <c r="AF43" s="99" t="str" cm="1">
        <f t="array" ca="1" aca="1" ref="AF43">_xlfn.LET(_xlpm._answer,$C43,_xlpm._infoTextFull,IF($AC43,CHAR(10)&amp;SimpleLookup($A43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3" s="99" t="b" cm="1">
        <f t="array" ca="1" aca="1" ref="AG43">IF(OR($A43="",NOT($AC43)),FALSE,_xlfn.LET(_xlpm._secondAnswerRequiredOn,SimpleLookup($A43,Questions!$A:$I),_xlpm._firstAnwer,$C43,IFERROR(FIND(CHAR(10)&amp;_xlpm._firstAnwer&amp;":",CHAR(10)&amp;_xlpm._secondAnswerRequiredOn)&gt;0,FALSE)))</f>
        <v>0</v>
      </c>
      <c r="AH43" s="99" t="str" cm="1">
        <f t="array" ca="1" aca="1" ref="AH43">IF(OR($A43="",NOT($AC43)),"",_xlfn.LET(_xlpm._id,$A43,_xlpm._firstAnswer,$C43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3" s="99" t="str" cm="1">
        <f t="array" ca="1" aca="1" ref="AI43">IF(OR($A43="",NOT($AC43)),"",_xlfn.LET(_xlpm._id,$A43,_xlpm._firstAnswer,$C43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3" s="99" t="str" cm="1">
        <f t="array" ca="1" aca="1" ref="AJ43">IF($AG43,_xlfn.LET(_xlpm._answer,$E43,_xlpm._infoTextFull,IF($AC43,CHAR(10)&amp;SimpleLookup($A43,Questions!$A:$L)&amp;CHAR(10),""),_xlpm._startSelectedByAnswerOne,IF(_xlpm._infoTextFull="",0,FIND("___"&amp;$C43&amp;"___",_xlpm._infoTextFull)+LEN("___"&amp;$C43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3" s="99" t="b" cm="1">
        <f t="array" ca="1" aca="1" ref="AK43">IF(OR($A43="",NOT($AC43)),FALSE,SimpleLookup($A43,Questions!$A:$Q))</f>
        <v>0</v>
      </c>
      <c r="AL43" s="99" t="str" cm="1">
        <f t="array" ca="1" aca="1" ref="AL43">IF(AND($A43=Questions!$A$41,IFERROR(SimpleLookup(Questions!$A$36,$A:$E)=Definitions!$O$5,FALSE),$C43=Definitions!$A$5),Questions!$A$36&amp;" "&amp;Questions!$B$36&amp;CHAR(10)&amp;CHAR(187)&amp;" "&amp;SimpleLookup(Questions!$A$36,$A:$C)&amp;CHAR(10)&amp;SimpleLookup(Questions!$A$36,$A:$D)&amp;CHAR(10)&amp;CHAR(187)&amp;" "&amp;Definitions!$O$5&amp;CHAR(10)&amp;CHAR(10)&amp;"is incosistent with"&amp;CHAR(10)&amp;CHAR(10)&amp;$A43&amp;" "&amp;SimpleLookup($A43,Questions!$A:$B)&amp;CHAR(10)&amp;CHAR(187)&amp;" "&amp;$C43,"")</f>
        <v/>
      </c>
      <c r="AM43" s="99" cm="1">
        <f t="array" ca="1" aca="1" ref="AM43">CreateID($AM$3,$AM:$AM,$AL43&lt;&gt;"")</f>
        <v>0</v>
      </c>
      <c r="AN43" s="99" t="str" cm="1">
        <f t="array" ca="1" aca="1" ref="AN43">IF(OR($C43="",OFFSET($C43,1,0)=""),"",IF(AND($A43=Questions!$A$59,OFFSET($A43,1,0)=Questions!$A$60,SimpleLookup(Questions!$A$49,$A:$C)=Definitions!$A$4),IF(MATCH($C43,Definitions!$AW:$AW,0)&gt;MATCH(OFFSET($C43,1,0),Definitions!AW:AW,0),$A43&amp;" "&amp;$K43&amp;": "&amp;$C43&amp;CHAR(10)&amp;"&lt;---&gt;"&amp;CHAR(10)&amp;OFFSET($A43,1,0)&amp;" "&amp;OFFSET($K43,1,0)&amp;": "&amp;OFFSET($C43,1,0),""),""))</f>
        <v/>
      </c>
      <c r="AO43" s="99" cm="1">
        <f t="array" ca="1" aca="1" ref="AO43">CreateID($AO$3,$AO:$AO,$AN43&lt;&gt;"")</f>
        <v>0</v>
      </c>
    </row>
    <row r="44" spans="1:41" ht="30">
      <c r="A44" s="96" t="s">
        <v>1052</v>
      </c>
      <c r="B44" s="4" t="str" cm="1">
        <f t="array" ca="1" aca="1" ref="B44">IF($A44="","",CreateIndentedString($K44,Definitions!$T$4,SimpleLookup($A44,Questions!$A:$C)))</f>
        <v xml:space="preserve">      Does  the  product  offer  a  configuration
      interface?</v>
      </c>
      <c r="C44" s="4" t="s">
        <v>10</v>
      </c>
      <c r="D44" s="8" t="str">
        <f t="shared" ca="1" si="12"/>
        <v>Is the configuration interface protected against unwanted write access?</v>
      </c>
      <c r="E44" s="4" t="s">
        <v>11</v>
      </c>
      <c r="F44" s="8" t="str">
        <f t="shared" ca="1" si="13"/>
        <v/>
      </c>
      <c r="I44" s="15" t="str">
        <f t="shared" ca="1" si="6"/>
        <v>QA8[Yes|No]</v>
      </c>
      <c r="J44" s="15" t="str">
        <f t="shared" ca="1" si="7"/>
        <v>QA8[Yes|*]</v>
      </c>
      <c r="K44" s="15" t="str" cm="1">
        <f t="array" ca="1" aca="1" ref="K44">SimpleLookup($A44,Questions!$A:$B)</f>
        <v>Does the product offer a configuration interface?</v>
      </c>
      <c r="L44" s="15" cm="1">
        <f t="array" ca="1" aca="1" ref="L44">CreateID($L$3,$L:$L,AND($A44&lt;&gt;"",$AC44))</f>
        <v>24</v>
      </c>
      <c r="M44" s="99" cm="1">
        <f t="array" ca="1" aca="1" ref="M44">CreateTaskID($M$3,$M:$M,Tasks!$B$17,$G44)</f>
        <v>0</v>
      </c>
      <c r="N44" s="15" t="str">
        <f t="shared" ca="1" si="8"/>
        <v/>
      </c>
      <c r="O44" s="15" cm="1">
        <f t="array" ca="1" aca="1" ref="O44">CreateID($O$3,$O:$O,$N44&lt;&gt;"")</f>
        <v>0</v>
      </c>
      <c r="P44" s="99" t="str">
        <f t="shared" ca="1" si="9"/>
        <v/>
      </c>
      <c r="Q44" s="99" cm="1">
        <f t="array" ca="1" aca="1" ref="Q44">CreateID($Q$3,$Q:$Q,$P44&lt;&gt;"")</f>
        <v>0</v>
      </c>
      <c r="R44" s="99" t="str">
        <f t="shared" ca="1" si="10"/>
        <v/>
      </c>
      <c r="S44" s="99" cm="1">
        <f t="array" ca="1" aca="1" ref="S44">CreateID($S$3,$S:$S,$R44&lt;&gt;"")</f>
        <v>0</v>
      </c>
      <c r="T44" s="99" t="str">
        <f t="shared" ca="1" si="11"/>
        <v/>
      </c>
      <c r="U44" s="99" cm="1">
        <f t="array" ca="1" aca="1" ref="U44">CreateID($U$3,$U:$U,$T44&lt;&gt;"")</f>
        <v>0</v>
      </c>
      <c r="V44" s="99" cm="1">
        <f t="array" ca="1" aca="1" ref="V44">CreateID($V$3,$V:$V,IFERROR(FIND(Definitions!$AR$4,$G44)&gt;0,FALSE))</f>
        <v>0</v>
      </c>
      <c r="W44" s="99">
        <f>_xlfn.LET(_xlpm._comment,$G44,_xlpm._keyWord,Definitions!$AR$4,_xlpm._diffLen,LEN(_xlpm._comment)-LEN(SUBSTITUTE(_xlpm._comment,_xlpm._keyWord,"")),_xlpm._diffLen/LEN(_xlpm._keyWord))</f>
        <v>0</v>
      </c>
      <c r="X44" s="99" cm="1">
        <f t="array" ca="1" aca="1" ref="X44">CreateID($X$3,$X:$X,IFERROR(FIND(Definitions!$AR$5,$G44)&gt;0,FALSE))</f>
        <v>0</v>
      </c>
      <c r="Y44" s="99">
        <f>_xlfn.LET(_xlpm._comment,$G44,_xlpm._keyWord,Definitions!$AR$5,_xlpm._diffLen,LEN(_xlpm._comment)-LEN(SUBSTITUTE(_xlpm._comment,_xlpm._keyWord,"")),_xlpm._diffLen/LEN(_xlpm._keyWord))</f>
        <v>0</v>
      </c>
      <c r="Z44" s="99" t="b">
        <f ca="1">OR(IFERROR(_xlfn.XMATCH("*,"&amp;$A44&amp;",*",Assumptions!$AL:$AL,2)&gt;0,FALSE),IFERROR(_xlfn.XMATCH("*,"&amp;$A44&amp;",*",Countermeasures!$AO:$AO,2)&gt;0,FALSE))</f>
        <v>1</v>
      </c>
      <c r="AA44" s="99" t="str" cm="1">
        <f t="array" ca="1" aca="1" ref="AA44">CreateSearchString($I44)</f>
        <v>,QA8[Yes|No],</v>
      </c>
      <c r="AB44" s="99" t="str">
        <f>IF($E44="","",IFERROR(VLOOKUP($E44,Definitions!$H:$J,COLUMNS(Definitions!$H:$J),FALSE),""))</f>
        <v/>
      </c>
      <c r="AC44" s="99" t="b" cm="1">
        <f t="array" ca="1" aca="1" ref="AC44">IF($A44="",FALSE,SimpleLookup($A44,Questions!$A:$D)="x")</f>
        <v>1</v>
      </c>
      <c r="AD44" s="99" t="str" cm="1">
        <f t="array" ca="1" aca="1" ref="AD44">IF(OR($A44="",NOT($AC44)),"",SimpleLookup($A44,Questions!$A:$E))</f>
        <v>'[QuBA-libre.xlsx]Definitions'!$A$4</v>
      </c>
      <c r="AE44" s="99" cm="1">
        <f t="array" ca="1" aca="1" ref="AE44">IF(OR($A44="",NOT($AC44)),"",SimpleLookup($A44,Questions!$A:$F))</f>
        <v>2</v>
      </c>
      <c r="AF44" s="99" t="str" cm="1">
        <f t="array" ca="1" aca="1" ref="AF44">_xlfn.LET(_xlpm._answer,$C44,_xlpm._infoTextFull,IF($AC44,CHAR(10)&amp;SimpleLookup($A44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Is the configuration interface protected against unwanted write access?</v>
      </c>
      <c r="AG44" s="99" t="b" cm="1">
        <f t="array" ca="1" aca="1" ref="AG44">IF(OR($A44="",NOT($AC44)),FALSE,_xlfn.LET(_xlpm._secondAnswerRequiredOn,SimpleLookup($A44,Questions!$A:$I),_xlpm._firstAnwer,$C44,IFERROR(FIND(CHAR(10)&amp;_xlpm._firstAnwer&amp;":",CHAR(10)&amp;_xlpm._secondAnswerRequiredOn)&gt;0,FALSE)))</f>
        <v>1</v>
      </c>
      <c r="AH44" s="99" t="str" cm="1">
        <f t="array" ca="1" aca="1" ref="AH44">IF(OR($A44="",NOT($AC44)),"",_xlfn.LET(_xlpm._id,$A44,_xlpm._firstAnswer,$C44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'[QuBA-libre.xlsx]Definitions'!$A$4</v>
      </c>
      <c r="AI44" s="99" cm="1">
        <f t="array" ca="1" aca="1" ref="AI44">IF(OR($A44="",NOT($AC44)),"",_xlfn.LET(_xlpm._id,$A44,_xlpm._firstAnswer,$C44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v>
      </c>
      <c r="AJ44" s="99" t="str" cm="1">
        <f t="array" ca="1" aca="1" ref="AJ44">IF($AG44,_xlfn.LET(_xlpm._answer,$E44,_xlpm._infoTextFull,IF($AC44,CHAR(10)&amp;SimpleLookup($A44,Questions!$A:$L)&amp;CHAR(10),""),_xlpm._startSelectedByAnswerOne,IF(_xlpm._infoTextFull="",0,FIND("___"&amp;$C44&amp;"___",_xlpm._infoTextFull)+LEN("___"&amp;$C44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4" s="99" t="b" cm="1">
        <f t="array" ca="1" aca="1" ref="AK44">IF(OR($A44="",NOT($AC44)),FALSE,SimpleLookup($A44,Questions!$A:$Q))</f>
        <v>0</v>
      </c>
      <c r="AL44" s="99" t="str" cm="1">
        <f t="array" ca="1" aca="1" ref="AL44">IF(AND($A44=Questions!$A$41,IFERROR(SimpleLookup(Questions!$A$36,$A:$E)=Definitions!$O$5,FALSE),$C44=Definitions!$A$5),Questions!$A$36&amp;" "&amp;Questions!$B$36&amp;CHAR(10)&amp;CHAR(187)&amp;" "&amp;SimpleLookup(Questions!$A$36,$A:$C)&amp;CHAR(10)&amp;SimpleLookup(Questions!$A$36,$A:$D)&amp;CHAR(10)&amp;CHAR(187)&amp;" "&amp;Definitions!$O$5&amp;CHAR(10)&amp;CHAR(10)&amp;"is incosistent with"&amp;CHAR(10)&amp;CHAR(10)&amp;$A44&amp;" "&amp;SimpleLookup($A44,Questions!$A:$B)&amp;CHAR(10)&amp;CHAR(187)&amp;" "&amp;$C44,"")</f>
        <v/>
      </c>
      <c r="AM44" s="99" cm="1">
        <f t="array" ca="1" aca="1" ref="AM44">CreateID($AM$3,$AM:$AM,$AL44&lt;&gt;"")</f>
        <v>0</v>
      </c>
      <c r="AN44" s="99" t="str" cm="1">
        <f t="array" ca="1" aca="1" ref="AN44">IF(OR($C44="",OFFSET($C44,1,0)=""),"",IF(AND($A44=Questions!$A$59,OFFSET($A44,1,0)=Questions!$A$60,SimpleLookup(Questions!$A$49,$A:$C)=Definitions!$A$4),IF(MATCH($C44,Definitions!$AW:$AW,0)&gt;MATCH(OFFSET($C44,1,0),Definitions!AW:AW,0),$A44&amp;" "&amp;$K44&amp;": "&amp;$C44&amp;CHAR(10)&amp;"&lt;---&gt;"&amp;CHAR(10)&amp;OFFSET($A44,1,0)&amp;" "&amp;OFFSET($K44,1,0)&amp;": "&amp;OFFSET($C44,1,0),""),""))</f>
        <v/>
      </c>
      <c r="AO44" s="99" cm="1">
        <f t="array" ca="1" aca="1" ref="AO44">CreateID($AO$3,$AO:$AO,$AN44&lt;&gt;"")</f>
        <v>0</v>
      </c>
    </row>
    <row r="45" spans="1:41" ht="30">
      <c r="A45" s="96" t="s">
        <v>1054</v>
      </c>
      <c r="B45" s="4" t="str" cm="1">
        <f t="array" ca="1" aca="1" ref="B45">IF($A45="","",CreateIndentedString($K45,Definitions!$T$4,SimpleLookup($A45,Questions!$A:$C)))</f>
        <v xml:space="preserve">      Does  the  product  have  an  IP  stack  (or  another
      routable  protocol)?</v>
      </c>
      <c r="C45" s="4" t="s">
        <v>10</v>
      </c>
      <c r="D45" s="8" t="str">
        <f t="shared" ca="1" si="12"/>
        <v/>
      </c>
      <c r="F45" s="8" t="str">
        <f t="shared" ca="1" si="13"/>
        <v>Please name the supported protocols:</v>
      </c>
      <c r="G45" s="4" t="s">
        <v>1793</v>
      </c>
      <c r="I45" s="15" t="str">
        <f t="shared" ca="1" si="6"/>
        <v>QA9[Yes]</v>
      </c>
      <c r="J45" s="15" t="str">
        <f t="shared" ca="1" si="7"/>
        <v>QA9[Yes]</v>
      </c>
      <c r="K45" s="15" t="str" cm="1">
        <f t="array" ca="1" aca="1" ref="K45">SimpleLookup($A45,Questions!$A:$B)</f>
        <v>Does the product have an IP stack (or another routable protocol)?</v>
      </c>
      <c r="L45" s="15" cm="1">
        <f t="array" ca="1" aca="1" ref="L45">CreateID($L$3,$L:$L,AND($A45&lt;&gt;"",$AC45))</f>
        <v>25</v>
      </c>
      <c r="M45" s="99" cm="1">
        <f t="array" ca="1" aca="1" ref="M45">CreateTaskID($M$3,$M:$M,Tasks!$B$17,$G45)</f>
        <v>0</v>
      </c>
      <c r="N45" s="15" t="str">
        <f t="shared" ca="1" si="8"/>
        <v/>
      </c>
      <c r="O45" s="15" cm="1">
        <f t="array" ca="1" aca="1" ref="O45">CreateID($O$3,$O:$O,$N45&lt;&gt;"")</f>
        <v>0</v>
      </c>
      <c r="P45" s="99" t="str">
        <f t="shared" ca="1" si="9"/>
        <v/>
      </c>
      <c r="Q45" s="99" cm="1">
        <f t="array" ca="1" aca="1" ref="Q45">CreateID($Q$3,$Q:$Q,$P45&lt;&gt;"")</f>
        <v>0</v>
      </c>
      <c r="R45" s="99" t="str">
        <f t="shared" ca="1" si="10"/>
        <v/>
      </c>
      <c r="S45" s="99" cm="1">
        <f t="array" ca="1" aca="1" ref="S45">CreateID($S$3,$S:$S,$R45&lt;&gt;"")</f>
        <v>0</v>
      </c>
      <c r="T45" s="99" t="str">
        <f t="shared" ca="1" si="11"/>
        <v/>
      </c>
      <c r="U45" s="99" cm="1">
        <f t="array" ca="1" aca="1" ref="U45">CreateID($U$3,$U:$U,$T45&lt;&gt;"")</f>
        <v>0</v>
      </c>
      <c r="V45" s="99" cm="1">
        <f t="array" ca="1" aca="1" ref="V45">CreateID($V$3,$V:$V,IFERROR(FIND(Definitions!$AR$4,$G45)&gt;0,FALSE))</f>
        <v>0</v>
      </c>
      <c r="W45" s="99">
        <f>_xlfn.LET(_xlpm._comment,$G45,_xlpm._keyWord,Definitions!$AR$4,_xlpm._diffLen,LEN(_xlpm._comment)-LEN(SUBSTITUTE(_xlpm._comment,_xlpm._keyWord,"")),_xlpm._diffLen/LEN(_xlpm._keyWord))</f>
        <v>0</v>
      </c>
      <c r="X45" s="99" cm="1">
        <f t="array" ca="1" aca="1" ref="X45">CreateID($X$3,$X:$X,IFERROR(FIND(Definitions!$AR$5,$G45)&gt;0,FALSE))</f>
        <v>0</v>
      </c>
      <c r="Y45" s="99">
        <f>_xlfn.LET(_xlpm._comment,$G45,_xlpm._keyWord,Definitions!$AR$5,_xlpm._diffLen,LEN(_xlpm._comment)-LEN(SUBSTITUTE(_xlpm._comment,_xlpm._keyWord,"")),_xlpm._diffLen/LEN(_xlpm._keyWord))</f>
        <v>0</v>
      </c>
      <c r="Z45" s="99" t="b">
        <f ca="1">OR(IFERROR(_xlfn.XMATCH("*,"&amp;$A45&amp;",*",Assumptions!$AL:$AL,2)&gt;0,FALSE),IFERROR(_xlfn.XMATCH("*,"&amp;$A45&amp;",*",Countermeasures!$AO:$AO,2)&gt;0,FALSE))</f>
        <v>1</v>
      </c>
      <c r="AA45" s="99" t="str" cm="1">
        <f t="array" ca="1" aca="1" ref="AA45">CreateSearchString($I45)</f>
        <v>,QA9[Yes],</v>
      </c>
      <c r="AB45" s="99" t="str">
        <f>IF($E45="","",IFERROR(VLOOKUP($E45,Definitions!$H:$J,COLUMNS(Definitions!$H:$J),FALSE),""))</f>
        <v/>
      </c>
      <c r="AC45" s="99" t="b" cm="1">
        <f t="array" ca="1" aca="1" ref="AC45">IF($A45="",FALSE,SimpleLookup($A45,Questions!$A:$D)="x")</f>
        <v>1</v>
      </c>
      <c r="AD45" s="99" t="str" cm="1">
        <f t="array" ca="1" aca="1" ref="AD45">IF(OR($A45="",NOT($AC45)),"",SimpleLookup($A45,Questions!$A:$E))</f>
        <v>'[QuBA-libre.xlsx]Definitions'!$A$4</v>
      </c>
      <c r="AE45" s="99" cm="1">
        <f t="array" ca="1" aca="1" ref="AE45">IF(OR($A45="",NOT($AC45)),"",SimpleLookup($A45,Questions!$A:$F))</f>
        <v>2</v>
      </c>
      <c r="AF45" s="99" t="str" cm="1">
        <f t="array" ca="1" aca="1" ref="AF45">_xlfn.LET(_xlpm._answer,$C45,_xlpm._infoTextFull,IF($AC45,CHAR(10)&amp;SimpleLookup($A45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5" s="99" t="b" cm="1">
        <f t="array" ca="1" aca="1" ref="AG45">IF(OR($A45="",NOT($AC45)),FALSE,_xlfn.LET(_xlpm._secondAnswerRequiredOn,SimpleLookup($A45,Questions!$A:$I),_xlpm._firstAnwer,$C45,IFERROR(FIND(CHAR(10)&amp;_xlpm._firstAnwer&amp;":",CHAR(10)&amp;_xlpm._secondAnswerRequiredOn)&gt;0,FALSE)))</f>
        <v>1</v>
      </c>
      <c r="AH45" s="99" t="str" cm="1">
        <f t="array" ca="1" aca="1" ref="AH45">IF(OR($A45="",NOT($AC45)),"",_xlfn.LET(_xlpm._id,$A45,_xlpm._firstAnswer,$C45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5" s="99" cm="1">
        <f t="array" ca="1" aca="1" ref="AI45">IF(OR($A45="",NOT($AC45)),"",_xlfn.LET(_xlpm._id,$A45,_xlpm._firstAnswer,$C45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0</v>
      </c>
      <c r="AJ45" s="99" t="str" cm="1">
        <f t="array" ca="1" aca="1" ref="AJ45">IF($AG45,_xlfn.LET(_xlpm._answer,$E45,_xlpm._infoTextFull,IF($AC45,CHAR(10)&amp;SimpleLookup($A45,Questions!$A:$L)&amp;CHAR(10),""),_xlpm._startSelectedByAnswerOne,IF(_xlpm._infoTextFull="",0,FIND("___"&amp;$C45&amp;"___",_xlpm._infoTextFull)+LEN("___"&amp;$C45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Please name the supported protocols:</v>
      </c>
      <c r="AK45" s="99" t="b" cm="1">
        <f t="array" ca="1" aca="1" ref="AK45">IF(OR($A45="",NOT($AC45)),FALSE,SimpleLookup($A45,Questions!$A:$Q))</f>
        <v>0</v>
      </c>
      <c r="AL45" s="99" t="str" cm="1">
        <f t="array" ca="1" aca="1" ref="AL45">IF(AND($A45=Questions!$A$41,IFERROR(SimpleLookup(Questions!$A$36,$A:$E)=Definitions!$O$5,FALSE),$C45=Definitions!$A$5),Questions!$A$36&amp;" "&amp;Questions!$B$36&amp;CHAR(10)&amp;CHAR(187)&amp;" "&amp;SimpleLookup(Questions!$A$36,$A:$C)&amp;CHAR(10)&amp;SimpleLookup(Questions!$A$36,$A:$D)&amp;CHAR(10)&amp;CHAR(187)&amp;" "&amp;Definitions!$O$5&amp;CHAR(10)&amp;CHAR(10)&amp;"is incosistent with"&amp;CHAR(10)&amp;CHAR(10)&amp;$A45&amp;" "&amp;SimpleLookup($A45,Questions!$A:$B)&amp;CHAR(10)&amp;CHAR(187)&amp;" "&amp;$C45,"")</f>
        <v/>
      </c>
      <c r="AM45" s="99" cm="1">
        <f t="array" ca="1" aca="1" ref="AM45">CreateID($AM$3,$AM:$AM,$AL45&lt;&gt;"")</f>
        <v>0</v>
      </c>
      <c r="AN45" s="99" t="str" cm="1">
        <f t="array" ca="1" aca="1" ref="AN45">IF(OR($C45="",OFFSET($C45,1,0)=""),"",IF(AND($A45=Questions!$A$59,OFFSET($A45,1,0)=Questions!$A$60,SimpleLookup(Questions!$A$49,$A:$C)=Definitions!$A$4),IF(MATCH($C45,Definitions!$AW:$AW,0)&gt;MATCH(OFFSET($C45,1,0),Definitions!AW:AW,0),$A45&amp;" "&amp;$K45&amp;": "&amp;$C45&amp;CHAR(10)&amp;"&lt;---&gt;"&amp;CHAR(10)&amp;OFFSET($A45,1,0)&amp;" "&amp;OFFSET($K45,1,0)&amp;": "&amp;OFFSET($C45,1,0),""),""))</f>
        <v/>
      </c>
      <c r="AO45" s="99" cm="1">
        <f t="array" ca="1" aca="1" ref="AO45">CreateID($AO$3,$AO:$AO,$AN45&lt;&gt;"")</f>
        <v>0</v>
      </c>
    </row>
    <row r="46" spans="1:41" ht="45">
      <c r="A46" s="96" t="s">
        <v>1244</v>
      </c>
      <c r="B46" s="4" t="str" cm="1">
        <f t="array" ca="1" aca="1" ref="B46">IF($A46="","",CreateIndentedString($K46,Definitions!$T$4,SimpleLookup($A46,Questions!$A:$C)))</f>
        <v xml:space="preserve">      Does  the  product  communicate  with  an  external
      system  locally  (e.g.,  a  USB  stick,  an  SD  card,
      an  RFID  tag)?</v>
      </c>
      <c r="C46" s="4" t="s">
        <v>11</v>
      </c>
      <c r="D46" s="8" t="str">
        <f t="shared" ca="1" si="12"/>
        <v/>
      </c>
      <c r="F46" s="8" t="str">
        <f t="shared" ca="1" si="13"/>
        <v/>
      </c>
      <c r="I46" s="15" t="str">
        <f t="shared" ca="1" si="6"/>
        <v>QA10a[No]</v>
      </c>
      <c r="J46" s="15" t="str">
        <f t="shared" ca="1" si="7"/>
        <v>QA10a[No]</v>
      </c>
      <c r="K46" s="15" t="str" cm="1">
        <f t="array" ca="1" aca="1" ref="K46">SimpleLookup($A46,Questions!$A:$B)</f>
        <v>Does the product communicate with an external system locally (e.g., a USB stick, an SD card, an RFID tag)?</v>
      </c>
      <c r="L46" s="15" cm="1">
        <f t="array" ca="1" aca="1" ref="L46">CreateID($L$3,$L:$L,AND($A46&lt;&gt;"",$AC46))</f>
        <v>26</v>
      </c>
      <c r="M46" s="99" cm="1">
        <f t="array" ca="1" aca="1" ref="M46">CreateTaskID($M$3,$M:$M,Tasks!$B$17,$G46)</f>
        <v>0</v>
      </c>
      <c r="N46" s="15" t="str">
        <f t="shared" ca="1" si="8"/>
        <v/>
      </c>
      <c r="O46" s="15" cm="1">
        <f t="array" ca="1" aca="1" ref="O46">CreateID($O$3,$O:$O,$N46&lt;&gt;"")</f>
        <v>0</v>
      </c>
      <c r="P46" s="99" t="str">
        <f t="shared" ca="1" si="9"/>
        <v/>
      </c>
      <c r="Q46" s="99" cm="1">
        <f t="array" ca="1" aca="1" ref="Q46">CreateID($Q$3,$Q:$Q,$P46&lt;&gt;"")</f>
        <v>0</v>
      </c>
      <c r="R46" s="99" t="str">
        <f t="shared" ca="1" si="10"/>
        <v/>
      </c>
      <c r="S46" s="99" cm="1">
        <f t="array" ca="1" aca="1" ref="S46">CreateID($S$3,$S:$S,$R46&lt;&gt;"")</f>
        <v>0</v>
      </c>
      <c r="T46" s="99" t="str">
        <f t="shared" ca="1" si="11"/>
        <v/>
      </c>
      <c r="U46" s="99" cm="1">
        <f t="array" ca="1" aca="1" ref="U46">CreateID($U$3,$U:$U,$T46&lt;&gt;"")</f>
        <v>0</v>
      </c>
      <c r="V46" s="99" cm="1">
        <f t="array" ca="1" aca="1" ref="V46">CreateID($V$3,$V:$V,IFERROR(FIND(Definitions!$AR$4,$G46)&gt;0,FALSE))</f>
        <v>0</v>
      </c>
      <c r="W46" s="99">
        <f>_xlfn.LET(_xlpm._comment,$G46,_xlpm._keyWord,Definitions!$AR$4,_xlpm._diffLen,LEN(_xlpm._comment)-LEN(SUBSTITUTE(_xlpm._comment,_xlpm._keyWord,"")),_xlpm._diffLen/LEN(_xlpm._keyWord))</f>
        <v>0</v>
      </c>
      <c r="X46" s="99" cm="1">
        <f t="array" ca="1" aca="1" ref="X46">CreateID($X$3,$X:$X,IFERROR(FIND(Definitions!$AR$5,$G46)&gt;0,FALSE))</f>
        <v>0</v>
      </c>
      <c r="Y46" s="99">
        <f>_xlfn.LET(_xlpm._comment,$G46,_xlpm._keyWord,Definitions!$AR$5,_xlpm._diffLen,LEN(_xlpm._comment)-LEN(SUBSTITUTE(_xlpm._comment,_xlpm._keyWord,"")),_xlpm._diffLen/LEN(_xlpm._keyWord))</f>
        <v>0</v>
      </c>
      <c r="Z46" s="99" t="b">
        <f ca="1">OR(IFERROR(_xlfn.XMATCH("*,"&amp;$A46&amp;",*",Assumptions!$AL:$AL,2)&gt;0,FALSE),IFERROR(_xlfn.XMATCH("*,"&amp;$A46&amp;",*",Countermeasures!$AO:$AO,2)&gt;0,FALSE))</f>
        <v>0</v>
      </c>
      <c r="AA46" s="99" t="str" cm="1">
        <f t="array" ca="1" aca="1" ref="AA46">CreateSearchString($I46)</f>
        <v>,QA10a[No],</v>
      </c>
      <c r="AB46" s="99" t="str">
        <f>IF($E46="","",IFERROR(VLOOKUP($E46,Definitions!$H:$J,COLUMNS(Definitions!$H:$J),FALSE),""))</f>
        <v/>
      </c>
      <c r="AC46" s="99" t="b" cm="1">
        <f t="array" ca="1" aca="1" ref="AC46">IF($A46="",FALSE,SimpleLookup($A46,Questions!$A:$D)="x")</f>
        <v>1</v>
      </c>
      <c r="AD46" s="99" t="str" cm="1">
        <f t="array" ca="1" aca="1" ref="AD46">IF(OR($A46="",NOT($AC46)),"",SimpleLookup($A46,Questions!$A:$E))</f>
        <v>'[QuBA-libre.xlsx]Definitions'!$A$4</v>
      </c>
      <c r="AE46" s="99" cm="1">
        <f t="array" ca="1" aca="1" ref="AE46">IF(OR($A46="",NOT($AC46)),"",SimpleLookup($A46,Questions!$A:$F))</f>
        <v>2</v>
      </c>
      <c r="AF46" s="99" t="str" cm="1">
        <f t="array" ca="1" aca="1" ref="AF46">_xlfn.LET(_xlpm._answer,$C46,_xlpm._infoTextFull,IF($AC46,CHAR(10)&amp;SimpleLookup($A46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6" s="99" t="b" cm="1">
        <f t="array" ca="1" aca="1" ref="AG46">IF(OR($A46="",NOT($AC46)),FALSE,_xlfn.LET(_xlpm._secondAnswerRequiredOn,SimpleLookup($A46,Questions!$A:$I),_xlpm._firstAnwer,$C46,IFERROR(FIND(CHAR(10)&amp;_xlpm._firstAnwer&amp;":",CHAR(10)&amp;_xlpm._secondAnswerRequiredOn)&gt;0,FALSE)))</f>
        <v>0</v>
      </c>
      <c r="AH46" s="99" t="str" cm="1">
        <f t="array" ca="1" aca="1" ref="AH46">IF(OR($A46="",NOT($AC46)),"",_xlfn.LET(_xlpm._id,$A46,_xlpm._firstAnswer,$C46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6" s="99" t="str" cm="1">
        <f t="array" ca="1" aca="1" ref="AI46">IF(OR($A46="",NOT($AC46)),"",_xlfn.LET(_xlpm._id,$A46,_xlpm._firstAnswer,$C46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6" s="99" t="str" cm="1">
        <f t="array" ca="1" aca="1" ref="AJ46">IF($AG46,_xlfn.LET(_xlpm._answer,$E46,_xlpm._infoTextFull,IF($AC46,CHAR(10)&amp;SimpleLookup($A46,Questions!$A:$L)&amp;CHAR(10),""),_xlpm._startSelectedByAnswerOne,IF(_xlpm._infoTextFull="",0,FIND("___"&amp;$C46&amp;"___",_xlpm._infoTextFull)+LEN("___"&amp;$C46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6" s="99" t="b" cm="1">
        <f t="array" ca="1" aca="1" ref="AK46">IF(OR($A46="",NOT($AC46)),FALSE,SimpleLookup($A46,Questions!$A:$Q))</f>
        <v>0</v>
      </c>
      <c r="AL46" s="99" t="str" cm="1">
        <f t="array" ca="1" aca="1" ref="AL46">IF(AND($A46=Questions!$A$41,IFERROR(SimpleLookup(Questions!$A$36,$A:$E)=Definitions!$O$5,FALSE),$C46=Definitions!$A$5),Questions!$A$36&amp;" "&amp;Questions!$B$36&amp;CHAR(10)&amp;CHAR(187)&amp;" "&amp;SimpleLookup(Questions!$A$36,$A:$C)&amp;CHAR(10)&amp;SimpleLookup(Questions!$A$36,$A:$D)&amp;CHAR(10)&amp;CHAR(187)&amp;" "&amp;Definitions!$O$5&amp;CHAR(10)&amp;CHAR(10)&amp;"is incosistent with"&amp;CHAR(10)&amp;CHAR(10)&amp;$A46&amp;" "&amp;SimpleLookup($A46,Questions!$A:$B)&amp;CHAR(10)&amp;CHAR(187)&amp;" "&amp;$C46,"")</f>
        <v/>
      </c>
      <c r="AM46" s="99" cm="1">
        <f t="array" ca="1" aca="1" ref="AM46">CreateID($AM$3,$AM:$AM,$AL46&lt;&gt;"")</f>
        <v>0</v>
      </c>
      <c r="AN46" s="99" t="str" cm="1">
        <f t="array" ca="1" aca="1" ref="AN46">IF(OR($C46="",OFFSET($C46,1,0)=""),"",IF(AND($A46=Questions!$A$59,OFFSET($A46,1,0)=Questions!$A$60,SimpleLookup(Questions!$A$49,$A:$C)=Definitions!$A$4),IF(MATCH($C46,Definitions!$AW:$AW,0)&gt;MATCH(OFFSET($C46,1,0),Definitions!AW:AW,0),$A46&amp;" "&amp;$K46&amp;": "&amp;$C46&amp;CHAR(10)&amp;"&lt;---&gt;"&amp;CHAR(10)&amp;OFFSET($A46,1,0)&amp;" "&amp;OFFSET($K46,1,0)&amp;": "&amp;OFFSET($C46,1,0),""),""))</f>
        <v/>
      </c>
      <c r="AO46" s="99" cm="1">
        <f t="array" ca="1" aca="1" ref="AO46">CreateID($AO$3,$AO:$AO,$AN46&lt;&gt;"")</f>
        <v>0</v>
      </c>
    </row>
    <row r="47" spans="1:41" ht="90">
      <c r="A47" s="96" t="s">
        <v>1245</v>
      </c>
      <c r="B47" s="4" t="str" cm="1">
        <f t="array" ca="1" aca="1" ref="B47">IF($A47="","",CreateIndentedString($K47,Definitions!$T$4,SimpleLookup($A47,Questions!$A:$C)))</f>
        <v xml:space="preserve">      Does  the  product  communicate  with  an  external
      system  on  the  Internet  (e.g.,  an  untrusted  3rd
      party  backend,  a  acontis  techonlogies  GmbH  cloud
      service,  a  acontis  techonlogies  GmbH  server
      system)?</v>
      </c>
      <c r="C47" s="4" t="s">
        <v>11</v>
      </c>
      <c r="D47" s="8" t="str">
        <f t="shared" ca="1" si="12"/>
        <v/>
      </c>
      <c r="F47" s="8" t="str">
        <f t="shared" ca="1" si="13"/>
        <v/>
      </c>
      <c r="I47" s="99" t="str">
        <f ca="1">IF($AC47,SUBSTITUTE(IF($A47="","",$A47&amp;"["&amp;$C47&amp;IF($E47="","","|"&amp;$E47)&amp;"]")," ",""),"")</f>
        <v>QA10b[No]</v>
      </c>
      <c r="J47" s="99" t="str">
        <f ca="1">IF($AC47,SUBSTITUTE(IF($A47="","",$A47&amp;"["&amp;$C47&amp;IF($E47="","]","|*]"))," ",""),"")</f>
        <v>QA10b[No]</v>
      </c>
      <c r="K47" s="99" t="str" cm="1">
        <f t="array" ca="1" aca="1" ref="K47">SimpleLookup($A47,Questions!$A:$B)</f>
        <v>Does the product communicate with an external system on the Internet (e.g., an untrusted 3rd party backend, a acontis techonlogies GmbH cloud service, a acontis techonlogies GmbH server system)?</v>
      </c>
      <c r="L47" s="99" cm="1">
        <f t="array" ca="1" aca="1" ref="L47">CreateID($L$3,$L:$L,AND($A47&lt;&gt;"",$AC47))</f>
        <v>27</v>
      </c>
      <c r="M47" s="99" cm="1">
        <f t="array" ca="1" aca="1" ref="M47">CreateTaskID($M$3,$M:$M,Tasks!$B$17,$G47)</f>
        <v>0</v>
      </c>
      <c r="N47" s="99" t="str">
        <f t="shared" ca="1" si="8"/>
        <v/>
      </c>
      <c r="O47" s="99" cm="1">
        <f t="array" ca="1" aca="1" ref="O47">CreateID($O$3,$O:$O,$N47&lt;&gt;"")</f>
        <v>0</v>
      </c>
      <c r="P47" s="99" t="str">
        <f ca="1">IF(AND($D47&lt;&gt;"",$E47=""),$A47&amp;" "&amp;$K47,"")</f>
        <v/>
      </c>
      <c r="Q47" s="99" cm="1">
        <f t="array" ca="1" aca="1" ref="Q47">CreateID($Q$3,$Q:$Q,$P47&lt;&gt;"")</f>
        <v>0</v>
      </c>
      <c r="R47" s="99" t="str">
        <f ca="1">IF(AND($F47&lt;&gt;"",$G47=""),$A47&amp;" "&amp;$K47,"")</f>
        <v/>
      </c>
      <c r="S47" s="99" cm="1">
        <f t="array" ca="1" aca="1" ref="S47">CreateID($S$3,$S:$S,$R47&lt;&gt;"")</f>
        <v>0</v>
      </c>
      <c r="T47" s="99" t="str">
        <f ca="1">IF($A47="","",IF(AND(NOT($AG47),$E47&lt;&gt;""),$A47&amp;" "&amp;$K47,""))</f>
        <v/>
      </c>
      <c r="U47" s="99" cm="1">
        <f t="array" ca="1" aca="1" ref="U47">CreateID($U$3,$U:$U,$T47&lt;&gt;"")</f>
        <v>0</v>
      </c>
      <c r="V47" s="99" cm="1">
        <f t="array" ca="1" aca="1" ref="V47">CreateID($V$3,$V:$V,IFERROR(FIND(Definitions!$AR$4,$G47)&gt;0,FALSE))</f>
        <v>0</v>
      </c>
      <c r="W47" s="99">
        <f>_xlfn.LET(_xlpm._comment,$G47,_xlpm._keyWord,Definitions!$AR$4,_xlpm._diffLen,LEN(_xlpm._comment)-LEN(SUBSTITUTE(_xlpm._comment,_xlpm._keyWord,"")),_xlpm._diffLen/LEN(_xlpm._keyWord))</f>
        <v>0</v>
      </c>
      <c r="X47" s="99" cm="1">
        <f t="array" ca="1" aca="1" ref="X47">CreateID($X$3,$X:$X,IFERROR(FIND(Definitions!$AR$5,$G47)&gt;0,FALSE))</f>
        <v>0</v>
      </c>
      <c r="Y47" s="99">
        <f>_xlfn.LET(_xlpm._comment,$G47,_xlpm._keyWord,Definitions!$AR$5,_xlpm._diffLen,LEN(_xlpm._comment)-LEN(SUBSTITUTE(_xlpm._comment,_xlpm._keyWord,"")),_xlpm._diffLen/LEN(_xlpm._keyWord))</f>
        <v>0</v>
      </c>
      <c r="Z47" s="99" t="b">
        <f ca="1">OR(IFERROR(_xlfn.XMATCH("*,"&amp;$A47&amp;",*",Assumptions!$AL:$AL,2)&gt;0,FALSE),IFERROR(_xlfn.XMATCH("*,"&amp;$A47&amp;",*",Countermeasures!$AO:$AO,2)&gt;0,FALSE))</f>
        <v>0</v>
      </c>
      <c r="AA47" s="99" t="str" cm="1">
        <f t="array" ca="1" aca="1" ref="AA47">CreateSearchString($I47)</f>
        <v>,QA10b[No],</v>
      </c>
      <c r="AB47" s="99" t="str">
        <f>IF($E47="","",IFERROR(VLOOKUP($E47,Definitions!$H:$J,COLUMNS(Definitions!$H:$J),FALSE),""))</f>
        <v/>
      </c>
      <c r="AC47" s="99" t="b" cm="1">
        <f t="array" ca="1" aca="1" ref="AC47">IF($A47="",FALSE,SimpleLookup($A47,Questions!$A:$D)="x")</f>
        <v>1</v>
      </c>
      <c r="AD47" s="99" t="str" cm="1">
        <f t="array" ca="1" aca="1" ref="AD47">IF(OR($A47="",NOT($AC47)),"",SimpleLookup($A47,Questions!$A:$E))</f>
        <v>'[QuBA-libre.xlsx]Definitions'!$A$4</v>
      </c>
      <c r="AE47" s="99" cm="1">
        <f t="array" ca="1" aca="1" ref="AE47">IF(OR($A47="",NOT($AC47)),"",SimpleLookup($A47,Questions!$A:$F))</f>
        <v>2</v>
      </c>
      <c r="AF47" s="99" t="str" cm="1">
        <f t="array" ca="1" aca="1" ref="AF47">_xlfn.LET(_xlpm._answer,$C47,_xlpm._infoTextFull,IF($AC47,CHAR(10)&amp;SimpleLookup($A47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7" s="99" t="b" cm="1">
        <f t="array" ca="1" aca="1" ref="AG47">IF(OR($A47="",NOT($AC47)),FALSE,_xlfn.LET(_xlpm._secondAnswerRequiredOn,SimpleLookup($A47,Questions!$A:$I),_xlpm._firstAnwer,$C47,IFERROR(FIND(CHAR(10)&amp;_xlpm._firstAnwer&amp;":",CHAR(10)&amp;_xlpm._secondAnswerRequiredOn)&gt;0,FALSE)))</f>
        <v>0</v>
      </c>
      <c r="AH47" s="99" t="str" cm="1">
        <f t="array" ca="1" aca="1" ref="AH47">IF(OR($A47="",NOT($AC47)),"",_xlfn.LET(_xlpm._id,$A47,_xlpm._firstAnswer,$C47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7" s="99" t="str" cm="1">
        <f t="array" ca="1" aca="1" ref="AI47">IF(OR($A47="",NOT($AC47)),"",_xlfn.LET(_xlpm._id,$A47,_xlpm._firstAnswer,$C47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7" s="99" t="str" cm="1">
        <f t="array" ca="1" aca="1" ref="AJ47">IF($AG47,_xlfn.LET(_xlpm._answer,$E47,_xlpm._infoTextFull,IF($AC47,CHAR(10)&amp;SimpleLookup($A47,Questions!$A:$L)&amp;CHAR(10),""),_xlpm._startSelectedByAnswerOne,IF(_xlpm._infoTextFull="",0,FIND("___"&amp;$C47&amp;"___",_xlpm._infoTextFull)+LEN("___"&amp;$C47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7" s="99" t="b" cm="1">
        <f t="array" ca="1" aca="1" ref="AK47">IF(OR($A47="",NOT($AC47)),FALSE,SimpleLookup($A47,Questions!$A:$Q))</f>
        <v>0</v>
      </c>
      <c r="AL47" s="99" t="str" cm="1">
        <f t="array" ca="1" aca="1" ref="AL47">IF(AND($A47=Questions!$A$41,IFERROR(SimpleLookup(Questions!$A$36,$A:$E)=Definitions!$O$5,FALSE),$C47=Definitions!$A$5),Questions!$A$36&amp;" "&amp;Questions!$B$36&amp;CHAR(10)&amp;CHAR(187)&amp;" "&amp;SimpleLookup(Questions!$A$36,$A:$C)&amp;CHAR(10)&amp;SimpleLookup(Questions!$A$36,$A:$D)&amp;CHAR(10)&amp;CHAR(187)&amp;" "&amp;Definitions!$O$5&amp;CHAR(10)&amp;CHAR(10)&amp;"is incosistent with"&amp;CHAR(10)&amp;CHAR(10)&amp;$A47&amp;" "&amp;SimpleLookup($A47,Questions!$A:$B)&amp;CHAR(10)&amp;CHAR(187)&amp;" "&amp;$C47,"")</f>
        <v/>
      </c>
      <c r="AM47" s="99" cm="1">
        <f t="array" ca="1" aca="1" ref="AM47">CreateID($AM$3,$AM:$AM,$AL47&lt;&gt;"")</f>
        <v>0</v>
      </c>
      <c r="AN47" s="99" t="str" cm="1">
        <f t="array" ca="1" aca="1" ref="AN47">IF(OR($C47="",OFFSET($C47,1,0)=""),"",IF(AND($A47=Questions!$A$59,OFFSET($A47,1,0)=Questions!$A$60,SimpleLookup(Questions!$A$49,$A:$C)=Definitions!$A$4),IF(MATCH($C47,Definitions!$AW:$AW,0)&gt;MATCH(OFFSET($C47,1,0),Definitions!AW:AW,0),$A47&amp;" "&amp;$K47&amp;": "&amp;$C47&amp;CHAR(10)&amp;"&lt;---&gt;"&amp;CHAR(10)&amp;OFFSET($A47,1,0)&amp;" "&amp;OFFSET($K47,1,0)&amp;": "&amp;OFFSET($C47,1,0),""),""))</f>
        <v/>
      </c>
      <c r="AO47" s="99" cm="1">
        <f t="array" ca="1" aca="1" ref="AO47">CreateID($AO$3,$AO:$AO,$AN47&lt;&gt;"")</f>
        <v>0</v>
      </c>
    </row>
    <row r="48" spans="1:41" ht="30">
      <c r="A48" s="96" t="s">
        <v>1377</v>
      </c>
      <c r="B48" s="4" t="str" cm="1">
        <f t="array" ca="1" aca="1" ref="B48">IF($A48="","",CreateIndentedString($K48,Definitions!$T$4,SimpleLookup($A48,Questions!$A:$C)))</f>
        <v xml:space="preserve">      Can  the  product's  software  be  updated  over  an
      interface?</v>
      </c>
      <c r="C48" s="4" t="s">
        <v>11</v>
      </c>
      <c r="D48" s="8" t="str">
        <f t="shared" ca="1" si="12"/>
        <v/>
      </c>
      <c r="F48" s="8" t="str">
        <f t="shared" ca="1" si="13"/>
        <v/>
      </c>
      <c r="I48" s="15" t="str">
        <f t="shared" ca="1" si="6"/>
        <v>QA11a[No]</v>
      </c>
      <c r="J48" s="15" t="str">
        <f t="shared" ca="1" si="7"/>
        <v>QA11a[No]</v>
      </c>
      <c r="K48" s="15" t="str" cm="1">
        <f t="array" ca="1" aca="1" ref="K48">SimpleLookup($A48,Questions!$A:$B)</f>
        <v>Can the product's software be updated over an interface?</v>
      </c>
      <c r="L48" s="15" cm="1">
        <f t="array" ca="1" aca="1" ref="L48">CreateID($L$3,$L:$L,AND($A48&lt;&gt;"",$AC48))</f>
        <v>28</v>
      </c>
      <c r="M48" s="99" cm="1">
        <f t="array" ca="1" aca="1" ref="M48">CreateTaskID($M$3,$M:$M,Tasks!$B$17,$G48)</f>
        <v>0</v>
      </c>
      <c r="N48" s="15" t="str">
        <f t="shared" ca="1" si="8"/>
        <v/>
      </c>
      <c r="O48" s="15" cm="1">
        <f t="array" ca="1" aca="1" ref="O48">CreateID($O$3,$O:$O,$N48&lt;&gt;"")</f>
        <v>0</v>
      </c>
      <c r="P48" s="99" t="str">
        <f t="shared" ca="1" si="9"/>
        <v/>
      </c>
      <c r="Q48" s="99" cm="1">
        <f t="array" ca="1" aca="1" ref="Q48">CreateID($Q$3,$Q:$Q,$P48&lt;&gt;"")</f>
        <v>0</v>
      </c>
      <c r="R48" s="99" t="str">
        <f t="shared" ca="1" si="10"/>
        <v/>
      </c>
      <c r="S48" s="99" cm="1">
        <f t="array" ca="1" aca="1" ref="S48">CreateID($S$3,$S:$S,$R48&lt;&gt;"")</f>
        <v>0</v>
      </c>
      <c r="T48" s="99" t="str">
        <f t="shared" ca="1" si="11"/>
        <v/>
      </c>
      <c r="U48" s="99" cm="1">
        <f t="array" ca="1" aca="1" ref="U48">CreateID($U$3,$U:$U,$T48&lt;&gt;"")</f>
        <v>0</v>
      </c>
      <c r="V48" s="99" cm="1">
        <f t="array" ca="1" aca="1" ref="V48">CreateID($V$3,$V:$V,IFERROR(FIND(Definitions!$AR$4,$G48)&gt;0,FALSE))</f>
        <v>0</v>
      </c>
      <c r="W48" s="99">
        <f>_xlfn.LET(_xlpm._comment,$G48,_xlpm._keyWord,Definitions!$AR$4,_xlpm._diffLen,LEN(_xlpm._comment)-LEN(SUBSTITUTE(_xlpm._comment,_xlpm._keyWord,"")),_xlpm._diffLen/LEN(_xlpm._keyWord))</f>
        <v>0</v>
      </c>
      <c r="X48" s="99" cm="1">
        <f t="array" ca="1" aca="1" ref="X48">CreateID($X$3,$X:$X,IFERROR(FIND(Definitions!$AR$5,$G48)&gt;0,FALSE))</f>
        <v>0</v>
      </c>
      <c r="Y48" s="99">
        <f>_xlfn.LET(_xlpm._comment,$G48,_xlpm._keyWord,Definitions!$AR$5,_xlpm._diffLen,LEN(_xlpm._comment)-LEN(SUBSTITUTE(_xlpm._comment,_xlpm._keyWord,"")),_xlpm._diffLen/LEN(_xlpm._keyWord))</f>
        <v>0</v>
      </c>
      <c r="Z48" s="99" t="b">
        <f ca="1">OR(IFERROR(_xlfn.XMATCH("*,"&amp;$A48&amp;",*",Assumptions!$AL:$AL,2)&gt;0,FALSE),IFERROR(_xlfn.XMATCH("*,"&amp;$A48&amp;",*",Countermeasures!$AO:$AO,2)&gt;0,FALSE))</f>
        <v>0</v>
      </c>
      <c r="AA48" s="99" t="str" cm="1">
        <f t="array" ca="1" aca="1" ref="AA48">CreateSearchString($I48)</f>
        <v>,QA11a[No],</v>
      </c>
      <c r="AB48" s="99" t="str">
        <f>IF($E48="","",IFERROR(VLOOKUP($E48,Definitions!$H:$J,COLUMNS(Definitions!$H:$J),FALSE),""))</f>
        <v/>
      </c>
      <c r="AC48" s="99" t="b" cm="1">
        <f t="array" ca="1" aca="1" ref="AC48">IF($A48="",FALSE,SimpleLookup($A48,Questions!$A:$D)="x")</f>
        <v>1</v>
      </c>
      <c r="AD48" s="99" t="str" cm="1">
        <f t="array" ca="1" aca="1" ref="AD48">IF(OR($A48="",NOT($AC48)),"",SimpleLookup($A48,Questions!$A:$E))</f>
        <v>'[QuBA-libre.xlsx]Definitions'!$A$4</v>
      </c>
      <c r="AE48" s="99" cm="1">
        <f t="array" ca="1" aca="1" ref="AE48">IF(OR($A48="",NOT($AC48)),"",SimpleLookup($A48,Questions!$A:$F))</f>
        <v>2</v>
      </c>
      <c r="AF48" s="99" t="str" cm="1">
        <f t="array" ca="1" aca="1" ref="AF48">_xlfn.LET(_xlpm._answer,$C48,_xlpm._infoTextFull,IF($AC48,CHAR(10)&amp;SimpleLookup($A48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48" s="99" t="b" cm="1">
        <f t="array" ca="1" aca="1" ref="AG48">IF(OR($A48="",NOT($AC48)),FALSE,_xlfn.LET(_xlpm._secondAnswerRequiredOn,SimpleLookup($A48,Questions!$A:$I),_xlpm._firstAnwer,$C48,IFERROR(FIND(CHAR(10)&amp;_xlpm._firstAnwer&amp;":",CHAR(10)&amp;_xlpm._secondAnswerRequiredOn)&gt;0,FALSE)))</f>
        <v>0</v>
      </c>
      <c r="AH48" s="99" t="str" cm="1">
        <f t="array" ca="1" aca="1" ref="AH48">IF(OR($A48="",NOT($AC48)),"",_xlfn.LET(_xlpm._id,$A48,_xlpm._firstAnswer,$C48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48" s="99" t="str" cm="1">
        <f t="array" ca="1" aca="1" ref="AI48">IF(OR($A48="",NOT($AC48)),"",_xlfn.LET(_xlpm._id,$A48,_xlpm._firstAnswer,$C48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48" s="99" t="str" cm="1">
        <f t="array" ca="1" aca="1" ref="AJ48">IF($AG48,_xlfn.LET(_xlpm._answer,$E48,_xlpm._infoTextFull,IF($AC48,CHAR(10)&amp;SimpleLookup($A48,Questions!$A:$L)&amp;CHAR(10),""),_xlpm._startSelectedByAnswerOne,IF(_xlpm._infoTextFull="",0,FIND("___"&amp;$C48&amp;"___",_xlpm._infoTextFull)+LEN("___"&amp;$C48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8" s="99" t="b" cm="1">
        <f t="array" ca="1" aca="1" ref="AK48">IF(OR($A48="",NOT($AC48)),FALSE,SimpleLookup($A48,Questions!$A:$Q))</f>
        <v>0</v>
      </c>
      <c r="AL48" s="99" t="str" cm="1">
        <f t="array" ca="1" aca="1" ref="AL48">IF(AND($A48=Questions!$A$41,IFERROR(SimpleLookup(Questions!$A$36,$A:$E)=Definitions!$O$5,FALSE),$C48=Definitions!$A$5),Questions!$A$36&amp;" "&amp;Questions!$B$36&amp;CHAR(10)&amp;CHAR(187)&amp;" "&amp;SimpleLookup(Questions!$A$36,$A:$C)&amp;CHAR(10)&amp;SimpleLookup(Questions!$A$36,$A:$D)&amp;CHAR(10)&amp;CHAR(187)&amp;" "&amp;Definitions!$O$5&amp;CHAR(10)&amp;CHAR(10)&amp;"is incosistent with"&amp;CHAR(10)&amp;CHAR(10)&amp;$A48&amp;" "&amp;SimpleLookup($A48,Questions!$A:$B)&amp;CHAR(10)&amp;CHAR(187)&amp;" "&amp;$C48,"")</f>
        <v/>
      </c>
      <c r="AM48" s="99" cm="1">
        <f t="array" ca="1" aca="1" ref="AM48">CreateID($AM$3,$AM:$AM,$AL48&lt;&gt;"")</f>
        <v>0</v>
      </c>
      <c r="AN48" s="99" t="str" cm="1">
        <f t="array" ca="1" aca="1" ref="AN48">IF(OR($C48="",OFFSET($C48,1,0)=""),"",IF(AND($A48=Questions!$A$59,OFFSET($A48,1,0)=Questions!$A$60,SimpleLookup(Questions!$A$49,$A:$C)=Definitions!$A$4),IF(MATCH($C48,Definitions!$AW:$AW,0)&gt;MATCH(OFFSET($C48,1,0),Definitions!AW:AW,0),$A48&amp;" "&amp;$K48&amp;": "&amp;$C48&amp;CHAR(10)&amp;"&lt;---&gt;"&amp;CHAR(10)&amp;OFFSET($A48,1,0)&amp;" "&amp;OFFSET($K48,1,0)&amp;": "&amp;OFFSET($C48,1,0),""),""))</f>
        <v/>
      </c>
      <c r="AO48" s="99" cm="1">
        <f t="array" ca="1" aca="1" ref="AO48">CreateID($AO$3,$AO:$AO,$AN48&lt;&gt;"")</f>
        <v>0</v>
      </c>
    </row>
    <row r="49" spans="1:41" ht="30">
      <c r="A49" s="96" t="s">
        <v>1378</v>
      </c>
      <c r="B49" s="4" t="str" cm="1">
        <f t="array" ca="1" aca="1" ref="B49">IF($A49="","",CreateIndentedString($K49,Definitions!$T$4,SimpleLookup($A49,Questions!$A:$C)))</f>
        <v xml:space="preserve">      Are  software  updates  in  the  field  (regularly  or
      event-based)  planned?</v>
      </c>
      <c r="C49" s="4" t="s">
        <v>11</v>
      </c>
      <c r="D49" s="8" t="str">
        <f t="shared" ca="1" si="12"/>
        <v>Will the product be exchanged to handle vulnerabilities or security incidents?</v>
      </c>
      <c r="E49" s="4" t="s">
        <v>10</v>
      </c>
      <c r="F49" s="8" t="str">
        <f t="shared" ca="1" si="13"/>
        <v/>
      </c>
      <c r="I49" s="99" t="str">
        <f ca="1">IF($AC49,SUBSTITUTE(IF($A49="","",$A49&amp;"["&amp;$C49&amp;IF($E49="","","|"&amp;$E49)&amp;"]")," ",""),"")</f>
        <v>QA11b[No|Yes]</v>
      </c>
      <c r="J49" s="99" t="str">
        <f ca="1">IF($AC49,SUBSTITUTE(IF($A49="","",$A49&amp;"["&amp;$C49&amp;IF($E49="","]","|*]"))," ",""),"")</f>
        <v>QA11b[No|*]</v>
      </c>
      <c r="K49" s="99" t="str" cm="1">
        <f t="array" ca="1" aca="1" ref="K49">SimpleLookup($A49,Questions!$A:$B)</f>
        <v>Are software updates in the field (regularly or event-based) planned?</v>
      </c>
      <c r="L49" s="99" cm="1">
        <f t="array" ca="1" aca="1" ref="L49">CreateID($L$3,$L:$L,AND($A49&lt;&gt;"",$AC49))</f>
        <v>29</v>
      </c>
      <c r="M49" s="99" cm="1">
        <f t="array" ca="1" aca="1" ref="M49">CreateTaskID($M$3,$M:$M,Tasks!$B$17,$G49)</f>
        <v>0</v>
      </c>
      <c r="N49" s="99" t="str">
        <f t="shared" ca="1" si="8"/>
        <v/>
      </c>
      <c r="O49" s="99" cm="1">
        <f t="array" ca="1" aca="1" ref="O49">CreateID($O$3,$O:$O,$N49&lt;&gt;"")</f>
        <v>0</v>
      </c>
      <c r="P49" s="99" t="str">
        <f ca="1">IF(AND($D49&lt;&gt;"",$E49=""),$A49&amp;" "&amp;$K49,"")</f>
        <v/>
      </c>
      <c r="Q49" s="99" cm="1">
        <f t="array" ca="1" aca="1" ref="Q49">CreateID($Q$3,$Q:$Q,$P49&lt;&gt;"")</f>
        <v>0</v>
      </c>
      <c r="R49" s="99" t="str">
        <f ca="1">IF(AND($F49&lt;&gt;"",$G49=""),$A49&amp;" "&amp;$K49,"")</f>
        <v/>
      </c>
      <c r="S49" s="99" cm="1">
        <f t="array" ca="1" aca="1" ref="S49">CreateID($S$3,$S:$S,$R49&lt;&gt;"")</f>
        <v>0</v>
      </c>
      <c r="T49" s="99" t="str">
        <f ca="1">IF($A49="","",IF(AND(NOT($AG49),$E49&lt;&gt;""),$A49&amp;" "&amp;$K49,""))</f>
        <v/>
      </c>
      <c r="U49" s="99" cm="1">
        <f t="array" ca="1" aca="1" ref="U49">CreateID($U$3,$U:$U,$T49&lt;&gt;"")</f>
        <v>0</v>
      </c>
      <c r="V49" s="99" cm="1">
        <f t="array" ca="1" aca="1" ref="V49">CreateID($V$3,$V:$V,IFERROR(FIND(Definitions!$AR$4,$G49)&gt;0,FALSE))</f>
        <v>0</v>
      </c>
      <c r="W49" s="99">
        <f>_xlfn.LET(_xlpm._comment,$G49,_xlpm._keyWord,Definitions!$AR$4,_xlpm._diffLen,LEN(_xlpm._comment)-LEN(SUBSTITUTE(_xlpm._comment,_xlpm._keyWord,"")),_xlpm._diffLen/LEN(_xlpm._keyWord))</f>
        <v>0</v>
      </c>
      <c r="X49" s="99" cm="1">
        <f t="array" ca="1" aca="1" ref="X49">CreateID($X$3,$X:$X,IFERROR(FIND(Definitions!$AR$5,$G49)&gt;0,FALSE))</f>
        <v>0</v>
      </c>
      <c r="Y49" s="99">
        <f>_xlfn.LET(_xlpm._comment,$G49,_xlpm._keyWord,Definitions!$AR$5,_xlpm._diffLen,LEN(_xlpm._comment)-LEN(SUBSTITUTE(_xlpm._comment,_xlpm._keyWord,"")),_xlpm._diffLen/LEN(_xlpm._keyWord))</f>
        <v>0</v>
      </c>
      <c r="Z49" s="99" t="b">
        <f ca="1">OR(IFERROR(_xlfn.XMATCH("*,"&amp;$A49&amp;",*",Assumptions!$AL:$AL,2)&gt;0,FALSE),IFERROR(_xlfn.XMATCH("*,"&amp;$A49&amp;",*",Countermeasures!$AO:$AO,2)&gt;0,FALSE))</f>
        <v>1</v>
      </c>
      <c r="AA49" s="99" t="str" cm="1">
        <f t="array" ca="1" aca="1" ref="AA49">CreateSearchString($I49)</f>
        <v>,QA11b[No|Yes],</v>
      </c>
      <c r="AB49" s="99" t="str">
        <f>IF($E49="","",IFERROR(VLOOKUP($E49,Definitions!$H:$J,COLUMNS(Definitions!$H:$J),FALSE),""))</f>
        <v/>
      </c>
      <c r="AC49" s="99" t="b" cm="1">
        <f t="array" ca="1" aca="1" ref="AC49">IF($A49="",FALSE,SimpleLookup($A49,Questions!$A:$D)="x")</f>
        <v>1</v>
      </c>
      <c r="AD49" s="99" t="str" cm="1">
        <f t="array" ca="1" aca="1" ref="AD49">IF(OR($A49="",NOT($AC49)),"",SimpleLookup($A49,Questions!$A:$E))</f>
        <v>'[QuBA-libre.xlsx]Definitions'!$A$4</v>
      </c>
      <c r="AE49" s="99" cm="1">
        <f t="array" ca="1" aca="1" ref="AE49">IF(OR($A49="",NOT($AC49)),"",SimpleLookup($A49,Questions!$A:$F))</f>
        <v>2</v>
      </c>
      <c r="AF49" s="99" t="str" cm="1">
        <f t="array" ca="1" aca="1" ref="AF49">_xlfn.LET(_xlpm._answer,$C49,_xlpm._infoTextFull,IF($AC49,CHAR(10)&amp;SimpleLookup($A49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Will the product be exchanged to handle vulnerabilities or security incidents?</v>
      </c>
      <c r="AG49" s="99" t="b" cm="1">
        <f t="array" ca="1" aca="1" ref="AG49">IF(OR($A49="",NOT($AC49)),FALSE,_xlfn.LET(_xlpm._secondAnswerRequiredOn,SimpleLookup($A49,Questions!$A:$I),_xlpm._firstAnwer,$C49,IFERROR(FIND(CHAR(10)&amp;_xlpm._firstAnwer&amp;":",CHAR(10)&amp;_xlpm._secondAnswerRequiredOn)&gt;0,FALSE)))</f>
        <v>1</v>
      </c>
      <c r="AH49" s="99" t="str" cm="1">
        <f t="array" ca="1" aca="1" ref="AH49">IF(OR($A49="",NOT($AC49)),"",_xlfn.LET(_xlpm._id,$A49,_xlpm._firstAnswer,$C49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'[QuBA-libre.xlsx]Definitions'!$A$4</v>
      </c>
      <c r="AI49" s="99" cm="1">
        <f t="array" ca="1" aca="1" ref="AI49">IF(OR($A49="",NOT($AC49)),"",_xlfn.LET(_xlpm._id,$A49,_xlpm._firstAnswer,$C49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v>
      </c>
      <c r="AJ49" s="99" t="str" cm="1">
        <f t="array" ca="1" aca="1" ref="AJ49">IF($AG49,_xlfn.LET(_xlpm._answer,$E49,_xlpm._infoTextFull,IF($AC49,CHAR(10)&amp;SimpleLookup($A49,Questions!$A:$L)&amp;CHAR(10),""),_xlpm._startSelectedByAnswerOne,IF(_xlpm._infoTextFull="",0,FIND("___"&amp;$C49&amp;"___",_xlpm._infoTextFull)+LEN("___"&amp;$C49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49" s="99" t="b" cm="1">
        <f t="array" ca="1" aca="1" ref="AK49">IF(OR($A49="",NOT($AC49)),FALSE,SimpleLookup($A49,Questions!$A:$Q))</f>
        <v>0</v>
      </c>
      <c r="AL49" s="99" t="str" cm="1">
        <f t="array" ca="1" aca="1" ref="AL49">IF(AND($A49=Questions!$A$41,IFERROR(SimpleLookup(Questions!$A$36,$A:$E)=Definitions!$O$5,FALSE),$C49=Definitions!$A$5),Questions!$A$36&amp;" "&amp;Questions!$B$36&amp;CHAR(10)&amp;CHAR(187)&amp;" "&amp;SimpleLookup(Questions!$A$36,$A:$C)&amp;CHAR(10)&amp;SimpleLookup(Questions!$A$36,$A:$D)&amp;CHAR(10)&amp;CHAR(187)&amp;" "&amp;Definitions!$O$5&amp;CHAR(10)&amp;CHAR(10)&amp;"is incosistent with"&amp;CHAR(10)&amp;CHAR(10)&amp;$A49&amp;" "&amp;SimpleLookup($A49,Questions!$A:$B)&amp;CHAR(10)&amp;CHAR(187)&amp;" "&amp;$C49,"")</f>
        <v/>
      </c>
      <c r="AM49" s="99" cm="1">
        <f t="array" ca="1" aca="1" ref="AM49">CreateID($AM$3,$AM:$AM,$AL49&lt;&gt;"")</f>
        <v>0</v>
      </c>
      <c r="AN49" s="99" t="str" cm="1">
        <f t="array" ca="1" aca="1" ref="AN49">IF(OR($C49="",OFFSET($C49,1,0)=""),"",IF(AND($A49=Questions!$A$59,OFFSET($A49,1,0)=Questions!$A$60,SimpleLookup(Questions!$A$49,$A:$C)=Definitions!$A$4),IF(MATCH($C49,Definitions!$AW:$AW,0)&gt;MATCH(OFFSET($C49,1,0),Definitions!AW:AW,0),$A49&amp;" "&amp;$K49&amp;": "&amp;$C49&amp;CHAR(10)&amp;"&lt;---&gt;"&amp;CHAR(10)&amp;OFFSET($A49,1,0)&amp;" "&amp;OFFSET($K49,1,0)&amp;": "&amp;OFFSET($C49,1,0),""),""))</f>
        <v/>
      </c>
      <c r="AO49" s="99" cm="1">
        <f t="array" ca="1" aca="1" ref="AO49">CreateID($AO$3,$AO:$AO,$AN49&lt;&gt;"")</f>
        <v>0</v>
      </c>
    </row>
    <row r="50" spans="1:41" ht="30">
      <c r="A50" s="96" t="s">
        <v>1056</v>
      </c>
      <c r="B50" s="4" t="str" cm="1">
        <f t="array" ca="1" aca="1" ref="B50">IF($A50="","",CreateIndentedString($K50,Definitions!$T$4,SimpleLookup($A50,Questions!$A:$C)))</f>
        <v xml:space="preserve">   Does  the  product  have  a  logical  connection  to  a
   local  network  over  a  gateway?</v>
      </c>
      <c r="C50" s="4" t="s">
        <v>10</v>
      </c>
      <c r="D50" s="8" t="str">
        <f t="shared" ca="1" si="12"/>
        <v>Are the local network and the gateway considered as trustworthy?</v>
      </c>
      <c r="E50" s="4" t="s">
        <v>10</v>
      </c>
      <c r="F50" s="8" t="str">
        <f t="shared" ca="1" si="13"/>
        <v>Who is responsible for the secure operation of the network?</v>
      </c>
      <c r="G50" s="4" t="s">
        <v>372</v>
      </c>
      <c r="I50" s="15" t="str">
        <f t="shared" ca="1" si="6"/>
        <v>QA12[Yes|Yes]</v>
      </c>
      <c r="J50" s="15" t="str">
        <f t="shared" ca="1" si="7"/>
        <v>QA12[Yes|*]</v>
      </c>
      <c r="K50" s="15" t="str" cm="1">
        <f t="array" ca="1" aca="1" ref="K50">SimpleLookup($A50,Questions!$A:$B)</f>
        <v>Does the product have a logical connection to a local network over a gateway?</v>
      </c>
      <c r="L50" s="15" cm="1">
        <f t="array" ca="1" aca="1" ref="L50">CreateID($L$3,$L:$L,AND($A50&lt;&gt;"",$AC50))</f>
        <v>30</v>
      </c>
      <c r="M50" s="99" cm="1">
        <f t="array" ca="1" aca="1" ref="M50">CreateTaskID($M$3,$M:$M,Tasks!$B$17,$G50)</f>
        <v>0</v>
      </c>
      <c r="N50" s="15" t="str">
        <f t="shared" ca="1" si="8"/>
        <v/>
      </c>
      <c r="O50" s="15" cm="1">
        <f t="array" ca="1" aca="1" ref="O50">CreateID($O$3,$O:$O,$N50&lt;&gt;"")</f>
        <v>0</v>
      </c>
      <c r="P50" s="99" t="str">
        <f t="shared" ca="1" si="9"/>
        <v/>
      </c>
      <c r="Q50" s="99" cm="1">
        <f t="array" ca="1" aca="1" ref="Q50">CreateID($Q$3,$Q:$Q,$P50&lt;&gt;"")</f>
        <v>0</v>
      </c>
      <c r="R50" s="99" t="str">
        <f t="shared" ca="1" si="10"/>
        <v/>
      </c>
      <c r="S50" s="99" cm="1">
        <f t="array" ca="1" aca="1" ref="S50">CreateID($S$3,$S:$S,$R50&lt;&gt;"")</f>
        <v>0</v>
      </c>
      <c r="T50" s="99" t="str">
        <f t="shared" ca="1" si="11"/>
        <v/>
      </c>
      <c r="U50" s="99" cm="1">
        <f t="array" ca="1" aca="1" ref="U50">CreateID($U$3,$U:$U,$T50&lt;&gt;"")</f>
        <v>0</v>
      </c>
      <c r="V50" s="99" cm="1">
        <f t="array" ca="1" aca="1" ref="V50">CreateID($V$3,$V:$V,IFERROR(FIND(Definitions!$AR$4,$G50)&gt;0,FALSE))</f>
        <v>0</v>
      </c>
      <c r="W50" s="99">
        <f>_xlfn.LET(_xlpm._comment,$G50,_xlpm._keyWord,Definitions!$AR$4,_xlpm._diffLen,LEN(_xlpm._comment)-LEN(SUBSTITUTE(_xlpm._comment,_xlpm._keyWord,"")),_xlpm._diffLen/LEN(_xlpm._keyWord))</f>
        <v>0</v>
      </c>
      <c r="X50" s="99" cm="1">
        <f t="array" ca="1" aca="1" ref="X50">CreateID($X$3,$X:$X,IFERROR(FIND(Definitions!$AR$5,$G50)&gt;0,FALSE))</f>
        <v>0</v>
      </c>
      <c r="Y50" s="99">
        <f>_xlfn.LET(_xlpm._comment,$G50,_xlpm._keyWord,Definitions!$AR$5,_xlpm._diffLen,LEN(_xlpm._comment)-LEN(SUBSTITUTE(_xlpm._comment,_xlpm._keyWord,"")),_xlpm._diffLen/LEN(_xlpm._keyWord))</f>
        <v>0</v>
      </c>
      <c r="Z50" s="99" t="b">
        <f ca="1">OR(IFERROR(_xlfn.XMATCH("*,"&amp;$A50&amp;",*",Assumptions!$AL:$AL,2)&gt;0,FALSE),IFERROR(_xlfn.XMATCH("*,"&amp;$A50&amp;",*",Countermeasures!$AO:$AO,2)&gt;0,FALSE))</f>
        <v>1</v>
      </c>
      <c r="AA50" s="99" t="str" cm="1">
        <f t="array" ca="1" aca="1" ref="AA50">CreateSearchString($I50)</f>
        <v>,QA12[Yes|Yes],</v>
      </c>
      <c r="AB50" s="99" t="str">
        <f>IF($E50="","",IFERROR(VLOOKUP($E50,Definitions!$H:$J,COLUMNS(Definitions!$H:$J),FALSE),""))</f>
        <v/>
      </c>
      <c r="AC50" s="99" t="b" cm="1">
        <f t="array" ca="1" aca="1" ref="AC50">IF($A50="",FALSE,SimpleLookup($A50,Questions!$A:$D)="x")</f>
        <v>1</v>
      </c>
      <c r="AD50" s="99" t="str" cm="1">
        <f t="array" ca="1" aca="1" ref="AD50">IF(OR($A50="",NOT($AC50)),"",SimpleLookup($A50,Questions!$A:$E))</f>
        <v>'[QuBA-libre.xlsx]Definitions'!$A$4</v>
      </c>
      <c r="AE50" s="99" cm="1">
        <f t="array" ca="1" aca="1" ref="AE50">IF(OR($A50="",NOT($AC50)),"",SimpleLookup($A50,Questions!$A:$F))</f>
        <v>2</v>
      </c>
      <c r="AF50" s="99" t="str" cm="1">
        <f t="array" ca="1" aca="1" ref="AF50">_xlfn.LET(_xlpm._answer,$C50,_xlpm._infoTextFull,IF($AC50,CHAR(10)&amp;SimpleLookup($A50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Are the local network and the gateway considered as trustworthy?</v>
      </c>
      <c r="AG50" s="99" t="b" cm="1">
        <f t="array" ca="1" aca="1" ref="AG50">IF(OR($A50="",NOT($AC50)),FALSE,_xlfn.LET(_xlpm._secondAnswerRequiredOn,SimpleLookup($A50,Questions!$A:$I),_xlpm._firstAnwer,$C50,IFERROR(FIND(CHAR(10)&amp;_xlpm._firstAnwer&amp;":",CHAR(10)&amp;_xlpm._secondAnswerRequiredOn)&gt;0,FALSE)))</f>
        <v>1</v>
      </c>
      <c r="AH50" s="99" t="str" cm="1">
        <f t="array" ca="1" aca="1" ref="AH50">IF(OR($A50="",NOT($AC50)),"",_xlfn.LET(_xlpm._id,$A50,_xlpm._firstAnswer,$C50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'[QuBA-libre.xlsx]Definitions'!$A$4</v>
      </c>
      <c r="AI50" s="99" cm="1">
        <f t="array" ca="1" aca="1" ref="AI50">IF(OR($A50="",NOT($AC50)),"",_xlfn.LET(_xlpm._id,$A50,_xlpm._firstAnswer,$C50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v>
      </c>
      <c r="AJ50" s="99" t="str" cm="1">
        <f t="array" ca="1" aca="1" ref="AJ50">IF($AG50,_xlfn.LET(_xlpm._answer,$E50,_xlpm._infoTextFull,IF($AC50,CHAR(10)&amp;SimpleLookup($A50,Questions!$A:$L)&amp;CHAR(10),""),_xlpm._startSelectedByAnswerOne,IF(_xlpm._infoTextFull="",0,FIND("___"&amp;$C50&amp;"___",_xlpm._infoTextFull)+LEN("___"&amp;$C50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Who is responsible for the secure operation of the network?</v>
      </c>
      <c r="AK50" s="99" t="b" cm="1">
        <f t="array" ca="1" aca="1" ref="AK50">IF(OR($A50="",NOT($AC50)),FALSE,SimpleLookup($A50,Questions!$A:$Q))</f>
        <v>0</v>
      </c>
      <c r="AL50" s="99" t="str" cm="1">
        <f t="array" ca="1" aca="1" ref="AL50">IF(AND($A50=Questions!$A$41,IFERROR(SimpleLookup(Questions!$A$36,$A:$E)=Definitions!$O$5,FALSE),$C50=Definitions!$A$5),Questions!$A$36&amp;" "&amp;Questions!$B$36&amp;CHAR(10)&amp;CHAR(187)&amp;" "&amp;SimpleLookup(Questions!$A$36,$A:$C)&amp;CHAR(10)&amp;SimpleLookup(Questions!$A$36,$A:$D)&amp;CHAR(10)&amp;CHAR(187)&amp;" "&amp;Definitions!$O$5&amp;CHAR(10)&amp;CHAR(10)&amp;"is incosistent with"&amp;CHAR(10)&amp;CHAR(10)&amp;$A50&amp;" "&amp;SimpleLookup($A50,Questions!$A:$B)&amp;CHAR(10)&amp;CHAR(187)&amp;" "&amp;$C50,"")</f>
        <v/>
      </c>
      <c r="AM50" s="99" cm="1">
        <f t="array" ca="1" aca="1" ref="AM50">CreateID($AM$3,$AM:$AM,$AL50&lt;&gt;"")</f>
        <v>0</v>
      </c>
      <c r="AN50" s="99" t="str" cm="1">
        <f t="array" ca="1" aca="1" ref="AN50">IF(OR($C50="",OFFSET($C50,1,0)=""),"",IF(AND($A50=Questions!$A$59,OFFSET($A50,1,0)=Questions!$A$60,SimpleLookup(Questions!$A$49,$A:$C)=Definitions!$A$4),IF(MATCH($C50,Definitions!$AW:$AW,0)&gt;MATCH(OFFSET($C50,1,0),Definitions!AW:AW,0),$A50&amp;" "&amp;$K50&amp;": "&amp;$C50&amp;CHAR(10)&amp;"&lt;---&gt;"&amp;CHAR(10)&amp;OFFSET($A50,1,0)&amp;" "&amp;OFFSET($K50,1,0)&amp;": "&amp;OFFSET($C50,1,0),""),""))</f>
        <v/>
      </c>
      <c r="AO50" s="99" cm="1">
        <f t="array" ca="1" aca="1" ref="AO50">CreateID($AO$3,$AO:$AO,$AN50&lt;&gt;"")</f>
        <v>0</v>
      </c>
    </row>
    <row r="51" spans="1:41" ht="30">
      <c r="A51" s="96" t="s">
        <v>1059</v>
      </c>
      <c r="B51" s="4" t="str" cm="1">
        <f t="array" ca="1" aca="1" ref="B51">IF($A51="","",CreateIndentedString($K51,Definitions!$T$4,SimpleLookup($A51,Questions!$A:$C)))</f>
        <v xml:space="preserve">   Does  the  product  have  a  logical  connection  to  a
   wireless  network  over  a  gateway?</v>
      </c>
      <c r="C51" s="4" t="s">
        <v>10</v>
      </c>
      <c r="D51" s="8" t="str">
        <f t="shared" ca="1" si="12"/>
        <v>Are the wireless network and the gateway considered as trustworthy?</v>
      </c>
      <c r="E51" s="4" t="s">
        <v>10</v>
      </c>
      <c r="F51" s="8" t="str">
        <f t="shared" ca="1" si="13"/>
        <v>Who is responsible for the secure operation of the network?</v>
      </c>
      <c r="G51" s="4" t="s">
        <v>372</v>
      </c>
      <c r="I51" s="15" t="str">
        <f t="shared" ca="1" si="6"/>
        <v>QA13[Yes|Yes]</v>
      </c>
      <c r="J51" s="15" t="str">
        <f t="shared" ca="1" si="7"/>
        <v>QA13[Yes|*]</v>
      </c>
      <c r="K51" s="15" t="str" cm="1">
        <f t="array" ca="1" aca="1" ref="K51">SimpleLookup($A51,Questions!$A:$B)</f>
        <v>Does the product have a logical connection to a wireless network over a gateway?</v>
      </c>
      <c r="L51" s="15" cm="1">
        <f t="array" ca="1" aca="1" ref="L51">CreateID($L$3,$L:$L,AND($A51&lt;&gt;"",$AC51))</f>
        <v>31</v>
      </c>
      <c r="M51" s="99" cm="1">
        <f t="array" ca="1" aca="1" ref="M51">CreateTaskID($M$3,$M:$M,Tasks!$B$17,$G51)</f>
        <v>0</v>
      </c>
      <c r="N51" s="15" t="str">
        <f t="shared" ca="1" si="8"/>
        <v/>
      </c>
      <c r="O51" s="15" cm="1">
        <f t="array" ca="1" aca="1" ref="O51">CreateID($O$3,$O:$O,$N51&lt;&gt;"")</f>
        <v>0</v>
      </c>
      <c r="P51" s="99" t="str">
        <f t="shared" ca="1" si="9"/>
        <v/>
      </c>
      <c r="Q51" s="99" cm="1">
        <f t="array" ca="1" aca="1" ref="Q51">CreateID($Q$3,$Q:$Q,$P51&lt;&gt;"")</f>
        <v>0</v>
      </c>
      <c r="R51" s="99" t="str">
        <f t="shared" ca="1" si="10"/>
        <v/>
      </c>
      <c r="S51" s="99" cm="1">
        <f t="array" ca="1" aca="1" ref="S51">CreateID($S$3,$S:$S,$R51&lt;&gt;"")</f>
        <v>0</v>
      </c>
      <c r="T51" s="99" t="str">
        <f t="shared" ca="1" si="11"/>
        <v/>
      </c>
      <c r="U51" s="99" cm="1">
        <f t="array" ca="1" aca="1" ref="U51">CreateID($U$3,$U:$U,$T51&lt;&gt;"")</f>
        <v>0</v>
      </c>
      <c r="V51" s="99" cm="1">
        <f t="array" ca="1" aca="1" ref="V51">CreateID($V$3,$V:$V,IFERROR(FIND(Definitions!$AR$4,$G51)&gt;0,FALSE))</f>
        <v>0</v>
      </c>
      <c r="W51" s="99">
        <f>_xlfn.LET(_xlpm._comment,$G51,_xlpm._keyWord,Definitions!$AR$4,_xlpm._diffLen,LEN(_xlpm._comment)-LEN(SUBSTITUTE(_xlpm._comment,_xlpm._keyWord,"")),_xlpm._diffLen/LEN(_xlpm._keyWord))</f>
        <v>0</v>
      </c>
      <c r="X51" s="99" cm="1">
        <f t="array" ca="1" aca="1" ref="X51">CreateID($X$3,$X:$X,IFERROR(FIND(Definitions!$AR$5,$G51)&gt;0,FALSE))</f>
        <v>0</v>
      </c>
      <c r="Y51" s="99">
        <f>_xlfn.LET(_xlpm._comment,$G51,_xlpm._keyWord,Definitions!$AR$5,_xlpm._diffLen,LEN(_xlpm._comment)-LEN(SUBSTITUTE(_xlpm._comment,_xlpm._keyWord,"")),_xlpm._diffLen/LEN(_xlpm._keyWord))</f>
        <v>0</v>
      </c>
      <c r="Z51" s="99" t="b">
        <f ca="1">OR(IFERROR(_xlfn.XMATCH("*,"&amp;$A51&amp;",*",Assumptions!$AL:$AL,2)&gt;0,FALSE),IFERROR(_xlfn.XMATCH("*,"&amp;$A51&amp;",*",Countermeasures!$AO:$AO,2)&gt;0,FALSE))</f>
        <v>1</v>
      </c>
      <c r="AA51" s="99" t="str" cm="1">
        <f t="array" ca="1" aca="1" ref="AA51">CreateSearchString($I51)</f>
        <v>,QA13[Yes|Yes],</v>
      </c>
      <c r="AB51" s="99" t="str">
        <f>IF($E51="","",IFERROR(VLOOKUP($E51,Definitions!$H:$J,COLUMNS(Definitions!$H:$J),FALSE),""))</f>
        <v/>
      </c>
      <c r="AC51" s="99" t="b" cm="1">
        <f t="array" ca="1" aca="1" ref="AC51">IF($A51="",FALSE,SimpleLookup($A51,Questions!$A:$D)="x")</f>
        <v>1</v>
      </c>
      <c r="AD51" s="99" t="str" cm="1">
        <f t="array" ca="1" aca="1" ref="AD51">IF(OR($A51="",NOT($AC51)),"",SimpleLookup($A51,Questions!$A:$E))</f>
        <v>'[QuBA-libre.xlsx]Definitions'!$A$4</v>
      </c>
      <c r="AE51" s="99" cm="1">
        <f t="array" ca="1" aca="1" ref="AE51">IF(OR($A51="",NOT($AC51)),"",SimpleLookup($A51,Questions!$A:$F))</f>
        <v>2</v>
      </c>
      <c r="AF51" s="99" t="str" cm="1">
        <f t="array" ca="1" aca="1" ref="AF51">_xlfn.LET(_xlpm._answer,$C51,_xlpm._infoTextFull,IF($AC51,CHAR(10)&amp;SimpleLookup($A51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Are the wireless network and the gateway considered as trustworthy?</v>
      </c>
      <c r="AG51" s="99" t="b" cm="1">
        <f t="array" ca="1" aca="1" ref="AG51">IF(OR($A51="",NOT($AC51)),FALSE,_xlfn.LET(_xlpm._secondAnswerRequiredOn,SimpleLookup($A51,Questions!$A:$I),_xlpm._firstAnwer,$C51,IFERROR(FIND(CHAR(10)&amp;_xlpm._firstAnwer&amp;":",CHAR(10)&amp;_xlpm._secondAnswerRequiredOn)&gt;0,FALSE)))</f>
        <v>1</v>
      </c>
      <c r="AH51" s="99" t="str" cm="1">
        <f t="array" ca="1" aca="1" ref="AH51">IF(OR($A51="",NOT($AC51)),"",_xlfn.LET(_xlpm._id,$A51,_xlpm._firstAnswer,$C51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'[QuBA-libre.xlsx]Definitions'!$A$4</v>
      </c>
      <c r="AI51" s="99" cm="1">
        <f t="array" ca="1" aca="1" ref="AI51">IF(OR($A51="",NOT($AC51)),"",_xlfn.LET(_xlpm._id,$A51,_xlpm._firstAnswer,$C51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v>
      </c>
      <c r="AJ51" s="99" t="str" cm="1">
        <f t="array" ca="1" aca="1" ref="AJ51">IF($AG51,_xlfn.LET(_xlpm._answer,$E51,_xlpm._infoTextFull,IF($AC51,CHAR(10)&amp;SimpleLookup($A51,Questions!$A:$L)&amp;CHAR(10),""),_xlpm._startSelectedByAnswerOne,IF(_xlpm._infoTextFull="",0,FIND("___"&amp;$C51&amp;"___",_xlpm._infoTextFull)+LEN("___"&amp;$C51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Who is responsible for the secure operation of the network?</v>
      </c>
      <c r="AK51" s="99" t="b" cm="1">
        <f t="array" ca="1" aca="1" ref="AK51">IF(OR($A51="",NOT($AC51)),FALSE,SimpleLookup($A51,Questions!$A:$Q))</f>
        <v>0</v>
      </c>
      <c r="AL51" s="99" t="str" cm="1">
        <f t="array" ca="1" aca="1" ref="AL51">IF(AND($A51=Questions!$A$41,IFERROR(SimpleLookup(Questions!$A$36,$A:$E)=Definitions!$O$5,FALSE),$C51=Definitions!$A$5),Questions!$A$36&amp;" "&amp;Questions!$B$36&amp;CHAR(10)&amp;CHAR(187)&amp;" "&amp;SimpleLookup(Questions!$A$36,$A:$C)&amp;CHAR(10)&amp;SimpleLookup(Questions!$A$36,$A:$D)&amp;CHAR(10)&amp;CHAR(187)&amp;" "&amp;Definitions!$O$5&amp;CHAR(10)&amp;CHAR(10)&amp;"is incosistent with"&amp;CHAR(10)&amp;CHAR(10)&amp;$A51&amp;" "&amp;SimpleLookup($A51,Questions!$A:$B)&amp;CHAR(10)&amp;CHAR(187)&amp;" "&amp;$C51,"")</f>
        <v/>
      </c>
      <c r="AM51" s="99" cm="1">
        <f t="array" ca="1" aca="1" ref="AM51">CreateID($AM$3,$AM:$AM,$AL51&lt;&gt;"")</f>
        <v>0</v>
      </c>
      <c r="AN51" s="99" t="str" cm="1">
        <f t="array" ca="1" aca="1" ref="AN51">IF(OR($C51="",OFFSET($C51,1,0)=""),"",IF(AND($A51=Questions!$A$59,OFFSET($A51,1,0)=Questions!$A$60,SimpleLookup(Questions!$A$49,$A:$C)=Definitions!$A$4),IF(MATCH($C51,Definitions!$AW:$AW,0)&gt;MATCH(OFFSET($C51,1,0),Definitions!AW:AW,0),$A51&amp;" "&amp;$K51&amp;": "&amp;$C51&amp;CHAR(10)&amp;"&lt;---&gt;"&amp;CHAR(10)&amp;OFFSET($A51,1,0)&amp;" "&amp;OFFSET($K51,1,0)&amp;": "&amp;OFFSET($C51,1,0),""),""))</f>
        <v/>
      </c>
      <c r="AO51" s="99" cm="1">
        <f t="array" ca="1" aca="1" ref="AO51">CreateID($AO$3,$AO:$AO,$AN51&lt;&gt;"")</f>
        <v>0</v>
      </c>
    </row>
    <row r="52" spans="1:41" ht="15">
      <c r="A52" s="96" t="s">
        <v>1177</v>
      </c>
      <c r="B52" s="4" t="str" cm="1">
        <f t="array" ca="1" aca="1" ref="B52">IF($A52="","",CreateIndentedString($K52,Definitions!$T$4,SimpleLookup($A52,Questions!$A:$C)))</f>
        <v>Hardware  interfaces  and  accessibility</v>
      </c>
      <c r="I52" s="15" t="str">
        <f t="shared" ca="1" si="6"/>
        <v/>
      </c>
      <c r="J52" s="15" t="str">
        <f t="shared" ca="1" si="7"/>
        <v/>
      </c>
      <c r="K52" s="15" t="str" cm="1">
        <f t="array" ca="1" aca="1" ref="K52">SimpleLookup($A52,Questions!$A:$B)</f>
        <v>Hardware interfaces and accessibility</v>
      </c>
      <c r="L52" s="15" cm="1">
        <f t="array" ca="1" aca="1" ref="L52">CreateID($L$3,$L:$L,AND($A52&lt;&gt;"",$AC52))</f>
        <v>31</v>
      </c>
      <c r="M52" s="99" cm="1">
        <f t="array" ca="1" aca="1" ref="M52">CreateTaskID($M$3,$M:$M,Tasks!$B$17,$G52)</f>
        <v>0</v>
      </c>
      <c r="N52" s="15" t="str">
        <f t="shared" ca="1" si="8"/>
        <v/>
      </c>
      <c r="O52" s="15" cm="1">
        <f t="array" ca="1" aca="1" ref="O52">CreateID($O$3,$O:$O,$N52&lt;&gt;"")</f>
        <v>0</v>
      </c>
      <c r="P52" s="99" t="str">
        <f t="shared" si="9"/>
        <v/>
      </c>
      <c r="Q52" s="99" cm="1">
        <f t="array" ca="1" aca="1" ref="Q52">CreateID($Q$3,$Q:$Q,$P52&lt;&gt;"")</f>
        <v>0</v>
      </c>
      <c r="R52" s="99" t="str">
        <f t="shared" si="10"/>
        <v/>
      </c>
      <c r="S52" s="99" cm="1">
        <f t="array" ca="1" aca="1" ref="S52">CreateID($S$3,$S:$S,$R52&lt;&gt;"")</f>
        <v>0</v>
      </c>
      <c r="T52" s="99" t="str">
        <f t="shared" ca="1" si="11"/>
        <v/>
      </c>
      <c r="U52" s="99" cm="1">
        <f t="array" ca="1" aca="1" ref="U52">CreateID($U$3,$U:$U,$T52&lt;&gt;"")</f>
        <v>0</v>
      </c>
      <c r="V52" s="99" cm="1">
        <f t="array" ca="1" aca="1" ref="V52">CreateID($V$3,$V:$V,IFERROR(FIND(Definitions!$AR$4,$G52)&gt;0,FALSE))</f>
        <v>0</v>
      </c>
      <c r="W52" s="99">
        <f>_xlfn.LET(_xlpm._comment,$G52,_xlpm._keyWord,Definitions!$AR$4,_xlpm._diffLen,LEN(_xlpm._comment)-LEN(SUBSTITUTE(_xlpm._comment,_xlpm._keyWord,"")),_xlpm._diffLen/LEN(_xlpm._keyWord))</f>
        <v>0</v>
      </c>
      <c r="X52" s="99" cm="1">
        <f t="array" ca="1" aca="1" ref="X52">CreateID($X$3,$X:$X,IFERROR(FIND(Definitions!$AR$5,$G52)&gt;0,FALSE))</f>
        <v>0</v>
      </c>
      <c r="Y52" s="99">
        <f>_xlfn.LET(_xlpm._comment,$G52,_xlpm._keyWord,Definitions!$AR$5,_xlpm._diffLen,LEN(_xlpm._comment)-LEN(SUBSTITUTE(_xlpm._comment,_xlpm._keyWord,"")),_xlpm._diffLen/LEN(_xlpm._keyWord))</f>
        <v>0</v>
      </c>
      <c r="Z52" s="99" t="b">
        <f ca="1">OR(IFERROR(_xlfn.XMATCH("*,"&amp;$A52&amp;",*",Assumptions!$AL:$AL,2)&gt;0,FALSE),IFERROR(_xlfn.XMATCH("*,"&amp;$A52&amp;",*",Countermeasures!$AO:$AO,2)&gt;0,FALSE))</f>
        <v>0</v>
      </c>
      <c r="AA52" s="99" t="str" cm="1">
        <f t="array" ca="1" aca="1" ref="AA52">CreateSearchString($I52)</f>
        <v/>
      </c>
      <c r="AB52" s="99" t="str">
        <f>IF($E52="","",IFERROR(VLOOKUP($E52,Definitions!$H:$J,COLUMNS(Definitions!$H:$J),FALSE),""))</f>
        <v/>
      </c>
      <c r="AC52" s="99" t="b" cm="1">
        <f t="array" ca="1" aca="1" ref="AC52">IF($A52="",FALSE,SimpleLookup($A52,Questions!$A:$D)="x")</f>
        <v>0</v>
      </c>
      <c r="AD52" s="99" t="str" cm="1">
        <f t="array" ca="1" aca="1" ref="AD52">IF(OR($A52="",NOT($AC52)),"",SimpleLookup($A52,Questions!$A:$E))</f>
        <v/>
      </c>
      <c r="AE52" s="99" t="str" cm="1">
        <f t="array" ca="1" aca="1" ref="AE52">IF(OR($A52="",NOT($AC52)),"",SimpleLookup($A52,Questions!$A:$F))</f>
        <v/>
      </c>
      <c r="AF52" s="99" t="str" cm="1">
        <f t="array" ca="1" aca="1" ref="AF52">_xlfn.LET(_xlpm._answer,$C52,_xlpm._infoTextFull,IF($AC52,CHAR(10)&amp;SimpleLookup($A52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2" s="99" t="b" cm="1">
        <f t="array" ca="1" aca="1" ref="AG52">IF(OR($A52="",NOT($AC52)),FALSE,_xlfn.LET(_xlpm._secondAnswerRequiredOn,SimpleLookup($A52,Questions!$A:$I),_xlpm._firstAnwer,$C52,IFERROR(FIND(CHAR(10)&amp;_xlpm._firstAnwer&amp;":",CHAR(10)&amp;_xlpm._secondAnswerRequiredOn)&gt;0,FALSE)))</f>
        <v>0</v>
      </c>
      <c r="AH52" s="99" t="str" cm="1">
        <f t="array" ca="1" aca="1" ref="AH52">IF(OR($A52="",NOT($AC52)),"",_xlfn.LET(_xlpm._id,$A52,_xlpm._firstAnswer,$C52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2" s="99" t="str" cm="1">
        <f t="array" ca="1" aca="1" ref="AI52">IF(OR($A52="",NOT($AC52)),"",_xlfn.LET(_xlpm._id,$A52,_xlpm._firstAnswer,$C52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52" s="99" t="str" cm="1">
        <f t="array" ca="1" aca="1" ref="AJ52">IF($AG52,_xlfn.LET(_xlpm._answer,$E52,_xlpm._infoTextFull,IF($AC52,CHAR(10)&amp;SimpleLookup($A52,Questions!$A:$L)&amp;CHAR(10),""),_xlpm._startSelectedByAnswerOne,IF(_xlpm._infoTextFull="",0,FIND("___"&amp;$C52&amp;"___",_xlpm._infoTextFull)+LEN("___"&amp;$C52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52" s="99" t="b" cm="1">
        <f t="array" ca="1" aca="1" ref="AK52">IF(OR($A52="",NOT($AC52)),FALSE,SimpleLookup($A52,Questions!$A:$Q))</f>
        <v>0</v>
      </c>
      <c r="AL52" s="99" t="str" cm="1">
        <f t="array" ca="1" aca="1" ref="AL52">IF(AND($A52=Questions!$A$41,IFERROR(SimpleLookup(Questions!$A$36,$A:$E)=Definitions!$O$5,FALSE),$C52=Definitions!$A$5),Questions!$A$36&amp;" "&amp;Questions!$B$36&amp;CHAR(10)&amp;CHAR(187)&amp;" "&amp;SimpleLookup(Questions!$A$36,$A:$C)&amp;CHAR(10)&amp;SimpleLookup(Questions!$A$36,$A:$D)&amp;CHAR(10)&amp;CHAR(187)&amp;" "&amp;Definitions!$O$5&amp;CHAR(10)&amp;CHAR(10)&amp;"is incosistent with"&amp;CHAR(10)&amp;CHAR(10)&amp;$A52&amp;" "&amp;SimpleLookup($A52,Questions!$A:$B)&amp;CHAR(10)&amp;CHAR(187)&amp;" "&amp;$C52,"")</f>
        <v/>
      </c>
      <c r="AM52" s="99" cm="1">
        <f t="array" ca="1" aca="1" ref="AM52">CreateID($AM$3,$AM:$AM,$AL52&lt;&gt;"")</f>
        <v>0</v>
      </c>
      <c r="AN52" s="99" t="str" cm="1">
        <f t="array" ca="1" aca="1" ref="AN52">IF(OR($C52="",OFFSET($C52,1,0)=""),"",IF(AND($A52=Questions!$A$59,OFFSET($A52,1,0)=Questions!$A$60,SimpleLookup(Questions!$A$49,$A:$C)=Definitions!$A$4),IF(MATCH($C52,Definitions!$AW:$AW,0)&gt;MATCH(OFFSET($C52,1,0),Definitions!AW:AW,0),$A52&amp;" "&amp;$K52&amp;": "&amp;$C52&amp;CHAR(10)&amp;"&lt;---&gt;"&amp;CHAR(10)&amp;OFFSET($A52,1,0)&amp;" "&amp;OFFSET($K52,1,0)&amp;": "&amp;OFFSET($C52,1,0),""),""))</f>
        <v/>
      </c>
      <c r="AO52" s="99" cm="1">
        <f t="array" ca="1" aca="1" ref="AO52">CreateID($AO$3,$AO:$AO,$AN52&lt;&gt;"")</f>
        <v>0</v>
      </c>
    </row>
    <row r="53" spans="1:41" ht="30">
      <c r="A53" s="96" t="s">
        <v>1063</v>
      </c>
      <c r="B53" s="4" t="str" cm="1">
        <f t="array" ca="1" aca="1" ref="B53">IF($A53="","",CreateIndentedString($K53,Definitions!$T$4,SimpleLookup($A53,Questions!$A:$C)))</f>
        <v xml:space="preserve">   Is  the  product  typically  installed  in  a  physically
   accessible  position?</v>
      </c>
      <c r="C53" s="4" t="s">
        <v>10</v>
      </c>
      <c r="D53" s="8" t="str">
        <f ca="1" t="shared" si="14" ref="D53:D60">$AF53</f>
        <v/>
      </c>
      <c r="F53" s="8" t="str">
        <f ca="1" t="shared" si="15" ref="F53:F60">$AJ53</f>
        <v/>
      </c>
      <c r="I53" s="15" t="str">
        <f t="shared" ca="1" si="6"/>
        <v>QA14[Yes]</v>
      </c>
      <c r="J53" s="15" t="str">
        <f t="shared" ca="1" si="7"/>
        <v>QA14[Yes]</v>
      </c>
      <c r="K53" s="15" t="str" cm="1">
        <f t="array" ca="1" aca="1" ref="K53">SimpleLookup($A53,Questions!$A:$B)</f>
        <v>Is the product typically installed in a physically accessible position?</v>
      </c>
      <c r="L53" s="15" cm="1">
        <f t="array" ca="1" aca="1" ref="L53">CreateID($L$3,$L:$L,AND($A53&lt;&gt;"",$AC53))</f>
        <v>32</v>
      </c>
      <c r="M53" s="99" cm="1">
        <f t="array" ca="1" aca="1" ref="M53">CreateTaskID($M$3,$M:$M,Tasks!$B$17,$G53)</f>
        <v>0</v>
      </c>
      <c r="N53" s="15" t="str">
        <f t="shared" ca="1" si="8"/>
        <v/>
      </c>
      <c r="O53" s="15" cm="1">
        <f t="array" ca="1" aca="1" ref="O53">CreateID($O$3,$O:$O,$N53&lt;&gt;"")</f>
        <v>0</v>
      </c>
      <c r="P53" s="99" t="str">
        <f t="shared" ca="1" si="9"/>
        <v/>
      </c>
      <c r="Q53" s="99" cm="1">
        <f t="array" ca="1" aca="1" ref="Q53">CreateID($Q$3,$Q:$Q,$P53&lt;&gt;"")</f>
        <v>0</v>
      </c>
      <c r="R53" s="99" t="str">
        <f t="shared" ca="1" si="10"/>
        <v/>
      </c>
      <c r="S53" s="99" cm="1">
        <f t="array" ca="1" aca="1" ref="S53">CreateID($S$3,$S:$S,$R53&lt;&gt;"")</f>
        <v>0</v>
      </c>
      <c r="T53" s="99" t="str">
        <f t="shared" ca="1" si="11"/>
        <v/>
      </c>
      <c r="U53" s="99" cm="1">
        <f t="array" ca="1" aca="1" ref="U53">CreateID($U$3,$U:$U,$T53&lt;&gt;"")</f>
        <v>0</v>
      </c>
      <c r="V53" s="99" cm="1">
        <f t="array" ca="1" aca="1" ref="V53">CreateID($V$3,$V:$V,IFERROR(FIND(Definitions!$AR$4,$G53)&gt;0,FALSE))</f>
        <v>0</v>
      </c>
      <c r="W53" s="99">
        <f>_xlfn.LET(_xlpm._comment,$G53,_xlpm._keyWord,Definitions!$AR$4,_xlpm._diffLen,LEN(_xlpm._comment)-LEN(SUBSTITUTE(_xlpm._comment,_xlpm._keyWord,"")),_xlpm._diffLen/LEN(_xlpm._keyWord))</f>
        <v>0</v>
      </c>
      <c r="X53" s="99" cm="1">
        <f t="array" ca="1" aca="1" ref="X53">CreateID($X$3,$X:$X,IFERROR(FIND(Definitions!$AR$5,$G53)&gt;0,FALSE))</f>
        <v>0</v>
      </c>
      <c r="Y53" s="99">
        <f>_xlfn.LET(_xlpm._comment,$G53,_xlpm._keyWord,Definitions!$AR$5,_xlpm._diffLen,LEN(_xlpm._comment)-LEN(SUBSTITUTE(_xlpm._comment,_xlpm._keyWord,"")),_xlpm._diffLen/LEN(_xlpm._keyWord))</f>
        <v>0</v>
      </c>
      <c r="Z53" s="99" t="b">
        <f ca="1">OR(IFERROR(_xlfn.XMATCH("*,"&amp;$A53&amp;",*",Assumptions!$AL:$AL,2)&gt;0,FALSE),IFERROR(_xlfn.XMATCH("*,"&amp;$A53&amp;",*",Countermeasures!$AO:$AO,2)&gt;0,FALSE))</f>
        <v>0</v>
      </c>
      <c r="AA53" s="99" t="str" cm="1">
        <f t="array" ca="1" aca="1" ref="AA53">CreateSearchString($I53)</f>
        <v>,QA14[Yes],</v>
      </c>
      <c r="AB53" s="99" t="str">
        <f>IF($E53="","",IFERROR(VLOOKUP($E53,Definitions!$H:$J,COLUMNS(Definitions!$H:$J),FALSE),""))</f>
        <v/>
      </c>
      <c r="AC53" s="99" t="b" cm="1">
        <f t="array" ca="1" aca="1" ref="AC53">IF($A53="",FALSE,SimpleLookup($A53,Questions!$A:$D)="x")</f>
        <v>1</v>
      </c>
      <c r="AD53" s="99" t="str" cm="1">
        <f t="array" ca="1" aca="1" ref="AD53">IF(OR($A53="",NOT($AC53)),"",SimpleLookup($A53,Questions!$A:$E))</f>
        <v>'[QuBA-libre.xlsx]Definitions'!$A$4</v>
      </c>
      <c r="AE53" s="99" cm="1">
        <f t="array" ca="1" aca="1" ref="AE53">IF(OR($A53="",NOT($AC53)),"",SimpleLookup($A53,Questions!$A:$F))</f>
        <v>2</v>
      </c>
      <c r="AF53" s="99" t="str" cm="1">
        <f t="array" ca="1" aca="1" ref="AF53">_xlfn.LET(_xlpm._answer,$C53,_xlpm._infoTextFull,IF($AC53,CHAR(10)&amp;SimpleLookup($A53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3" s="99" t="b" cm="1">
        <f t="array" ca="1" aca="1" ref="AG53">IF(OR($A53="",NOT($AC53)),FALSE,_xlfn.LET(_xlpm._secondAnswerRequiredOn,SimpleLookup($A53,Questions!$A:$I),_xlpm._firstAnwer,$C53,IFERROR(FIND(CHAR(10)&amp;_xlpm._firstAnwer&amp;":",CHAR(10)&amp;_xlpm._secondAnswerRequiredOn)&gt;0,FALSE)))</f>
        <v>0</v>
      </c>
      <c r="AH53" s="99" t="str" cm="1">
        <f t="array" ca="1" aca="1" ref="AH53">IF(OR($A53="",NOT($AC53)),"",_xlfn.LET(_xlpm._id,$A53,_xlpm._firstAnswer,$C53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3" s="99" t="str" cm="1">
        <f t="array" ca="1" aca="1" ref="AI53">IF(OR($A53="",NOT($AC53)),"",_xlfn.LET(_xlpm._id,$A53,_xlpm._firstAnswer,$C53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53" s="99" t="str" cm="1">
        <f t="array" ca="1" aca="1" ref="AJ53">IF($AG53,_xlfn.LET(_xlpm._answer,$E53,_xlpm._infoTextFull,IF($AC53,CHAR(10)&amp;SimpleLookup($A53,Questions!$A:$L)&amp;CHAR(10),""),_xlpm._startSelectedByAnswerOne,IF(_xlpm._infoTextFull="",0,FIND("___"&amp;$C53&amp;"___",_xlpm._infoTextFull)+LEN("___"&amp;$C53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53" s="99" t="b" cm="1">
        <f t="array" ca="1" aca="1" ref="AK53">IF(OR($A53="",NOT($AC53)),FALSE,SimpleLookup($A53,Questions!$A:$Q))</f>
        <v>0</v>
      </c>
      <c r="AL53" s="99" t="str" cm="1">
        <f t="array" ca="1" aca="1" ref="AL53">IF(AND($A53=Questions!$A$41,IFERROR(SimpleLookup(Questions!$A$36,$A:$E)=Definitions!$O$5,FALSE),$C53=Definitions!$A$5),Questions!$A$36&amp;" "&amp;Questions!$B$36&amp;CHAR(10)&amp;CHAR(187)&amp;" "&amp;SimpleLookup(Questions!$A$36,$A:$C)&amp;CHAR(10)&amp;SimpleLookup(Questions!$A$36,$A:$D)&amp;CHAR(10)&amp;CHAR(187)&amp;" "&amp;Definitions!$O$5&amp;CHAR(10)&amp;CHAR(10)&amp;"is incosistent with"&amp;CHAR(10)&amp;CHAR(10)&amp;$A53&amp;" "&amp;SimpleLookup($A53,Questions!$A:$B)&amp;CHAR(10)&amp;CHAR(187)&amp;" "&amp;$C53,"")</f>
        <v/>
      </c>
      <c r="AM53" s="99" cm="1">
        <f t="array" ca="1" aca="1" ref="AM53">CreateID($AM$3,$AM:$AM,$AL53&lt;&gt;"")</f>
        <v>0</v>
      </c>
      <c r="AN53" s="99" t="str" cm="1">
        <f t="array" ca="1" aca="1" ref="AN53">IF(OR($C53="",OFFSET($C53,1,0)=""),"",IF(AND($A53=Questions!$A$59,OFFSET($A53,1,0)=Questions!$A$60,SimpleLookup(Questions!$A$49,$A:$C)=Definitions!$A$4),IF(MATCH($C53,Definitions!$AW:$AW,0)&gt;MATCH(OFFSET($C53,1,0),Definitions!AW:AW,0),$A53&amp;" "&amp;$K53&amp;": "&amp;$C53&amp;CHAR(10)&amp;"&lt;---&gt;"&amp;CHAR(10)&amp;OFFSET($A53,1,0)&amp;" "&amp;OFFSET($K53,1,0)&amp;": "&amp;OFFSET($C53,1,0),""),""))</f>
        <v/>
      </c>
      <c r="AO53" s="99" cm="1">
        <f t="array" ca="1" aca="1" ref="AO53">CreateID($AO$3,$AO:$AO,$AN53&lt;&gt;"")</f>
        <v>0</v>
      </c>
    </row>
    <row r="54" spans="1:41" ht="30">
      <c r="A54" s="96" t="s">
        <v>1065</v>
      </c>
      <c r="B54" s="4" t="str" cm="1">
        <f t="array" ca="1" aca="1" ref="B54">IF($A54="","",CreateIndentedString($K54,Definitions!$T$4,SimpleLookup($A54,Questions!$A:$C)))</f>
        <v xml:space="preserve">   Is  the  product  typically  installed  in  an
   operational  environment  with  public  access?</v>
      </c>
      <c r="C54" s="4" t="s">
        <v>11</v>
      </c>
      <c r="D54" s="8" t="str">
        <f t="shared" ca="1" si="14"/>
        <v/>
      </c>
      <c r="F54" s="8" t="str">
        <f t="shared" ca="1" si="15"/>
        <v>Please name the parties with access:</v>
      </c>
      <c r="I54" s="15" t="str">
        <f t="shared" ca="1" si="6"/>
        <v>QA15[No]</v>
      </c>
      <c r="J54" s="15" t="str">
        <f t="shared" ca="1" si="7"/>
        <v>QA15[No]</v>
      </c>
      <c r="K54" s="15" t="str" cm="1">
        <f t="array" ca="1" aca="1" ref="K54">SimpleLookup($A54,Questions!$A:$B)</f>
        <v>Is the product typically installed in an operational environment with public access?</v>
      </c>
      <c r="L54" s="15" cm="1">
        <f t="array" ca="1" aca="1" ref="L54">CreateID($L$3,$L:$L,AND($A54&lt;&gt;"",$AC54))</f>
        <v>33</v>
      </c>
      <c r="M54" s="99" cm="1">
        <f t="array" ca="1" aca="1" ref="M54">CreateTaskID($M$3,$M:$M,Tasks!$B$17,$G54)</f>
        <v>0</v>
      </c>
      <c r="N54" s="15" t="str">
        <f t="shared" ca="1" si="8"/>
        <v/>
      </c>
      <c r="O54" s="15" cm="1">
        <f t="array" ca="1" aca="1" ref="O54">CreateID($O$3,$O:$O,$N54&lt;&gt;"")</f>
        <v>0</v>
      </c>
      <c r="P54" s="99" t="str">
        <f t="shared" ca="1" si="9"/>
        <v/>
      </c>
      <c r="Q54" s="99" cm="1">
        <f t="array" ca="1" aca="1" ref="Q54">CreateID($Q$3,$Q:$Q,$P54&lt;&gt;"")</f>
        <v>0</v>
      </c>
      <c r="R54" s="99" t="str">
        <f t="shared" ca="1" si="10"/>
        <v>QA15 Is the product typically installed in an operational environment with public access?</v>
      </c>
      <c r="S54" s="99" cm="1">
        <f t="array" ca="1" aca="1" ref="S54">CreateID($S$3,$S:$S,$R54&lt;&gt;"")</f>
        <v>1</v>
      </c>
      <c r="T54" s="99" t="str">
        <f t="shared" ca="1" si="11"/>
        <v/>
      </c>
      <c r="U54" s="99" cm="1">
        <f t="array" ca="1" aca="1" ref="U54">CreateID($U$3,$U:$U,$T54&lt;&gt;"")</f>
        <v>0</v>
      </c>
      <c r="V54" s="99" cm="1">
        <f t="array" ca="1" aca="1" ref="V54">CreateID($V$3,$V:$V,IFERROR(FIND(Definitions!$AR$4,$G54)&gt;0,FALSE))</f>
        <v>0</v>
      </c>
      <c r="W54" s="99">
        <f>_xlfn.LET(_xlpm._comment,$G54,_xlpm._keyWord,Definitions!$AR$4,_xlpm._diffLen,LEN(_xlpm._comment)-LEN(SUBSTITUTE(_xlpm._comment,_xlpm._keyWord,"")),_xlpm._diffLen/LEN(_xlpm._keyWord))</f>
        <v>0</v>
      </c>
      <c r="X54" s="99" cm="1">
        <f t="array" ca="1" aca="1" ref="X54">CreateID($X$3,$X:$X,IFERROR(FIND(Definitions!$AR$5,$G54)&gt;0,FALSE))</f>
        <v>0</v>
      </c>
      <c r="Y54" s="99">
        <f>_xlfn.LET(_xlpm._comment,$G54,_xlpm._keyWord,Definitions!$AR$5,_xlpm._diffLen,LEN(_xlpm._comment)-LEN(SUBSTITUTE(_xlpm._comment,_xlpm._keyWord,"")),_xlpm._diffLen/LEN(_xlpm._keyWord))</f>
        <v>0</v>
      </c>
      <c r="Z54" s="99" t="b">
        <f ca="1">OR(IFERROR(_xlfn.XMATCH("*,"&amp;$A54&amp;",*",Assumptions!$AL:$AL,2)&gt;0,FALSE),IFERROR(_xlfn.XMATCH("*,"&amp;$A54&amp;",*",Countermeasures!$AO:$AO,2)&gt;0,FALSE))</f>
        <v>1</v>
      </c>
      <c r="AA54" s="99" t="str" cm="1">
        <f t="array" ca="1" aca="1" ref="AA54">CreateSearchString($I54)</f>
        <v>,QA15[No],</v>
      </c>
      <c r="AB54" s="99" t="str">
        <f>IF($E54="","",IFERROR(VLOOKUP($E54,Definitions!$H:$J,COLUMNS(Definitions!$H:$J),FALSE),""))</f>
        <v/>
      </c>
      <c r="AC54" s="99" t="b" cm="1">
        <f t="array" ca="1" aca="1" ref="AC54">IF($A54="",FALSE,SimpleLookup($A54,Questions!$A:$D)="x")</f>
        <v>1</v>
      </c>
      <c r="AD54" s="99" t="str" cm="1">
        <f t="array" ca="1" aca="1" ref="AD54">IF(OR($A54="",NOT($AC54)),"",SimpleLookup($A54,Questions!$A:$E))</f>
        <v>'[QuBA-libre.xlsx]Definitions'!$A$4</v>
      </c>
      <c r="AE54" s="99" cm="1">
        <f t="array" ca="1" aca="1" ref="AE54">IF(OR($A54="",NOT($AC54)),"",SimpleLookup($A54,Questions!$A:$F))</f>
        <v>2</v>
      </c>
      <c r="AF54" s="99" t="str" cm="1">
        <f t="array" ca="1" aca="1" ref="AF54">_xlfn.LET(_xlpm._answer,$C54,_xlpm._infoTextFull,IF($AC54,CHAR(10)&amp;SimpleLookup($A54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4" s="99" t="b" cm="1">
        <f t="array" ca="1" aca="1" ref="AG54">IF(OR($A54="",NOT($AC54)),FALSE,_xlfn.LET(_xlpm._secondAnswerRequiredOn,SimpleLookup($A54,Questions!$A:$I),_xlpm._firstAnwer,$C54,IFERROR(FIND(CHAR(10)&amp;_xlpm._firstAnwer&amp;":",CHAR(10)&amp;_xlpm._secondAnswerRequiredOn)&gt;0,FALSE)))</f>
        <v>1</v>
      </c>
      <c r="AH54" s="113" t="str" cm="1">
        <f t="array" ca="1" aca="1" ref="AH54">IF(OR($A54="",NOT($AC54)),"",_xlfn.LET(_xlpm._id,$A54,_xlpm._firstAnswer,$C54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4" s="99" cm="1">
        <f t="array" ca="1" aca="1" ref="AI54">IF(OR($A54="",NOT($AC54)),"",_xlfn.LET(_xlpm._id,$A54,_xlpm._firstAnswer,$C54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0</v>
      </c>
      <c r="AJ54" s="99" t="str" cm="1">
        <f t="array" ca="1" aca="1" ref="AJ54">IF($AG54,_xlfn.LET(_xlpm._answer,$E54,_xlpm._infoTextFull,IF($AC54,CHAR(10)&amp;SimpleLookup($A54,Questions!$A:$L)&amp;CHAR(10),""),_xlpm._startSelectedByAnswerOne,IF(_xlpm._infoTextFull="",0,FIND("___"&amp;$C54&amp;"___",_xlpm._infoTextFull)+LEN("___"&amp;$C54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Please name the parties with access:</v>
      </c>
      <c r="AK54" s="99" t="b" cm="1">
        <f t="array" ca="1" aca="1" ref="AK54">IF(OR($A54="",NOT($AC54)),FALSE,SimpleLookup($A54,Questions!$A:$Q))</f>
        <v>0</v>
      </c>
      <c r="AL54" s="99" t="str" cm="1">
        <f t="array" ca="1" aca="1" ref="AL54">IF(AND($A54=Questions!$A$41,IFERROR(SimpleLookup(Questions!$A$36,$A:$E)=Definitions!$O$5,FALSE),$C54=Definitions!$A$5),Questions!$A$36&amp;" "&amp;Questions!$B$36&amp;CHAR(10)&amp;CHAR(187)&amp;" "&amp;SimpleLookup(Questions!$A$36,$A:$C)&amp;CHAR(10)&amp;SimpleLookup(Questions!$A$36,$A:$D)&amp;CHAR(10)&amp;CHAR(187)&amp;" "&amp;Definitions!$O$5&amp;CHAR(10)&amp;CHAR(10)&amp;"is incosistent with"&amp;CHAR(10)&amp;CHAR(10)&amp;$A54&amp;" "&amp;SimpleLookup($A54,Questions!$A:$B)&amp;CHAR(10)&amp;CHAR(187)&amp;" "&amp;$C54,"")</f>
        <v/>
      </c>
      <c r="AM54" s="99" cm="1">
        <f t="array" ca="1" aca="1" ref="AM54">CreateID($AM$3,$AM:$AM,$AL54&lt;&gt;"")</f>
        <v>0</v>
      </c>
      <c r="AN54" s="99" t="str" cm="1">
        <f t="array" ca="1" aca="1" ref="AN54">IF(OR($C54="",OFFSET($C54,1,0)=""),"",IF(AND($A54=Questions!$A$59,OFFSET($A54,1,0)=Questions!$A$60,SimpleLookup(Questions!$A$49,$A:$C)=Definitions!$A$4),IF(MATCH($C54,Definitions!$AW:$AW,0)&gt;MATCH(OFFSET($C54,1,0),Definitions!AW:AW,0),$A54&amp;" "&amp;$K54&amp;": "&amp;$C54&amp;CHAR(10)&amp;"&lt;---&gt;"&amp;CHAR(10)&amp;OFFSET($A54,1,0)&amp;" "&amp;OFFSET($K54,1,0)&amp;": "&amp;OFFSET($C54,1,0),""),""))</f>
        <v/>
      </c>
      <c r="AO54" s="99" cm="1">
        <f t="array" ca="1" aca="1" ref="AO54">CreateID($AO$3,$AO:$AO,$AN54&lt;&gt;"")</f>
        <v>0</v>
      </c>
    </row>
    <row r="55" spans="1:41" ht="45">
      <c r="A55" s="96" t="s">
        <v>1068</v>
      </c>
      <c r="B55" s="4" t="str" cm="1">
        <f t="array" ca="1" aca="1" ref="B55">IF($A55="","",CreateIndentedString($K55,Definitions!$T$4,SimpleLookup($A55,Questions!$A:$C)))</f>
        <v xml:space="preserve">   Are  the  product's  physical  connections  (such  as
   attached  bus  cables)  typically  installed  in  an
   environment  with  public  access?</v>
      </c>
      <c r="C55" s="4" t="s">
        <v>11</v>
      </c>
      <c r="D55" s="8" t="str">
        <f t="shared" ca="1" si="14"/>
        <v/>
      </c>
      <c r="F55" s="8" t="str">
        <f t="shared" ca="1" si="15"/>
        <v>Please name the parties with access:</v>
      </c>
      <c r="I55" s="15" t="str">
        <f t="shared" ca="1" si="6"/>
        <v>QA16[No]</v>
      </c>
      <c r="J55" s="15" t="str">
        <f t="shared" ca="1" si="7"/>
        <v>QA16[No]</v>
      </c>
      <c r="K55" s="15" t="str" cm="1">
        <f t="array" ca="1" aca="1" ref="K55">SimpleLookup($A55,Questions!$A:$B)</f>
        <v>Are the product's physical connections (such as attached bus cables) typically installed in an environment with public access?</v>
      </c>
      <c r="L55" s="15" cm="1">
        <f t="array" ca="1" aca="1" ref="L55">CreateID($L$3,$L:$L,AND($A55&lt;&gt;"",$AC55))</f>
        <v>34</v>
      </c>
      <c r="M55" s="99" cm="1">
        <f t="array" ca="1" aca="1" ref="M55">CreateTaskID($M$3,$M:$M,Tasks!$B$17,$G55)</f>
        <v>0</v>
      </c>
      <c r="N55" s="15" t="str">
        <f t="shared" ca="1" si="8"/>
        <v/>
      </c>
      <c r="O55" s="15" cm="1">
        <f t="array" ca="1" aca="1" ref="O55">CreateID($O$3,$O:$O,$N55&lt;&gt;"")</f>
        <v>0</v>
      </c>
      <c r="P55" s="99" t="str">
        <f t="shared" ca="1" si="9"/>
        <v/>
      </c>
      <c r="Q55" s="99" cm="1">
        <f t="array" ca="1" aca="1" ref="Q55">CreateID($Q$3,$Q:$Q,$P55&lt;&gt;"")</f>
        <v>0</v>
      </c>
      <c r="R55" s="99" t="str">
        <f t="shared" ca="1" si="10"/>
        <v>QA16 Are the product's physical connections (such as attached bus cables) typically installed in an environment with public access?</v>
      </c>
      <c r="S55" s="99" cm="1">
        <f t="array" ca="1" aca="1" ref="S55">CreateID($S$3,$S:$S,$R55&lt;&gt;"")</f>
        <v>2</v>
      </c>
      <c r="T55" s="99" t="str">
        <f t="shared" ca="1" si="11"/>
        <v/>
      </c>
      <c r="U55" s="99" cm="1">
        <f t="array" ca="1" aca="1" ref="U55">CreateID($U$3,$U:$U,$T55&lt;&gt;"")</f>
        <v>0</v>
      </c>
      <c r="V55" s="99" cm="1">
        <f t="array" ca="1" aca="1" ref="V55">CreateID($V$3,$V:$V,IFERROR(FIND(Definitions!$AR$4,$G55)&gt;0,FALSE))</f>
        <v>0</v>
      </c>
      <c r="W55" s="99">
        <f>_xlfn.LET(_xlpm._comment,$G55,_xlpm._keyWord,Definitions!$AR$4,_xlpm._diffLen,LEN(_xlpm._comment)-LEN(SUBSTITUTE(_xlpm._comment,_xlpm._keyWord,"")),_xlpm._diffLen/LEN(_xlpm._keyWord))</f>
        <v>0</v>
      </c>
      <c r="X55" s="99" cm="1">
        <f t="array" ca="1" aca="1" ref="X55">CreateID($X$3,$X:$X,IFERROR(FIND(Definitions!$AR$5,$G55)&gt;0,FALSE))</f>
        <v>0</v>
      </c>
      <c r="Y55" s="99">
        <f>_xlfn.LET(_xlpm._comment,$G55,_xlpm._keyWord,Definitions!$AR$5,_xlpm._diffLen,LEN(_xlpm._comment)-LEN(SUBSTITUTE(_xlpm._comment,_xlpm._keyWord,"")),_xlpm._diffLen/LEN(_xlpm._keyWord))</f>
        <v>0</v>
      </c>
      <c r="Z55" s="99" t="b">
        <f ca="1">OR(IFERROR(_xlfn.XMATCH("*,"&amp;$A55&amp;",*",Assumptions!$AL:$AL,2)&gt;0,FALSE),IFERROR(_xlfn.XMATCH("*,"&amp;$A55&amp;",*",Countermeasures!$AO:$AO,2)&gt;0,FALSE))</f>
        <v>1</v>
      </c>
      <c r="AA55" s="99" t="str" cm="1">
        <f t="array" ca="1" aca="1" ref="AA55">CreateSearchString($I55)</f>
        <v>,QA16[No],</v>
      </c>
      <c r="AB55" s="99" t="str">
        <f>IF($E55="","",IFERROR(VLOOKUP($E55,Definitions!$H:$J,COLUMNS(Definitions!$H:$J),FALSE),""))</f>
        <v/>
      </c>
      <c r="AC55" s="99" t="b" cm="1">
        <f t="array" ca="1" aca="1" ref="AC55">IF($A55="",FALSE,SimpleLookup($A55,Questions!$A:$D)="x")</f>
        <v>1</v>
      </c>
      <c r="AD55" s="99" t="str" cm="1">
        <f t="array" ca="1" aca="1" ref="AD55">IF(OR($A55="",NOT($AC55)),"",SimpleLookup($A55,Questions!$A:$E))</f>
        <v>'[QuBA-libre.xlsx]Definitions'!$A$4</v>
      </c>
      <c r="AE55" s="99" cm="1">
        <f t="array" ca="1" aca="1" ref="AE55">IF(OR($A55="",NOT($AC55)),"",SimpleLookup($A55,Questions!$A:$F))</f>
        <v>2</v>
      </c>
      <c r="AF55" s="99" t="str" cm="1">
        <f t="array" ca="1" aca="1" ref="AF55">_xlfn.LET(_xlpm._answer,$C55,_xlpm._infoTextFull,IF($AC55,CHAR(10)&amp;SimpleLookup($A55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5" s="99" t="b" cm="1">
        <f t="array" ca="1" aca="1" ref="AG55">IF(OR($A55="",NOT($AC55)),FALSE,_xlfn.LET(_xlpm._secondAnswerRequiredOn,SimpleLookup($A55,Questions!$A:$I),_xlpm._firstAnwer,$C55,IFERROR(FIND(CHAR(10)&amp;_xlpm._firstAnwer&amp;":",CHAR(10)&amp;_xlpm._secondAnswerRequiredOn)&gt;0,FALSE)))</f>
        <v>1</v>
      </c>
      <c r="AH55" s="99" t="str" cm="1">
        <f t="array" ca="1" aca="1" ref="AH55">IF(OR($A55="",NOT($AC55)),"",_xlfn.LET(_xlpm._id,$A55,_xlpm._firstAnswer,$C55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5" s="99" cm="1">
        <f t="array" ca="1" aca="1" ref="AI55">IF(OR($A55="",NOT($AC55)),"",_xlfn.LET(_xlpm._id,$A55,_xlpm._firstAnswer,$C55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0</v>
      </c>
      <c r="AJ55" s="99" t="str" cm="1">
        <f t="array" ca="1" aca="1" ref="AJ55">IF($AG55,_xlfn.LET(_xlpm._answer,$E55,_xlpm._infoTextFull,IF($AC55,CHAR(10)&amp;SimpleLookup($A55,Questions!$A:$L)&amp;CHAR(10),""),_xlpm._startSelectedByAnswerOne,IF(_xlpm._infoTextFull="",0,FIND("___"&amp;$C55&amp;"___",_xlpm._infoTextFull)+LEN("___"&amp;$C55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Please name the parties with access:</v>
      </c>
      <c r="AK55" s="99" t="b" cm="1">
        <f t="array" ca="1" aca="1" ref="AK55">IF(OR($A55="",NOT($AC55)),FALSE,SimpleLookup($A55,Questions!$A:$Q))</f>
        <v>0</v>
      </c>
      <c r="AL55" s="99" t="str" cm="1">
        <f t="array" ca="1" aca="1" ref="AL55">IF(AND($A55=Questions!$A$41,IFERROR(SimpleLookup(Questions!$A$36,$A:$E)=Definitions!$O$5,FALSE),$C55=Definitions!$A$5),Questions!$A$36&amp;" "&amp;Questions!$B$36&amp;CHAR(10)&amp;CHAR(187)&amp;" "&amp;SimpleLookup(Questions!$A$36,$A:$C)&amp;CHAR(10)&amp;SimpleLookup(Questions!$A$36,$A:$D)&amp;CHAR(10)&amp;CHAR(187)&amp;" "&amp;Definitions!$O$5&amp;CHAR(10)&amp;CHAR(10)&amp;"is incosistent with"&amp;CHAR(10)&amp;CHAR(10)&amp;$A55&amp;" "&amp;SimpleLookup($A55,Questions!$A:$B)&amp;CHAR(10)&amp;CHAR(187)&amp;" "&amp;$C55,"")</f>
        <v/>
      </c>
      <c r="AM55" s="99" cm="1">
        <f t="array" ca="1" aca="1" ref="AM55">CreateID($AM$3,$AM:$AM,$AL55&lt;&gt;"")</f>
        <v>0</v>
      </c>
      <c r="AN55" s="99" t="str" cm="1">
        <f t="array" ca="1" aca="1" ref="AN55">IF(OR($C55="",OFFSET($C55,1,0)=""),"",IF(AND($A55=Questions!$A$59,OFFSET($A55,1,0)=Questions!$A$60,SimpleLookup(Questions!$A$49,$A:$C)=Definitions!$A$4),IF(MATCH($C55,Definitions!$AW:$AW,0)&gt;MATCH(OFFSET($C55,1,0),Definitions!AW:AW,0),$A55&amp;" "&amp;$K55&amp;": "&amp;$C55&amp;CHAR(10)&amp;"&lt;---&gt;"&amp;CHAR(10)&amp;OFFSET($A55,1,0)&amp;" "&amp;OFFSET($K55,1,0)&amp;": "&amp;OFFSET($C55,1,0),""),""))</f>
        <v/>
      </c>
      <c r="AO55" s="99" cm="1">
        <f t="array" ca="1" aca="1" ref="AO55">CreateID($AO$3,$AO:$AO,$AN55&lt;&gt;"")</f>
        <v>0</v>
      </c>
    </row>
    <row r="56" spans="1:41" ht="45">
      <c r="A56" s="96" t="s">
        <v>1071</v>
      </c>
      <c r="B56" s="4" t="str" cm="1">
        <f t="array" ca="1" aca="1" ref="B56">IF($A56="","",CreateIndentedString($K56,Definitions!$T$4,SimpleLookup($A56,Questions!$A:$C)))</f>
        <v>Does  the  product  have  debug  /  development  interfaces
(e.g.,  JTAG,  root  access  over  ssh)?</v>
      </c>
      <c r="C56" s="4" t="s">
        <v>11</v>
      </c>
      <c r="D56" s="8" t="str">
        <f t="shared" ca="1" si="14"/>
        <v/>
      </c>
      <c r="F56" s="8" t="str">
        <f t="shared" ca="1" si="15"/>
        <v/>
      </c>
      <c r="I56" s="15" t="str">
        <f t="shared" ca="1" si="6"/>
        <v>QA17[No]</v>
      </c>
      <c r="J56" s="15" t="str">
        <f t="shared" ca="1" si="7"/>
        <v>QA17[No]</v>
      </c>
      <c r="K56" s="15" t="str" cm="1">
        <f t="array" ca="1" aca="1" ref="K56">SimpleLookup($A56,Questions!$A:$B)</f>
        <v>Does the product have debug / development interfaces (e.g., JTAG, root access over ssh)?</v>
      </c>
      <c r="L56" s="15" cm="1">
        <f t="array" ca="1" aca="1" ref="L56">CreateID($L$3,$L:$L,AND($A56&lt;&gt;"",$AC56))</f>
        <v>35</v>
      </c>
      <c r="M56" s="99" cm="1">
        <f t="array" ca="1" aca="1" ref="M56">CreateTaskID($M$3,$M:$M,Tasks!$B$17,$G56)</f>
        <v>0</v>
      </c>
      <c r="N56" s="15" t="str">
        <f t="shared" ca="1" si="8"/>
        <v/>
      </c>
      <c r="O56" s="15" cm="1">
        <f t="array" ca="1" aca="1" ref="O56">CreateID($O$3,$O:$O,$N56&lt;&gt;"")</f>
        <v>0</v>
      </c>
      <c r="P56" s="99" t="str">
        <f t="shared" ca="1" si="9"/>
        <v/>
      </c>
      <c r="Q56" s="99" cm="1">
        <f t="array" ca="1" aca="1" ref="Q56">CreateID($Q$3,$Q:$Q,$P56&lt;&gt;"")</f>
        <v>0</v>
      </c>
      <c r="R56" s="99" t="str">
        <f t="shared" ca="1" si="10"/>
        <v/>
      </c>
      <c r="S56" s="99" cm="1">
        <f t="array" ca="1" aca="1" ref="S56">CreateID($S$3,$S:$S,$R56&lt;&gt;"")</f>
        <v>2</v>
      </c>
      <c r="T56" s="99" t="str">
        <f t="shared" ca="1" si="11"/>
        <v/>
      </c>
      <c r="U56" s="99" cm="1">
        <f t="array" ca="1" aca="1" ref="U56">CreateID($U$3,$U:$U,$T56&lt;&gt;"")</f>
        <v>0</v>
      </c>
      <c r="V56" s="99" cm="1">
        <f t="array" ca="1" aca="1" ref="V56">CreateID($V$3,$V:$V,IFERROR(FIND(Definitions!$AR$4,$G56)&gt;0,FALSE))</f>
        <v>0</v>
      </c>
      <c r="W56" s="99">
        <f>_xlfn.LET(_xlpm._comment,$G56,_xlpm._keyWord,Definitions!$AR$4,_xlpm._diffLen,LEN(_xlpm._comment)-LEN(SUBSTITUTE(_xlpm._comment,_xlpm._keyWord,"")),_xlpm._diffLen/LEN(_xlpm._keyWord))</f>
        <v>0</v>
      </c>
      <c r="X56" s="99" cm="1">
        <f t="array" ca="1" aca="1" ref="X56">CreateID($X$3,$X:$X,IFERROR(FIND(Definitions!$AR$5,$G56)&gt;0,FALSE))</f>
        <v>0</v>
      </c>
      <c r="Y56" s="99">
        <f>_xlfn.LET(_xlpm._comment,$G56,_xlpm._keyWord,Definitions!$AR$5,_xlpm._diffLen,LEN(_xlpm._comment)-LEN(SUBSTITUTE(_xlpm._comment,_xlpm._keyWord,"")),_xlpm._diffLen/LEN(_xlpm._keyWord))</f>
        <v>0</v>
      </c>
      <c r="Z56" s="99" t="b">
        <f ca="1">OR(IFERROR(_xlfn.XMATCH("*,"&amp;$A56&amp;",*",Assumptions!$AL:$AL,2)&gt;0,FALSE),IFERROR(_xlfn.XMATCH("*,"&amp;$A56&amp;",*",Countermeasures!$AO:$AO,2)&gt;0,FALSE))</f>
        <v>0</v>
      </c>
      <c r="AA56" s="99" t="str" cm="1">
        <f t="array" ca="1" aca="1" ref="AA56">CreateSearchString($I56)</f>
        <v>,QA17[No],</v>
      </c>
      <c r="AB56" s="99" t="str">
        <f>IF($E56="","",IFERROR(VLOOKUP($E56,Definitions!$H:$J,COLUMNS(Definitions!$H:$J),FALSE),""))</f>
        <v/>
      </c>
      <c r="AC56" s="99" t="b" cm="1">
        <f t="array" ca="1" aca="1" ref="AC56">IF($A56="",FALSE,SimpleLookup($A56,Questions!$A:$D)="x")</f>
        <v>1</v>
      </c>
      <c r="AD56" s="99" t="str" cm="1">
        <f t="array" ca="1" aca="1" ref="AD56">IF(OR($A56="",NOT($AC56)),"",SimpleLookup($A56,Questions!$A:$E))</f>
        <v>'[QuBA-libre.xlsx]Definitions'!$A$4</v>
      </c>
      <c r="AE56" s="99" cm="1">
        <f t="array" ca="1" aca="1" ref="AE56">IF(OR($A56="",NOT($AC56)),"",SimpleLookup($A56,Questions!$A:$F))</f>
        <v>2</v>
      </c>
      <c r="AF56" s="99" t="str" cm="1">
        <f t="array" ca="1" aca="1" ref="AF56">_xlfn.LET(_xlpm._answer,$C56,_xlpm._infoTextFull,IF($AC56,CHAR(10)&amp;SimpleLookup($A56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6" s="99" t="b" cm="1">
        <f t="array" ca="1" aca="1" ref="AG56">IF(OR($A56="",NOT($AC56)),FALSE,_xlfn.LET(_xlpm._secondAnswerRequiredOn,SimpleLookup($A56,Questions!$A:$I),_xlpm._firstAnwer,$C56,IFERROR(FIND(CHAR(10)&amp;_xlpm._firstAnwer&amp;":",CHAR(10)&amp;_xlpm._secondAnswerRequiredOn)&gt;0,FALSE)))</f>
        <v>0</v>
      </c>
      <c r="AH56" s="99" t="str" cm="1">
        <f t="array" ca="1" aca="1" ref="AH56">IF(OR($A56="",NOT($AC56)),"",_xlfn.LET(_xlpm._id,$A56,_xlpm._firstAnswer,$C56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6" s="99" t="str" cm="1">
        <f t="array" ca="1" aca="1" ref="AI56">IF(OR($A56="",NOT($AC56)),"",_xlfn.LET(_xlpm._id,$A56,_xlpm._firstAnswer,$C56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56" s="99" t="str" cm="1">
        <f t="array" ca="1" aca="1" ref="AJ56">IF($AG56,_xlfn.LET(_xlpm._answer,$E56,_xlpm._infoTextFull,IF($AC56,CHAR(10)&amp;SimpleLookup($A56,Questions!$A:$L)&amp;CHAR(10),""),_xlpm._startSelectedByAnswerOne,IF(_xlpm._infoTextFull="",0,FIND("___"&amp;$C56&amp;"___",_xlpm._infoTextFull)+LEN("___"&amp;$C56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56" s="99" t="b" cm="1">
        <f t="array" ca="1" aca="1" ref="AK56">IF(OR($A56="",NOT($AC56)),FALSE,SimpleLookup($A56,Questions!$A:$Q))</f>
        <v>0</v>
      </c>
      <c r="AL56" s="99" t="str" cm="1">
        <f t="array" ca="1" aca="1" ref="AL56">IF(AND($A56=Questions!$A$41,IFERROR(SimpleLookup(Questions!$A$36,$A:$E)=Definitions!$O$5,FALSE),$C56=Definitions!$A$5),Questions!$A$36&amp;" "&amp;Questions!$B$36&amp;CHAR(10)&amp;CHAR(187)&amp;" "&amp;SimpleLookup(Questions!$A$36,$A:$C)&amp;CHAR(10)&amp;SimpleLookup(Questions!$A$36,$A:$D)&amp;CHAR(10)&amp;CHAR(187)&amp;" "&amp;Definitions!$O$5&amp;CHAR(10)&amp;CHAR(10)&amp;"is incosistent with"&amp;CHAR(10)&amp;CHAR(10)&amp;$A56&amp;" "&amp;SimpleLookup($A56,Questions!$A:$B)&amp;CHAR(10)&amp;CHAR(187)&amp;" "&amp;$C56,"")</f>
        <v/>
      </c>
      <c r="AM56" s="99" cm="1">
        <f t="array" ca="1" aca="1" ref="AM56">CreateID($AM$3,$AM:$AM,$AL56&lt;&gt;"")</f>
        <v>0</v>
      </c>
      <c r="AN56" s="99" t="str" cm="1">
        <f t="array" ca="1" aca="1" ref="AN56">IF(OR($C56="",OFFSET($C56,1,0)=""),"",IF(AND($A56=Questions!$A$59,OFFSET($A56,1,0)=Questions!$A$60,SimpleLookup(Questions!$A$49,$A:$C)=Definitions!$A$4),IF(MATCH($C56,Definitions!$AW:$AW,0)&gt;MATCH(OFFSET($C56,1,0),Definitions!AW:AW,0),$A56&amp;" "&amp;$K56&amp;": "&amp;$C56&amp;CHAR(10)&amp;"&lt;---&gt;"&amp;CHAR(10)&amp;OFFSET($A56,1,0)&amp;" "&amp;OFFSET($K56,1,0)&amp;": "&amp;OFFSET($C56,1,0),""),""))</f>
        <v/>
      </c>
      <c r="AO56" s="99" cm="1">
        <f t="array" ca="1" aca="1" ref="AO56">CreateID($AO$3,$AO:$AO,$AN56&lt;&gt;"")</f>
        <v>0</v>
      </c>
    </row>
    <row r="57" spans="1:41" ht="15">
      <c r="A57" s="96" t="s">
        <v>1140</v>
      </c>
      <c r="B57" s="4" t="str" cm="1">
        <f t="array" ca="1" aca="1" ref="B57">IF($A57="","",CreateIndentedString($K57,Definitions!$T$4,SimpleLookup($A57,Questions!$A:$C)))</f>
        <v>Is  the  product  produced  in  a  secure  environment?</v>
      </c>
      <c r="C57" s="4" t="s">
        <v>10</v>
      </c>
      <c r="D57" s="8" t="str">
        <f t="shared" ca="1" si="14"/>
        <v/>
      </c>
      <c r="F57" s="8" t="str">
        <f t="shared" ca="1" si="15"/>
        <v>Please provide details on the secure production environment:</v>
      </c>
      <c r="G57" s="4" t="s">
        <v>1794</v>
      </c>
      <c r="I57" s="99" t="str">
        <f t="shared" ca="1" si="6"/>
        <v>QA18[Yes]</v>
      </c>
      <c r="J57" s="99" t="str">
        <f t="shared" ca="1" si="7"/>
        <v>QA18[Yes]</v>
      </c>
      <c r="K57" s="99" t="str" cm="1">
        <f t="array" ca="1" aca="1" ref="K57">SimpleLookup($A57,Questions!$A:$B)</f>
        <v>Is the product produced in a secure environment?</v>
      </c>
      <c r="L57" s="99" cm="1">
        <f t="array" ca="1" aca="1" ref="L57">CreateID($L$3,$L:$L,AND($A57&lt;&gt;"",$AC57))</f>
        <v>36</v>
      </c>
      <c r="M57" s="99" cm="1">
        <f t="array" ca="1" aca="1" ref="M57">CreateTaskID($M$3,$M:$M,Tasks!$B$17,$G57)</f>
        <v>0</v>
      </c>
      <c r="N57" s="99" t="str">
        <f t="shared" ca="1" si="8"/>
        <v/>
      </c>
      <c r="O57" s="99" cm="1">
        <f t="array" ca="1" aca="1" ref="O57">CreateID($O$3,$O:$O,$N57&lt;&gt;"")</f>
        <v>0</v>
      </c>
      <c r="P57" s="99" t="str">
        <f t="shared" ca="1" si="9"/>
        <v/>
      </c>
      <c r="Q57" s="99" cm="1">
        <f t="array" ca="1" aca="1" ref="Q57">CreateID($Q$3,$Q:$Q,$P57&lt;&gt;"")</f>
        <v>0</v>
      </c>
      <c r="R57" s="99" t="str">
        <f t="shared" ca="1" si="10"/>
        <v/>
      </c>
      <c r="S57" s="99" cm="1">
        <f t="array" ca="1" aca="1" ref="S57">CreateID($S$3,$S:$S,$R57&lt;&gt;"")</f>
        <v>2</v>
      </c>
      <c r="T57" s="99" t="str">
        <f t="shared" ca="1" si="11"/>
        <v/>
      </c>
      <c r="U57" s="99" cm="1">
        <f t="array" ca="1" aca="1" ref="U57">CreateID($U$3,$U:$U,$T57&lt;&gt;"")</f>
        <v>0</v>
      </c>
      <c r="V57" s="99" cm="1">
        <f t="array" ca="1" aca="1" ref="V57">CreateID($V$3,$V:$V,IFERROR(FIND(Definitions!$AR$4,$G57)&gt;0,FALSE))</f>
        <v>0</v>
      </c>
      <c r="W57" s="99">
        <f>_xlfn.LET(_xlpm._comment,$G57,_xlpm._keyWord,Definitions!$AR$4,_xlpm._diffLen,LEN(_xlpm._comment)-LEN(SUBSTITUTE(_xlpm._comment,_xlpm._keyWord,"")),_xlpm._diffLen/LEN(_xlpm._keyWord))</f>
        <v>0</v>
      </c>
      <c r="X57" s="99" cm="1">
        <f t="array" ca="1" aca="1" ref="X57">CreateID($X$3,$X:$X,IFERROR(FIND(Definitions!$AR$5,$G57)&gt;0,FALSE))</f>
        <v>0</v>
      </c>
      <c r="Y57" s="99">
        <f>_xlfn.LET(_xlpm._comment,$G57,_xlpm._keyWord,Definitions!$AR$5,_xlpm._diffLen,LEN(_xlpm._comment)-LEN(SUBSTITUTE(_xlpm._comment,_xlpm._keyWord,"")),_xlpm._diffLen/LEN(_xlpm._keyWord))</f>
        <v>0</v>
      </c>
      <c r="Z57" s="99" t="b">
        <f ca="1">OR(IFERROR(_xlfn.XMATCH("*,"&amp;$A57&amp;",*",Assumptions!$AL:$AL,2)&gt;0,FALSE),IFERROR(_xlfn.XMATCH("*,"&amp;$A57&amp;",*",Countermeasures!$AO:$AO,2)&gt;0,FALSE))</f>
        <v>1</v>
      </c>
      <c r="AA57" s="99" t="str" cm="1">
        <f t="array" ca="1" aca="1" ref="AA57">CreateSearchString($I57)</f>
        <v>,QA18[Yes],</v>
      </c>
      <c r="AB57" s="99" t="str">
        <f>IF($E57="","",IFERROR(VLOOKUP($E57,Definitions!$H:$J,COLUMNS(Definitions!$H:$J),FALSE),""))</f>
        <v/>
      </c>
      <c r="AC57" s="99" t="b" cm="1">
        <f t="array" ca="1" aca="1" ref="AC57">IF($A57="",FALSE,SimpleLookup($A57,Questions!$A:$D)="x")</f>
        <v>1</v>
      </c>
      <c r="AD57" s="99" t="str" cm="1">
        <f t="array" ca="1" aca="1" ref="AD57">IF(OR($A57="",NOT($AC57)),"",SimpleLookup($A57,Questions!$A:$E))</f>
        <v>'[QuBA-libre.xlsx]Definitions'!$A$4</v>
      </c>
      <c r="AE57" s="99" cm="1">
        <f t="array" ca="1" aca="1" ref="AE57">IF(OR($A57="",NOT($AC57)),"",SimpleLookup($A57,Questions!$A:$F))</f>
        <v>2</v>
      </c>
      <c r="AF57" s="99" t="str" cm="1">
        <f t="array" ca="1" aca="1" ref="AF57">_xlfn.LET(_xlpm._answer,$C57,_xlpm._infoTextFull,IF($AC57,CHAR(10)&amp;SimpleLookup($A57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7" s="99" t="b" cm="1">
        <f t="array" ca="1" aca="1" ref="AG57">IF(OR($A57="",NOT($AC57)),FALSE,_xlfn.LET(_xlpm._secondAnswerRequiredOn,SimpleLookup($A57,Questions!$A:$I),_xlpm._firstAnwer,$C57,IFERROR(FIND(CHAR(10)&amp;_xlpm._firstAnwer&amp;":",CHAR(10)&amp;_xlpm._secondAnswerRequiredOn)&gt;0,FALSE)))</f>
        <v>1</v>
      </c>
      <c r="AH57" s="99" t="str" cm="1">
        <f t="array" ca="1" aca="1" ref="AH57">IF(OR($A57="",NOT($AC57)),"",_xlfn.LET(_xlpm._id,$A57,_xlpm._firstAnswer,$C57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7" s="99" cm="1">
        <f t="array" ca="1" aca="1" ref="AI57">IF(OR($A57="",NOT($AC57)),"",_xlfn.LET(_xlpm._id,$A57,_xlpm._firstAnswer,$C57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0</v>
      </c>
      <c r="AJ57" s="99" t="str" cm="1">
        <f t="array" ca="1" aca="1" ref="AJ57">IF($AG57,_xlfn.LET(_xlpm._answer,$E57,_xlpm._infoTextFull,IF($AC57,CHAR(10)&amp;SimpleLookup($A57,Questions!$A:$L)&amp;CHAR(10),""),_xlpm._startSelectedByAnswerOne,IF(_xlpm._infoTextFull="",0,FIND("___"&amp;$C57&amp;"___",_xlpm._infoTextFull)+LEN("___"&amp;$C57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Please provide details on the secure production environment:</v>
      </c>
      <c r="AK57" s="99" t="b" cm="1">
        <f t="array" ca="1" aca="1" ref="AK57">IF(OR($A57="",NOT($AC57)),FALSE,SimpleLookup($A57,Questions!$A:$Q))</f>
        <v>0</v>
      </c>
      <c r="AL57" s="99" t="str" cm="1">
        <f t="array" ca="1" aca="1" ref="AL57">IF(AND($A57=Questions!$A$41,IFERROR(SimpleLookup(Questions!$A$36,$A:$E)=Definitions!$O$5,FALSE),$C57=Definitions!$A$5),Questions!$A$36&amp;" "&amp;Questions!$B$36&amp;CHAR(10)&amp;CHAR(187)&amp;" "&amp;SimpleLookup(Questions!$A$36,$A:$C)&amp;CHAR(10)&amp;SimpleLookup(Questions!$A$36,$A:$D)&amp;CHAR(10)&amp;CHAR(187)&amp;" "&amp;Definitions!$O$5&amp;CHAR(10)&amp;CHAR(10)&amp;"is incosistent with"&amp;CHAR(10)&amp;CHAR(10)&amp;$A57&amp;" "&amp;SimpleLookup($A57,Questions!$A:$B)&amp;CHAR(10)&amp;CHAR(187)&amp;" "&amp;$C57,"")</f>
        <v/>
      </c>
      <c r="AM57" s="99" cm="1">
        <f t="array" ca="1" aca="1" ref="AM57">CreateID($AM$3,$AM:$AM,$AL57&lt;&gt;"")</f>
        <v>0</v>
      </c>
      <c r="AN57" s="99" t="str" cm="1">
        <f t="array" ca="1" aca="1" ref="AN57">IF(OR($C57="",OFFSET($C57,1,0)=""),"",IF(AND($A57=Questions!$A$59,OFFSET($A57,1,0)=Questions!$A$60,SimpleLookup(Questions!$A$49,$A:$C)=Definitions!$A$4),IF(MATCH($C57,Definitions!$AW:$AW,0)&gt;MATCH(OFFSET($C57,1,0),Definitions!AW:AW,0),$A57&amp;" "&amp;$K57&amp;": "&amp;$C57&amp;CHAR(10)&amp;"&lt;---&gt;"&amp;CHAR(10)&amp;OFFSET($A57,1,0)&amp;" "&amp;OFFSET($K57,1,0)&amp;": "&amp;OFFSET($C57,1,0),""),""))</f>
        <v/>
      </c>
      <c r="AO57" s="99" cm="1">
        <f t="array" ca="1" aca="1" ref="AO57">CreateID($AO$3,$AO:$AO,$AN57&lt;&gt;"")</f>
        <v>0</v>
      </c>
    </row>
    <row r="58" spans="1:41" ht="30">
      <c r="A58" s="96" t="s">
        <v>1141</v>
      </c>
      <c r="B58" s="4" t="str" cm="1">
        <f t="array" ca="1" aca="1" ref="B58">IF($A58="","",CreateIndentedString($K58,Definitions!$T$4,SimpleLookup($A58,Questions!$A:$C)))</f>
        <v>Are  the  supply  chain  partners  trustworthy  and
protected  against  attacks?</v>
      </c>
      <c r="C58" s="4" t="s">
        <v>10</v>
      </c>
      <c r="D58" s="8" t="str">
        <f t="shared" ca="1" si="14"/>
        <v>Will the supplier provide regular updates for the product?</v>
      </c>
      <c r="E58" s="4" t="s">
        <v>10</v>
      </c>
      <c r="F58" s="8" t="str">
        <f t="shared" ca="1" si="15"/>
        <v>Please provide details on the trustworthy supplier:</v>
      </c>
      <c r="G58" s="4" t="s">
        <v>1795</v>
      </c>
      <c r="I58" s="99" t="str">
        <f t="shared" ca="1" si="6"/>
        <v>QA19[Yes|Yes]</v>
      </c>
      <c r="J58" s="99" t="str">
        <f t="shared" ca="1" si="7"/>
        <v>QA19[Yes|*]</v>
      </c>
      <c r="K58" s="99" t="str" cm="1">
        <f t="array" ca="1" aca="1" ref="K58">SimpleLookup($A58,Questions!$A:$B)</f>
        <v>Are the supply chain partners trustworthy and protected against attacks?</v>
      </c>
      <c r="L58" s="99" cm="1">
        <f t="array" ca="1" aca="1" ref="L58">CreateID($L$3,$L:$L,AND($A58&lt;&gt;"",$AC58))</f>
        <v>37</v>
      </c>
      <c r="M58" s="99" cm="1">
        <f t="array" ca="1" aca="1" ref="M58">CreateTaskID($M$3,$M:$M,Tasks!$B$17,$G58)</f>
        <v>0</v>
      </c>
      <c r="N58" s="99" t="str">
        <f t="shared" ca="1" si="8"/>
        <v/>
      </c>
      <c r="O58" s="99" cm="1">
        <f t="array" ca="1" aca="1" ref="O58">CreateID($O$3,$O:$O,$N58&lt;&gt;"")</f>
        <v>0</v>
      </c>
      <c r="P58" s="99" t="str">
        <f t="shared" ca="1" si="9"/>
        <v/>
      </c>
      <c r="Q58" s="99" cm="1">
        <f t="array" ca="1" aca="1" ref="Q58">CreateID($Q$3,$Q:$Q,$P58&lt;&gt;"")</f>
        <v>0</v>
      </c>
      <c r="R58" s="99" t="str">
        <f t="shared" ca="1" si="10"/>
        <v/>
      </c>
      <c r="S58" s="99" cm="1">
        <f t="array" ca="1" aca="1" ref="S58">CreateID($S$3,$S:$S,$R58&lt;&gt;"")</f>
        <v>2</v>
      </c>
      <c r="T58" s="99" t="str">
        <f t="shared" ca="1" si="11"/>
        <v/>
      </c>
      <c r="U58" s="99" cm="1">
        <f t="array" ca="1" aca="1" ref="U58">CreateID($U$3,$U:$U,$T58&lt;&gt;"")</f>
        <v>0</v>
      </c>
      <c r="V58" s="99" cm="1">
        <f t="array" ca="1" aca="1" ref="V58">CreateID($V$3,$V:$V,IFERROR(FIND(Definitions!$AR$4,$G58)&gt;0,FALSE))</f>
        <v>0</v>
      </c>
      <c r="W58" s="99">
        <f>_xlfn.LET(_xlpm._comment,$G58,_xlpm._keyWord,Definitions!$AR$4,_xlpm._diffLen,LEN(_xlpm._comment)-LEN(SUBSTITUTE(_xlpm._comment,_xlpm._keyWord,"")),_xlpm._diffLen/LEN(_xlpm._keyWord))</f>
        <v>0</v>
      </c>
      <c r="X58" s="99" cm="1">
        <f t="array" ca="1" aca="1" ref="X58">CreateID($X$3,$X:$X,IFERROR(FIND(Definitions!$AR$5,$G58)&gt;0,FALSE))</f>
        <v>0</v>
      </c>
      <c r="Y58" s="99">
        <f>_xlfn.LET(_xlpm._comment,$G58,_xlpm._keyWord,Definitions!$AR$5,_xlpm._diffLen,LEN(_xlpm._comment)-LEN(SUBSTITUTE(_xlpm._comment,_xlpm._keyWord,"")),_xlpm._diffLen/LEN(_xlpm._keyWord))</f>
        <v>0</v>
      </c>
      <c r="Z58" s="99" t="b">
        <f ca="1">OR(IFERROR(_xlfn.XMATCH("*,"&amp;$A58&amp;",*",Assumptions!$AL:$AL,2)&gt;0,FALSE),IFERROR(_xlfn.XMATCH("*,"&amp;$A58&amp;",*",Countermeasures!$AO:$AO,2)&gt;0,FALSE))</f>
        <v>1</v>
      </c>
      <c r="AA58" s="99" t="str" cm="1">
        <f t="array" ca="1" aca="1" ref="AA58">CreateSearchString($I58)</f>
        <v>,QA19[Yes|Yes],</v>
      </c>
      <c r="AB58" s="99" t="str">
        <f>IF($E58="","",IFERROR(VLOOKUP($E58,Definitions!$H:$J,COLUMNS(Definitions!$H:$J),FALSE),""))</f>
        <v/>
      </c>
      <c r="AC58" s="99" t="b" cm="1">
        <f t="array" ca="1" aca="1" ref="AC58">IF($A58="",FALSE,SimpleLookup($A58,Questions!$A:$D)="x")</f>
        <v>1</v>
      </c>
      <c r="AD58" s="99" t="str" cm="1">
        <f t="array" ca="1" aca="1" ref="AD58">IF(OR($A58="",NOT($AC58)),"",SimpleLookup($A58,Questions!$A:$E))</f>
        <v>'[QuBA-libre.xlsx]Definitions'!$BF$4</v>
      </c>
      <c r="AE58" s="99" cm="1">
        <f t="array" ca="1" aca="1" ref="AE58">IF(OR($A58="",NOT($AC58)),"",SimpleLookup($A58,Questions!$A:$F))</f>
        <v>3</v>
      </c>
      <c r="AF58" s="99" t="str" cm="1">
        <f t="array" ca="1" aca="1" ref="AF58">_xlfn.LET(_xlpm._answer,$C58,_xlpm._infoTextFull,IF($AC58,CHAR(10)&amp;SimpleLookup($A58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Will the supplier provide regular updates for the product?</v>
      </c>
      <c r="AG58" s="99" t="b" cm="1">
        <f t="array" ca="1" aca="1" ref="AG58">IF(OR($A58="",NOT($AC58)),FALSE,_xlfn.LET(_xlpm._secondAnswerRequiredOn,SimpleLookup($A58,Questions!$A:$I),_xlpm._firstAnwer,$C58,IFERROR(FIND(CHAR(10)&amp;_xlpm._firstAnwer&amp;":",CHAR(10)&amp;_xlpm._secondAnswerRequiredOn)&gt;0,FALSE)))</f>
        <v>1</v>
      </c>
      <c r="AH58" s="99" t="str" cm="1">
        <f t="array" ca="1" aca="1" ref="AH58">IF(OR($A58="",NOT($AC58)),"",_xlfn.LET(_xlpm._id,$A58,_xlpm._firstAnswer,$C58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'[QuBA-libre.xlsx]Definitions'!$A$4</v>
      </c>
      <c r="AI58" s="99" cm="1">
        <f t="array" ca="1" aca="1" ref="AI58">IF(OR($A58="",NOT($AC58)),"",_xlfn.LET(_xlpm._id,$A58,_xlpm._firstAnswer,$C58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2</v>
      </c>
      <c r="AJ58" s="99" t="str" cm="1">
        <f t="array" ca="1" aca="1" ref="AJ58">IF($AG58,_xlfn.LET(_xlpm._answer,$E58,_xlpm._infoTextFull,IF($AC58,CHAR(10)&amp;SimpleLookup($A58,Questions!$A:$L)&amp;CHAR(10),""),_xlpm._startSelectedByAnswerOne,IF(_xlpm._infoTextFull="",0,FIND("___"&amp;$C58&amp;"___",_xlpm._infoTextFull)+LEN("___"&amp;$C58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Please provide details on the trustworthy supplier:</v>
      </c>
      <c r="AK58" s="99" t="b" cm="1">
        <f t="array" ca="1" aca="1" ref="AK58">IF(OR($A58="",NOT($AC58)),FALSE,SimpleLookup($A58,Questions!$A:$Q))</f>
        <v>0</v>
      </c>
      <c r="AL58" s="99" t="str" cm="1">
        <f t="array" ca="1" aca="1" ref="AL58">IF(AND($A58=Questions!$A$41,IFERROR(SimpleLookup(Questions!$A$36,$A:$E)=Definitions!$O$5,FALSE),$C58=Definitions!$A$5),Questions!$A$36&amp;" "&amp;Questions!$B$36&amp;CHAR(10)&amp;CHAR(187)&amp;" "&amp;SimpleLookup(Questions!$A$36,$A:$C)&amp;CHAR(10)&amp;SimpleLookup(Questions!$A$36,$A:$D)&amp;CHAR(10)&amp;CHAR(187)&amp;" "&amp;Definitions!$O$5&amp;CHAR(10)&amp;CHAR(10)&amp;"is incosistent with"&amp;CHAR(10)&amp;CHAR(10)&amp;$A58&amp;" "&amp;SimpleLookup($A58,Questions!$A:$B)&amp;CHAR(10)&amp;CHAR(187)&amp;" "&amp;$C58,"")</f>
        <v/>
      </c>
      <c r="AM58" s="99" cm="1">
        <f t="array" ca="1" aca="1" ref="AM58">CreateID($AM$3,$AM:$AM,$AL58&lt;&gt;"")</f>
        <v>0</v>
      </c>
      <c r="AN58" s="99" t="str" cm="1">
        <f t="array" ca="1" aca="1" ref="AN58">IF(OR($C58="",OFFSET($C58,1,0)=""),"",IF(AND($A58=Questions!$A$59,OFFSET($A58,1,0)=Questions!$A$60,SimpleLookup(Questions!$A$49,$A:$C)=Definitions!$A$4),IF(MATCH($C58,Definitions!$AW:$AW,0)&gt;MATCH(OFFSET($C58,1,0),Definitions!AW:AW,0),$A58&amp;" "&amp;$K58&amp;": "&amp;$C58&amp;CHAR(10)&amp;"&lt;---&gt;"&amp;CHAR(10)&amp;OFFSET($A58,1,0)&amp;" "&amp;OFFSET($K58,1,0)&amp;": "&amp;OFFSET($C58,1,0),""),""))</f>
        <v/>
      </c>
      <c r="AO58" s="99" cm="1">
        <f t="array" ca="1" aca="1" ref="AO58">CreateID($AO$3,$AO:$AO,$AN58&lt;&gt;"")</f>
        <v>0</v>
      </c>
    </row>
    <row r="59" spans="1:41" ht="30">
      <c r="A59" s="96" t="s">
        <v>1272</v>
      </c>
      <c r="B59" s="4" t="str" cm="1">
        <f t="array" ca="1" aca="1" ref="B59">IF($A59="","",CreateIndentedString($K59,Definitions!$T$4,SimpleLookup($A59,Questions!$A:$C)))</f>
        <v>What  is  the  product's  expected  lifetime?</v>
      </c>
      <c r="C59" s="4" t="s">
        <v>1280</v>
      </c>
      <c r="D59" s="8" t="str">
        <f t="shared" ca="1" si="14"/>
        <v/>
      </c>
      <c r="F59" s="8" t="str">
        <f t="shared" ca="1" si="15"/>
        <v/>
      </c>
      <c r="I59" s="99" t="str">
        <f t="shared" ca="1" si="6"/>
        <v>QA20[20+years]</v>
      </c>
      <c r="J59" s="99" t="str">
        <f t="shared" ca="1" si="7"/>
        <v>QA20[20+years]</v>
      </c>
      <c r="K59" s="99" t="str" cm="1">
        <f t="array" ca="1" aca="1" ref="K59">SimpleLookup($A59,Questions!$A:$B)</f>
        <v>What is the product's expected lifetime?</v>
      </c>
      <c r="L59" s="99" cm="1">
        <f t="array" ca="1" aca="1" ref="L59">CreateID($L$3,$L:$L,AND($A59&lt;&gt;"",$AC59))</f>
        <v>38</v>
      </c>
      <c r="M59" s="99" cm="1">
        <f t="array" ca="1" aca="1" ref="M59">CreateTaskID($M$3,$M:$M,Tasks!$B$17,$G59)</f>
        <v>0</v>
      </c>
      <c r="N59" s="99" t="str">
        <f t="shared" ca="1" si="8"/>
        <v/>
      </c>
      <c r="O59" s="99" cm="1">
        <f t="array" ca="1" aca="1" ref="O59">CreateID($O$3,$O:$O,$N59&lt;&gt;"")</f>
        <v>0</v>
      </c>
      <c r="P59" s="99" t="str">
        <f t="shared" ca="1" si="9"/>
        <v/>
      </c>
      <c r="Q59" s="99" cm="1">
        <f t="array" ca="1" aca="1" ref="Q59">CreateID($Q$3,$Q:$Q,$P59&lt;&gt;"")</f>
        <v>0</v>
      </c>
      <c r="R59" s="99" t="str">
        <f t="shared" ca="1" si="10"/>
        <v/>
      </c>
      <c r="S59" s="99" cm="1">
        <f t="array" ca="1" aca="1" ref="S59">CreateID($S$3,$S:$S,$R59&lt;&gt;"")</f>
        <v>2</v>
      </c>
      <c r="T59" s="99" t="str">
        <f t="shared" ca="1" si="11"/>
        <v/>
      </c>
      <c r="U59" s="99" cm="1">
        <f t="array" ca="1" aca="1" ref="U59">CreateID($U$3,$U:$U,$T59&lt;&gt;"")</f>
        <v>0</v>
      </c>
      <c r="V59" s="99" cm="1">
        <f t="array" ca="1" aca="1" ref="V59">CreateID($V$3,$V:$V,IFERROR(FIND(Definitions!$AR$4,$G59)&gt;0,FALSE))</f>
        <v>0</v>
      </c>
      <c r="W59" s="99">
        <f>_xlfn.LET(_xlpm._comment,$G59,_xlpm._keyWord,Definitions!$AR$4,_xlpm._diffLen,LEN(_xlpm._comment)-LEN(SUBSTITUTE(_xlpm._comment,_xlpm._keyWord,"")),_xlpm._diffLen/LEN(_xlpm._keyWord))</f>
        <v>0</v>
      </c>
      <c r="X59" s="99" cm="1">
        <f t="array" ca="1" aca="1" ref="X59">CreateID($X$3,$X:$X,IFERROR(FIND(Definitions!$AR$5,$G59)&gt;0,FALSE))</f>
        <v>0</v>
      </c>
      <c r="Y59" s="99">
        <f>_xlfn.LET(_xlpm._comment,$G59,_xlpm._keyWord,Definitions!$AR$5,_xlpm._diffLen,LEN(_xlpm._comment)-LEN(SUBSTITUTE(_xlpm._comment,_xlpm._keyWord,"")),_xlpm._diffLen/LEN(_xlpm._keyWord))</f>
        <v>0</v>
      </c>
      <c r="Z59" s="99" t="b">
        <f ca="1">OR(IFERROR(_xlfn.XMATCH("*,"&amp;$A59&amp;",*",Assumptions!$AL:$AL,2)&gt;0,FALSE),IFERROR(_xlfn.XMATCH("*,"&amp;$A59&amp;",*",Countermeasures!$AO:$AO,2)&gt;0,FALSE))</f>
        <v>0</v>
      </c>
      <c r="AA59" s="99" t="str" cm="1">
        <f t="array" ca="1" aca="1" ref="AA59">CreateSearchString($I59)</f>
        <v>,QA20[20+years],</v>
      </c>
      <c r="AB59" s="99" t="str">
        <f>IF($E59="","",IFERROR(VLOOKUP($E59,Definitions!$H:$J,COLUMNS(Definitions!$H:$J),FALSE),""))</f>
        <v/>
      </c>
      <c r="AC59" s="99" t="b" cm="1">
        <f t="array" ca="1" aca="1" ref="AC59">IF($A59="",FALSE,SimpleLookup($A59,Questions!$A:$D)="x")</f>
        <v>1</v>
      </c>
      <c r="AD59" s="99" t="str" cm="1">
        <f t="array" ca="1" aca="1" ref="AD59">IF(OR($A59="",NOT($AC59)),"",SimpleLookup($A59,Questions!$A:$E))</f>
        <v>'[QuBA-libre.xlsx]Definitions'!$AW$4</v>
      </c>
      <c r="AE59" s="99" cm="1">
        <f t="array" ca="1" aca="1" ref="AE59">IF(OR($A59="",NOT($AC59)),"",SimpleLookup($A59,Questions!$A:$F))</f>
        <v>4</v>
      </c>
      <c r="AF59" s="99" t="str" cm="1">
        <f t="array" ca="1" aca="1" ref="AF59">_xlfn.LET(_xlpm._answer,$C59,_xlpm._infoTextFull,IF($AC59,CHAR(10)&amp;SimpleLookup($A59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59" s="99" t="b" cm="1">
        <f t="array" ca="1" aca="1" ref="AG59">IF(OR($A59="",NOT($AC59)),FALSE,_xlfn.LET(_xlpm._secondAnswerRequiredOn,SimpleLookup($A59,Questions!$A:$I),_xlpm._firstAnwer,$C59,IFERROR(FIND(CHAR(10)&amp;_xlpm._firstAnwer&amp;":",CHAR(10)&amp;_xlpm._secondAnswerRequiredOn)&gt;0,FALSE)))</f>
        <v>0</v>
      </c>
      <c r="AH59" s="99" t="str" cm="1">
        <f t="array" ca="1" aca="1" ref="AH59">IF(OR($A59="",NOT($AC59)),"",_xlfn.LET(_xlpm._id,$A59,_xlpm._firstAnswer,$C59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59" s="99" t="str" cm="1">
        <f t="array" ca="1" aca="1" ref="AI59">IF(OR($A59="",NOT($AC59)),"",_xlfn.LET(_xlpm._id,$A59,_xlpm._firstAnswer,$C59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59" s="99" t="str" cm="1">
        <f t="array" ca="1" aca="1" ref="AJ59">IF($AG59,_xlfn.LET(_xlpm._answer,$E59,_xlpm._infoTextFull,IF($AC59,CHAR(10)&amp;SimpleLookup($A59,Questions!$A:$L)&amp;CHAR(10),""),_xlpm._startSelectedByAnswerOne,IF(_xlpm._infoTextFull="",0,FIND("___"&amp;$C59&amp;"___",_xlpm._infoTextFull)+LEN("___"&amp;$C59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59" s="99" t="b" cm="1">
        <f t="array" ca="1" aca="1" ref="AK59">IF(OR($A59="",NOT($AC59)),FALSE,SimpleLookup($A59,Questions!$A:$Q))</f>
        <v>0</v>
      </c>
      <c r="AL59" s="99" t="str" cm="1">
        <f t="array" ca="1" aca="1" ref="AL59">IF(AND($A59=Questions!$A$41,IFERROR(SimpleLookup(Questions!$A$36,$A:$E)=Definitions!$O$5,FALSE),$C59=Definitions!$A$5),Questions!$A$36&amp;" "&amp;Questions!$B$36&amp;CHAR(10)&amp;CHAR(187)&amp;" "&amp;SimpleLookup(Questions!$A$36,$A:$C)&amp;CHAR(10)&amp;SimpleLookup(Questions!$A$36,$A:$D)&amp;CHAR(10)&amp;CHAR(187)&amp;" "&amp;Definitions!$O$5&amp;CHAR(10)&amp;CHAR(10)&amp;"is incosistent with"&amp;CHAR(10)&amp;CHAR(10)&amp;$A59&amp;" "&amp;SimpleLookup($A59,Questions!$A:$B)&amp;CHAR(10)&amp;CHAR(187)&amp;" "&amp;$C59,"")</f>
        <v/>
      </c>
      <c r="AM59" s="99" cm="1">
        <f t="array" ca="1" aca="1" ref="AM59">CreateID($AM$3,$AM:$AM,$AL59&lt;&gt;"")</f>
        <v>0</v>
      </c>
      <c r="AN59" s="99" t="str" cm="1">
        <f t="array" ca="1" aca="1" ref="AN59">IF(OR($C59="",OFFSET($C59,1,0)=""),"",IF(AND($A59=Questions!$A$59,OFFSET($A59,1,0)=Questions!$A$60,SimpleLookup(Questions!$A$49,$A:$C)=Definitions!$A$4),IF(MATCH($C59,Definitions!$AW:$AW,0)&gt;MATCH(OFFSET($C59,1,0),Definitions!AW:AW,0),$A59&amp;" "&amp;$K59&amp;": "&amp;$C59&amp;CHAR(10)&amp;"&lt;---&gt;"&amp;CHAR(10)&amp;OFFSET($A59,1,0)&amp;" "&amp;OFFSET($K59,1,0)&amp;": "&amp;OFFSET($C59,1,0),""),""))</f>
        <v/>
      </c>
      <c r="AO59" s="99" cm="1">
        <f t="array" ca="1" aca="1" ref="AO59">CreateID($AO$3,$AO:$AO,$AN59&lt;&gt;"")</f>
        <v>0</v>
      </c>
    </row>
    <row r="60" spans="1:41" ht="30">
      <c r="A60" s="96" t="s">
        <v>1273</v>
      </c>
      <c r="B60" s="4" t="str" cm="1">
        <f t="array" ca="1" aca="1" ref="B60">IF($A60="","",CreateIndentedString($K60,Definitions!$T$4,SimpleLookup($A60,Questions!$A:$C)))</f>
        <v>What  is  the  product's  planned  support  duration?</v>
      </c>
      <c r="C60" s="4" t="s">
        <v>1278</v>
      </c>
      <c r="D60" s="8" t="str">
        <f t="shared" ca="1" si="14"/>
        <v/>
      </c>
      <c r="F60" s="8" t="str">
        <f t="shared" ca="1" si="15"/>
        <v/>
      </c>
      <c r="I60" s="99" t="str">
        <f t="shared" ca="1" si="6"/>
        <v>QA21[5-10years]</v>
      </c>
      <c r="J60" s="99" t="str">
        <f t="shared" ca="1" si="7"/>
        <v>QA21[5-10years]</v>
      </c>
      <c r="K60" s="99" t="str" cm="1">
        <f t="array" ca="1" aca="1" ref="K60">SimpleLookup($A60,Questions!$A:$B)</f>
        <v>What is the product's planned support duration?</v>
      </c>
      <c r="L60" s="99" cm="1">
        <f t="array" ca="1" aca="1" ref="L60">CreateID($L$3,$L:$L,AND($A60&lt;&gt;"",$AC60))</f>
        <v>39</v>
      </c>
      <c r="M60" s="99" cm="1">
        <f t="array" ca="1" aca="1" ref="M60">CreateTaskID($M$3,$M:$M,Tasks!$B$17,$G60)</f>
        <v>0</v>
      </c>
      <c r="N60" s="99" t="str">
        <f t="shared" ca="1" si="8"/>
        <v/>
      </c>
      <c r="O60" s="99" cm="1">
        <f t="array" ca="1" aca="1" ref="O60">CreateID($O$3,$O:$O,$N60&lt;&gt;"")</f>
        <v>0</v>
      </c>
      <c r="P60" s="99" t="str">
        <f t="shared" ca="1" si="9"/>
        <v/>
      </c>
      <c r="Q60" s="99" cm="1">
        <f t="array" ca="1" aca="1" ref="Q60">CreateID($Q$3,$Q:$Q,$P60&lt;&gt;"")</f>
        <v>0</v>
      </c>
      <c r="R60" s="99" t="str">
        <f t="shared" ca="1" si="10"/>
        <v/>
      </c>
      <c r="S60" s="99" cm="1">
        <f t="array" ca="1" aca="1" ref="S60">CreateID($S$3,$S:$S,$R60&lt;&gt;"")</f>
        <v>2</v>
      </c>
      <c r="T60" s="99" t="str">
        <f t="shared" ca="1" si="11"/>
        <v/>
      </c>
      <c r="U60" s="99" cm="1">
        <f t="array" ca="1" aca="1" ref="U60">CreateID($U$3,$U:$U,$T60&lt;&gt;"")</f>
        <v>0</v>
      </c>
      <c r="V60" s="99" cm="1">
        <f t="array" ca="1" aca="1" ref="V60">CreateID($V$3,$V:$V,IFERROR(FIND(Definitions!$AR$4,$G60)&gt;0,FALSE))</f>
        <v>0</v>
      </c>
      <c r="W60" s="99">
        <f>_xlfn.LET(_xlpm._comment,$G60,_xlpm._keyWord,Definitions!$AR$4,_xlpm._diffLen,LEN(_xlpm._comment)-LEN(SUBSTITUTE(_xlpm._comment,_xlpm._keyWord,"")),_xlpm._diffLen/LEN(_xlpm._keyWord))</f>
        <v>0</v>
      </c>
      <c r="X60" s="99" cm="1">
        <f t="array" ca="1" aca="1" ref="X60">CreateID($X$3,$X:$X,IFERROR(FIND(Definitions!$AR$5,$G60)&gt;0,FALSE))</f>
        <v>0</v>
      </c>
      <c r="Y60" s="99">
        <f>_xlfn.LET(_xlpm._comment,$G60,_xlpm._keyWord,Definitions!$AR$5,_xlpm._diffLen,LEN(_xlpm._comment)-LEN(SUBSTITUTE(_xlpm._comment,_xlpm._keyWord,"")),_xlpm._diffLen/LEN(_xlpm._keyWord))</f>
        <v>0</v>
      </c>
      <c r="Z60" s="99" t="b">
        <f ca="1">OR(IFERROR(_xlfn.XMATCH("*,"&amp;$A60&amp;",*",Assumptions!$AL:$AL,2)&gt;0,FALSE),IFERROR(_xlfn.XMATCH("*,"&amp;$A60&amp;",*",Countermeasures!$AO:$AO,2)&gt;0,FALSE))</f>
        <v>0</v>
      </c>
      <c r="AA60" s="99" t="str" cm="1">
        <f t="array" ca="1" aca="1" ref="AA60">CreateSearchString($I60)</f>
        <v>,QA21[5-10years],</v>
      </c>
      <c r="AB60" s="99" t="str">
        <f>IF($E60="","",IFERROR(VLOOKUP($E60,Definitions!$H:$J,COLUMNS(Definitions!$H:$J),FALSE),""))</f>
        <v/>
      </c>
      <c r="AC60" s="99" t="b" cm="1">
        <f t="array" ca="1" aca="1" ref="AC60">IF($A60="",FALSE,SimpleLookup($A60,Questions!$A:$D)="x")</f>
        <v>1</v>
      </c>
      <c r="AD60" s="99" t="str" cm="1">
        <f t="array" ca="1" aca="1" ref="AD60">IF(OR($A60="",NOT($AC60)),"",SimpleLookup($A60,Questions!$A:$E))</f>
        <v>'[QuBA-libre.xlsx]Definitions'!$AW$4</v>
      </c>
      <c r="AE60" s="99" cm="1">
        <f t="array" ca="1" aca="1" ref="AE60">IF(OR($A60="",NOT($AC60)),"",SimpleLookup($A60,Questions!$A:$F))</f>
        <v>4</v>
      </c>
      <c r="AF60" s="99" t="str" cm="1">
        <f t="array" ca="1" aca="1" ref="AF60">_xlfn.LET(_xlpm._answer,$C60,_xlpm._infoTextFull,IF($AC60,CHAR(10)&amp;SimpleLookup($A60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0" s="99" t="b" cm="1">
        <f t="array" ca="1" aca="1" ref="AG60">IF(OR($A60="",NOT($AC60)),FALSE,_xlfn.LET(_xlpm._secondAnswerRequiredOn,SimpleLookup($A60,Questions!$A:$I),_xlpm._firstAnwer,$C60,IFERROR(FIND(CHAR(10)&amp;_xlpm._firstAnwer&amp;":",CHAR(10)&amp;_xlpm._secondAnswerRequiredOn)&gt;0,FALSE)))</f>
        <v>0</v>
      </c>
      <c r="AH60" s="99" t="str" cm="1">
        <f t="array" ca="1" aca="1" ref="AH60">IF(OR($A60="",NOT($AC60)),"",_xlfn.LET(_xlpm._id,$A60,_xlpm._firstAnswer,$C60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0" s="99" t="str" cm="1">
        <f t="array" ca="1" aca="1" ref="AI60">IF(OR($A60="",NOT($AC60)),"",_xlfn.LET(_xlpm._id,$A60,_xlpm._firstAnswer,$C60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0" s="99" t="str" cm="1">
        <f t="array" ca="1" aca="1" ref="AJ60">IF($AG60,_xlfn.LET(_xlpm._answer,$E60,_xlpm._infoTextFull,IF($AC60,CHAR(10)&amp;SimpleLookup($A60,Questions!$A:$L)&amp;CHAR(10),""),_xlpm._startSelectedByAnswerOne,IF(_xlpm._infoTextFull="",0,FIND("___"&amp;$C60&amp;"___",_xlpm._infoTextFull)+LEN("___"&amp;$C60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0" s="99" t="b" cm="1">
        <f t="array" ca="1" aca="1" ref="AK60">IF(OR($A60="",NOT($AC60)),FALSE,SimpleLookup($A60,Questions!$A:$Q))</f>
        <v>0</v>
      </c>
      <c r="AL60" s="99" t="str" cm="1">
        <f t="array" ca="1" aca="1" ref="AL60">IF(AND($A60=Questions!$A$41,IFERROR(SimpleLookup(Questions!$A$36,$A:$E)=Definitions!$O$5,FALSE),$C60=Definitions!$A$5),Questions!$A$36&amp;" "&amp;Questions!$B$36&amp;CHAR(10)&amp;CHAR(187)&amp;" "&amp;SimpleLookup(Questions!$A$36,$A:$C)&amp;CHAR(10)&amp;SimpleLookup(Questions!$A$36,$A:$D)&amp;CHAR(10)&amp;CHAR(187)&amp;" "&amp;Definitions!$O$5&amp;CHAR(10)&amp;CHAR(10)&amp;"is incosistent with"&amp;CHAR(10)&amp;CHAR(10)&amp;$A60&amp;" "&amp;SimpleLookup($A60,Questions!$A:$B)&amp;CHAR(10)&amp;CHAR(187)&amp;" "&amp;$C60,"")</f>
        <v/>
      </c>
      <c r="AM60" s="99" cm="1">
        <f t="array" ca="1" aca="1" ref="AM60">CreateID($AM$3,$AM:$AM,$AL60&lt;&gt;"")</f>
        <v>0</v>
      </c>
      <c r="AN60" s="99" t="str" cm="1">
        <f t="array" ca="1" aca="1" ref="AN60">IF(OR($C60="",OFFSET($C60,1,0)=""),"",IF(AND($A60=Questions!$A$59,OFFSET($A60,1,0)=Questions!$A$60,SimpleLookup(Questions!$A$49,$A:$C)=Definitions!$A$4),IF(MATCH($C60,Definitions!$AW:$AW,0)&gt;MATCH(OFFSET($C60,1,0),Definitions!AW:AW,0),$A60&amp;" "&amp;$K60&amp;": "&amp;$C60&amp;CHAR(10)&amp;"&lt;---&gt;"&amp;CHAR(10)&amp;OFFSET($A60,1,0)&amp;" "&amp;OFFSET($K60,1,0)&amp;": "&amp;OFFSET($C60,1,0),""),""))</f>
        <v/>
      </c>
      <c r="AO60" s="99" cm="1">
        <f t="array" ca="1" aca="1" ref="AO60">CreateID($AO$3,$AO:$AO,$AN60&lt;&gt;"")</f>
        <v>0</v>
      </c>
    </row>
    <row r="61" spans="9:41" ht="15">
      <c r="I61" s="99" t="str">
        <f t="shared" si="6"/>
        <v/>
      </c>
      <c r="J61" s="99" t="str">
        <f t="shared" si="7"/>
        <v/>
      </c>
      <c r="K61" s="99" t="e" cm="1">
        <f t="array" ca="1" aca="1" ref="K61">SimpleLookup($A61,Questions!$A:$B)</f>
        <v>#N/A</v>
      </c>
      <c r="L61" s="99" cm="1">
        <f t="array" ca="1" aca="1" ref="L61">CreateID($L$3,$L:$L,AND($A61&lt;&gt;"",$AC61))</f>
        <v>39</v>
      </c>
      <c r="M61" s="99" cm="1">
        <f t="array" ca="1" aca="1" ref="M61">CreateTaskID($M$3,$M:$M,Tasks!$B$17,$G61)</f>
        <v>0</v>
      </c>
      <c r="N61" s="99" t="str">
        <f t="shared" si="8"/>
        <v/>
      </c>
      <c r="O61" s="99" cm="1">
        <f t="array" ca="1" aca="1" ref="O61">CreateID($O$3,$O:$O,$N61&lt;&gt;"")</f>
        <v>0</v>
      </c>
      <c r="P61" s="99" t="str">
        <f t="shared" si="9"/>
        <v/>
      </c>
      <c r="Q61" s="99" cm="1">
        <f t="array" ca="1" aca="1" ref="Q61">CreateID($Q$3,$Q:$Q,$P61&lt;&gt;"")</f>
        <v>0</v>
      </c>
      <c r="R61" s="99" t="str">
        <f t="shared" si="10"/>
        <v/>
      </c>
      <c r="S61" s="99" cm="1">
        <f t="array" ca="1" aca="1" ref="S61">CreateID($S$3,$S:$S,$R61&lt;&gt;"")</f>
        <v>2</v>
      </c>
      <c r="T61" s="99" t="str">
        <f t="shared" si="11"/>
        <v/>
      </c>
      <c r="U61" s="99" cm="1">
        <f t="array" ca="1" aca="1" ref="U61">CreateID($U$3,$U:$U,$T61&lt;&gt;"")</f>
        <v>0</v>
      </c>
      <c r="V61" s="99" cm="1">
        <f t="array" ca="1" aca="1" ref="V61">CreateID($V$3,$V:$V,IFERROR(FIND(Definitions!$AR$4,$G61)&gt;0,FALSE))</f>
        <v>0</v>
      </c>
      <c r="W61" s="99">
        <f>_xlfn.LET(_xlpm._comment,$G61,_xlpm._keyWord,Definitions!$AR$4,_xlpm._diffLen,LEN(_xlpm._comment)-LEN(SUBSTITUTE(_xlpm._comment,_xlpm._keyWord,"")),_xlpm._diffLen/LEN(_xlpm._keyWord))</f>
        <v>0</v>
      </c>
      <c r="X61" s="99" cm="1">
        <f t="array" ca="1" aca="1" ref="X61">CreateID($X$3,$X:$X,IFERROR(FIND(Definitions!$AR$5,$G61)&gt;0,FALSE))</f>
        <v>0</v>
      </c>
      <c r="Y61" s="99">
        <f>_xlfn.LET(_xlpm._comment,$G61,_xlpm._keyWord,Definitions!$AR$5,_xlpm._diffLen,LEN(_xlpm._comment)-LEN(SUBSTITUTE(_xlpm._comment,_xlpm._keyWord,"")),_xlpm._diffLen/LEN(_xlpm._keyWord))</f>
        <v>0</v>
      </c>
      <c r="Z61" s="99" t="b">
        <f ca="1">OR(IFERROR(_xlfn.XMATCH("*,"&amp;$A61&amp;",*",Assumptions!$AL:$AL,2)&gt;0,FALSE),IFERROR(_xlfn.XMATCH("*,"&amp;$A61&amp;",*",Countermeasures!$AO:$AO,2)&gt;0,FALSE))</f>
        <v>0</v>
      </c>
      <c r="AA61" s="99" t="str" cm="1">
        <f t="array" ref="AA61">CreateSearchString($I61)</f>
        <v/>
      </c>
      <c r="AB61" s="99" t="str">
        <f>IF($E61="","",IFERROR(VLOOKUP($E61,Definitions!$H:$J,COLUMNS(Definitions!$H:$J),FALSE),""))</f>
        <v/>
      </c>
      <c r="AC61" s="99" t="b" cm="1">
        <f t="array" ref="AC61">IF($A61="",FALSE,SimpleLookup($A61,Questions!$A:$D)="x")</f>
        <v>0</v>
      </c>
      <c r="AD61" s="99" t="str" cm="1">
        <f t="array" ref="AD61">IF(OR($A61="",NOT($AC61)),"",SimpleLookup($A61,Questions!$A:$E))</f>
        <v/>
      </c>
      <c r="AE61" s="99" t="str" cm="1">
        <f t="array" ref="AE61">IF(OR($A61="",NOT($AC61)),"",SimpleLookup($A61,Questions!$A:$F))</f>
        <v/>
      </c>
      <c r="AF61" s="99" t="str" cm="1">
        <f t="array" ref="AF61">_xlfn.LET(_xlpm._answer,$C61,_xlpm._infoTextFull,IF($AC61,CHAR(10)&amp;SimpleLookup($A61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1" s="99" t="b" cm="1">
        <f t="array" ref="AG61">IF(OR($A61="",NOT($AC61)),FALSE,_xlfn.LET(_xlpm._secondAnswerRequiredOn,SimpleLookup($A61,Questions!$A:$I),_xlpm._firstAnwer,$C61,IFERROR(FIND(CHAR(10)&amp;_xlpm._firstAnwer&amp;":",CHAR(10)&amp;_xlpm._secondAnswerRequiredOn)&gt;0,FALSE)))</f>
        <v>0</v>
      </c>
      <c r="AH61" s="99" t="str" cm="1">
        <f t="array" ref="AH61">IF(OR($A61="",NOT($AC61)),"",_xlfn.LET(_xlpm._id,$A61,_xlpm._firstAnswer,$C61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1" s="99" t="str" cm="1">
        <f t="array" ref="AI61">IF(OR($A61="",NOT($AC61)),"",_xlfn.LET(_xlpm._id,$A61,_xlpm._firstAnswer,$C61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1" s="99" t="str" cm="1">
        <f t="array" ref="AJ61">IF($AG61,_xlfn.LET(_xlpm._answer,$E61,_xlpm._infoTextFull,IF($AC61,CHAR(10)&amp;SimpleLookup($A61,Questions!$A:$L)&amp;CHAR(10),""),_xlpm._startSelectedByAnswerOne,IF(_xlpm._infoTextFull="",0,FIND("___"&amp;$C61&amp;"___",_xlpm._infoTextFull)+LEN("___"&amp;$C61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1" s="99" t="b" cm="1">
        <f t="array" ref="AK61">IF(OR($A61="",NOT($AC61)),FALSE,SimpleLookup($A61,Questions!$A:$Q))</f>
        <v>0</v>
      </c>
      <c r="AL61" s="99" t="str" cm="1">
        <f t="array" ca="1" aca="1" ref="AL61">IF(AND($A61=Questions!$A$41,IFERROR(SimpleLookup(Questions!$A$36,$A:$E)=Definitions!$O$5,FALSE),$C61=Definitions!$A$5),Questions!$A$36&amp;" "&amp;Questions!$B$36&amp;CHAR(10)&amp;CHAR(187)&amp;" "&amp;SimpleLookup(Questions!$A$36,$A:$C)&amp;CHAR(10)&amp;SimpleLookup(Questions!$A$36,$A:$D)&amp;CHAR(10)&amp;CHAR(187)&amp;" "&amp;Definitions!$O$5&amp;CHAR(10)&amp;CHAR(10)&amp;"is incosistent with"&amp;CHAR(10)&amp;CHAR(10)&amp;$A61&amp;" "&amp;SimpleLookup($A61,Questions!$A:$B)&amp;CHAR(10)&amp;CHAR(187)&amp;" "&amp;$C61,"")</f>
        <v/>
      </c>
      <c r="AM61" s="99" cm="1">
        <f t="array" ca="1" aca="1" ref="AM61">CreateID($AM$3,$AM:$AM,$AL61&lt;&gt;"")</f>
        <v>0</v>
      </c>
      <c r="AN61" s="99" t="str" cm="1">
        <f t="array" ca="1" aca="1" ref="AN61">IF(OR($C61="",OFFSET($C61,1,0)=""),"",IF(AND($A61=Questions!$A$59,OFFSET($A61,1,0)=Questions!$A$60,SimpleLookup(Questions!$A$49,$A:$C)=Definitions!$A$4),IF(MATCH($C61,Definitions!$AW:$AW,0)&gt;MATCH(OFFSET($C61,1,0),Definitions!AW:AW,0),$A61&amp;" "&amp;$K61&amp;": "&amp;$C61&amp;CHAR(10)&amp;"&lt;---&gt;"&amp;CHAR(10)&amp;OFFSET($A61,1,0)&amp;" "&amp;OFFSET($K61,1,0)&amp;": "&amp;OFFSET($C61,1,0),""),""))</f>
        <v/>
      </c>
      <c r="AO61" s="99" cm="1">
        <f t="array" ca="1" aca="1" ref="AO61">CreateID($AO$3,$AO:$AO,$AN61&lt;&gt;"")</f>
        <v>0</v>
      </c>
    </row>
    <row r="62" spans="9:41" ht="15">
      <c r="I62" s="99" t="str">
        <f t="shared" si="6"/>
        <v/>
      </c>
      <c r="J62" s="99" t="str">
        <f t="shared" si="7"/>
        <v/>
      </c>
      <c r="K62" s="99" t="e" cm="1">
        <f t="array" ca="1" aca="1" ref="K62">SimpleLookup($A62,Questions!$A:$B)</f>
        <v>#N/A</v>
      </c>
      <c r="L62" s="99" cm="1">
        <f t="array" ca="1" aca="1" ref="L62">CreateID($L$3,$L:$L,AND($A62&lt;&gt;"",$AC62))</f>
        <v>39</v>
      </c>
      <c r="M62" s="99" cm="1">
        <f t="array" ca="1" aca="1" ref="M62">CreateTaskID($M$3,$M:$M,Tasks!$B$17,$G62)</f>
        <v>0</v>
      </c>
      <c r="N62" s="99" t="str">
        <f t="shared" si="8"/>
        <v/>
      </c>
      <c r="O62" s="99" cm="1">
        <f t="array" ca="1" aca="1" ref="O62">CreateID($O$3,$O:$O,$N62&lt;&gt;"")</f>
        <v>0</v>
      </c>
      <c r="P62" s="99" t="str">
        <f t="shared" si="9"/>
        <v/>
      </c>
      <c r="Q62" s="99" cm="1">
        <f t="array" ca="1" aca="1" ref="Q62">CreateID($Q$3,$Q:$Q,$P62&lt;&gt;"")</f>
        <v>0</v>
      </c>
      <c r="R62" s="99" t="str">
        <f t="shared" si="10"/>
        <v/>
      </c>
      <c r="S62" s="99" cm="1">
        <f t="array" ca="1" aca="1" ref="S62">CreateID($S$3,$S:$S,$R62&lt;&gt;"")</f>
        <v>2</v>
      </c>
      <c r="T62" s="99" t="str">
        <f t="shared" si="11"/>
        <v/>
      </c>
      <c r="U62" s="99" cm="1">
        <f t="array" ca="1" aca="1" ref="U62">CreateID($U$3,$U:$U,$T62&lt;&gt;"")</f>
        <v>0</v>
      </c>
      <c r="V62" s="99" cm="1">
        <f t="array" ca="1" aca="1" ref="V62">CreateID($V$3,$V:$V,IFERROR(FIND(Definitions!$AR$4,$G62)&gt;0,FALSE))</f>
        <v>0</v>
      </c>
      <c r="W62" s="99">
        <f>_xlfn.LET(_xlpm._comment,$G62,_xlpm._keyWord,Definitions!$AR$4,_xlpm._diffLen,LEN(_xlpm._comment)-LEN(SUBSTITUTE(_xlpm._comment,_xlpm._keyWord,"")),_xlpm._diffLen/LEN(_xlpm._keyWord))</f>
        <v>0</v>
      </c>
      <c r="X62" s="99" cm="1">
        <f t="array" ca="1" aca="1" ref="X62">CreateID($X$3,$X:$X,IFERROR(FIND(Definitions!$AR$5,$G62)&gt;0,FALSE))</f>
        <v>0</v>
      </c>
      <c r="Y62" s="99">
        <f>_xlfn.LET(_xlpm._comment,$G62,_xlpm._keyWord,Definitions!$AR$5,_xlpm._diffLen,LEN(_xlpm._comment)-LEN(SUBSTITUTE(_xlpm._comment,_xlpm._keyWord,"")),_xlpm._diffLen/LEN(_xlpm._keyWord))</f>
        <v>0</v>
      </c>
      <c r="Z62" s="99" t="b">
        <f ca="1">OR(IFERROR(_xlfn.XMATCH("*,"&amp;$A62&amp;",*",Assumptions!$AL:$AL,2)&gt;0,FALSE),IFERROR(_xlfn.XMATCH("*,"&amp;$A62&amp;",*",Countermeasures!$AO:$AO,2)&gt;0,FALSE))</f>
        <v>0</v>
      </c>
      <c r="AA62" s="99" t="str" cm="1">
        <f t="array" ref="AA62">CreateSearchString($I62)</f>
        <v/>
      </c>
      <c r="AB62" s="99" t="str">
        <f>IF($E62="","",IFERROR(VLOOKUP($E62,Definitions!$H:$J,COLUMNS(Definitions!$H:$J),FALSE),""))</f>
        <v/>
      </c>
      <c r="AC62" s="99" t="b" cm="1">
        <f t="array" ref="AC62">IF($A62="",FALSE,SimpleLookup($A62,Questions!$A:$D)="x")</f>
        <v>0</v>
      </c>
      <c r="AD62" s="99" t="str" cm="1">
        <f t="array" ref="AD62">IF(OR($A62="",NOT($AC62)),"",SimpleLookup($A62,Questions!$A:$E))</f>
        <v/>
      </c>
      <c r="AE62" s="99" t="str" cm="1">
        <f t="array" ref="AE62">IF(OR($A62="",NOT($AC62)),"",SimpleLookup($A62,Questions!$A:$F))</f>
        <v/>
      </c>
      <c r="AF62" s="99" t="str" cm="1">
        <f t="array" ref="AF62">_xlfn.LET(_xlpm._answer,$C62,_xlpm._infoTextFull,IF($AC62,CHAR(10)&amp;SimpleLookup($A62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2" s="99" t="b" cm="1">
        <f t="array" ref="AG62">IF(OR($A62="",NOT($AC62)),FALSE,_xlfn.LET(_xlpm._secondAnswerRequiredOn,SimpleLookup($A62,Questions!$A:$I),_xlpm._firstAnwer,$C62,IFERROR(FIND(CHAR(10)&amp;_xlpm._firstAnwer&amp;":",CHAR(10)&amp;_xlpm._secondAnswerRequiredOn)&gt;0,FALSE)))</f>
        <v>0</v>
      </c>
      <c r="AH62" s="99" t="str" cm="1">
        <f t="array" ref="AH62">IF(OR($A62="",NOT($AC62)),"",_xlfn.LET(_xlpm._id,$A62,_xlpm._firstAnswer,$C62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2" s="99" t="str" cm="1">
        <f t="array" ref="AI62">IF(OR($A62="",NOT($AC62)),"",_xlfn.LET(_xlpm._id,$A62,_xlpm._firstAnswer,$C62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2" s="99" t="str" cm="1">
        <f t="array" ref="AJ62">IF($AG62,_xlfn.LET(_xlpm._answer,$E62,_xlpm._infoTextFull,IF($AC62,CHAR(10)&amp;SimpleLookup($A62,Questions!$A:$L)&amp;CHAR(10),""),_xlpm._startSelectedByAnswerOne,IF(_xlpm._infoTextFull="",0,FIND("___"&amp;$C62&amp;"___",_xlpm._infoTextFull)+LEN("___"&amp;$C62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2" s="99" t="b" cm="1">
        <f t="array" ref="AK62">IF(OR($A62="",NOT($AC62)),FALSE,SimpleLookup($A62,Questions!$A:$Q))</f>
        <v>0</v>
      </c>
      <c r="AL62" s="99" t="str" cm="1">
        <f t="array" ca="1" aca="1" ref="AL62">IF(AND($A62=Questions!$A$41,IFERROR(SimpleLookup(Questions!$A$36,$A:$E)=Definitions!$O$5,FALSE),$C62=Definitions!$A$5),Questions!$A$36&amp;" "&amp;Questions!$B$36&amp;CHAR(10)&amp;CHAR(187)&amp;" "&amp;SimpleLookup(Questions!$A$36,$A:$C)&amp;CHAR(10)&amp;SimpleLookup(Questions!$A$36,$A:$D)&amp;CHAR(10)&amp;CHAR(187)&amp;" "&amp;Definitions!$O$5&amp;CHAR(10)&amp;CHAR(10)&amp;"is incosistent with"&amp;CHAR(10)&amp;CHAR(10)&amp;$A62&amp;" "&amp;SimpleLookup($A62,Questions!$A:$B)&amp;CHAR(10)&amp;CHAR(187)&amp;" "&amp;$C62,"")</f>
        <v/>
      </c>
      <c r="AM62" s="99" cm="1">
        <f t="array" ca="1" aca="1" ref="AM62">CreateID($AM$3,$AM:$AM,$AL62&lt;&gt;"")</f>
        <v>0</v>
      </c>
      <c r="AN62" s="99" t="str" cm="1">
        <f t="array" ca="1" aca="1" ref="AN62">IF(OR($C62="",OFFSET($C62,1,0)=""),"",IF(AND($A62=Questions!$A$59,OFFSET($A62,1,0)=Questions!$A$60,SimpleLookup(Questions!$A$49,$A:$C)=Definitions!$A$4),IF(MATCH($C62,Definitions!$AW:$AW,0)&gt;MATCH(OFFSET($C62,1,0),Definitions!AW:AW,0),$A62&amp;" "&amp;$K62&amp;": "&amp;$C62&amp;CHAR(10)&amp;"&lt;---&gt;"&amp;CHAR(10)&amp;OFFSET($A62,1,0)&amp;" "&amp;OFFSET($K62,1,0)&amp;": "&amp;OFFSET($C62,1,0),""),""))</f>
        <v/>
      </c>
      <c r="AO62" s="99" cm="1">
        <f t="array" ca="1" aca="1" ref="AO62">CreateID($AO$3,$AO:$AO,$AN62&lt;&gt;"")</f>
        <v>0</v>
      </c>
    </row>
    <row r="63" spans="9:41" ht="15">
      <c r="I63" s="99" t="str">
        <f t="shared" si="6"/>
        <v/>
      </c>
      <c r="J63" s="99" t="str">
        <f t="shared" si="7"/>
        <v/>
      </c>
      <c r="K63" s="99" t="e" cm="1">
        <f t="array" ca="1" aca="1" ref="K63">SimpleLookup($A63,Questions!$A:$B)</f>
        <v>#N/A</v>
      </c>
      <c r="L63" s="99" cm="1">
        <f t="array" ca="1" aca="1" ref="L63">CreateID($L$3,$L:$L,AND($A63&lt;&gt;"",$AC63))</f>
        <v>39</v>
      </c>
      <c r="M63" s="99" cm="1">
        <f t="array" ca="1" aca="1" ref="M63">CreateTaskID($M$3,$M:$M,Tasks!$B$17,$G63)</f>
        <v>0</v>
      </c>
      <c r="N63" s="99" t="str">
        <f t="shared" si="8"/>
        <v/>
      </c>
      <c r="O63" s="99" cm="1">
        <f t="array" ca="1" aca="1" ref="O63">CreateID($O$3,$O:$O,$N63&lt;&gt;"")</f>
        <v>0</v>
      </c>
      <c r="P63" s="99" t="str">
        <f t="shared" si="9"/>
        <v/>
      </c>
      <c r="Q63" s="99" cm="1">
        <f t="array" ca="1" aca="1" ref="Q63">CreateID($Q$3,$Q:$Q,$P63&lt;&gt;"")</f>
        <v>0</v>
      </c>
      <c r="R63" s="99" t="str">
        <f t="shared" si="10"/>
        <v/>
      </c>
      <c r="S63" s="99" cm="1">
        <f t="array" ca="1" aca="1" ref="S63">CreateID($S$3,$S:$S,$R63&lt;&gt;"")</f>
        <v>2</v>
      </c>
      <c r="T63" s="99" t="str">
        <f t="shared" si="11"/>
        <v/>
      </c>
      <c r="U63" s="99" cm="1">
        <f t="array" ca="1" aca="1" ref="U63">CreateID($U$3,$U:$U,$T63&lt;&gt;"")</f>
        <v>0</v>
      </c>
      <c r="V63" s="99" cm="1">
        <f t="array" ca="1" aca="1" ref="V63">CreateID($V$3,$V:$V,IFERROR(FIND(Definitions!$AR$4,$G63)&gt;0,FALSE))</f>
        <v>0</v>
      </c>
      <c r="W63" s="99">
        <f>_xlfn.LET(_xlpm._comment,$G63,_xlpm._keyWord,Definitions!$AR$4,_xlpm._diffLen,LEN(_xlpm._comment)-LEN(SUBSTITUTE(_xlpm._comment,_xlpm._keyWord,"")),_xlpm._diffLen/LEN(_xlpm._keyWord))</f>
        <v>0</v>
      </c>
      <c r="X63" s="99" cm="1">
        <f t="array" ca="1" aca="1" ref="X63">CreateID($X$3,$X:$X,IFERROR(FIND(Definitions!$AR$5,$G63)&gt;0,FALSE))</f>
        <v>0</v>
      </c>
      <c r="Y63" s="99">
        <f>_xlfn.LET(_xlpm._comment,$G63,_xlpm._keyWord,Definitions!$AR$5,_xlpm._diffLen,LEN(_xlpm._comment)-LEN(SUBSTITUTE(_xlpm._comment,_xlpm._keyWord,"")),_xlpm._diffLen/LEN(_xlpm._keyWord))</f>
        <v>0</v>
      </c>
      <c r="Z63" s="99" t="b">
        <f ca="1">OR(IFERROR(_xlfn.XMATCH("*,"&amp;$A63&amp;",*",Assumptions!$AL:$AL,2)&gt;0,FALSE),IFERROR(_xlfn.XMATCH("*,"&amp;$A63&amp;",*",Countermeasures!$AO:$AO,2)&gt;0,FALSE))</f>
        <v>0</v>
      </c>
      <c r="AA63" s="99" t="str" cm="1">
        <f t="array" ref="AA63">CreateSearchString($I63)</f>
        <v/>
      </c>
      <c r="AB63" s="99" t="str">
        <f>IF($E63="","",IFERROR(VLOOKUP($E63,Definitions!$H:$J,COLUMNS(Definitions!$H:$J),FALSE),""))</f>
        <v/>
      </c>
      <c r="AC63" s="99" t="b" cm="1">
        <f t="array" ref="AC63">IF($A63="",FALSE,SimpleLookup($A63,Questions!$A:$D)="x")</f>
        <v>0</v>
      </c>
      <c r="AD63" s="99" t="str" cm="1">
        <f t="array" ref="AD63">IF(OR($A63="",NOT($AC63)),"",SimpleLookup($A63,Questions!$A:$E))</f>
        <v/>
      </c>
      <c r="AE63" s="99" t="str" cm="1">
        <f t="array" ref="AE63">IF(OR($A63="",NOT($AC63)),"",SimpleLookup($A63,Questions!$A:$F))</f>
        <v/>
      </c>
      <c r="AF63" s="99" t="str" cm="1">
        <f t="array" ref="AF63">_xlfn.LET(_xlpm._answer,$C63,_xlpm._infoTextFull,IF($AC63,CHAR(10)&amp;SimpleLookup($A63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3" s="99" t="b" cm="1">
        <f t="array" ref="AG63">IF(OR($A63="",NOT($AC63)),FALSE,_xlfn.LET(_xlpm._secondAnswerRequiredOn,SimpleLookup($A63,Questions!$A:$I),_xlpm._firstAnwer,$C63,IFERROR(FIND(CHAR(10)&amp;_xlpm._firstAnwer&amp;":",CHAR(10)&amp;_xlpm._secondAnswerRequiredOn)&gt;0,FALSE)))</f>
        <v>0</v>
      </c>
      <c r="AH63" s="99" t="str" cm="1">
        <f t="array" ref="AH63">IF(OR($A63="",NOT($AC63)),"",_xlfn.LET(_xlpm._id,$A63,_xlpm._firstAnswer,$C63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3" s="99" t="str" cm="1">
        <f t="array" ref="AI63">IF(OR($A63="",NOT($AC63)),"",_xlfn.LET(_xlpm._id,$A63,_xlpm._firstAnswer,$C63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3" s="99" t="str" cm="1">
        <f t="array" ref="AJ63">IF($AG63,_xlfn.LET(_xlpm._answer,$E63,_xlpm._infoTextFull,IF($AC63,CHAR(10)&amp;SimpleLookup($A63,Questions!$A:$L)&amp;CHAR(10),""),_xlpm._startSelectedByAnswerOne,IF(_xlpm._infoTextFull="",0,FIND("___"&amp;$C63&amp;"___",_xlpm._infoTextFull)+LEN("___"&amp;$C63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3" s="99" t="b" cm="1">
        <f t="array" ref="AK63">IF(OR($A63="",NOT($AC63)),FALSE,SimpleLookup($A63,Questions!$A:$Q))</f>
        <v>0</v>
      </c>
      <c r="AL63" s="99" t="str" cm="1">
        <f t="array" ca="1" aca="1" ref="AL63">IF(AND($A63=Questions!$A$41,IFERROR(SimpleLookup(Questions!$A$36,$A:$E)=Definitions!$O$5,FALSE),$C63=Definitions!$A$5),Questions!$A$36&amp;" "&amp;Questions!$B$36&amp;CHAR(10)&amp;CHAR(187)&amp;" "&amp;SimpleLookup(Questions!$A$36,$A:$C)&amp;CHAR(10)&amp;SimpleLookup(Questions!$A$36,$A:$D)&amp;CHAR(10)&amp;CHAR(187)&amp;" "&amp;Definitions!$O$5&amp;CHAR(10)&amp;CHAR(10)&amp;"is incosistent with"&amp;CHAR(10)&amp;CHAR(10)&amp;$A63&amp;" "&amp;SimpleLookup($A63,Questions!$A:$B)&amp;CHAR(10)&amp;CHAR(187)&amp;" "&amp;$C63,"")</f>
        <v/>
      </c>
      <c r="AM63" s="99" cm="1">
        <f t="array" ca="1" aca="1" ref="AM63">CreateID($AM$3,$AM:$AM,$AL63&lt;&gt;"")</f>
        <v>0</v>
      </c>
      <c r="AN63" s="99" t="str" cm="1">
        <f t="array" ca="1" aca="1" ref="AN63">IF(OR($C63="",OFFSET($C63,1,0)=""),"",IF(AND($A63=Questions!$A$59,OFFSET($A63,1,0)=Questions!$A$60,SimpleLookup(Questions!$A$49,$A:$C)=Definitions!$A$4),IF(MATCH($C63,Definitions!$AW:$AW,0)&gt;MATCH(OFFSET($C63,1,0),Definitions!AW:AW,0),$A63&amp;" "&amp;$K63&amp;": "&amp;$C63&amp;CHAR(10)&amp;"&lt;---&gt;"&amp;CHAR(10)&amp;OFFSET($A63,1,0)&amp;" "&amp;OFFSET($K63,1,0)&amp;": "&amp;OFFSET($C63,1,0),""),""))</f>
        <v/>
      </c>
      <c r="AO63" s="99" cm="1">
        <f t="array" ca="1" aca="1" ref="AO63">CreateID($AO$3,$AO:$AO,$AN63&lt;&gt;"")</f>
        <v>0</v>
      </c>
    </row>
    <row r="64" spans="9:41" ht="15">
      <c r="I64" s="99" t="str">
        <f t="shared" si="6"/>
        <v/>
      </c>
      <c r="J64" s="99" t="str">
        <f t="shared" si="7"/>
        <v/>
      </c>
      <c r="K64" s="99" t="e" cm="1">
        <f t="array" ca="1" aca="1" ref="K64">SimpleLookup($A64,Questions!$A:$B)</f>
        <v>#N/A</v>
      </c>
      <c r="L64" s="99" cm="1">
        <f t="array" ca="1" aca="1" ref="L64">CreateID($L$3,$L:$L,AND($A64&lt;&gt;"",$AC64))</f>
        <v>39</v>
      </c>
      <c r="M64" s="99" cm="1">
        <f t="array" ca="1" aca="1" ref="M64">CreateTaskID($M$3,$M:$M,Tasks!$B$17,$G64)</f>
        <v>0</v>
      </c>
      <c r="N64" s="99" t="str">
        <f t="shared" si="8"/>
        <v/>
      </c>
      <c r="O64" s="99" cm="1">
        <f t="array" ca="1" aca="1" ref="O64">CreateID($O$3,$O:$O,$N64&lt;&gt;"")</f>
        <v>0</v>
      </c>
      <c r="P64" s="99" t="str">
        <f t="shared" si="9"/>
        <v/>
      </c>
      <c r="Q64" s="99" cm="1">
        <f t="array" ca="1" aca="1" ref="Q64">CreateID($Q$3,$Q:$Q,$P64&lt;&gt;"")</f>
        <v>0</v>
      </c>
      <c r="R64" s="99" t="str">
        <f t="shared" si="10"/>
        <v/>
      </c>
      <c r="S64" s="99" cm="1">
        <f t="array" ca="1" aca="1" ref="S64">CreateID($S$3,$S:$S,$R64&lt;&gt;"")</f>
        <v>2</v>
      </c>
      <c r="T64" s="99" t="str">
        <f t="shared" si="11"/>
        <v/>
      </c>
      <c r="U64" s="99" cm="1">
        <f t="array" ca="1" aca="1" ref="U64">CreateID($U$3,$U:$U,$T64&lt;&gt;"")</f>
        <v>0</v>
      </c>
      <c r="V64" s="99" cm="1">
        <f t="array" ca="1" aca="1" ref="V64">CreateID($V$3,$V:$V,IFERROR(FIND(Definitions!$AR$4,$G64)&gt;0,FALSE))</f>
        <v>0</v>
      </c>
      <c r="W64" s="99">
        <f>_xlfn.LET(_xlpm._comment,$G64,_xlpm._keyWord,Definitions!$AR$4,_xlpm._diffLen,LEN(_xlpm._comment)-LEN(SUBSTITUTE(_xlpm._comment,_xlpm._keyWord,"")),_xlpm._diffLen/LEN(_xlpm._keyWord))</f>
        <v>0</v>
      </c>
      <c r="X64" s="99" cm="1">
        <f t="array" ca="1" aca="1" ref="X64">CreateID($X$3,$X:$X,IFERROR(FIND(Definitions!$AR$5,$G64)&gt;0,FALSE))</f>
        <v>0</v>
      </c>
      <c r="Y64" s="99">
        <f>_xlfn.LET(_xlpm._comment,$G64,_xlpm._keyWord,Definitions!$AR$5,_xlpm._diffLen,LEN(_xlpm._comment)-LEN(SUBSTITUTE(_xlpm._comment,_xlpm._keyWord,"")),_xlpm._diffLen/LEN(_xlpm._keyWord))</f>
        <v>0</v>
      </c>
      <c r="Z64" s="99" t="b">
        <f ca="1">OR(IFERROR(_xlfn.XMATCH("*,"&amp;$A64&amp;",*",Assumptions!$AL:$AL,2)&gt;0,FALSE),IFERROR(_xlfn.XMATCH("*,"&amp;$A64&amp;",*",Countermeasures!$AO:$AO,2)&gt;0,FALSE))</f>
        <v>0</v>
      </c>
      <c r="AA64" s="99" t="str" cm="1">
        <f t="array" ref="AA64">CreateSearchString($I64)</f>
        <v/>
      </c>
      <c r="AB64" s="99" t="str">
        <f>IF($E64="","",IFERROR(VLOOKUP($E64,Definitions!$H:$J,COLUMNS(Definitions!$H:$J),FALSE),""))</f>
        <v/>
      </c>
      <c r="AC64" s="99" t="b" cm="1">
        <f t="array" ref="AC64">IF($A64="",FALSE,SimpleLookup($A64,Questions!$A:$D)="x")</f>
        <v>0</v>
      </c>
      <c r="AD64" s="99" t="str" cm="1">
        <f t="array" ref="AD64">IF(OR($A64="",NOT($AC64)),"",SimpleLookup($A64,Questions!$A:$E))</f>
        <v/>
      </c>
      <c r="AE64" s="99" t="str" cm="1">
        <f t="array" ref="AE64">IF(OR($A64="",NOT($AC64)),"",SimpleLookup($A64,Questions!$A:$F))</f>
        <v/>
      </c>
      <c r="AF64" s="99" t="str" cm="1">
        <f t="array" ref="AF64">_xlfn.LET(_xlpm._answer,$C64,_xlpm._infoTextFull,IF($AC64,CHAR(10)&amp;SimpleLookup($A64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4" s="99" t="b" cm="1">
        <f t="array" ref="AG64">IF(OR($A64="",NOT($AC64)),FALSE,_xlfn.LET(_xlpm._secondAnswerRequiredOn,SimpleLookup($A64,Questions!$A:$I),_xlpm._firstAnwer,$C64,IFERROR(FIND(CHAR(10)&amp;_xlpm._firstAnwer&amp;":",CHAR(10)&amp;_xlpm._secondAnswerRequiredOn)&gt;0,FALSE)))</f>
        <v>0</v>
      </c>
      <c r="AH64" s="99" t="str" cm="1">
        <f t="array" ref="AH64">IF(OR($A64="",NOT($AC64)),"",_xlfn.LET(_xlpm._id,$A64,_xlpm._firstAnswer,$C64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4" s="99" t="str" cm="1">
        <f t="array" ref="AI64">IF(OR($A64="",NOT($AC64)),"",_xlfn.LET(_xlpm._id,$A64,_xlpm._firstAnswer,$C64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4" s="99" t="str" cm="1">
        <f t="array" ref="AJ64">IF($AG64,_xlfn.LET(_xlpm._answer,$E64,_xlpm._infoTextFull,IF($AC64,CHAR(10)&amp;SimpleLookup($A64,Questions!$A:$L)&amp;CHAR(10),""),_xlpm._startSelectedByAnswerOne,IF(_xlpm._infoTextFull="",0,FIND("___"&amp;$C64&amp;"___",_xlpm._infoTextFull)+LEN("___"&amp;$C64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4" s="99" t="b" cm="1">
        <f t="array" ref="AK64">IF(OR($A64="",NOT($AC64)),FALSE,SimpleLookup($A64,Questions!$A:$Q))</f>
        <v>0</v>
      </c>
      <c r="AL64" s="99" t="str" cm="1">
        <f t="array" ca="1" aca="1" ref="AL64">IF(AND($A64=Questions!$A$41,IFERROR(SimpleLookup(Questions!$A$36,$A:$E)=Definitions!$O$5,FALSE),$C64=Definitions!$A$5),Questions!$A$36&amp;" "&amp;Questions!$B$36&amp;CHAR(10)&amp;CHAR(187)&amp;" "&amp;SimpleLookup(Questions!$A$36,$A:$C)&amp;CHAR(10)&amp;SimpleLookup(Questions!$A$36,$A:$D)&amp;CHAR(10)&amp;CHAR(187)&amp;" "&amp;Definitions!$O$5&amp;CHAR(10)&amp;CHAR(10)&amp;"is incosistent with"&amp;CHAR(10)&amp;CHAR(10)&amp;$A64&amp;" "&amp;SimpleLookup($A64,Questions!$A:$B)&amp;CHAR(10)&amp;CHAR(187)&amp;" "&amp;$C64,"")</f>
        <v/>
      </c>
      <c r="AM64" s="99" cm="1">
        <f t="array" ca="1" aca="1" ref="AM64">CreateID($AM$3,$AM:$AM,$AL64&lt;&gt;"")</f>
        <v>0</v>
      </c>
      <c r="AN64" s="99" t="str" cm="1">
        <f t="array" ca="1" aca="1" ref="AN64">IF(OR($C64="",OFFSET($C64,1,0)=""),"",IF(AND($A64=Questions!$A$59,OFFSET($A64,1,0)=Questions!$A$60,SimpleLookup(Questions!$A$49,$A:$C)=Definitions!$A$4),IF(MATCH($C64,Definitions!$AW:$AW,0)&gt;MATCH(OFFSET($C64,1,0),Definitions!AW:AW,0),$A64&amp;" "&amp;$K64&amp;": "&amp;$C64&amp;CHAR(10)&amp;"&lt;---&gt;"&amp;CHAR(10)&amp;OFFSET($A64,1,0)&amp;" "&amp;OFFSET($K64,1,0)&amp;": "&amp;OFFSET($C64,1,0),""),""))</f>
        <v/>
      </c>
      <c r="AO64" s="99" cm="1">
        <f t="array" ca="1" aca="1" ref="AO64">CreateID($AO$3,$AO:$AO,$AN64&lt;&gt;"")</f>
        <v>0</v>
      </c>
    </row>
    <row r="65" spans="9:41" ht="15">
      <c r="I65" s="99" t="str">
        <f t="shared" si="6"/>
        <v/>
      </c>
      <c r="J65" s="99" t="str">
        <f t="shared" si="7"/>
        <v/>
      </c>
      <c r="K65" s="99" t="e" cm="1">
        <f t="array" ca="1" aca="1" ref="K65">SimpleLookup($A65,Questions!$A:$B)</f>
        <v>#N/A</v>
      </c>
      <c r="L65" s="99" cm="1">
        <f t="array" ca="1" aca="1" ref="L65">CreateID($L$3,$L:$L,AND($A65&lt;&gt;"",$AC65))</f>
        <v>39</v>
      </c>
      <c r="M65" s="99" cm="1">
        <f t="array" ca="1" aca="1" ref="M65">CreateTaskID($M$3,$M:$M,Tasks!$B$17,$G65)</f>
        <v>0</v>
      </c>
      <c r="N65" s="99" t="str">
        <f t="shared" si="8"/>
        <v/>
      </c>
      <c r="O65" s="99" cm="1">
        <f t="array" ca="1" aca="1" ref="O65">CreateID($O$3,$O:$O,$N65&lt;&gt;"")</f>
        <v>0</v>
      </c>
      <c r="P65" s="99" t="str">
        <f t="shared" si="9"/>
        <v/>
      </c>
      <c r="Q65" s="99" cm="1">
        <f t="array" ca="1" aca="1" ref="Q65">CreateID($Q$3,$Q:$Q,$P65&lt;&gt;"")</f>
        <v>0</v>
      </c>
      <c r="R65" s="99" t="str">
        <f t="shared" si="10"/>
        <v/>
      </c>
      <c r="S65" s="99" cm="1">
        <f t="array" ca="1" aca="1" ref="S65">CreateID($S$3,$S:$S,$R65&lt;&gt;"")</f>
        <v>2</v>
      </c>
      <c r="T65" s="99" t="str">
        <f t="shared" si="11"/>
        <v/>
      </c>
      <c r="U65" s="99" cm="1">
        <f t="array" ca="1" aca="1" ref="U65">CreateID($U$3,$U:$U,$T65&lt;&gt;"")</f>
        <v>0</v>
      </c>
      <c r="V65" s="99" cm="1">
        <f t="array" ca="1" aca="1" ref="V65">CreateID($V$3,$V:$V,IFERROR(FIND(Definitions!$AR$4,$G65)&gt;0,FALSE))</f>
        <v>0</v>
      </c>
      <c r="W65" s="99">
        <f>_xlfn.LET(_xlpm._comment,$G65,_xlpm._keyWord,Definitions!$AR$4,_xlpm._diffLen,LEN(_xlpm._comment)-LEN(SUBSTITUTE(_xlpm._comment,_xlpm._keyWord,"")),_xlpm._diffLen/LEN(_xlpm._keyWord))</f>
        <v>0</v>
      </c>
      <c r="X65" s="99" cm="1">
        <f t="array" ca="1" aca="1" ref="X65">CreateID($X$3,$X:$X,IFERROR(FIND(Definitions!$AR$5,$G65)&gt;0,FALSE))</f>
        <v>0</v>
      </c>
      <c r="Y65" s="99">
        <f>_xlfn.LET(_xlpm._comment,$G65,_xlpm._keyWord,Definitions!$AR$5,_xlpm._diffLen,LEN(_xlpm._comment)-LEN(SUBSTITUTE(_xlpm._comment,_xlpm._keyWord,"")),_xlpm._diffLen/LEN(_xlpm._keyWord))</f>
        <v>0</v>
      </c>
      <c r="Z65" s="99" t="b">
        <f ca="1">OR(IFERROR(_xlfn.XMATCH("*,"&amp;$A65&amp;",*",Assumptions!$AL:$AL,2)&gt;0,FALSE),IFERROR(_xlfn.XMATCH("*,"&amp;$A65&amp;",*",Countermeasures!$AO:$AO,2)&gt;0,FALSE))</f>
        <v>0</v>
      </c>
      <c r="AA65" s="99" t="str" cm="1">
        <f t="array" ref="AA65">CreateSearchString($I65)</f>
        <v/>
      </c>
      <c r="AB65" s="99" t="str">
        <f>IF($E65="","",IFERROR(VLOOKUP($E65,Definitions!$H:$J,COLUMNS(Definitions!$H:$J),FALSE),""))</f>
        <v/>
      </c>
      <c r="AC65" s="99" t="b" cm="1">
        <f t="array" ref="AC65">IF($A65="",FALSE,SimpleLookup($A65,Questions!$A:$D)="x")</f>
        <v>0</v>
      </c>
      <c r="AD65" s="99" t="str" cm="1">
        <f t="array" ref="AD65">IF(OR($A65="",NOT($AC65)),"",SimpleLookup($A65,Questions!$A:$E))</f>
        <v/>
      </c>
      <c r="AE65" s="99" t="str" cm="1">
        <f t="array" ref="AE65">IF(OR($A65="",NOT($AC65)),"",SimpleLookup($A65,Questions!$A:$F))</f>
        <v/>
      </c>
      <c r="AF65" s="99" t="str" cm="1">
        <f t="array" ref="AF65">_xlfn.LET(_xlpm._answer,$C65,_xlpm._infoTextFull,IF($AC65,CHAR(10)&amp;SimpleLookup($A65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5" s="99" t="b" cm="1">
        <f t="array" ref="AG65">IF(OR($A65="",NOT($AC65)),FALSE,_xlfn.LET(_xlpm._secondAnswerRequiredOn,SimpleLookup($A65,Questions!$A:$I),_xlpm._firstAnwer,$C65,IFERROR(FIND(CHAR(10)&amp;_xlpm._firstAnwer&amp;":",CHAR(10)&amp;_xlpm._secondAnswerRequiredOn)&gt;0,FALSE)))</f>
        <v>0</v>
      </c>
      <c r="AH65" s="99" t="str" cm="1">
        <f t="array" ref="AH65">IF(OR($A65="",NOT($AC65)),"",_xlfn.LET(_xlpm._id,$A65,_xlpm._firstAnswer,$C65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5" s="99" t="str" cm="1">
        <f t="array" ref="AI65">IF(OR($A65="",NOT($AC65)),"",_xlfn.LET(_xlpm._id,$A65,_xlpm._firstAnswer,$C65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5" s="99" t="str" cm="1">
        <f t="array" ref="AJ65">IF($AG65,_xlfn.LET(_xlpm._answer,$E65,_xlpm._infoTextFull,IF($AC65,CHAR(10)&amp;SimpleLookup($A65,Questions!$A:$L)&amp;CHAR(10),""),_xlpm._startSelectedByAnswerOne,IF(_xlpm._infoTextFull="",0,FIND("___"&amp;$C65&amp;"___",_xlpm._infoTextFull)+LEN("___"&amp;$C65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5" s="99" t="b" cm="1">
        <f t="array" ref="AK65">IF(OR($A65="",NOT($AC65)),FALSE,SimpleLookup($A65,Questions!$A:$Q))</f>
        <v>0</v>
      </c>
      <c r="AL65" s="99" t="str" cm="1">
        <f t="array" ca="1" aca="1" ref="AL65">IF(AND($A65=Questions!$A$41,IFERROR(SimpleLookup(Questions!$A$36,$A:$E)=Definitions!$O$5,FALSE),$C65=Definitions!$A$5),Questions!$A$36&amp;" "&amp;Questions!$B$36&amp;CHAR(10)&amp;CHAR(187)&amp;" "&amp;SimpleLookup(Questions!$A$36,$A:$C)&amp;CHAR(10)&amp;SimpleLookup(Questions!$A$36,$A:$D)&amp;CHAR(10)&amp;CHAR(187)&amp;" "&amp;Definitions!$O$5&amp;CHAR(10)&amp;CHAR(10)&amp;"is incosistent with"&amp;CHAR(10)&amp;CHAR(10)&amp;$A65&amp;" "&amp;SimpleLookup($A65,Questions!$A:$B)&amp;CHAR(10)&amp;CHAR(187)&amp;" "&amp;$C65,"")</f>
        <v/>
      </c>
      <c r="AM65" s="99" cm="1">
        <f t="array" ca="1" aca="1" ref="AM65">CreateID($AM$3,$AM:$AM,$AL65&lt;&gt;"")</f>
        <v>0</v>
      </c>
      <c r="AN65" s="99" t="str" cm="1">
        <f t="array" ca="1" aca="1" ref="AN65">IF(OR($C65="",OFFSET($C65,1,0)=""),"",IF(AND($A65=Questions!$A$59,OFFSET($A65,1,0)=Questions!$A$60,SimpleLookup(Questions!$A$49,$A:$C)=Definitions!$A$4),IF(MATCH($C65,Definitions!$AW:$AW,0)&gt;MATCH(OFFSET($C65,1,0),Definitions!AW:AW,0),$A65&amp;" "&amp;$K65&amp;": "&amp;$C65&amp;CHAR(10)&amp;"&lt;---&gt;"&amp;CHAR(10)&amp;OFFSET($A65,1,0)&amp;" "&amp;OFFSET($K65,1,0)&amp;": "&amp;OFFSET($C65,1,0),""),""))</f>
        <v/>
      </c>
      <c r="AO65" s="99" cm="1">
        <f t="array" ca="1" aca="1" ref="AO65">CreateID($AO$3,$AO:$AO,$AN65&lt;&gt;"")</f>
        <v>0</v>
      </c>
    </row>
    <row r="66" spans="9:41" ht="15">
      <c r="I66" s="99" t="str">
        <f t="shared" si="6"/>
        <v/>
      </c>
      <c r="J66" s="99" t="str">
        <f t="shared" si="7"/>
        <v/>
      </c>
      <c r="K66" s="99" t="e" cm="1">
        <f t="array" ca="1" aca="1" ref="K66">SimpleLookup($A66,Questions!$A:$B)</f>
        <v>#N/A</v>
      </c>
      <c r="L66" s="99" cm="1">
        <f t="array" ca="1" aca="1" ref="L66">CreateID($L$3,$L:$L,AND($A66&lt;&gt;"",$AC66))</f>
        <v>39</v>
      </c>
      <c r="M66" s="99" cm="1">
        <f t="array" ca="1" aca="1" ref="M66">CreateTaskID($M$3,$M:$M,Tasks!$B$17,$G66)</f>
        <v>0</v>
      </c>
      <c r="N66" s="99" t="str">
        <f t="shared" si="8"/>
        <v/>
      </c>
      <c r="O66" s="99" cm="1">
        <f t="array" ca="1" aca="1" ref="O66">CreateID($O$3,$O:$O,$N66&lt;&gt;"")</f>
        <v>0</v>
      </c>
      <c r="P66" s="99" t="str">
        <f t="shared" si="9"/>
        <v/>
      </c>
      <c r="Q66" s="99" cm="1">
        <f t="array" ca="1" aca="1" ref="Q66">CreateID($Q$3,$Q:$Q,$P66&lt;&gt;"")</f>
        <v>0</v>
      </c>
      <c r="R66" s="99" t="str">
        <f t="shared" si="10"/>
        <v/>
      </c>
      <c r="S66" s="99" cm="1">
        <f t="array" ca="1" aca="1" ref="S66">CreateID($S$3,$S:$S,$R66&lt;&gt;"")</f>
        <v>2</v>
      </c>
      <c r="T66" s="99" t="str">
        <f t="shared" si="11"/>
        <v/>
      </c>
      <c r="U66" s="99" cm="1">
        <f t="array" ca="1" aca="1" ref="U66">CreateID($U$3,$U:$U,$T66&lt;&gt;"")</f>
        <v>0</v>
      </c>
      <c r="V66" s="99" cm="1">
        <f t="array" ca="1" aca="1" ref="V66">CreateID($V$3,$V:$V,IFERROR(FIND(Definitions!$AR$4,$G66)&gt;0,FALSE))</f>
        <v>0</v>
      </c>
      <c r="W66" s="99">
        <f>_xlfn.LET(_xlpm._comment,$G66,_xlpm._keyWord,Definitions!$AR$4,_xlpm._diffLen,LEN(_xlpm._comment)-LEN(SUBSTITUTE(_xlpm._comment,_xlpm._keyWord,"")),_xlpm._diffLen/LEN(_xlpm._keyWord))</f>
        <v>0</v>
      </c>
      <c r="X66" s="99" cm="1">
        <f t="array" ca="1" aca="1" ref="X66">CreateID($X$3,$X:$X,IFERROR(FIND(Definitions!$AR$5,$G66)&gt;0,FALSE))</f>
        <v>0</v>
      </c>
      <c r="Y66" s="99">
        <f>_xlfn.LET(_xlpm._comment,$G66,_xlpm._keyWord,Definitions!$AR$5,_xlpm._diffLen,LEN(_xlpm._comment)-LEN(SUBSTITUTE(_xlpm._comment,_xlpm._keyWord,"")),_xlpm._diffLen/LEN(_xlpm._keyWord))</f>
        <v>0</v>
      </c>
      <c r="Z66" s="99" t="b">
        <f ca="1">OR(IFERROR(_xlfn.XMATCH("*,"&amp;$A66&amp;",*",Assumptions!$AL:$AL,2)&gt;0,FALSE),IFERROR(_xlfn.XMATCH("*,"&amp;$A66&amp;",*",Countermeasures!$AO:$AO,2)&gt;0,FALSE))</f>
        <v>0</v>
      </c>
      <c r="AA66" s="99" t="str" cm="1">
        <f t="array" ref="AA66">CreateSearchString($I66)</f>
        <v/>
      </c>
      <c r="AB66" s="99" t="str">
        <f>IF($E66="","",IFERROR(VLOOKUP($E66,Definitions!$H:$J,COLUMNS(Definitions!$H:$J),FALSE),""))</f>
        <v/>
      </c>
      <c r="AC66" s="99" t="b" cm="1">
        <f t="array" ref="AC66">IF($A66="",FALSE,SimpleLookup($A66,Questions!$A:$D)="x")</f>
        <v>0</v>
      </c>
      <c r="AD66" s="99" t="str" cm="1">
        <f t="array" ref="AD66">IF(OR($A66="",NOT($AC66)),"",SimpleLookup($A66,Questions!$A:$E))</f>
        <v/>
      </c>
      <c r="AE66" s="99" t="str" cm="1">
        <f t="array" ref="AE66">IF(OR($A66="",NOT($AC66)),"",SimpleLookup($A66,Questions!$A:$F))</f>
        <v/>
      </c>
      <c r="AF66" s="99" t="str" cm="1">
        <f t="array" ref="AF66">_xlfn.LET(_xlpm._answer,$C66,_xlpm._infoTextFull,IF($AC66,CHAR(10)&amp;SimpleLookup($A66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6" s="99" t="b" cm="1">
        <f t="array" ref="AG66">IF(OR($A66="",NOT($AC66)),FALSE,_xlfn.LET(_xlpm._secondAnswerRequiredOn,SimpleLookup($A66,Questions!$A:$I),_xlpm._firstAnwer,$C66,IFERROR(FIND(CHAR(10)&amp;_xlpm._firstAnwer&amp;":",CHAR(10)&amp;_xlpm._secondAnswerRequiredOn)&gt;0,FALSE)))</f>
        <v>0</v>
      </c>
      <c r="AH66" s="99" t="str" cm="1">
        <f t="array" ref="AH66">IF(OR($A66="",NOT($AC66)),"",_xlfn.LET(_xlpm._id,$A66,_xlpm._firstAnswer,$C66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6" s="99" t="str" cm="1">
        <f t="array" ref="AI66">IF(OR($A66="",NOT($AC66)),"",_xlfn.LET(_xlpm._id,$A66,_xlpm._firstAnswer,$C66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6" s="99" t="str" cm="1">
        <f t="array" ref="AJ66">IF($AG66,_xlfn.LET(_xlpm._answer,$E66,_xlpm._infoTextFull,IF($AC66,CHAR(10)&amp;SimpleLookup($A66,Questions!$A:$L)&amp;CHAR(10),""),_xlpm._startSelectedByAnswerOne,IF(_xlpm._infoTextFull="",0,FIND("___"&amp;$C66&amp;"___",_xlpm._infoTextFull)+LEN("___"&amp;$C66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6" s="99" t="b" cm="1">
        <f t="array" ref="AK66">IF(OR($A66="",NOT($AC66)),FALSE,SimpleLookup($A66,Questions!$A:$Q))</f>
        <v>0</v>
      </c>
      <c r="AL66" s="99" t="str" cm="1">
        <f t="array" ca="1" aca="1" ref="AL66">IF(AND($A66=Questions!$A$41,IFERROR(SimpleLookup(Questions!$A$36,$A:$E)=Definitions!$O$5,FALSE),$C66=Definitions!$A$5),Questions!$A$36&amp;" "&amp;Questions!$B$36&amp;CHAR(10)&amp;CHAR(187)&amp;" "&amp;SimpleLookup(Questions!$A$36,$A:$C)&amp;CHAR(10)&amp;SimpleLookup(Questions!$A$36,$A:$D)&amp;CHAR(10)&amp;CHAR(187)&amp;" "&amp;Definitions!$O$5&amp;CHAR(10)&amp;CHAR(10)&amp;"is incosistent with"&amp;CHAR(10)&amp;CHAR(10)&amp;$A66&amp;" "&amp;SimpleLookup($A66,Questions!$A:$B)&amp;CHAR(10)&amp;CHAR(187)&amp;" "&amp;$C66,"")</f>
        <v/>
      </c>
      <c r="AM66" s="99" cm="1">
        <f t="array" ca="1" aca="1" ref="AM66">CreateID($AM$3,$AM:$AM,$AL66&lt;&gt;"")</f>
        <v>0</v>
      </c>
      <c r="AN66" s="99" t="str" cm="1">
        <f t="array" ca="1" aca="1" ref="AN66">IF(OR($C66="",OFFSET($C66,1,0)=""),"",IF(AND($A66=Questions!$A$59,OFFSET($A66,1,0)=Questions!$A$60,SimpleLookup(Questions!$A$49,$A:$C)=Definitions!$A$4),IF(MATCH($C66,Definitions!$AW:$AW,0)&gt;MATCH(OFFSET($C66,1,0),Definitions!AW:AW,0),$A66&amp;" "&amp;$K66&amp;": "&amp;$C66&amp;CHAR(10)&amp;"&lt;---&gt;"&amp;CHAR(10)&amp;OFFSET($A66,1,0)&amp;" "&amp;OFFSET($K66,1,0)&amp;": "&amp;OFFSET($C66,1,0),""),""))</f>
        <v/>
      </c>
      <c r="AO66" s="99" cm="1">
        <f t="array" ca="1" aca="1" ref="AO66">CreateID($AO$3,$AO:$AO,$AN66&lt;&gt;"")</f>
        <v>0</v>
      </c>
    </row>
    <row r="67" spans="9:41" ht="15">
      <c r="I67" s="99" t="str">
        <f t="shared" si="6"/>
        <v/>
      </c>
      <c r="J67" s="99" t="str">
        <f t="shared" si="7"/>
        <v/>
      </c>
      <c r="K67" s="99" t="e" cm="1">
        <f t="array" ca="1" aca="1" ref="K67">SimpleLookup($A67,Questions!$A:$B)</f>
        <v>#N/A</v>
      </c>
      <c r="L67" s="99" cm="1">
        <f t="array" ca="1" aca="1" ref="L67">CreateID($L$3,$L:$L,AND($A67&lt;&gt;"",$AC67))</f>
        <v>39</v>
      </c>
      <c r="M67" s="99" cm="1">
        <f t="array" ca="1" aca="1" ref="M67">CreateTaskID($M$3,$M:$M,Tasks!$B$17,$G67)</f>
        <v>0</v>
      </c>
      <c r="N67" s="99" t="str">
        <f t="shared" si="8"/>
        <v/>
      </c>
      <c r="O67" s="99" cm="1">
        <f t="array" ca="1" aca="1" ref="O67">CreateID($O$3,$O:$O,$N67&lt;&gt;"")</f>
        <v>0</v>
      </c>
      <c r="P67" s="99" t="str">
        <f t="shared" si="9"/>
        <v/>
      </c>
      <c r="Q67" s="99" cm="1">
        <f t="array" ca="1" aca="1" ref="Q67">CreateID($Q$3,$Q:$Q,$P67&lt;&gt;"")</f>
        <v>0</v>
      </c>
      <c r="R67" s="99" t="str">
        <f t="shared" si="10"/>
        <v/>
      </c>
      <c r="S67" s="99" cm="1">
        <f t="array" ca="1" aca="1" ref="S67">CreateID($S$3,$S:$S,$R67&lt;&gt;"")</f>
        <v>2</v>
      </c>
      <c r="T67" s="99" t="str">
        <f t="shared" si="11"/>
        <v/>
      </c>
      <c r="U67" s="99" cm="1">
        <f t="array" ca="1" aca="1" ref="U67">CreateID($U$3,$U:$U,$T67&lt;&gt;"")</f>
        <v>0</v>
      </c>
      <c r="V67" s="99" cm="1">
        <f t="array" ca="1" aca="1" ref="V67">CreateID($V$3,$V:$V,IFERROR(FIND(Definitions!$AR$4,$G67)&gt;0,FALSE))</f>
        <v>0</v>
      </c>
      <c r="W67" s="99">
        <f>_xlfn.LET(_xlpm._comment,$G67,_xlpm._keyWord,Definitions!$AR$4,_xlpm._diffLen,LEN(_xlpm._comment)-LEN(SUBSTITUTE(_xlpm._comment,_xlpm._keyWord,"")),_xlpm._diffLen/LEN(_xlpm._keyWord))</f>
        <v>0</v>
      </c>
      <c r="X67" s="99" cm="1">
        <f t="array" ca="1" aca="1" ref="X67">CreateID($X$3,$X:$X,IFERROR(FIND(Definitions!$AR$5,$G67)&gt;0,FALSE))</f>
        <v>0</v>
      </c>
      <c r="Y67" s="99">
        <f>_xlfn.LET(_xlpm._comment,$G67,_xlpm._keyWord,Definitions!$AR$5,_xlpm._diffLen,LEN(_xlpm._comment)-LEN(SUBSTITUTE(_xlpm._comment,_xlpm._keyWord,"")),_xlpm._diffLen/LEN(_xlpm._keyWord))</f>
        <v>0</v>
      </c>
      <c r="Z67" s="99" t="b">
        <f ca="1">OR(IFERROR(_xlfn.XMATCH("*,"&amp;$A67&amp;",*",Assumptions!$AL:$AL,2)&gt;0,FALSE),IFERROR(_xlfn.XMATCH("*,"&amp;$A67&amp;",*",Countermeasures!$AO:$AO,2)&gt;0,FALSE))</f>
        <v>0</v>
      </c>
      <c r="AA67" s="99" t="str" cm="1">
        <f t="array" ref="AA67">CreateSearchString($I67)</f>
        <v/>
      </c>
      <c r="AB67" s="99" t="str">
        <f>IF($E67="","",IFERROR(VLOOKUP($E67,Definitions!$H:$J,COLUMNS(Definitions!$H:$J),FALSE),""))</f>
        <v/>
      </c>
      <c r="AC67" s="99" t="b" cm="1">
        <f t="array" ref="AC67">IF($A67="",FALSE,SimpleLookup($A67,Questions!$A:$D)="x")</f>
        <v>0</v>
      </c>
      <c r="AD67" s="99" t="str" cm="1">
        <f t="array" ref="AD67">IF(OR($A67="",NOT($AC67)),"",SimpleLookup($A67,Questions!$A:$E))</f>
        <v/>
      </c>
      <c r="AE67" s="99" t="str" cm="1">
        <f t="array" ref="AE67">IF(OR($A67="",NOT($AC67)),"",SimpleLookup($A67,Questions!$A:$F))</f>
        <v/>
      </c>
      <c r="AF67" s="99" t="str" cm="1">
        <f t="array" ref="AF67">_xlfn.LET(_xlpm._answer,$C67,_xlpm._infoTextFull,IF($AC67,CHAR(10)&amp;SimpleLookup($A67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7" s="99" t="b" cm="1">
        <f t="array" ref="AG67">IF(OR($A67="",NOT($AC67)),FALSE,_xlfn.LET(_xlpm._secondAnswerRequiredOn,SimpleLookup($A67,Questions!$A:$I),_xlpm._firstAnwer,$C67,IFERROR(FIND(CHAR(10)&amp;_xlpm._firstAnwer&amp;":",CHAR(10)&amp;_xlpm._secondAnswerRequiredOn)&gt;0,FALSE)))</f>
        <v>0</v>
      </c>
      <c r="AH67" s="99" t="str" cm="1">
        <f t="array" ref="AH67">IF(OR($A67="",NOT($AC67)),"",_xlfn.LET(_xlpm._id,$A67,_xlpm._firstAnswer,$C67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7" s="99" t="str" cm="1">
        <f t="array" ref="AI67">IF(OR($A67="",NOT($AC67)),"",_xlfn.LET(_xlpm._id,$A67,_xlpm._firstAnswer,$C67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7" s="99" t="str" cm="1">
        <f t="array" ref="AJ67">IF($AG67,_xlfn.LET(_xlpm._answer,$E67,_xlpm._infoTextFull,IF($AC67,CHAR(10)&amp;SimpleLookup($A67,Questions!$A:$L)&amp;CHAR(10),""),_xlpm._startSelectedByAnswerOne,IF(_xlpm._infoTextFull="",0,FIND("___"&amp;$C67&amp;"___",_xlpm._infoTextFull)+LEN("___"&amp;$C67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7" s="99" t="b" cm="1">
        <f t="array" ref="AK67">IF(OR($A67="",NOT($AC67)),FALSE,SimpleLookup($A67,Questions!$A:$Q))</f>
        <v>0</v>
      </c>
      <c r="AL67" s="99" t="str" cm="1">
        <f t="array" ca="1" aca="1" ref="AL67">IF(AND($A67=Questions!$A$41,IFERROR(SimpleLookup(Questions!$A$36,$A:$E)=Definitions!$O$5,FALSE),$C67=Definitions!$A$5),Questions!$A$36&amp;" "&amp;Questions!$B$36&amp;CHAR(10)&amp;CHAR(187)&amp;" "&amp;SimpleLookup(Questions!$A$36,$A:$C)&amp;CHAR(10)&amp;SimpleLookup(Questions!$A$36,$A:$D)&amp;CHAR(10)&amp;CHAR(187)&amp;" "&amp;Definitions!$O$5&amp;CHAR(10)&amp;CHAR(10)&amp;"is incosistent with"&amp;CHAR(10)&amp;CHAR(10)&amp;$A67&amp;" "&amp;SimpleLookup($A67,Questions!$A:$B)&amp;CHAR(10)&amp;CHAR(187)&amp;" "&amp;$C67,"")</f>
        <v/>
      </c>
      <c r="AM67" s="99" cm="1">
        <f t="array" ca="1" aca="1" ref="AM67">CreateID($AM$3,$AM:$AM,$AL67&lt;&gt;"")</f>
        <v>0</v>
      </c>
      <c r="AN67" s="99" t="str" cm="1">
        <f t="array" ca="1" aca="1" ref="AN67">IF(OR($C67="",OFFSET($C67,1,0)=""),"",IF(AND($A67=Questions!$A$59,OFFSET($A67,1,0)=Questions!$A$60,SimpleLookup(Questions!$A$49,$A:$C)=Definitions!$A$4),IF(MATCH($C67,Definitions!$AW:$AW,0)&gt;MATCH(OFFSET($C67,1,0),Definitions!AW:AW,0),$A67&amp;" "&amp;$K67&amp;": "&amp;$C67&amp;CHAR(10)&amp;"&lt;---&gt;"&amp;CHAR(10)&amp;OFFSET($A67,1,0)&amp;" "&amp;OFFSET($K67,1,0)&amp;": "&amp;OFFSET($C67,1,0),""),""))</f>
        <v/>
      </c>
      <c r="AO67" s="99" cm="1">
        <f t="array" ca="1" aca="1" ref="AO67">CreateID($AO$3,$AO:$AO,$AN67&lt;&gt;"")</f>
        <v>0</v>
      </c>
    </row>
    <row r="68" spans="9:41" ht="15">
      <c r="I68" s="99" t="str">
        <f t="shared" si="6"/>
        <v/>
      </c>
      <c r="J68" s="99" t="str">
        <f t="shared" si="7"/>
        <v/>
      </c>
      <c r="K68" s="99" t="e" cm="1">
        <f t="array" ca="1" aca="1" ref="K68">SimpleLookup($A68,Questions!$A:$B)</f>
        <v>#N/A</v>
      </c>
      <c r="L68" s="99" cm="1">
        <f t="array" ca="1" aca="1" ref="L68">CreateID($L$3,$L:$L,AND($A68&lt;&gt;"",$AC68))</f>
        <v>39</v>
      </c>
      <c r="M68" s="99" cm="1">
        <f t="array" ca="1" aca="1" ref="M68">CreateTaskID($M$3,$M:$M,Tasks!$B$17,$G68)</f>
        <v>0</v>
      </c>
      <c r="N68" s="99" t="str">
        <f t="shared" si="16" ref="N68:N103">IF($AC68,IF(AND($A68&lt;&gt;"",$C68="",$AK68=FALSE),$A68&amp;" "&amp;$K68,""),"")</f>
        <v/>
      </c>
      <c r="O68" s="99" cm="1">
        <f t="array" ca="1" aca="1" ref="O68">CreateID($O$3,$O:$O,$N68&lt;&gt;"")</f>
        <v>0</v>
      </c>
      <c r="P68" s="99" t="str">
        <f t="shared" si="9"/>
        <v/>
      </c>
      <c r="Q68" s="99" cm="1">
        <f t="array" ca="1" aca="1" ref="Q68">CreateID($Q$3,$Q:$Q,$P68&lt;&gt;"")</f>
        <v>0</v>
      </c>
      <c r="R68" s="99" t="str">
        <f t="shared" si="10"/>
        <v/>
      </c>
      <c r="S68" s="99" cm="1">
        <f t="array" ca="1" aca="1" ref="S68">CreateID($S$3,$S:$S,$R68&lt;&gt;"")</f>
        <v>2</v>
      </c>
      <c r="T68" s="99" t="str">
        <f t="shared" si="11"/>
        <v/>
      </c>
      <c r="U68" s="99" cm="1">
        <f t="array" ca="1" aca="1" ref="U68">CreateID($U$3,$U:$U,$T68&lt;&gt;"")</f>
        <v>0</v>
      </c>
      <c r="V68" s="99" cm="1">
        <f t="array" ca="1" aca="1" ref="V68">CreateID($V$3,$V:$V,IFERROR(FIND(Definitions!$AR$4,$G68)&gt;0,FALSE))</f>
        <v>0</v>
      </c>
      <c r="W68" s="99">
        <f>_xlfn.LET(_xlpm._comment,$G68,_xlpm._keyWord,Definitions!$AR$4,_xlpm._diffLen,LEN(_xlpm._comment)-LEN(SUBSTITUTE(_xlpm._comment,_xlpm._keyWord,"")),_xlpm._diffLen/LEN(_xlpm._keyWord))</f>
        <v>0</v>
      </c>
      <c r="X68" s="99" cm="1">
        <f t="array" ca="1" aca="1" ref="X68">CreateID($X$3,$X:$X,IFERROR(FIND(Definitions!$AR$5,$G68)&gt;0,FALSE))</f>
        <v>0</v>
      </c>
      <c r="Y68" s="99">
        <f>_xlfn.LET(_xlpm._comment,$G68,_xlpm._keyWord,Definitions!$AR$5,_xlpm._diffLen,LEN(_xlpm._comment)-LEN(SUBSTITUTE(_xlpm._comment,_xlpm._keyWord,"")),_xlpm._diffLen/LEN(_xlpm._keyWord))</f>
        <v>0</v>
      </c>
      <c r="Z68" s="99" t="b">
        <f ca="1">OR(IFERROR(_xlfn.XMATCH("*,"&amp;$A68&amp;",*",Assumptions!$AL:$AL,2)&gt;0,FALSE),IFERROR(_xlfn.XMATCH("*,"&amp;$A68&amp;",*",Countermeasures!$AO:$AO,2)&gt;0,FALSE))</f>
        <v>0</v>
      </c>
      <c r="AA68" s="99" t="str" cm="1">
        <f t="array" ref="AA68">CreateSearchString($I68)</f>
        <v/>
      </c>
      <c r="AB68" s="99" t="str">
        <f>IF($E68="","",IFERROR(VLOOKUP($E68,Definitions!$H:$J,COLUMNS(Definitions!$H:$J),FALSE),""))</f>
        <v/>
      </c>
      <c r="AC68" s="99" t="b" cm="1">
        <f t="array" ref="AC68">IF($A68="",FALSE,SimpleLookup($A68,Questions!$A:$D)="x")</f>
        <v>0</v>
      </c>
      <c r="AD68" s="99" t="str" cm="1">
        <f t="array" ref="AD68">IF(OR($A68="",NOT($AC68)),"",SimpleLookup($A68,Questions!$A:$E))</f>
        <v/>
      </c>
      <c r="AE68" s="99" t="str" cm="1">
        <f t="array" ref="AE68">IF(OR($A68="",NOT($AC68)),"",SimpleLookup($A68,Questions!$A:$F))</f>
        <v/>
      </c>
      <c r="AF68" s="99" t="str" cm="1">
        <f t="array" ref="AF68">_xlfn.LET(_xlpm._answer,$C68,_xlpm._infoTextFull,IF($AC68,CHAR(10)&amp;SimpleLookup($A68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8" s="99" t="b" cm="1">
        <f t="array" ref="AG68">IF(OR($A68="",NOT($AC68)),FALSE,_xlfn.LET(_xlpm._secondAnswerRequiredOn,SimpleLookup($A68,Questions!$A:$I),_xlpm._firstAnwer,$C68,IFERROR(FIND(CHAR(10)&amp;_xlpm._firstAnwer&amp;":",CHAR(10)&amp;_xlpm._secondAnswerRequiredOn)&gt;0,FALSE)))</f>
        <v>0</v>
      </c>
      <c r="AH68" s="99" t="str" cm="1">
        <f t="array" ref="AH68">IF(OR($A68="",NOT($AC68)),"",_xlfn.LET(_xlpm._id,$A68,_xlpm._firstAnswer,$C68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8" s="99" t="str" cm="1">
        <f t="array" ref="AI68">IF(OR($A68="",NOT($AC68)),"",_xlfn.LET(_xlpm._id,$A68,_xlpm._firstAnswer,$C68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8" s="99" t="str" cm="1">
        <f t="array" ref="AJ68">IF($AG68,_xlfn.LET(_xlpm._answer,$E68,_xlpm._infoTextFull,IF($AC68,CHAR(10)&amp;SimpleLookup($A68,Questions!$A:$L)&amp;CHAR(10),""),_xlpm._startSelectedByAnswerOne,IF(_xlpm._infoTextFull="",0,FIND("___"&amp;$C68&amp;"___",_xlpm._infoTextFull)+LEN("___"&amp;$C68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8" s="99" t="b" cm="1">
        <f t="array" ref="AK68">IF(OR($A68="",NOT($AC68)),FALSE,SimpleLookup($A68,Questions!$A:$Q))</f>
        <v>0</v>
      </c>
      <c r="AL68" s="99" t="str" cm="1">
        <f t="array" ca="1" aca="1" ref="AL68">IF(AND($A68=Questions!$A$41,IFERROR(SimpleLookup(Questions!$A$36,$A:$E)=Definitions!$O$5,FALSE),$C68=Definitions!$A$5),Questions!$A$36&amp;" "&amp;Questions!$B$36&amp;CHAR(10)&amp;CHAR(187)&amp;" "&amp;SimpleLookup(Questions!$A$36,$A:$C)&amp;CHAR(10)&amp;SimpleLookup(Questions!$A$36,$A:$D)&amp;CHAR(10)&amp;CHAR(187)&amp;" "&amp;Definitions!$O$5&amp;CHAR(10)&amp;CHAR(10)&amp;"is incosistent with"&amp;CHAR(10)&amp;CHAR(10)&amp;$A68&amp;" "&amp;SimpleLookup($A68,Questions!$A:$B)&amp;CHAR(10)&amp;CHAR(187)&amp;" "&amp;$C68,"")</f>
        <v/>
      </c>
      <c r="AM68" s="99" cm="1">
        <f t="array" ca="1" aca="1" ref="AM68">CreateID($AM$3,$AM:$AM,$AL68&lt;&gt;"")</f>
        <v>0</v>
      </c>
      <c r="AN68" s="99" t="str" cm="1">
        <f t="array" ca="1" aca="1" ref="AN68">IF(OR($C68="",OFFSET($C68,1,0)=""),"",IF(AND($A68=Questions!$A$59,OFFSET($A68,1,0)=Questions!$A$60,SimpleLookup(Questions!$A$49,$A:$C)=Definitions!$A$4),IF(MATCH($C68,Definitions!$AW:$AW,0)&gt;MATCH(OFFSET($C68,1,0),Definitions!AW:AW,0),$A68&amp;" "&amp;$K68&amp;": "&amp;$C68&amp;CHAR(10)&amp;"&lt;---&gt;"&amp;CHAR(10)&amp;OFFSET($A68,1,0)&amp;" "&amp;OFFSET($K68,1,0)&amp;": "&amp;OFFSET($C68,1,0),""),""))</f>
        <v/>
      </c>
      <c r="AO68" s="99" cm="1">
        <f t="array" ca="1" aca="1" ref="AO68">CreateID($AO$3,$AO:$AO,$AN68&lt;&gt;"")</f>
        <v>0</v>
      </c>
    </row>
    <row r="69" spans="9:41" ht="15">
      <c r="I69" s="99" t="str">
        <f t="shared" si="6"/>
        <v/>
      </c>
      <c r="J69" s="99" t="str">
        <f t="shared" si="7"/>
        <v/>
      </c>
      <c r="K69" s="99" t="e" cm="1">
        <f t="array" ca="1" aca="1" ref="K69">SimpleLookup($A69,Questions!$A:$B)</f>
        <v>#N/A</v>
      </c>
      <c r="L69" s="99" cm="1">
        <f t="array" ca="1" aca="1" ref="L69">CreateID($L$3,$L:$L,AND($A69&lt;&gt;"",$AC69))</f>
        <v>39</v>
      </c>
      <c r="M69" s="99" cm="1">
        <f t="array" ca="1" aca="1" ref="M69">CreateTaskID($M$3,$M:$M,Tasks!$B$17,$G69)</f>
        <v>0</v>
      </c>
      <c r="N69" s="99" t="str">
        <f t="shared" si="16"/>
        <v/>
      </c>
      <c r="O69" s="99" cm="1">
        <f t="array" ca="1" aca="1" ref="O69">CreateID($O$3,$O:$O,$N69&lt;&gt;"")</f>
        <v>0</v>
      </c>
      <c r="P69" s="99" t="str">
        <f t="shared" si="9"/>
        <v/>
      </c>
      <c r="Q69" s="99" cm="1">
        <f t="array" ca="1" aca="1" ref="Q69">CreateID($Q$3,$Q:$Q,$P69&lt;&gt;"")</f>
        <v>0</v>
      </c>
      <c r="R69" s="99" t="str">
        <f t="shared" si="10"/>
        <v/>
      </c>
      <c r="S69" s="99" cm="1">
        <f t="array" ca="1" aca="1" ref="S69">CreateID($S$3,$S:$S,$R69&lt;&gt;"")</f>
        <v>2</v>
      </c>
      <c r="T69" s="99" t="str">
        <f t="shared" si="11"/>
        <v/>
      </c>
      <c r="U69" s="99" cm="1">
        <f t="array" ca="1" aca="1" ref="U69">CreateID($U$3,$U:$U,$T69&lt;&gt;"")</f>
        <v>0</v>
      </c>
      <c r="V69" s="99" cm="1">
        <f t="array" ca="1" aca="1" ref="V69">CreateID($V$3,$V:$V,IFERROR(FIND(Definitions!$AR$4,$G69)&gt;0,FALSE))</f>
        <v>0</v>
      </c>
      <c r="W69" s="99">
        <f>_xlfn.LET(_xlpm._comment,$G69,_xlpm._keyWord,Definitions!$AR$4,_xlpm._diffLen,LEN(_xlpm._comment)-LEN(SUBSTITUTE(_xlpm._comment,_xlpm._keyWord,"")),_xlpm._diffLen/LEN(_xlpm._keyWord))</f>
        <v>0</v>
      </c>
      <c r="X69" s="99" cm="1">
        <f t="array" ca="1" aca="1" ref="X69">CreateID($X$3,$X:$X,IFERROR(FIND(Definitions!$AR$5,$G69)&gt;0,FALSE))</f>
        <v>0</v>
      </c>
      <c r="Y69" s="99">
        <f>_xlfn.LET(_xlpm._comment,$G69,_xlpm._keyWord,Definitions!$AR$5,_xlpm._diffLen,LEN(_xlpm._comment)-LEN(SUBSTITUTE(_xlpm._comment,_xlpm._keyWord,"")),_xlpm._diffLen/LEN(_xlpm._keyWord))</f>
        <v>0</v>
      </c>
      <c r="Z69" s="99" t="b">
        <f ca="1">OR(IFERROR(_xlfn.XMATCH("*,"&amp;$A69&amp;",*",Assumptions!$AL:$AL,2)&gt;0,FALSE),IFERROR(_xlfn.XMATCH("*,"&amp;$A69&amp;",*",Countermeasures!$AO:$AO,2)&gt;0,FALSE))</f>
        <v>0</v>
      </c>
      <c r="AA69" s="99" t="str" cm="1">
        <f t="array" ref="AA69">CreateSearchString($I69)</f>
        <v/>
      </c>
      <c r="AB69" s="99" t="str">
        <f>IF($E69="","",IFERROR(VLOOKUP($E69,Definitions!$H:$J,COLUMNS(Definitions!$H:$J),FALSE),""))</f>
        <v/>
      </c>
      <c r="AC69" s="99" t="b" cm="1">
        <f t="array" ref="AC69">IF($A69="",FALSE,SimpleLookup($A69,Questions!$A:$D)="x")</f>
        <v>0</v>
      </c>
      <c r="AD69" s="99" t="str" cm="1">
        <f t="array" ref="AD69">IF(OR($A69="",NOT($AC69)),"",SimpleLookup($A69,Questions!$A:$E))</f>
        <v/>
      </c>
      <c r="AE69" s="99" t="str" cm="1">
        <f t="array" ref="AE69">IF(OR($A69="",NOT($AC69)),"",SimpleLookup($A69,Questions!$A:$F))</f>
        <v/>
      </c>
      <c r="AF69" s="99" t="str" cm="1">
        <f t="array" ref="AF69">_xlfn.LET(_xlpm._answer,$C69,_xlpm._infoTextFull,IF($AC69,CHAR(10)&amp;SimpleLookup($A69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69" s="99" t="b" cm="1">
        <f t="array" ref="AG69">IF(OR($A69="",NOT($AC69)),FALSE,_xlfn.LET(_xlpm._secondAnswerRequiredOn,SimpleLookup($A69,Questions!$A:$I),_xlpm._firstAnwer,$C69,IFERROR(FIND(CHAR(10)&amp;_xlpm._firstAnwer&amp;":",CHAR(10)&amp;_xlpm._secondAnswerRequiredOn)&gt;0,FALSE)))</f>
        <v>0</v>
      </c>
      <c r="AH69" s="99" t="str" cm="1">
        <f t="array" ref="AH69">IF(OR($A69="",NOT($AC69)),"",_xlfn.LET(_xlpm._id,$A69,_xlpm._firstAnswer,$C69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69" s="99" t="str" cm="1">
        <f t="array" ref="AI69">IF(OR($A69="",NOT($AC69)),"",_xlfn.LET(_xlpm._id,$A69,_xlpm._firstAnswer,$C69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69" s="99" t="str" cm="1">
        <f t="array" ref="AJ69">IF($AG69,_xlfn.LET(_xlpm._answer,$E69,_xlpm._infoTextFull,IF($AC69,CHAR(10)&amp;SimpleLookup($A69,Questions!$A:$L)&amp;CHAR(10),""),_xlpm._startSelectedByAnswerOne,IF(_xlpm._infoTextFull="",0,FIND("___"&amp;$C69&amp;"___",_xlpm._infoTextFull)+LEN("___"&amp;$C69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69" s="99" t="b" cm="1">
        <f t="array" ref="AK69">IF(OR($A69="",NOT($AC69)),FALSE,SimpleLookup($A69,Questions!$A:$Q))</f>
        <v>0</v>
      </c>
      <c r="AL69" s="99" t="str" cm="1">
        <f t="array" ca="1" aca="1" ref="AL69">IF(AND($A69=Questions!$A$41,IFERROR(SimpleLookup(Questions!$A$36,$A:$E)=Definitions!$O$5,FALSE),$C69=Definitions!$A$5),Questions!$A$36&amp;" "&amp;Questions!$B$36&amp;CHAR(10)&amp;CHAR(187)&amp;" "&amp;SimpleLookup(Questions!$A$36,$A:$C)&amp;CHAR(10)&amp;SimpleLookup(Questions!$A$36,$A:$D)&amp;CHAR(10)&amp;CHAR(187)&amp;" "&amp;Definitions!$O$5&amp;CHAR(10)&amp;CHAR(10)&amp;"is incosistent with"&amp;CHAR(10)&amp;CHAR(10)&amp;$A69&amp;" "&amp;SimpleLookup($A69,Questions!$A:$B)&amp;CHAR(10)&amp;CHAR(187)&amp;" "&amp;$C69,"")</f>
        <v/>
      </c>
      <c r="AM69" s="99" cm="1">
        <f t="array" ca="1" aca="1" ref="AM69">CreateID($AM$3,$AM:$AM,$AL69&lt;&gt;"")</f>
        <v>0</v>
      </c>
      <c r="AN69" s="99" t="str" cm="1">
        <f t="array" ca="1" aca="1" ref="AN69">IF(OR($C69="",OFFSET($C69,1,0)=""),"",IF(AND($A69=Questions!$A$59,OFFSET($A69,1,0)=Questions!$A$60,SimpleLookup(Questions!$A$49,$A:$C)=Definitions!$A$4),IF(MATCH($C69,Definitions!$AW:$AW,0)&gt;MATCH(OFFSET($C69,1,0),Definitions!AW:AW,0),$A69&amp;" "&amp;$K69&amp;": "&amp;$C69&amp;CHAR(10)&amp;"&lt;---&gt;"&amp;CHAR(10)&amp;OFFSET($A69,1,0)&amp;" "&amp;OFFSET($K69,1,0)&amp;": "&amp;OFFSET($C69,1,0),""),""))</f>
        <v/>
      </c>
      <c r="AO69" s="99" cm="1">
        <f t="array" ca="1" aca="1" ref="AO69">CreateID($AO$3,$AO:$AO,$AN69&lt;&gt;"")</f>
        <v>0</v>
      </c>
    </row>
    <row r="70" spans="9:41" ht="15">
      <c r="I70" s="99" t="str">
        <f t="shared" si="17" ref="I70:I103">IF($AC70,SUBSTITUTE(IF($A70="","",$A70&amp;"["&amp;$C70&amp;IF($E70="","","|"&amp;$E70)&amp;"]")," ",""),"")</f>
        <v/>
      </c>
      <c r="J70" s="99" t="str">
        <f t="shared" si="18" ref="J70:J103">IF($AC70,SUBSTITUTE(IF($A70="","",$A70&amp;"["&amp;$C70&amp;IF($E70="","]","|*]"))," ",""),"")</f>
        <v/>
      </c>
      <c r="K70" s="99" t="e" cm="1">
        <f t="array" ca="1" aca="1" ref="K70">SimpleLookup($A70,Questions!$A:$B)</f>
        <v>#N/A</v>
      </c>
      <c r="L70" s="99" cm="1">
        <f t="array" ca="1" aca="1" ref="L70">CreateID($L$3,$L:$L,AND($A70&lt;&gt;"",$AC70))</f>
        <v>39</v>
      </c>
      <c r="M70" s="99" cm="1">
        <f t="array" ca="1" aca="1" ref="M70">CreateTaskID($M$3,$M:$M,Tasks!$B$17,$G70)</f>
        <v>0</v>
      </c>
      <c r="N70" s="99" t="str">
        <f t="shared" si="16"/>
        <v/>
      </c>
      <c r="O70" s="99" cm="1">
        <f t="array" ca="1" aca="1" ref="O70">CreateID($O$3,$O:$O,$N70&lt;&gt;"")</f>
        <v>0</v>
      </c>
      <c r="P70" s="99" t="str">
        <f t="shared" si="19" ref="P70:P103">IF(AND($D70&lt;&gt;"",$E70=""),$A70&amp;" "&amp;$K70,"")</f>
        <v/>
      </c>
      <c r="Q70" s="99" cm="1">
        <f t="array" ca="1" aca="1" ref="Q70">CreateID($Q$3,$Q:$Q,$P70&lt;&gt;"")</f>
        <v>0</v>
      </c>
      <c r="R70" s="99" t="str">
        <f t="shared" si="20" ref="R70:R103">IF(AND($F70&lt;&gt;"",$G70=""),$A70&amp;" "&amp;$K70,"")</f>
        <v/>
      </c>
      <c r="S70" s="99" cm="1">
        <f t="array" ca="1" aca="1" ref="S70">CreateID($S$3,$S:$S,$R70&lt;&gt;"")</f>
        <v>2</v>
      </c>
      <c r="T70" s="99" t="str">
        <f t="shared" si="21" ref="T70:T103">IF($A70="","",IF(AND(NOT($AG70),$E70&lt;&gt;""),$A70&amp;" "&amp;$K70,""))</f>
        <v/>
      </c>
      <c r="U70" s="99" cm="1">
        <f t="array" ca="1" aca="1" ref="U70">CreateID($U$3,$U:$U,$T70&lt;&gt;"")</f>
        <v>0</v>
      </c>
      <c r="V70" s="99" cm="1">
        <f t="array" ca="1" aca="1" ref="V70">CreateID($V$3,$V:$V,IFERROR(FIND(Definitions!$AR$4,$G70)&gt;0,FALSE))</f>
        <v>0</v>
      </c>
      <c r="W70" s="99">
        <f>_xlfn.LET(_xlpm._comment,$G70,_xlpm._keyWord,Definitions!$AR$4,_xlpm._diffLen,LEN(_xlpm._comment)-LEN(SUBSTITUTE(_xlpm._comment,_xlpm._keyWord,"")),_xlpm._diffLen/LEN(_xlpm._keyWord))</f>
        <v>0</v>
      </c>
      <c r="X70" s="99" cm="1">
        <f t="array" ca="1" aca="1" ref="X70">CreateID($X$3,$X:$X,IFERROR(FIND(Definitions!$AR$5,$G70)&gt;0,FALSE))</f>
        <v>0</v>
      </c>
      <c r="Y70" s="99">
        <f>_xlfn.LET(_xlpm._comment,$G70,_xlpm._keyWord,Definitions!$AR$5,_xlpm._diffLen,LEN(_xlpm._comment)-LEN(SUBSTITUTE(_xlpm._comment,_xlpm._keyWord,"")),_xlpm._diffLen/LEN(_xlpm._keyWord))</f>
        <v>0</v>
      </c>
      <c r="Z70" s="99" t="b">
        <f ca="1">OR(IFERROR(_xlfn.XMATCH("*,"&amp;$A70&amp;",*",Assumptions!$AL:$AL,2)&gt;0,FALSE),IFERROR(_xlfn.XMATCH("*,"&amp;$A70&amp;",*",Countermeasures!$AO:$AO,2)&gt;0,FALSE))</f>
        <v>0</v>
      </c>
      <c r="AA70" s="99" t="str" cm="1">
        <f t="array" ref="AA70">CreateSearchString($I70)</f>
        <v/>
      </c>
      <c r="AB70" s="99" t="str">
        <f>IF($E70="","",IFERROR(VLOOKUP($E70,Definitions!$H:$J,COLUMNS(Definitions!$H:$J),FALSE),""))</f>
        <v/>
      </c>
      <c r="AC70" s="99" t="b" cm="1">
        <f t="array" ref="AC70">IF($A70="",FALSE,SimpleLookup($A70,Questions!$A:$D)="x")</f>
        <v>0</v>
      </c>
      <c r="AD70" s="99" t="str" cm="1">
        <f t="array" ref="AD70">IF(OR($A70="",NOT($AC70)),"",SimpleLookup($A70,Questions!$A:$E))</f>
        <v/>
      </c>
      <c r="AE70" s="99" t="str" cm="1">
        <f t="array" ref="AE70">IF(OR($A70="",NOT($AC70)),"",SimpleLookup($A70,Questions!$A:$F))</f>
        <v/>
      </c>
      <c r="AF70" s="99" t="str" cm="1">
        <f t="array" ref="AF70">_xlfn.LET(_xlpm._answer,$C70,_xlpm._infoTextFull,IF($AC70,CHAR(10)&amp;SimpleLookup($A70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0" s="99" t="b" cm="1">
        <f t="array" ref="AG70">IF(OR($A70="",NOT($AC70)),FALSE,_xlfn.LET(_xlpm._secondAnswerRequiredOn,SimpleLookup($A70,Questions!$A:$I),_xlpm._firstAnwer,$C70,IFERROR(FIND(CHAR(10)&amp;_xlpm._firstAnwer&amp;":",CHAR(10)&amp;_xlpm._secondAnswerRequiredOn)&gt;0,FALSE)))</f>
        <v>0</v>
      </c>
      <c r="AH70" s="99" t="str" cm="1">
        <f t="array" ref="AH70">IF(OR($A70="",NOT($AC70)),"",_xlfn.LET(_xlpm._id,$A70,_xlpm._firstAnswer,$C70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0" s="99" t="str" cm="1">
        <f t="array" ref="AI70">IF(OR($A70="",NOT($AC70)),"",_xlfn.LET(_xlpm._id,$A70,_xlpm._firstAnswer,$C70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0" s="99" t="str" cm="1">
        <f t="array" ref="AJ70">IF($AG70,_xlfn.LET(_xlpm._answer,$E70,_xlpm._infoTextFull,IF($AC70,CHAR(10)&amp;SimpleLookup($A70,Questions!$A:$L)&amp;CHAR(10),""),_xlpm._startSelectedByAnswerOne,IF(_xlpm._infoTextFull="",0,FIND("___"&amp;$C70&amp;"___",_xlpm._infoTextFull)+LEN("___"&amp;$C70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0" s="99" t="b" cm="1">
        <f t="array" ref="AK70">IF(OR($A70="",NOT($AC70)),FALSE,SimpleLookup($A70,Questions!$A:$Q))</f>
        <v>0</v>
      </c>
      <c r="AL70" s="99" t="str" cm="1">
        <f t="array" ca="1" aca="1" ref="AL70">IF(AND($A70=Questions!$A$41,IFERROR(SimpleLookup(Questions!$A$36,$A:$E)=Definitions!$O$5,FALSE),$C70=Definitions!$A$5),Questions!$A$36&amp;" "&amp;Questions!$B$36&amp;CHAR(10)&amp;CHAR(187)&amp;" "&amp;SimpleLookup(Questions!$A$36,$A:$C)&amp;CHAR(10)&amp;SimpleLookup(Questions!$A$36,$A:$D)&amp;CHAR(10)&amp;CHAR(187)&amp;" "&amp;Definitions!$O$5&amp;CHAR(10)&amp;CHAR(10)&amp;"is incosistent with"&amp;CHAR(10)&amp;CHAR(10)&amp;$A70&amp;" "&amp;SimpleLookup($A70,Questions!$A:$B)&amp;CHAR(10)&amp;CHAR(187)&amp;" "&amp;$C70,"")</f>
        <v/>
      </c>
      <c r="AM70" s="99" cm="1">
        <f t="array" ca="1" aca="1" ref="AM70">CreateID($AM$3,$AM:$AM,$AL70&lt;&gt;"")</f>
        <v>0</v>
      </c>
      <c r="AN70" s="99" t="str" cm="1">
        <f t="array" ca="1" aca="1" ref="AN70">IF(OR($C70="",OFFSET($C70,1,0)=""),"",IF(AND($A70=Questions!$A$59,OFFSET($A70,1,0)=Questions!$A$60,SimpleLookup(Questions!$A$49,$A:$C)=Definitions!$A$4),IF(MATCH($C70,Definitions!$AW:$AW,0)&gt;MATCH(OFFSET($C70,1,0),Definitions!AW:AW,0),$A70&amp;" "&amp;$K70&amp;": "&amp;$C70&amp;CHAR(10)&amp;"&lt;---&gt;"&amp;CHAR(10)&amp;OFFSET($A70,1,0)&amp;" "&amp;OFFSET($K70,1,0)&amp;": "&amp;OFFSET($C70,1,0),""),""))</f>
        <v/>
      </c>
      <c r="AO70" s="99" cm="1">
        <f t="array" ca="1" aca="1" ref="AO70">CreateID($AO$3,$AO:$AO,$AN70&lt;&gt;"")</f>
        <v>0</v>
      </c>
    </row>
    <row r="71" spans="9:41" ht="15">
      <c r="I71" s="99" t="str">
        <f t="shared" si="17"/>
        <v/>
      </c>
      <c r="J71" s="99" t="str">
        <f t="shared" si="18"/>
        <v/>
      </c>
      <c r="K71" s="99" t="e" cm="1">
        <f t="array" ca="1" aca="1" ref="K71">SimpleLookup($A71,Questions!$A:$B)</f>
        <v>#N/A</v>
      </c>
      <c r="L71" s="99" cm="1">
        <f t="array" ca="1" aca="1" ref="L71">CreateID($L$3,$L:$L,AND($A71&lt;&gt;"",$AC71))</f>
        <v>39</v>
      </c>
      <c r="M71" s="99" cm="1">
        <f t="array" ca="1" aca="1" ref="M71">CreateTaskID($M$3,$M:$M,Tasks!$B$17,$G71)</f>
        <v>0</v>
      </c>
      <c r="N71" s="99" t="str">
        <f t="shared" si="16"/>
        <v/>
      </c>
      <c r="O71" s="99" cm="1">
        <f t="array" ca="1" aca="1" ref="O71">CreateID($O$3,$O:$O,$N71&lt;&gt;"")</f>
        <v>0</v>
      </c>
      <c r="P71" s="99" t="str">
        <f t="shared" si="19"/>
        <v/>
      </c>
      <c r="Q71" s="99" cm="1">
        <f t="array" ca="1" aca="1" ref="Q71">CreateID($Q$3,$Q:$Q,$P71&lt;&gt;"")</f>
        <v>0</v>
      </c>
      <c r="R71" s="99" t="str">
        <f t="shared" si="20"/>
        <v/>
      </c>
      <c r="S71" s="99" cm="1">
        <f t="array" ca="1" aca="1" ref="S71">CreateID($S$3,$S:$S,$R71&lt;&gt;"")</f>
        <v>2</v>
      </c>
      <c r="T71" s="99" t="str">
        <f t="shared" si="21"/>
        <v/>
      </c>
      <c r="U71" s="99" cm="1">
        <f t="array" ca="1" aca="1" ref="U71">CreateID($U$3,$U:$U,$T71&lt;&gt;"")</f>
        <v>0</v>
      </c>
      <c r="V71" s="99" cm="1">
        <f t="array" ca="1" aca="1" ref="V71">CreateID($V$3,$V:$V,IFERROR(FIND(Definitions!$AR$4,$G71)&gt;0,FALSE))</f>
        <v>0</v>
      </c>
      <c r="W71" s="99">
        <f>_xlfn.LET(_xlpm._comment,$G71,_xlpm._keyWord,Definitions!$AR$4,_xlpm._diffLen,LEN(_xlpm._comment)-LEN(SUBSTITUTE(_xlpm._comment,_xlpm._keyWord,"")),_xlpm._diffLen/LEN(_xlpm._keyWord))</f>
        <v>0</v>
      </c>
      <c r="X71" s="99" cm="1">
        <f t="array" ca="1" aca="1" ref="X71">CreateID($X$3,$X:$X,IFERROR(FIND(Definitions!$AR$5,$G71)&gt;0,FALSE))</f>
        <v>0</v>
      </c>
      <c r="Y71" s="99">
        <f>_xlfn.LET(_xlpm._comment,$G71,_xlpm._keyWord,Definitions!$AR$5,_xlpm._diffLen,LEN(_xlpm._comment)-LEN(SUBSTITUTE(_xlpm._comment,_xlpm._keyWord,"")),_xlpm._diffLen/LEN(_xlpm._keyWord))</f>
        <v>0</v>
      </c>
      <c r="Z71" s="99" t="b">
        <f ca="1">OR(IFERROR(_xlfn.XMATCH("*,"&amp;$A71&amp;",*",Assumptions!$AL:$AL,2)&gt;0,FALSE),IFERROR(_xlfn.XMATCH("*,"&amp;$A71&amp;",*",Countermeasures!$AO:$AO,2)&gt;0,FALSE))</f>
        <v>0</v>
      </c>
      <c r="AA71" s="99" t="str" cm="1">
        <f t="array" ref="AA71">CreateSearchString($I71)</f>
        <v/>
      </c>
      <c r="AB71" s="99" t="str">
        <f>IF($E71="","",IFERROR(VLOOKUP($E71,Definitions!$H:$J,COLUMNS(Definitions!$H:$J),FALSE),""))</f>
        <v/>
      </c>
      <c r="AC71" s="99" t="b" cm="1">
        <f t="array" ref="AC71">IF($A71="",FALSE,SimpleLookup($A71,Questions!$A:$D)="x")</f>
        <v>0</v>
      </c>
      <c r="AD71" s="99" t="str" cm="1">
        <f t="array" ref="AD71">IF(OR($A71="",NOT($AC71)),"",SimpleLookup($A71,Questions!$A:$E))</f>
        <v/>
      </c>
      <c r="AE71" s="99" t="str" cm="1">
        <f t="array" ref="AE71">IF(OR($A71="",NOT($AC71)),"",SimpleLookup($A71,Questions!$A:$F))</f>
        <v/>
      </c>
      <c r="AF71" s="99" t="str" cm="1">
        <f t="array" ref="AF71">_xlfn.LET(_xlpm._answer,$C71,_xlpm._infoTextFull,IF($AC71,CHAR(10)&amp;SimpleLookup($A71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1" s="99" t="b" cm="1">
        <f t="array" ref="AG71">IF(OR($A71="",NOT($AC71)),FALSE,_xlfn.LET(_xlpm._secondAnswerRequiredOn,SimpleLookup($A71,Questions!$A:$I),_xlpm._firstAnwer,$C71,IFERROR(FIND(CHAR(10)&amp;_xlpm._firstAnwer&amp;":",CHAR(10)&amp;_xlpm._secondAnswerRequiredOn)&gt;0,FALSE)))</f>
        <v>0</v>
      </c>
      <c r="AH71" s="99" t="str" cm="1">
        <f t="array" ref="AH71">IF(OR($A71="",NOT($AC71)),"",_xlfn.LET(_xlpm._id,$A71,_xlpm._firstAnswer,$C71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1" s="99" t="str" cm="1">
        <f t="array" ref="AI71">IF(OR($A71="",NOT($AC71)),"",_xlfn.LET(_xlpm._id,$A71,_xlpm._firstAnswer,$C71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1" s="99" t="str" cm="1">
        <f t="array" ref="AJ71">IF($AG71,_xlfn.LET(_xlpm._answer,$E71,_xlpm._infoTextFull,IF($AC71,CHAR(10)&amp;SimpleLookup($A71,Questions!$A:$L)&amp;CHAR(10),""),_xlpm._startSelectedByAnswerOne,IF(_xlpm._infoTextFull="",0,FIND("___"&amp;$C71&amp;"___",_xlpm._infoTextFull)+LEN("___"&amp;$C71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1" s="99" t="b" cm="1">
        <f t="array" ref="AK71">IF(OR($A71="",NOT($AC71)),FALSE,SimpleLookup($A71,Questions!$A:$Q))</f>
        <v>0</v>
      </c>
      <c r="AL71" s="99" t="str" cm="1">
        <f t="array" ca="1" aca="1" ref="AL71">IF(AND($A71=Questions!$A$41,IFERROR(SimpleLookup(Questions!$A$36,$A:$E)=Definitions!$O$5,FALSE),$C71=Definitions!$A$5),Questions!$A$36&amp;" "&amp;Questions!$B$36&amp;CHAR(10)&amp;CHAR(187)&amp;" "&amp;SimpleLookup(Questions!$A$36,$A:$C)&amp;CHAR(10)&amp;SimpleLookup(Questions!$A$36,$A:$D)&amp;CHAR(10)&amp;CHAR(187)&amp;" "&amp;Definitions!$O$5&amp;CHAR(10)&amp;CHAR(10)&amp;"is incosistent with"&amp;CHAR(10)&amp;CHAR(10)&amp;$A71&amp;" "&amp;SimpleLookup($A71,Questions!$A:$B)&amp;CHAR(10)&amp;CHAR(187)&amp;" "&amp;$C71,"")</f>
        <v/>
      </c>
      <c r="AM71" s="99" cm="1">
        <f t="array" ca="1" aca="1" ref="AM71">CreateID($AM$3,$AM:$AM,$AL71&lt;&gt;"")</f>
        <v>0</v>
      </c>
      <c r="AN71" s="99" t="str" cm="1">
        <f t="array" ca="1" aca="1" ref="AN71">IF(OR($C71="",OFFSET($C71,1,0)=""),"",IF(AND($A71=Questions!$A$59,OFFSET($A71,1,0)=Questions!$A$60,SimpleLookup(Questions!$A$49,$A:$C)=Definitions!$A$4),IF(MATCH($C71,Definitions!$AW:$AW,0)&gt;MATCH(OFFSET($C71,1,0),Definitions!AW:AW,0),$A71&amp;" "&amp;$K71&amp;": "&amp;$C71&amp;CHAR(10)&amp;"&lt;---&gt;"&amp;CHAR(10)&amp;OFFSET($A71,1,0)&amp;" "&amp;OFFSET($K71,1,0)&amp;": "&amp;OFFSET($C71,1,0),""),""))</f>
        <v/>
      </c>
      <c r="AO71" s="99" cm="1">
        <f t="array" ca="1" aca="1" ref="AO71">CreateID($AO$3,$AO:$AO,$AN71&lt;&gt;"")</f>
        <v>0</v>
      </c>
    </row>
    <row r="72" spans="9:41" ht="15">
      <c r="I72" s="99" t="str">
        <f t="shared" si="17"/>
        <v/>
      </c>
      <c r="J72" s="99" t="str">
        <f t="shared" si="18"/>
        <v/>
      </c>
      <c r="K72" s="99" t="e" cm="1">
        <f t="array" ca="1" aca="1" ref="K72">SimpleLookup($A72,Questions!$A:$B)</f>
        <v>#N/A</v>
      </c>
      <c r="L72" s="99" cm="1">
        <f t="array" ca="1" aca="1" ref="L72">CreateID($L$3,$L:$L,AND($A72&lt;&gt;"",$AC72))</f>
        <v>39</v>
      </c>
      <c r="M72" s="99" cm="1">
        <f t="array" ca="1" aca="1" ref="M72">CreateTaskID($M$3,$M:$M,Tasks!$B$17,$G72)</f>
        <v>0</v>
      </c>
      <c r="N72" s="99" t="str">
        <f t="shared" si="16"/>
        <v/>
      </c>
      <c r="O72" s="99" cm="1">
        <f t="array" ca="1" aca="1" ref="O72">CreateID($O$3,$O:$O,$N72&lt;&gt;"")</f>
        <v>0</v>
      </c>
      <c r="P72" s="99" t="str">
        <f t="shared" si="19"/>
        <v/>
      </c>
      <c r="Q72" s="99" cm="1">
        <f t="array" ca="1" aca="1" ref="Q72">CreateID($Q$3,$Q:$Q,$P72&lt;&gt;"")</f>
        <v>0</v>
      </c>
      <c r="R72" s="99" t="str">
        <f t="shared" si="20"/>
        <v/>
      </c>
      <c r="S72" s="99" cm="1">
        <f t="array" ca="1" aca="1" ref="S72">CreateID($S$3,$S:$S,$R72&lt;&gt;"")</f>
        <v>2</v>
      </c>
      <c r="T72" s="99" t="str">
        <f t="shared" si="21"/>
        <v/>
      </c>
      <c r="U72" s="99" cm="1">
        <f t="array" ca="1" aca="1" ref="U72">CreateID($U$3,$U:$U,$T72&lt;&gt;"")</f>
        <v>0</v>
      </c>
      <c r="V72" s="99" cm="1">
        <f t="array" ca="1" aca="1" ref="V72">CreateID($V$3,$V:$V,IFERROR(FIND(Definitions!$AR$4,$G72)&gt;0,FALSE))</f>
        <v>0</v>
      </c>
      <c r="W72" s="99">
        <f>_xlfn.LET(_xlpm._comment,$G72,_xlpm._keyWord,Definitions!$AR$4,_xlpm._diffLen,LEN(_xlpm._comment)-LEN(SUBSTITUTE(_xlpm._comment,_xlpm._keyWord,"")),_xlpm._diffLen/LEN(_xlpm._keyWord))</f>
        <v>0</v>
      </c>
      <c r="X72" s="99" cm="1">
        <f t="array" ca="1" aca="1" ref="X72">CreateID($X$3,$X:$X,IFERROR(FIND(Definitions!$AR$5,$G72)&gt;0,FALSE))</f>
        <v>0</v>
      </c>
      <c r="Y72" s="99">
        <f>_xlfn.LET(_xlpm._comment,$G72,_xlpm._keyWord,Definitions!$AR$5,_xlpm._diffLen,LEN(_xlpm._comment)-LEN(SUBSTITUTE(_xlpm._comment,_xlpm._keyWord,"")),_xlpm._diffLen/LEN(_xlpm._keyWord))</f>
        <v>0</v>
      </c>
      <c r="Z72" s="99" t="b">
        <f ca="1">OR(IFERROR(_xlfn.XMATCH("*,"&amp;$A72&amp;",*",Assumptions!$AL:$AL,2)&gt;0,FALSE),IFERROR(_xlfn.XMATCH("*,"&amp;$A72&amp;",*",Countermeasures!$AO:$AO,2)&gt;0,FALSE))</f>
        <v>0</v>
      </c>
      <c r="AA72" s="99" t="str" cm="1">
        <f t="array" ref="AA72">CreateSearchString($I72)</f>
        <v/>
      </c>
      <c r="AB72" s="99" t="str">
        <f>IF($E72="","",IFERROR(VLOOKUP($E72,Definitions!$H:$J,COLUMNS(Definitions!$H:$J),FALSE),""))</f>
        <v/>
      </c>
      <c r="AC72" s="99" t="b" cm="1">
        <f t="array" ref="AC72">IF($A72="",FALSE,SimpleLookup($A72,Questions!$A:$D)="x")</f>
        <v>0</v>
      </c>
      <c r="AD72" s="99" t="str" cm="1">
        <f t="array" ref="AD72">IF(OR($A72="",NOT($AC72)),"",SimpleLookup($A72,Questions!$A:$E))</f>
        <v/>
      </c>
      <c r="AE72" s="99" t="str" cm="1">
        <f t="array" ref="AE72">IF(OR($A72="",NOT($AC72)),"",SimpleLookup($A72,Questions!$A:$F))</f>
        <v/>
      </c>
      <c r="AF72" s="99" t="str" cm="1">
        <f t="array" ref="AF72">_xlfn.LET(_xlpm._answer,$C72,_xlpm._infoTextFull,IF($AC72,CHAR(10)&amp;SimpleLookup($A72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2" s="99" t="b" cm="1">
        <f t="array" ref="AG72">IF(OR($A72="",NOT($AC72)),FALSE,_xlfn.LET(_xlpm._secondAnswerRequiredOn,SimpleLookup($A72,Questions!$A:$I),_xlpm._firstAnwer,$C72,IFERROR(FIND(CHAR(10)&amp;_xlpm._firstAnwer&amp;":",CHAR(10)&amp;_xlpm._secondAnswerRequiredOn)&gt;0,FALSE)))</f>
        <v>0</v>
      </c>
      <c r="AH72" s="99" t="str" cm="1">
        <f t="array" ref="AH72">IF(OR($A72="",NOT($AC72)),"",_xlfn.LET(_xlpm._id,$A72,_xlpm._firstAnswer,$C72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2" s="99" t="str" cm="1">
        <f t="array" ref="AI72">IF(OR($A72="",NOT($AC72)),"",_xlfn.LET(_xlpm._id,$A72,_xlpm._firstAnswer,$C72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2" s="99" t="str" cm="1">
        <f t="array" ref="AJ72">IF($AG72,_xlfn.LET(_xlpm._answer,$E72,_xlpm._infoTextFull,IF($AC72,CHAR(10)&amp;SimpleLookup($A72,Questions!$A:$L)&amp;CHAR(10),""),_xlpm._startSelectedByAnswerOne,IF(_xlpm._infoTextFull="",0,FIND("___"&amp;$C72&amp;"___",_xlpm._infoTextFull)+LEN("___"&amp;$C72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2" s="99" t="b" cm="1">
        <f t="array" ref="AK72">IF(OR($A72="",NOT($AC72)),FALSE,SimpleLookup($A72,Questions!$A:$Q))</f>
        <v>0</v>
      </c>
      <c r="AL72" s="99" t="str" cm="1">
        <f t="array" ca="1" aca="1" ref="AL72">IF(AND($A72=Questions!$A$41,IFERROR(SimpleLookup(Questions!$A$36,$A:$E)=Definitions!$O$5,FALSE),$C72=Definitions!$A$5),Questions!$A$36&amp;" "&amp;Questions!$B$36&amp;CHAR(10)&amp;CHAR(187)&amp;" "&amp;SimpleLookup(Questions!$A$36,$A:$C)&amp;CHAR(10)&amp;SimpleLookup(Questions!$A$36,$A:$D)&amp;CHAR(10)&amp;CHAR(187)&amp;" "&amp;Definitions!$O$5&amp;CHAR(10)&amp;CHAR(10)&amp;"is incosistent with"&amp;CHAR(10)&amp;CHAR(10)&amp;$A72&amp;" "&amp;SimpleLookup($A72,Questions!$A:$B)&amp;CHAR(10)&amp;CHAR(187)&amp;" "&amp;$C72,"")</f>
        <v/>
      </c>
      <c r="AM72" s="99" cm="1">
        <f t="array" ca="1" aca="1" ref="AM72">CreateID($AM$3,$AM:$AM,$AL72&lt;&gt;"")</f>
        <v>0</v>
      </c>
      <c r="AN72" s="99" t="str" cm="1">
        <f t="array" ca="1" aca="1" ref="AN72">IF(OR($C72="",OFFSET($C72,1,0)=""),"",IF(AND($A72=Questions!$A$59,OFFSET($A72,1,0)=Questions!$A$60,SimpleLookup(Questions!$A$49,$A:$C)=Definitions!$A$4),IF(MATCH($C72,Definitions!$AW:$AW,0)&gt;MATCH(OFFSET($C72,1,0),Definitions!AW:AW,0),$A72&amp;" "&amp;$K72&amp;": "&amp;$C72&amp;CHAR(10)&amp;"&lt;---&gt;"&amp;CHAR(10)&amp;OFFSET($A72,1,0)&amp;" "&amp;OFFSET($K72,1,0)&amp;": "&amp;OFFSET($C72,1,0),""),""))</f>
        <v/>
      </c>
      <c r="AO72" s="99" cm="1">
        <f t="array" ca="1" aca="1" ref="AO72">CreateID($AO$3,$AO:$AO,$AN72&lt;&gt;"")</f>
        <v>0</v>
      </c>
    </row>
    <row r="73" spans="9:41" ht="15">
      <c r="I73" s="99" t="str">
        <f t="shared" si="17"/>
        <v/>
      </c>
      <c r="J73" s="99" t="str">
        <f t="shared" si="18"/>
        <v/>
      </c>
      <c r="K73" s="99" t="e" cm="1">
        <f t="array" ca="1" aca="1" ref="K73">SimpleLookup($A73,Questions!$A:$B)</f>
        <v>#N/A</v>
      </c>
      <c r="L73" s="99" cm="1">
        <f t="array" ca="1" aca="1" ref="L73">CreateID($L$3,$L:$L,AND($A73&lt;&gt;"",$AC73))</f>
        <v>39</v>
      </c>
      <c r="M73" s="99" cm="1">
        <f t="array" ca="1" aca="1" ref="M73">CreateTaskID($M$3,$M:$M,Tasks!$B$17,$G73)</f>
        <v>0</v>
      </c>
      <c r="N73" s="99" t="str">
        <f t="shared" si="16"/>
        <v/>
      </c>
      <c r="O73" s="99" cm="1">
        <f t="array" ca="1" aca="1" ref="O73">CreateID($O$3,$O:$O,$N73&lt;&gt;"")</f>
        <v>0</v>
      </c>
      <c r="P73" s="99" t="str">
        <f t="shared" si="19"/>
        <v/>
      </c>
      <c r="Q73" s="99" cm="1">
        <f t="array" ca="1" aca="1" ref="Q73">CreateID($Q$3,$Q:$Q,$P73&lt;&gt;"")</f>
        <v>0</v>
      </c>
      <c r="R73" s="99" t="str">
        <f t="shared" si="20"/>
        <v/>
      </c>
      <c r="S73" s="99" cm="1">
        <f t="array" ca="1" aca="1" ref="S73">CreateID($S$3,$S:$S,$R73&lt;&gt;"")</f>
        <v>2</v>
      </c>
      <c r="T73" s="99" t="str">
        <f t="shared" si="21"/>
        <v/>
      </c>
      <c r="U73" s="99" cm="1">
        <f t="array" ca="1" aca="1" ref="U73">CreateID($U$3,$U:$U,$T73&lt;&gt;"")</f>
        <v>0</v>
      </c>
      <c r="V73" s="99" cm="1">
        <f t="array" ca="1" aca="1" ref="V73">CreateID($V$3,$V:$V,IFERROR(FIND(Definitions!$AR$4,$G73)&gt;0,FALSE))</f>
        <v>0</v>
      </c>
      <c r="W73" s="99">
        <f>_xlfn.LET(_xlpm._comment,$G73,_xlpm._keyWord,Definitions!$AR$4,_xlpm._diffLen,LEN(_xlpm._comment)-LEN(SUBSTITUTE(_xlpm._comment,_xlpm._keyWord,"")),_xlpm._diffLen/LEN(_xlpm._keyWord))</f>
        <v>0</v>
      </c>
      <c r="X73" s="99" cm="1">
        <f t="array" ca="1" aca="1" ref="X73">CreateID($X$3,$X:$X,IFERROR(FIND(Definitions!$AR$5,$G73)&gt;0,FALSE))</f>
        <v>0</v>
      </c>
      <c r="Y73" s="99">
        <f>_xlfn.LET(_xlpm._comment,$G73,_xlpm._keyWord,Definitions!$AR$5,_xlpm._diffLen,LEN(_xlpm._comment)-LEN(SUBSTITUTE(_xlpm._comment,_xlpm._keyWord,"")),_xlpm._diffLen/LEN(_xlpm._keyWord))</f>
        <v>0</v>
      </c>
      <c r="Z73" s="99" t="b">
        <f ca="1">OR(IFERROR(_xlfn.XMATCH("*,"&amp;$A73&amp;",*",Assumptions!$AL:$AL,2)&gt;0,FALSE),IFERROR(_xlfn.XMATCH("*,"&amp;$A73&amp;",*",Countermeasures!$AO:$AO,2)&gt;0,FALSE))</f>
        <v>0</v>
      </c>
      <c r="AA73" s="99" t="str" cm="1">
        <f t="array" ref="AA73">CreateSearchString($I73)</f>
        <v/>
      </c>
      <c r="AB73" s="99" t="str">
        <f>IF($E73="","",IFERROR(VLOOKUP($E73,Definitions!$H:$J,COLUMNS(Definitions!$H:$J),FALSE),""))</f>
        <v/>
      </c>
      <c r="AC73" s="99" t="b" cm="1">
        <f t="array" ref="AC73">IF($A73="",FALSE,SimpleLookup($A73,Questions!$A:$D)="x")</f>
        <v>0</v>
      </c>
      <c r="AD73" s="99" t="str" cm="1">
        <f t="array" ref="AD73">IF(OR($A73="",NOT($AC73)),"",SimpleLookup($A73,Questions!$A:$E))</f>
        <v/>
      </c>
      <c r="AE73" s="99" t="str" cm="1">
        <f t="array" ref="AE73">IF(OR($A73="",NOT($AC73)),"",SimpleLookup($A73,Questions!$A:$F))</f>
        <v/>
      </c>
      <c r="AF73" s="99" t="str" cm="1">
        <f t="array" ref="AF73">_xlfn.LET(_xlpm._answer,$C73,_xlpm._infoTextFull,IF($AC73,CHAR(10)&amp;SimpleLookup($A73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3" s="99" t="b" cm="1">
        <f t="array" ref="AG73">IF(OR($A73="",NOT($AC73)),FALSE,_xlfn.LET(_xlpm._secondAnswerRequiredOn,SimpleLookup($A73,Questions!$A:$I),_xlpm._firstAnwer,$C73,IFERROR(FIND(CHAR(10)&amp;_xlpm._firstAnwer&amp;":",CHAR(10)&amp;_xlpm._secondAnswerRequiredOn)&gt;0,FALSE)))</f>
        <v>0</v>
      </c>
      <c r="AH73" s="99" t="str" cm="1">
        <f t="array" ref="AH73">IF(OR($A73="",NOT($AC73)),"",_xlfn.LET(_xlpm._id,$A73,_xlpm._firstAnswer,$C73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3" s="99" t="str" cm="1">
        <f t="array" ref="AI73">IF(OR($A73="",NOT($AC73)),"",_xlfn.LET(_xlpm._id,$A73,_xlpm._firstAnswer,$C73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3" s="99" t="str" cm="1">
        <f t="array" ref="AJ73">IF($AG73,_xlfn.LET(_xlpm._answer,$E73,_xlpm._infoTextFull,IF($AC73,CHAR(10)&amp;SimpleLookup($A73,Questions!$A:$L)&amp;CHAR(10),""),_xlpm._startSelectedByAnswerOne,IF(_xlpm._infoTextFull="",0,FIND("___"&amp;$C73&amp;"___",_xlpm._infoTextFull)+LEN("___"&amp;$C73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3" s="99" t="b" cm="1">
        <f t="array" ref="AK73">IF(OR($A73="",NOT($AC73)),FALSE,SimpleLookup($A73,Questions!$A:$Q))</f>
        <v>0</v>
      </c>
      <c r="AL73" s="99" t="str" cm="1">
        <f t="array" ca="1" aca="1" ref="AL73">IF(AND($A73=Questions!$A$41,IFERROR(SimpleLookup(Questions!$A$36,$A:$E)=Definitions!$O$5,FALSE),$C73=Definitions!$A$5),Questions!$A$36&amp;" "&amp;Questions!$B$36&amp;CHAR(10)&amp;CHAR(187)&amp;" "&amp;SimpleLookup(Questions!$A$36,$A:$C)&amp;CHAR(10)&amp;SimpleLookup(Questions!$A$36,$A:$D)&amp;CHAR(10)&amp;CHAR(187)&amp;" "&amp;Definitions!$O$5&amp;CHAR(10)&amp;CHAR(10)&amp;"is incosistent with"&amp;CHAR(10)&amp;CHAR(10)&amp;$A73&amp;" "&amp;SimpleLookup($A73,Questions!$A:$B)&amp;CHAR(10)&amp;CHAR(187)&amp;" "&amp;$C73,"")</f>
        <v/>
      </c>
      <c r="AM73" s="99" cm="1">
        <f t="array" ca="1" aca="1" ref="AM73">CreateID($AM$3,$AM:$AM,$AL73&lt;&gt;"")</f>
        <v>0</v>
      </c>
      <c r="AN73" s="99" t="str" cm="1">
        <f t="array" ca="1" aca="1" ref="AN73">IF(OR($C73="",OFFSET($C73,1,0)=""),"",IF(AND($A73=Questions!$A$59,OFFSET($A73,1,0)=Questions!$A$60,SimpleLookup(Questions!$A$49,$A:$C)=Definitions!$A$4),IF(MATCH($C73,Definitions!$AW:$AW,0)&gt;MATCH(OFFSET($C73,1,0),Definitions!AW:AW,0),$A73&amp;" "&amp;$K73&amp;": "&amp;$C73&amp;CHAR(10)&amp;"&lt;---&gt;"&amp;CHAR(10)&amp;OFFSET($A73,1,0)&amp;" "&amp;OFFSET($K73,1,0)&amp;": "&amp;OFFSET($C73,1,0),""),""))</f>
        <v/>
      </c>
      <c r="AO73" s="99" cm="1">
        <f t="array" ca="1" aca="1" ref="AO73">CreateID($AO$3,$AO:$AO,$AN73&lt;&gt;"")</f>
        <v>0</v>
      </c>
    </row>
    <row r="74" spans="9:41" ht="15">
      <c r="I74" s="99" t="str">
        <f t="shared" si="17"/>
        <v/>
      </c>
      <c r="J74" s="99" t="str">
        <f t="shared" si="18"/>
        <v/>
      </c>
      <c r="K74" s="99" t="e" cm="1">
        <f t="array" ca="1" aca="1" ref="K74">SimpleLookup($A74,Questions!$A:$B)</f>
        <v>#N/A</v>
      </c>
      <c r="L74" s="99" cm="1">
        <f t="array" ca="1" aca="1" ref="L74">CreateID($L$3,$L:$L,AND($A74&lt;&gt;"",$AC74))</f>
        <v>39</v>
      </c>
      <c r="M74" s="99" cm="1">
        <f t="array" ca="1" aca="1" ref="M74">CreateTaskID($M$3,$M:$M,Tasks!$B$17,$G74)</f>
        <v>0</v>
      </c>
      <c r="N74" s="99" t="str">
        <f t="shared" si="16"/>
        <v/>
      </c>
      <c r="O74" s="99" cm="1">
        <f t="array" ca="1" aca="1" ref="O74">CreateID($O$3,$O:$O,$N74&lt;&gt;"")</f>
        <v>0</v>
      </c>
      <c r="P74" s="99" t="str">
        <f t="shared" si="19"/>
        <v/>
      </c>
      <c r="Q74" s="99" cm="1">
        <f t="array" ca="1" aca="1" ref="Q74">CreateID($Q$3,$Q:$Q,$P74&lt;&gt;"")</f>
        <v>0</v>
      </c>
      <c r="R74" s="99" t="str">
        <f t="shared" si="20"/>
        <v/>
      </c>
      <c r="S74" s="99" cm="1">
        <f t="array" ca="1" aca="1" ref="S74">CreateID($S$3,$S:$S,$R74&lt;&gt;"")</f>
        <v>2</v>
      </c>
      <c r="T74" s="99" t="str">
        <f t="shared" si="21"/>
        <v/>
      </c>
      <c r="U74" s="99" cm="1">
        <f t="array" ca="1" aca="1" ref="U74">CreateID($U$3,$U:$U,$T74&lt;&gt;"")</f>
        <v>0</v>
      </c>
      <c r="V74" s="99" cm="1">
        <f t="array" ca="1" aca="1" ref="V74">CreateID($V$3,$V:$V,IFERROR(FIND(Definitions!$AR$4,$G74)&gt;0,FALSE))</f>
        <v>0</v>
      </c>
      <c r="W74" s="99">
        <f>_xlfn.LET(_xlpm._comment,$G74,_xlpm._keyWord,Definitions!$AR$4,_xlpm._diffLen,LEN(_xlpm._comment)-LEN(SUBSTITUTE(_xlpm._comment,_xlpm._keyWord,"")),_xlpm._diffLen/LEN(_xlpm._keyWord))</f>
        <v>0</v>
      </c>
      <c r="X74" s="99" cm="1">
        <f t="array" ca="1" aca="1" ref="X74">CreateID($X$3,$X:$X,IFERROR(FIND(Definitions!$AR$5,$G74)&gt;0,FALSE))</f>
        <v>0</v>
      </c>
      <c r="Y74" s="99">
        <f>_xlfn.LET(_xlpm._comment,$G74,_xlpm._keyWord,Definitions!$AR$5,_xlpm._diffLen,LEN(_xlpm._comment)-LEN(SUBSTITUTE(_xlpm._comment,_xlpm._keyWord,"")),_xlpm._diffLen/LEN(_xlpm._keyWord))</f>
        <v>0</v>
      </c>
      <c r="Z74" s="99" t="b">
        <f ca="1">OR(IFERROR(_xlfn.XMATCH("*,"&amp;$A74&amp;",*",Assumptions!$AL:$AL,2)&gt;0,FALSE),IFERROR(_xlfn.XMATCH("*,"&amp;$A74&amp;",*",Countermeasures!$AO:$AO,2)&gt;0,FALSE))</f>
        <v>0</v>
      </c>
      <c r="AA74" s="99" t="str" cm="1">
        <f t="array" ref="AA74">CreateSearchString($I74)</f>
        <v/>
      </c>
      <c r="AB74" s="99" t="str">
        <f>IF($E74="","",IFERROR(VLOOKUP($E74,Definitions!$H:$J,COLUMNS(Definitions!$H:$J),FALSE),""))</f>
        <v/>
      </c>
      <c r="AC74" s="99" t="b" cm="1">
        <f t="array" ref="AC74">IF($A74="",FALSE,SimpleLookup($A74,Questions!$A:$D)="x")</f>
        <v>0</v>
      </c>
      <c r="AD74" s="99" t="str" cm="1">
        <f t="array" ref="AD74">IF(OR($A74="",NOT($AC74)),"",SimpleLookup($A74,Questions!$A:$E))</f>
        <v/>
      </c>
      <c r="AE74" s="99" t="str" cm="1">
        <f t="array" ref="AE74">IF(OR($A74="",NOT($AC74)),"",SimpleLookup($A74,Questions!$A:$F))</f>
        <v/>
      </c>
      <c r="AF74" s="99" t="str" cm="1">
        <f t="array" ref="AF74">_xlfn.LET(_xlpm._answer,$C74,_xlpm._infoTextFull,IF($AC74,CHAR(10)&amp;SimpleLookup($A74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4" s="99" t="b" cm="1">
        <f t="array" ref="AG74">IF(OR($A74="",NOT($AC74)),FALSE,_xlfn.LET(_xlpm._secondAnswerRequiredOn,SimpleLookup($A74,Questions!$A:$I),_xlpm._firstAnwer,$C74,IFERROR(FIND(CHAR(10)&amp;_xlpm._firstAnwer&amp;":",CHAR(10)&amp;_xlpm._secondAnswerRequiredOn)&gt;0,FALSE)))</f>
        <v>0</v>
      </c>
      <c r="AH74" s="99" t="str" cm="1">
        <f t="array" ref="AH74">IF(OR($A74="",NOT($AC74)),"",_xlfn.LET(_xlpm._id,$A74,_xlpm._firstAnswer,$C74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4" s="99" t="str" cm="1">
        <f t="array" ref="AI74">IF(OR($A74="",NOT($AC74)),"",_xlfn.LET(_xlpm._id,$A74,_xlpm._firstAnswer,$C74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4" s="99" t="str" cm="1">
        <f t="array" ref="AJ74">IF($AG74,_xlfn.LET(_xlpm._answer,$E74,_xlpm._infoTextFull,IF($AC74,CHAR(10)&amp;SimpleLookup($A74,Questions!$A:$L)&amp;CHAR(10),""),_xlpm._startSelectedByAnswerOne,IF(_xlpm._infoTextFull="",0,FIND("___"&amp;$C74&amp;"___",_xlpm._infoTextFull)+LEN("___"&amp;$C74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4" s="99" t="b" cm="1">
        <f t="array" ref="AK74">IF(OR($A74="",NOT($AC74)),FALSE,SimpleLookup($A74,Questions!$A:$Q))</f>
        <v>0</v>
      </c>
      <c r="AL74" s="99" t="str" cm="1">
        <f t="array" ca="1" aca="1" ref="AL74">IF(AND($A74=Questions!$A$41,IFERROR(SimpleLookup(Questions!$A$36,$A:$E)=Definitions!$O$5,FALSE),$C74=Definitions!$A$5),Questions!$A$36&amp;" "&amp;Questions!$B$36&amp;CHAR(10)&amp;CHAR(187)&amp;" "&amp;SimpleLookup(Questions!$A$36,$A:$C)&amp;CHAR(10)&amp;SimpleLookup(Questions!$A$36,$A:$D)&amp;CHAR(10)&amp;CHAR(187)&amp;" "&amp;Definitions!$O$5&amp;CHAR(10)&amp;CHAR(10)&amp;"is incosistent with"&amp;CHAR(10)&amp;CHAR(10)&amp;$A74&amp;" "&amp;SimpleLookup($A74,Questions!$A:$B)&amp;CHAR(10)&amp;CHAR(187)&amp;" "&amp;$C74,"")</f>
        <v/>
      </c>
      <c r="AM74" s="99" cm="1">
        <f t="array" ca="1" aca="1" ref="AM74">CreateID($AM$3,$AM:$AM,$AL74&lt;&gt;"")</f>
        <v>0</v>
      </c>
      <c r="AN74" s="99" t="str" cm="1">
        <f t="array" ca="1" aca="1" ref="AN74">IF(OR($C74="",OFFSET($C74,1,0)=""),"",IF(AND($A74=Questions!$A$59,OFFSET($A74,1,0)=Questions!$A$60,SimpleLookup(Questions!$A$49,$A:$C)=Definitions!$A$4),IF(MATCH($C74,Definitions!$AW:$AW,0)&gt;MATCH(OFFSET($C74,1,0),Definitions!AW:AW,0),$A74&amp;" "&amp;$K74&amp;": "&amp;$C74&amp;CHAR(10)&amp;"&lt;---&gt;"&amp;CHAR(10)&amp;OFFSET($A74,1,0)&amp;" "&amp;OFFSET($K74,1,0)&amp;": "&amp;OFFSET($C74,1,0),""),""))</f>
        <v/>
      </c>
      <c r="AO74" s="99" cm="1">
        <f t="array" ca="1" aca="1" ref="AO74">CreateID($AO$3,$AO:$AO,$AN74&lt;&gt;"")</f>
        <v>0</v>
      </c>
    </row>
    <row r="75" spans="9:41" ht="15">
      <c r="I75" s="99" t="str">
        <f t="shared" si="17"/>
        <v/>
      </c>
      <c r="J75" s="99" t="str">
        <f t="shared" si="18"/>
        <v/>
      </c>
      <c r="K75" s="99" t="e" cm="1">
        <f t="array" ca="1" aca="1" ref="K75">SimpleLookup($A75,Questions!$A:$B)</f>
        <v>#N/A</v>
      </c>
      <c r="L75" s="99" cm="1">
        <f t="array" ca="1" aca="1" ref="L75">CreateID($L$3,$L:$L,AND($A75&lt;&gt;"",$AC75))</f>
        <v>39</v>
      </c>
      <c r="M75" s="99" cm="1">
        <f t="array" ca="1" aca="1" ref="M75">CreateTaskID($M$3,$M:$M,Tasks!$B$17,$G75)</f>
        <v>0</v>
      </c>
      <c r="N75" s="99" t="str">
        <f t="shared" si="16"/>
        <v/>
      </c>
      <c r="O75" s="99" cm="1">
        <f t="array" ca="1" aca="1" ref="O75">CreateID($O$3,$O:$O,$N75&lt;&gt;"")</f>
        <v>0</v>
      </c>
      <c r="P75" s="99" t="str">
        <f t="shared" si="19"/>
        <v/>
      </c>
      <c r="Q75" s="99" cm="1">
        <f t="array" ca="1" aca="1" ref="Q75">CreateID($Q$3,$Q:$Q,$P75&lt;&gt;"")</f>
        <v>0</v>
      </c>
      <c r="R75" s="99" t="str">
        <f t="shared" si="20"/>
        <v/>
      </c>
      <c r="S75" s="99" cm="1">
        <f t="array" ca="1" aca="1" ref="S75">CreateID($S$3,$S:$S,$R75&lt;&gt;"")</f>
        <v>2</v>
      </c>
      <c r="T75" s="99" t="str">
        <f t="shared" si="21"/>
        <v/>
      </c>
      <c r="U75" s="99" cm="1">
        <f t="array" ca="1" aca="1" ref="U75">CreateID($U$3,$U:$U,$T75&lt;&gt;"")</f>
        <v>0</v>
      </c>
      <c r="V75" s="99" cm="1">
        <f t="array" ca="1" aca="1" ref="V75">CreateID($V$3,$V:$V,IFERROR(FIND(Definitions!$AR$4,$G75)&gt;0,FALSE))</f>
        <v>0</v>
      </c>
      <c r="W75" s="99">
        <f>_xlfn.LET(_xlpm._comment,$G75,_xlpm._keyWord,Definitions!$AR$4,_xlpm._diffLen,LEN(_xlpm._comment)-LEN(SUBSTITUTE(_xlpm._comment,_xlpm._keyWord,"")),_xlpm._diffLen/LEN(_xlpm._keyWord))</f>
        <v>0</v>
      </c>
      <c r="X75" s="99" cm="1">
        <f t="array" ca="1" aca="1" ref="X75">CreateID($X$3,$X:$X,IFERROR(FIND(Definitions!$AR$5,$G75)&gt;0,FALSE))</f>
        <v>0</v>
      </c>
      <c r="Y75" s="99">
        <f>_xlfn.LET(_xlpm._comment,$G75,_xlpm._keyWord,Definitions!$AR$5,_xlpm._diffLen,LEN(_xlpm._comment)-LEN(SUBSTITUTE(_xlpm._comment,_xlpm._keyWord,"")),_xlpm._diffLen/LEN(_xlpm._keyWord))</f>
        <v>0</v>
      </c>
      <c r="Z75" s="99" t="b">
        <f ca="1">OR(IFERROR(_xlfn.XMATCH("*,"&amp;$A75&amp;",*",Assumptions!$AL:$AL,2)&gt;0,FALSE),IFERROR(_xlfn.XMATCH("*,"&amp;$A75&amp;",*",Countermeasures!$AO:$AO,2)&gt;0,FALSE))</f>
        <v>0</v>
      </c>
      <c r="AA75" s="99" t="str" cm="1">
        <f t="array" ref="AA75">CreateSearchString($I75)</f>
        <v/>
      </c>
      <c r="AB75" s="99" t="str">
        <f>IF($E75="","",IFERROR(VLOOKUP($E75,Definitions!$H:$J,COLUMNS(Definitions!$H:$J),FALSE),""))</f>
        <v/>
      </c>
      <c r="AC75" s="99" t="b" cm="1">
        <f t="array" ref="AC75">IF($A75="",FALSE,SimpleLookup($A75,Questions!$A:$D)="x")</f>
        <v>0</v>
      </c>
      <c r="AD75" s="99" t="str" cm="1">
        <f t="array" ref="AD75">IF(OR($A75="",NOT($AC75)),"",SimpleLookup($A75,Questions!$A:$E))</f>
        <v/>
      </c>
      <c r="AE75" s="99" t="str" cm="1">
        <f t="array" ref="AE75">IF(OR($A75="",NOT($AC75)),"",SimpleLookup($A75,Questions!$A:$F))</f>
        <v/>
      </c>
      <c r="AF75" s="99" t="str" cm="1">
        <f t="array" ref="AF75">_xlfn.LET(_xlpm._answer,$C75,_xlpm._infoTextFull,IF($AC75,CHAR(10)&amp;SimpleLookup($A75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5" s="99" t="b" cm="1">
        <f t="array" ref="AG75">IF(OR($A75="",NOT($AC75)),FALSE,_xlfn.LET(_xlpm._secondAnswerRequiredOn,SimpleLookup($A75,Questions!$A:$I),_xlpm._firstAnwer,$C75,IFERROR(FIND(CHAR(10)&amp;_xlpm._firstAnwer&amp;":",CHAR(10)&amp;_xlpm._secondAnswerRequiredOn)&gt;0,FALSE)))</f>
        <v>0</v>
      </c>
      <c r="AH75" s="99" t="str" cm="1">
        <f t="array" ref="AH75">IF(OR($A75="",NOT($AC75)),"",_xlfn.LET(_xlpm._id,$A75,_xlpm._firstAnswer,$C75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5" s="99" t="str" cm="1">
        <f t="array" ref="AI75">IF(OR($A75="",NOT($AC75)),"",_xlfn.LET(_xlpm._id,$A75,_xlpm._firstAnswer,$C75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5" s="99" t="str" cm="1">
        <f t="array" ref="AJ75">IF($AG75,_xlfn.LET(_xlpm._answer,$E75,_xlpm._infoTextFull,IF($AC75,CHAR(10)&amp;SimpleLookup($A75,Questions!$A:$L)&amp;CHAR(10),""),_xlpm._startSelectedByAnswerOne,IF(_xlpm._infoTextFull="",0,FIND("___"&amp;$C75&amp;"___",_xlpm._infoTextFull)+LEN("___"&amp;$C75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5" s="99" t="b" cm="1">
        <f t="array" ref="AK75">IF(OR($A75="",NOT($AC75)),FALSE,SimpleLookup($A75,Questions!$A:$Q))</f>
        <v>0</v>
      </c>
      <c r="AL75" s="99" t="str" cm="1">
        <f t="array" ca="1" aca="1" ref="AL75">IF(AND($A75=Questions!$A$41,IFERROR(SimpleLookup(Questions!$A$36,$A:$E)=Definitions!$O$5,FALSE),$C75=Definitions!$A$5),Questions!$A$36&amp;" "&amp;Questions!$B$36&amp;CHAR(10)&amp;CHAR(187)&amp;" "&amp;SimpleLookup(Questions!$A$36,$A:$C)&amp;CHAR(10)&amp;SimpleLookup(Questions!$A$36,$A:$D)&amp;CHAR(10)&amp;CHAR(187)&amp;" "&amp;Definitions!$O$5&amp;CHAR(10)&amp;CHAR(10)&amp;"is incosistent with"&amp;CHAR(10)&amp;CHAR(10)&amp;$A75&amp;" "&amp;SimpleLookup($A75,Questions!$A:$B)&amp;CHAR(10)&amp;CHAR(187)&amp;" "&amp;$C75,"")</f>
        <v/>
      </c>
      <c r="AM75" s="99" cm="1">
        <f t="array" ca="1" aca="1" ref="AM75">CreateID($AM$3,$AM:$AM,$AL75&lt;&gt;"")</f>
        <v>0</v>
      </c>
      <c r="AN75" s="99" t="str" cm="1">
        <f t="array" ca="1" aca="1" ref="AN75">IF(OR($C75="",OFFSET($C75,1,0)=""),"",IF(AND($A75=Questions!$A$59,OFFSET($A75,1,0)=Questions!$A$60,SimpleLookup(Questions!$A$49,$A:$C)=Definitions!$A$4),IF(MATCH($C75,Definitions!$AW:$AW,0)&gt;MATCH(OFFSET($C75,1,0),Definitions!AW:AW,0),$A75&amp;" "&amp;$K75&amp;": "&amp;$C75&amp;CHAR(10)&amp;"&lt;---&gt;"&amp;CHAR(10)&amp;OFFSET($A75,1,0)&amp;" "&amp;OFFSET($K75,1,0)&amp;": "&amp;OFFSET($C75,1,0),""),""))</f>
        <v/>
      </c>
      <c r="AO75" s="99" cm="1">
        <f t="array" ca="1" aca="1" ref="AO75">CreateID($AO$3,$AO:$AO,$AN75&lt;&gt;"")</f>
        <v>0</v>
      </c>
    </row>
    <row r="76" spans="9:41" ht="15">
      <c r="I76" s="99" t="str">
        <f t="shared" si="17"/>
        <v/>
      </c>
      <c r="J76" s="99" t="str">
        <f t="shared" si="18"/>
        <v/>
      </c>
      <c r="K76" s="99" t="e" cm="1">
        <f t="array" ca="1" aca="1" ref="K76">SimpleLookup($A76,Questions!$A:$B)</f>
        <v>#N/A</v>
      </c>
      <c r="L76" s="99" cm="1">
        <f t="array" ca="1" aca="1" ref="L76">CreateID($L$3,$L:$L,AND($A76&lt;&gt;"",$AC76))</f>
        <v>39</v>
      </c>
      <c r="M76" s="99" cm="1">
        <f t="array" ca="1" aca="1" ref="M76">CreateTaskID($M$3,$M:$M,Tasks!$B$17,$G76)</f>
        <v>0</v>
      </c>
      <c r="N76" s="99" t="str">
        <f t="shared" si="16"/>
        <v/>
      </c>
      <c r="O76" s="99" cm="1">
        <f t="array" ca="1" aca="1" ref="O76">CreateID($O$3,$O:$O,$N76&lt;&gt;"")</f>
        <v>0</v>
      </c>
      <c r="P76" s="99" t="str">
        <f t="shared" si="19"/>
        <v/>
      </c>
      <c r="Q76" s="99" cm="1">
        <f t="array" ca="1" aca="1" ref="Q76">CreateID($Q$3,$Q:$Q,$P76&lt;&gt;"")</f>
        <v>0</v>
      </c>
      <c r="R76" s="99" t="str">
        <f t="shared" si="20"/>
        <v/>
      </c>
      <c r="S76" s="99" cm="1">
        <f t="array" ca="1" aca="1" ref="S76">CreateID($S$3,$S:$S,$R76&lt;&gt;"")</f>
        <v>2</v>
      </c>
      <c r="T76" s="99" t="str">
        <f t="shared" si="21"/>
        <v/>
      </c>
      <c r="U76" s="99" cm="1">
        <f t="array" ca="1" aca="1" ref="U76">CreateID($U$3,$U:$U,$T76&lt;&gt;"")</f>
        <v>0</v>
      </c>
      <c r="V76" s="99" cm="1">
        <f t="array" ca="1" aca="1" ref="V76">CreateID($V$3,$V:$V,IFERROR(FIND(Definitions!$AR$4,$G76)&gt;0,FALSE))</f>
        <v>0</v>
      </c>
      <c r="W76" s="99">
        <f>_xlfn.LET(_xlpm._comment,$G76,_xlpm._keyWord,Definitions!$AR$4,_xlpm._diffLen,LEN(_xlpm._comment)-LEN(SUBSTITUTE(_xlpm._comment,_xlpm._keyWord,"")),_xlpm._diffLen/LEN(_xlpm._keyWord))</f>
        <v>0</v>
      </c>
      <c r="X76" s="99" cm="1">
        <f t="array" ca="1" aca="1" ref="X76">CreateID($X$3,$X:$X,IFERROR(FIND(Definitions!$AR$5,$G76)&gt;0,FALSE))</f>
        <v>0</v>
      </c>
      <c r="Y76" s="99">
        <f>_xlfn.LET(_xlpm._comment,$G76,_xlpm._keyWord,Definitions!$AR$5,_xlpm._diffLen,LEN(_xlpm._comment)-LEN(SUBSTITUTE(_xlpm._comment,_xlpm._keyWord,"")),_xlpm._diffLen/LEN(_xlpm._keyWord))</f>
        <v>0</v>
      </c>
      <c r="Z76" s="99" t="b">
        <f ca="1">OR(IFERROR(_xlfn.XMATCH("*,"&amp;$A76&amp;",*",Assumptions!$AL:$AL,2)&gt;0,FALSE),IFERROR(_xlfn.XMATCH("*,"&amp;$A76&amp;",*",Countermeasures!$AO:$AO,2)&gt;0,FALSE))</f>
        <v>0</v>
      </c>
      <c r="AA76" s="99" t="str" cm="1">
        <f t="array" ref="AA76">CreateSearchString($I76)</f>
        <v/>
      </c>
      <c r="AB76" s="99" t="str">
        <f>IF($E76="","",IFERROR(VLOOKUP($E76,Definitions!$H:$J,COLUMNS(Definitions!$H:$J),FALSE),""))</f>
        <v/>
      </c>
      <c r="AC76" s="99" t="b" cm="1">
        <f t="array" ref="AC76">IF($A76="",FALSE,SimpleLookup($A76,Questions!$A:$D)="x")</f>
        <v>0</v>
      </c>
      <c r="AD76" s="99" t="str" cm="1">
        <f t="array" ref="AD76">IF(OR($A76="",NOT($AC76)),"",SimpleLookup($A76,Questions!$A:$E))</f>
        <v/>
      </c>
      <c r="AE76" s="99" t="str" cm="1">
        <f t="array" ref="AE76">IF(OR($A76="",NOT($AC76)),"",SimpleLookup($A76,Questions!$A:$F))</f>
        <v/>
      </c>
      <c r="AF76" s="99" t="str" cm="1">
        <f t="array" ref="AF76">_xlfn.LET(_xlpm._answer,$C76,_xlpm._infoTextFull,IF($AC76,CHAR(10)&amp;SimpleLookup($A76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6" s="99" t="b" cm="1">
        <f t="array" ref="AG76">IF(OR($A76="",NOT($AC76)),FALSE,_xlfn.LET(_xlpm._secondAnswerRequiredOn,SimpleLookup($A76,Questions!$A:$I),_xlpm._firstAnwer,$C76,IFERROR(FIND(CHAR(10)&amp;_xlpm._firstAnwer&amp;":",CHAR(10)&amp;_xlpm._secondAnswerRequiredOn)&gt;0,FALSE)))</f>
        <v>0</v>
      </c>
      <c r="AH76" s="99" t="str" cm="1">
        <f t="array" ref="AH76">IF(OR($A76="",NOT($AC76)),"",_xlfn.LET(_xlpm._id,$A76,_xlpm._firstAnswer,$C76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6" s="99" t="str" cm="1">
        <f t="array" ref="AI76">IF(OR($A76="",NOT($AC76)),"",_xlfn.LET(_xlpm._id,$A76,_xlpm._firstAnswer,$C76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6" s="99" t="str" cm="1">
        <f t="array" ref="AJ76">IF($AG76,_xlfn.LET(_xlpm._answer,$E76,_xlpm._infoTextFull,IF($AC76,CHAR(10)&amp;SimpleLookup($A76,Questions!$A:$L)&amp;CHAR(10),""),_xlpm._startSelectedByAnswerOne,IF(_xlpm._infoTextFull="",0,FIND("___"&amp;$C76&amp;"___",_xlpm._infoTextFull)+LEN("___"&amp;$C76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6" s="99" t="b" cm="1">
        <f t="array" ref="AK76">IF(OR($A76="",NOT($AC76)),FALSE,SimpleLookup($A76,Questions!$A:$Q))</f>
        <v>0</v>
      </c>
      <c r="AL76" s="99" t="str" cm="1">
        <f t="array" ca="1" aca="1" ref="AL76">IF(AND($A76=Questions!$A$41,IFERROR(SimpleLookup(Questions!$A$36,$A:$E)=Definitions!$O$5,FALSE),$C76=Definitions!$A$5),Questions!$A$36&amp;" "&amp;Questions!$B$36&amp;CHAR(10)&amp;CHAR(187)&amp;" "&amp;SimpleLookup(Questions!$A$36,$A:$C)&amp;CHAR(10)&amp;SimpleLookup(Questions!$A$36,$A:$D)&amp;CHAR(10)&amp;CHAR(187)&amp;" "&amp;Definitions!$O$5&amp;CHAR(10)&amp;CHAR(10)&amp;"is incosistent with"&amp;CHAR(10)&amp;CHAR(10)&amp;$A76&amp;" "&amp;SimpleLookup($A76,Questions!$A:$B)&amp;CHAR(10)&amp;CHAR(187)&amp;" "&amp;$C76,"")</f>
        <v/>
      </c>
      <c r="AM76" s="99" cm="1">
        <f t="array" ca="1" aca="1" ref="AM76">CreateID($AM$3,$AM:$AM,$AL76&lt;&gt;"")</f>
        <v>0</v>
      </c>
      <c r="AN76" s="99" t="str" cm="1">
        <f t="array" ca="1" aca="1" ref="AN76">IF(OR($C76="",OFFSET($C76,1,0)=""),"",IF(AND($A76=Questions!$A$59,OFFSET($A76,1,0)=Questions!$A$60,SimpleLookup(Questions!$A$49,$A:$C)=Definitions!$A$4),IF(MATCH($C76,Definitions!$AW:$AW,0)&gt;MATCH(OFFSET($C76,1,0),Definitions!AW:AW,0),$A76&amp;" "&amp;$K76&amp;": "&amp;$C76&amp;CHAR(10)&amp;"&lt;---&gt;"&amp;CHAR(10)&amp;OFFSET($A76,1,0)&amp;" "&amp;OFFSET($K76,1,0)&amp;": "&amp;OFFSET($C76,1,0),""),""))</f>
        <v/>
      </c>
      <c r="AO76" s="99" cm="1">
        <f t="array" ca="1" aca="1" ref="AO76">CreateID($AO$3,$AO:$AO,$AN76&lt;&gt;"")</f>
        <v>0</v>
      </c>
    </row>
    <row r="77" spans="9:41" ht="15">
      <c r="I77" s="99" t="str">
        <f t="shared" si="17"/>
        <v/>
      </c>
      <c r="J77" s="99" t="str">
        <f t="shared" si="18"/>
        <v/>
      </c>
      <c r="K77" s="99" t="e" cm="1">
        <f t="array" ca="1" aca="1" ref="K77">SimpleLookup($A77,Questions!$A:$B)</f>
        <v>#N/A</v>
      </c>
      <c r="L77" s="99" cm="1">
        <f t="array" ca="1" aca="1" ref="L77">CreateID($L$3,$L:$L,AND($A77&lt;&gt;"",$AC77))</f>
        <v>39</v>
      </c>
      <c r="M77" s="99" cm="1">
        <f t="array" ca="1" aca="1" ref="M77">CreateTaskID($M$3,$M:$M,Tasks!$B$17,$G77)</f>
        <v>0</v>
      </c>
      <c r="N77" s="99" t="str">
        <f t="shared" si="16"/>
        <v/>
      </c>
      <c r="O77" s="99" cm="1">
        <f t="array" ca="1" aca="1" ref="O77">CreateID($O$3,$O:$O,$N77&lt;&gt;"")</f>
        <v>0</v>
      </c>
      <c r="P77" s="99" t="str">
        <f t="shared" si="19"/>
        <v/>
      </c>
      <c r="Q77" s="99" cm="1">
        <f t="array" ca="1" aca="1" ref="Q77">CreateID($Q$3,$Q:$Q,$P77&lt;&gt;"")</f>
        <v>0</v>
      </c>
      <c r="R77" s="99" t="str">
        <f t="shared" si="20"/>
        <v/>
      </c>
      <c r="S77" s="99" cm="1">
        <f t="array" ca="1" aca="1" ref="S77">CreateID($S$3,$S:$S,$R77&lt;&gt;"")</f>
        <v>2</v>
      </c>
      <c r="T77" s="99" t="str">
        <f t="shared" si="21"/>
        <v/>
      </c>
      <c r="U77" s="99" cm="1">
        <f t="array" ca="1" aca="1" ref="U77">CreateID($U$3,$U:$U,$T77&lt;&gt;"")</f>
        <v>0</v>
      </c>
      <c r="V77" s="99" cm="1">
        <f t="array" ca="1" aca="1" ref="V77">CreateID($V$3,$V:$V,IFERROR(FIND(Definitions!$AR$4,$G77)&gt;0,FALSE))</f>
        <v>0</v>
      </c>
      <c r="W77" s="99">
        <f>_xlfn.LET(_xlpm._comment,$G77,_xlpm._keyWord,Definitions!$AR$4,_xlpm._diffLen,LEN(_xlpm._comment)-LEN(SUBSTITUTE(_xlpm._comment,_xlpm._keyWord,"")),_xlpm._diffLen/LEN(_xlpm._keyWord))</f>
        <v>0</v>
      </c>
      <c r="X77" s="99" cm="1">
        <f t="array" ca="1" aca="1" ref="X77">CreateID($X$3,$X:$X,IFERROR(FIND(Definitions!$AR$5,$G77)&gt;0,FALSE))</f>
        <v>0</v>
      </c>
      <c r="Y77" s="99">
        <f>_xlfn.LET(_xlpm._comment,$G77,_xlpm._keyWord,Definitions!$AR$5,_xlpm._diffLen,LEN(_xlpm._comment)-LEN(SUBSTITUTE(_xlpm._comment,_xlpm._keyWord,"")),_xlpm._diffLen/LEN(_xlpm._keyWord))</f>
        <v>0</v>
      </c>
      <c r="Z77" s="99" t="b">
        <f ca="1">OR(IFERROR(_xlfn.XMATCH("*,"&amp;$A77&amp;",*",Assumptions!$AL:$AL,2)&gt;0,FALSE),IFERROR(_xlfn.XMATCH("*,"&amp;$A77&amp;",*",Countermeasures!$AO:$AO,2)&gt;0,FALSE))</f>
        <v>0</v>
      </c>
      <c r="AA77" s="99" t="str" cm="1">
        <f t="array" ref="AA77">CreateSearchString($I77)</f>
        <v/>
      </c>
      <c r="AB77" s="99" t="str">
        <f>IF($E77="","",IFERROR(VLOOKUP($E77,Definitions!$H:$J,COLUMNS(Definitions!$H:$J),FALSE),""))</f>
        <v/>
      </c>
      <c r="AC77" s="99" t="b" cm="1">
        <f t="array" ref="AC77">IF($A77="",FALSE,SimpleLookup($A77,Questions!$A:$D)="x")</f>
        <v>0</v>
      </c>
      <c r="AD77" s="99" t="str" cm="1">
        <f t="array" ref="AD77">IF(OR($A77="",NOT($AC77)),"",SimpleLookup($A77,Questions!$A:$E))</f>
        <v/>
      </c>
      <c r="AE77" s="99" t="str" cm="1">
        <f t="array" ref="AE77">IF(OR($A77="",NOT($AC77)),"",SimpleLookup($A77,Questions!$A:$F))</f>
        <v/>
      </c>
      <c r="AF77" s="99" t="str" cm="1">
        <f t="array" ref="AF77">_xlfn.LET(_xlpm._answer,$C77,_xlpm._infoTextFull,IF($AC77,CHAR(10)&amp;SimpleLookup($A77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7" s="99" t="b" cm="1">
        <f t="array" ref="AG77">IF(OR($A77="",NOT($AC77)),FALSE,_xlfn.LET(_xlpm._secondAnswerRequiredOn,SimpleLookup($A77,Questions!$A:$I),_xlpm._firstAnwer,$C77,IFERROR(FIND(CHAR(10)&amp;_xlpm._firstAnwer&amp;":",CHAR(10)&amp;_xlpm._secondAnswerRequiredOn)&gt;0,FALSE)))</f>
        <v>0</v>
      </c>
      <c r="AH77" s="99" t="str" cm="1">
        <f t="array" ref="AH77">IF(OR($A77="",NOT($AC77)),"",_xlfn.LET(_xlpm._id,$A77,_xlpm._firstAnswer,$C77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7" s="99" t="str" cm="1">
        <f t="array" ref="AI77">IF(OR($A77="",NOT($AC77)),"",_xlfn.LET(_xlpm._id,$A77,_xlpm._firstAnswer,$C77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7" s="99" t="str" cm="1">
        <f t="array" ref="AJ77">IF($AG77,_xlfn.LET(_xlpm._answer,$E77,_xlpm._infoTextFull,IF($AC77,CHAR(10)&amp;SimpleLookup($A77,Questions!$A:$L)&amp;CHAR(10),""),_xlpm._startSelectedByAnswerOne,IF(_xlpm._infoTextFull="",0,FIND("___"&amp;$C77&amp;"___",_xlpm._infoTextFull)+LEN("___"&amp;$C77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7" s="99" t="b" cm="1">
        <f t="array" ref="AK77">IF(OR($A77="",NOT($AC77)),FALSE,SimpleLookup($A77,Questions!$A:$Q))</f>
        <v>0</v>
      </c>
      <c r="AL77" s="99" t="str" cm="1">
        <f t="array" ca="1" aca="1" ref="AL77">IF(AND($A77=Questions!$A$41,IFERROR(SimpleLookup(Questions!$A$36,$A:$E)=Definitions!$O$5,FALSE),$C77=Definitions!$A$5),Questions!$A$36&amp;" "&amp;Questions!$B$36&amp;CHAR(10)&amp;CHAR(187)&amp;" "&amp;SimpleLookup(Questions!$A$36,$A:$C)&amp;CHAR(10)&amp;SimpleLookup(Questions!$A$36,$A:$D)&amp;CHAR(10)&amp;CHAR(187)&amp;" "&amp;Definitions!$O$5&amp;CHAR(10)&amp;CHAR(10)&amp;"is incosistent with"&amp;CHAR(10)&amp;CHAR(10)&amp;$A77&amp;" "&amp;SimpleLookup($A77,Questions!$A:$B)&amp;CHAR(10)&amp;CHAR(187)&amp;" "&amp;$C77,"")</f>
        <v/>
      </c>
      <c r="AM77" s="99" cm="1">
        <f t="array" ca="1" aca="1" ref="AM77">CreateID($AM$3,$AM:$AM,$AL77&lt;&gt;"")</f>
        <v>0</v>
      </c>
      <c r="AN77" s="99" t="str" cm="1">
        <f t="array" ca="1" aca="1" ref="AN77">IF(OR($C77="",OFFSET($C77,1,0)=""),"",IF(AND($A77=Questions!$A$59,OFFSET($A77,1,0)=Questions!$A$60,SimpleLookup(Questions!$A$49,$A:$C)=Definitions!$A$4),IF(MATCH($C77,Definitions!$AW:$AW,0)&gt;MATCH(OFFSET($C77,1,0),Definitions!AW:AW,0),$A77&amp;" "&amp;$K77&amp;": "&amp;$C77&amp;CHAR(10)&amp;"&lt;---&gt;"&amp;CHAR(10)&amp;OFFSET($A77,1,0)&amp;" "&amp;OFFSET($K77,1,0)&amp;": "&amp;OFFSET($C77,1,0),""),""))</f>
        <v/>
      </c>
      <c r="AO77" s="99" cm="1">
        <f t="array" ca="1" aca="1" ref="AO77">CreateID($AO$3,$AO:$AO,$AN77&lt;&gt;"")</f>
        <v>0</v>
      </c>
    </row>
    <row r="78" spans="9:41" ht="15">
      <c r="I78" s="99" t="str">
        <f t="shared" si="17"/>
        <v/>
      </c>
      <c r="J78" s="99" t="str">
        <f t="shared" si="18"/>
        <v/>
      </c>
      <c r="K78" s="99" t="e" cm="1">
        <f t="array" ca="1" aca="1" ref="K78">SimpleLookup($A78,Questions!$A:$B)</f>
        <v>#N/A</v>
      </c>
      <c r="L78" s="99" cm="1">
        <f t="array" ca="1" aca="1" ref="L78">CreateID($L$3,$L:$L,AND($A78&lt;&gt;"",$AC78))</f>
        <v>39</v>
      </c>
      <c r="M78" s="99" cm="1">
        <f t="array" ca="1" aca="1" ref="M78">CreateTaskID($M$3,$M:$M,Tasks!$B$17,$G78)</f>
        <v>0</v>
      </c>
      <c r="N78" s="99" t="str">
        <f t="shared" si="16"/>
        <v/>
      </c>
      <c r="O78" s="99" cm="1">
        <f t="array" ca="1" aca="1" ref="O78">CreateID($O$3,$O:$O,$N78&lt;&gt;"")</f>
        <v>0</v>
      </c>
      <c r="P78" s="99" t="str">
        <f t="shared" si="19"/>
        <v/>
      </c>
      <c r="Q78" s="99" cm="1">
        <f t="array" ca="1" aca="1" ref="Q78">CreateID($Q$3,$Q:$Q,$P78&lt;&gt;"")</f>
        <v>0</v>
      </c>
      <c r="R78" s="99" t="str">
        <f t="shared" si="20"/>
        <v/>
      </c>
      <c r="S78" s="99" cm="1">
        <f t="array" ca="1" aca="1" ref="S78">CreateID($S$3,$S:$S,$R78&lt;&gt;"")</f>
        <v>2</v>
      </c>
      <c r="T78" s="99" t="str">
        <f t="shared" si="21"/>
        <v/>
      </c>
      <c r="U78" s="99" cm="1">
        <f t="array" ca="1" aca="1" ref="U78">CreateID($U$3,$U:$U,$T78&lt;&gt;"")</f>
        <v>0</v>
      </c>
      <c r="V78" s="99" cm="1">
        <f t="array" ca="1" aca="1" ref="V78">CreateID($V$3,$V:$V,IFERROR(FIND(Definitions!$AR$4,$G78)&gt;0,FALSE))</f>
        <v>0</v>
      </c>
      <c r="W78" s="99">
        <f>_xlfn.LET(_xlpm._comment,$G78,_xlpm._keyWord,Definitions!$AR$4,_xlpm._diffLen,LEN(_xlpm._comment)-LEN(SUBSTITUTE(_xlpm._comment,_xlpm._keyWord,"")),_xlpm._diffLen/LEN(_xlpm._keyWord))</f>
        <v>0</v>
      </c>
      <c r="X78" s="99" cm="1">
        <f t="array" ca="1" aca="1" ref="X78">CreateID($X$3,$X:$X,IFERROR(FIND(Definitions!$AR$5,$G78)&gt;0,FALSE))</f>
        <v>0</v>
      </c>
      <c r="Y78" s="99">
        <f>_xlfn.LET(_xlpm._comment,$G78,_xlpm._keyWord,Definitions!$AR$5,_xlpm._diffLen,LEN(_xlpm._comment)-LEN(SUBSTITUTE(_xlpm._comment,_xlpm._keyWord,"")),_xlpm._diffLen/LEN(_xlpm._keyWord))</f>
        <v>0</v>
      </c>
      <c r="Z78" s="99" t="b">
        <f ca="1">OR(IFERROR(_xlfn.XMATCH("*,"&amp;$A78&amp;",*",Assumptions!$AL:$AL,2)&gt;0,FALSE),IFERROR(_xlfn.XMATCH("*,"&amp;$A78&amp;",*",Countermeasures!$AO:$AO,2)&gt;0,FALSE))</f>
        <v>0</v>
      </c>
      <c r="AA78" s="99" t="str" cm="1">
        <f t="array" ref="AA78">CreateSearchString($I78)</f>
        <v/>
      </c>
      <c r="AB78" s="99" t="str">
        <f>IF($E78="","",IFERROR(VLOOKUP($E78,Definitions!$H:$J,COLUMNS(Definitions!$H:$J),FALSE),""))</f>
        <v/>
      </c>
      <c r="AC78" s="99" t="b" cm="1">
        <f t="array" ref="AC78">IF($A78="",FALSE,SimpleLookup($A78,Questions!$A:$D)="x")</f>
        <v>0</v>
      </c>
      <c r="AD78" s="99" t="str" cm="1">
        <f t="array" ref="AD78">IF(OR($A78="",NOT($AC78)),"",SimpleLookup($A78,Questions!$A:$E))</f>
        <v/>
      </c>
      <c r="AE78" s="99" t="str" cm="1">
        <f t="array" ref="AE78">IF(OR($A78="",NOT($AC78)),"",SimpleLookup($A78,Questions!$A:$F))</f>
        <v/>
      </c>
      <c r="AF78" s="99" t="str" cm="1">
        <f t="array" ref="AF78">_xlfn.LET(_xlpm._answer,$C78,_xlpm._infoTextFull,IF($AC78,CHAR(10)&amp;SimpleLookup($A78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8" s="99" t="b" cm="1">
        <f t="array" ref="AG78">IF(OR($A78="",NOT($AC78)),FALSE,_xlfn.LET(_xlpm._secondAnswerRequiredOn,SimpleLookup($A78,Questions!$A:$I),_xlpm._firstAnwer,$C78,IFERROR(FIND(CHAR(10)&amp;_xlpm._firstAnwer&amp;":",CHAR(10)&amp;_xlpm._secondAnswerRequiredOn)&gt;0,FALSE)))</f>
        <v>0</v>
      </c>
      <c r="AH78" s="99" t="str" cm="1">
        <f t="array" ref="AH78">IF(OR($A78="",NOT($AC78)),"",_xlfn.LET(_xlpm._id,$A78,_xlpm._firstAnswer,$C78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8" s="99" t="str" cm="1">
        <f t="array" ref="AI78">IF(OR($A78="",NOT($AC78)),"",_xlfn.LET(_xlpm._id,$A78,_xlpm._firstAnswer,$C78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8" s="99" t="str" cm="1">
        <f t="array" ref="AJ78">IF($AG78,_xlfn.LET(_xlpm._answer,$E78,_xlpm._infoTextFull,IF($AC78,CHAR(10)&amp;SimpleLookup($A78,Questions!$A:$L)&amp;CHAR(10),""),_xlpm._startSelectedByAnswerOne,IF(_xlpm._infoTextFull="",0,FIND("___"&amp;$C78&amp;"___",_xlpm._infoTextFull)+LEN("___"&amp;$C78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8" s="99" t="b" cm="1">
        <f t="array" ref="AK78">IF(OR($A78="",NOT($AC78)),FALSE,SimpleLookup($A78,Questions!$A:$Q))</f>
        <v>0</v>
      </c>
      <c r="AL78" s="99" t="str" cm="1">
        <f t="array" ca="1" aca="1" ref="AL78">IF(AND($A78=Questions!$A$41,IFERROR(SimpleLookup(Questions!$A$36,$A:$E)=Definitions!$O$5,FALSE),$C78=Definitions!$A$5),Questions!$A$36&amp;" "&amp;Questions!$B$36&amp;CHAR(10)&amp;CHAR(187)&amp;" "&amp;SimpleLookup(Questions!$A$36,$A:$C)&amp;CHAR(10)&amp;SimpleLookup(Questions!$A$36,$A:$D)&amp;CHAR(10)&amp;CHAR(187)&amp;" "&amp;Definitions!$O$5&amp;CHAR(10)&amp;CHAR(10)&amp;"is incosistent with"&amp;CHAR(10)&amp;CHAR(10)&amp;$A78&amp;" "&amp;SimpleLookup($A78,Questions!$A:$B)&amp;CHAR(10)&amp;CHAR(187)&amp;" "&amp;$C78,"")</f>
        <v/>
      </c>
      <c r="AM78" s="99" cm="1">
        <f t="array" ca="1" aca="1" ref="AM78">CreateID($AM$3,$AM:$AM,$AL78&lt;&gt;"")</f>
        <v>0</v>
      </c>
      <c r="AN78" s="99" t="str" cm="1">
        <f t="array" ca="1" aca="1" ref="AN78">IF(OR($C78="",OFFSET($C78,1,0)=""),"",IF(AND($A78=Questions!$A$59,OFFSET($A78,1,0)=Questions!$A$60,SimpleLookup(Questions!$A$49,$A:$C)=Definitions!$A$4),IF(MATCH($C78,Definitions!$AW:$AW,0)&gt;MATCH(OFFSET($C78,1,0),Definitions!AW:AW,0),$A78&amp;" "&amp;$K78&amp;": "&amp;$C78&amp;CHAR(10)&amp;"&lt;---&gt;"&amp;CHAR(10)&amp;OFFSET($A78,1,0)&amp;" "&amp;OFFSET($K78,1,0)&amp;": "&amp;OFFSET($C78,1,0),""),""))</f>
        <v/>
      </c>
      <c r="AO78" s="99" cm="1">
        <f t="array" ca="1" aca="1" ref="AO78">CreateID($AO$3,$AO:$AO,$AN78&lt;&gt;"")</f>
        <v>0</v>
      </c>
    </row>
    <row r="79" spans="9:41" ht="15">
      <c r="I79" s="99" t="str">
        <f t="shared" si="17"/>
        <v/>
      </c>
      <c r="J79" s="99" t="str">
        <f t="shared" si="18"/>
        <v/>
      </c>
      <c r="K79" s="99" t="e" cm="1">
        <f t="array" ca="1" aca="1" ref="K79">SimpleLookup($A79,Questions!$A:$B)</f>
        <v>#N/A</v>
      </c>
      <c r="L79" s="99" cm="1">
        <f t="array" ca="1" aca="1" ref="L79">CreateID($L$3,$L:$L,AND($A79&lt;&gt;"",$AC79))</f>
        <v>39</v>
      </c>
      <c r="M79" s="99" cm="1">
        <f t="array" ca="1" aca="1" ref="M79">CreateTaskID($M$3,$M:$M,Tasks!$B$17,$G79)</f>
        <v>0</v>
      </c>
      <c r="N79" s="99" t="str">
        <f t="shared" si="16"/>
        <v/>
      </c>
      <c r="O79" s="99" cm="1">
        <f t="array" ca="1" aca="1" ref="O79">CreateID($O$3,$O:$O,$N79&lt;&gt;"")</f>
        <v>0</v>
      </c>
      <c r="P79" s="99" t="str">
        <f t="shared" si="19"/>
        <v/>
      </c>
      <c r="Q79" s="99" cm="1">
        <f t="array" ca="1" aca="1" ref="Q79">CreateID($Q$3,$Q:$Q,$P79&lt;&gt;"")</f>
        <v>0</v>
      </c>
      <c r="R79" s="99" t="str">
        <f t="shared" si="20"/>
        <v/>
      </c>
      <c r="S79" s="99" cm="1">
        <f t="array" ca="1" aca="1" ref="S79">CreateID($S$3,$S:$S,$R79&lt;&gt;"")</f>
        <v>2</v>
      </c>
      <c r="T79" s="99" t="str">
        <f t="shared" si="21"/>
        <v/>
      </c>
      <c r="U79" s="99" cm="1">
        <f t="array" ca="1" aca="1" ref="U79">CreateID($U$3,$U:$U,$T79&lt;&gt;"")</f>
        <v>0</v>
      </c>
      <c r="V79" s="99" cm="1">
        <f t="array" ca="1" aca="1" ref="V79">CreateID($V$3,$V:$V,IFERROR(FIND(Definitions!$AR$4,$G79)&gt;0,FALSE))</f>
        <v>0</v>
      </c>
      <c r="W79" s="99">
        <f>_xlfn.LET(_xlpm._comment,$G79,_xlpm._keyWord,Definitions!$AR$4,_xlpm._diffLen,LEN(_xlpm._comment)-LEN(SUBSTITUTE(_xlpm._comment,_xlpm._keyWord,"")),_xlpm._diffLen/LEN(_xlpm._keyWord))</f>
        <v>0</v>
      </c>
      <c r="X79" s="99" cm="1">
        <f t="array" ca="1" aca="1" ref="X79">CreateID($X$3,$X:$X,IFERROR(FIND(Definitions!$AR$5,$G79)&gt;0,FALSE))</f>
        <v>0</v>
      </c>
      <c r="Y79" s="99">
        <f>_xlfn.LET(_xlpm._comment,$G79,_xlpm._keyWord,Definitions!$AR$5,_xlpm._diffLen,LEN(_xlpm._comment)-LEN(SUBSTITUTE(_xlpm._comment,_xlpm._keyWord,"")),_xlpm._diffLen/LEN(_xlpm._keyWord))</f>
        <v>0</v>
      </c>
      <c r="Z79" s="99" t="b">
        <f ca="1">OR(IFERROR(_xlfn.XMATCH("*,"&amp;$A79&amp;",*",Assumptions!$AL:$AL,2)&gt;0,FALSE),IFERROR(_xlfn.XMATCH("*,"&amp;$A79&amp;",*",Countermeasures!$AO:$AO,2)&gt;0,FALSE))</f>
        <v>0</v>
      </c>
      <c r="AA79" s="99" t="str" cm="1">
        <f t="array" ref="AA79">CreateSearchString($I79)</f>
        <v/>
      </c>
      <c r="AB79" s="99" t="str">
        <f>IF($E79="","",IFERROR(VLOOKUP($E79,Definitions!$H:$J,COLUMNS(Definitions!$H:$J),FALSE),""))</f>
        <v/>
      </c>
      <c r="AC79" s="99" t="b" cm="1">
        <f t="array" ref="AC79">IF($A79="",FALSE,SimpleLookup($A79,Questions!$A:$D)="x")</f>
        <v>0</v>
      </c>
      <c r="AD79" s="99" t="str" cm="1">
        <f t="array" ref="AD79">IF(OR($A79="",NOT($AC79)),"",SimpleLookup($A79,Questions!$A:$E))</f>
        <v/>
      </c>
      <c r="AE79" s="99" t="str" cm="1">
        <f t="array" ref="AE79">IF(OR($A79="",NOT($AC79)),"",SimpleLookup($A79,Questions!$A:$F))</f>
        <v/>
      </c>
      <c r="AF79" s="99" t="str" cm="1">
        <f t="array" ref="AF79">_xlfn.LET(_xlpm._answer,$C79,_xlpm._infoTextFull,IF($AC79,CHAR(10)&amp;SimpleLookup($A79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79" s="99" t="b" cm="1">
        <f t="array" ref="AG79">IF(OR($A79="",NOT($AC79)),FALSE,_xlfn.LET(_xlpm._secondAnswerRequiredOn,SimpleLookup($A79,Questions!$A:$I),_xlpm._firstAnwer,$C79,IFERROR(FIND(CHAR(10)&amp;_xlpm._firstAnwer&amp;":",CHAR(10)&amp;_xlpm._secondAnswerRequiredOn)&gt;0,FALSE)))</f>
        <v>0</v>
      </c>
      <c r="AH79" s="99" t="str" cm="1">
        <f t="array" ref="AH79">IF(OR($A79="",NOT($AC79)),"",_xlfn.LET(_xlpm._id,$A79,_xlpm._firstAnswer,$C79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79" s="99" t="str" cm="1">
        <f t="array" ref="AI79">IF(OR($A79="",NOT($AC79)),"",_xlfn.LET(_xlpm._id,$A79,_xlpm._firstAnswer,$C79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79" s="99" t="str" cm="1">
        <f t="array" ref="AJ79">IF($AG79,_xlfn.LET(_xlpm._answer,$E79,_xlpm._infoTextFull,IF($AC79,CHAR(10)&amp;SimpleLookup($A79,Questions!$A:$L)&amp;CHAR(10),""),_xlpm._startSelectedByAnswerOne,IF(_xlpm._infoTextFull="",0,FIND("___"&amp;$C79&amp;"___",_xlpm._infoTextFull)+LEN("___"&amp;$C79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79" s="99" t="b" cm="1">
        <f t="array" ref="AK79">IF(OR($A79="",NOT($AC79)),FALSE,SimpleLookup($A79,Questions!$A:$Q))</f>
        <v>0</v>
      </c>
      <c r="AL79" s="99" t="str" cm="1">
        <f t="array" ca="1" aca="1" ref="AL79">IF(AND($A79=Questions!$A$41,IFERROR(SimpleLookup(Questions!$A$36,$A:$E)=Definitions!$O$5,FALSE),$C79=Definitions!$A$5),Questions!$A$36&amp;" "&amp;Questions!$B$36&amp;CHAR(10)&amp;CHAR(187)&amp;" "&amp;SimpleLookup(Questions!$A$36,$A:$C)&amp;CHAR(10)&amp;SimpleLookup(Questions!$A$36,$A:$D)&amp;CHAR(10)&amp;CHAR(187)&amp;" "&amp;Definitions!$O$5&amp;CHAR(10)&amp;CHAR(10)&amp;"is incosistent with"&amp;CHAR(10)&amp;CHAR(10)&amp;$A79&amp;" "&amp;SimpleLookup($A79,Questions!$A:$B)&amp;CHAR(10)&amp;CHAR(187)&amp;" "&amp;$C79,"")</f>
        <v/>
      </c>
      <c r="AM79" s="99" cm="1">
        <f t="array" ca="1" aca="1" ref="AM79">CreateID($AM$3,$AM:$AM,$AL79&lt;&gt;"")</f>
        <v>0</v>
      </c>
      <c r="AN79" s="99" t="str" cm="1">
        <f t="array" ca="1" aca="1" ref="AN79">IF(OR($C79="",OFFSET($C79,1,0)=""),"",IF(AND($A79=Questions!$A$59,OFFSET($A79,1,0)=Questions!$A$60,SimpleLookup(Questions!$A$49,$A:$C)=Definitions!$A$4),IF(MATCH($C79,Definitions!$AW:$AW,0)&gt;MATCH(OFFSET($C79,1,0),Definitions!AW:AW,0),$A79&amp;" "&amp;$K79&amp;": "&amp;$C79&amp;CHAR(10)&amp;"&lt;---&gt;"&amp;CHAR(10)&amp;OFFSET($A79,1,0)&amp;" "&amp;OFFSET($K79,1,0)&amp;": "&amp;OFFSET($C79,1,0),""),""))</f>
        <v/>
      </c>
      <c r="AO79" s="99" cm="1">
        <f t="array" ca="1" aca="1" ref="AO79">CreateID($AO$3,$AO:$AO,$AN79&lt;&gt;"")</f>
        <v>0</v>
      </c>
    </row>
    <row r="80" spans="9:41" ht="15">
      <c r="I80" s="99" t="str">
        <f t="shared" si="17"/>
        <v/>
      </c>
      <c r="J80" s="99" t="str">
        <f t="shared" si="18"/>
        <v/>
      </c>
      <c r="K80" s="99" t="e" cm="1">
        <f t="array" ca="1" aca="1" ref="K80">SimpleLookup($A80,Questions!$A:$B)</f>
        <v>#N/A</v>
      </c>
      <c r="L80" s="99" cm="1">
        <f t="array" ca="1" aca="1" ref="L80">CreateID($L$3,$L:$L,AND($A80&lt;&gt;"",$AC80))</f>
        <v>39</v>
      </c>
      <c r="M80" s="99" cm="1">
        <f t="array" ca="1" aca="1" ref="M80">CreateTaskID($M$3,$M:$M,Tasks!$B$17,$G80)</f>
        <v>0</v>
      </c>
      <c r="N80" s="99" t="str">
        <f t="shared" si="16"/>
        <v/>
      </c>
      <c r="O80" s="99" cm="1">
        <f t="array" ca="1" aca="1" ref="O80">CreateID($O$3,$O:$O,$N80&lt;&gt;"")</f>
        <v>0</v>
      </c>
      <c r="P80" s="99" t="str">
        <f t="shared" si="19"/>
        <v/>
      </c>
      <c r="Q80" s="99" cm="1">
        <f t="array" ca="1" aca="1" ref="Q80">CreateID($Q$3,$Q:$Q,$P80&lt;&gt;"")</f>
        <v>0</v>
      </c>
      <c r="R80" s="99" t="str">
        <f t="shared" si="20"/>
        <v/>
      </c>
      <c r="S80" s="99" cm="1">
        <f t="array" ca="1" aca="1" ref="S80">CreateID($S$3,$S:$S,$R80&lt;&gt;"")</f>
        <v>2</v>
      </c>
      <c r="T80" s="99" t="str">
        <f t="shared" si="21"/>
        <v/>
      </c>
      <c r="U80" s="99" cm="1">
        <f t="array" ca="1" aca="1" ref="U80">CreateID($U$3,$U:$U,$T80&lt;&gt;"")</f>
        <v>0</v>
      </c>
      <c r="V80" s="99" cm="1">
        <f t="array" ca="1" aca="1" ref="V80">CreateID($V$3,$V:$V,IFERROR(FIND(Definitions!$AR$4,$G80)&gt;0,FALSE))</f>
        <v>0</v>
      </c>
      <c r="W80" s="99">
        <f>_xlfn.LET(_xlpm._comment,$G80,_xlpm._keyWord,Definitions!$AR$4,_xlpm._diffLen,LEN(_xlpm._comment)-LEN(SUBSTITUTE(_xlpm._comment,_xlpm._keyWord,"")),_xlpm._diffLen/LEN(_xlpm._keyWord))</f>
        <v>0</v>
      </c>
      <c r="X80" s="99" cm="1">
        <f t="array" ca="1" aca="1" ref="X80">CreateID($X$3,$X:$X,IFERROR(FIND(Definitions!$AR$5,$G80)&gt;0,FALSE))</f>
        <v>0</v>
      </c>
      <c r="Y80" s="99">
        <f>_xlfn.LET(_xlpm._comment,$G80,_xlpm._keyWord,Definitions!$AR$5,_xlpm._diffLen,LEN(_xlpm._comment)-LEN(SUBSTITUTE(_xlpm._comment,_xlpm._keyWord,"")),_xlpm._diffLen/LEN(_xlpm._keyWord))</f>
        <v>0</v>
      </c>
      <c r="Z80" s="99" t="b">
        <f ca="1">OR(IFERROR(_xlfn.XMATCH("*,"&amp;$A80&amp;",*",Assumptions!$AL:$AL,2)&gt;0,FALSE),IFERROR(_xlfn.XMATCH("*,"&amp;$A80&amp;",*",Countermeasures!$AO:$AO,2)&gt;0,FALSE))</f>
        <v>0</v>
      </c>
      <c r="AA80" s="99" t="str" cm="1">
        <f t="array" ref="AA80">CreateSearchString($I80)</f>
        <v/>
      </c>
      <c r="AB80" s="99" t="str">
        <f>IF($E80="","",IFERROR(VLOOKUP($E80,Definitions!$H:$J,COLUMNS(Definitions!$H:$J),FALSE),""))</f>
        <v/>
      </c>
      <c r="AC80" s="99" t="b" cm="1">
        <f t="array" ref="AC80">IF($A80="",FALSE,SimpleLookup($A80,Questions!$A:$D)="x")</f>
        <v>0</v>
      </c>
      <c r="AD80" s="99" t="str" cm="1">
        <f t="array" ref="AD80">IF(OR($A80="",NOT($AC80)),"",SimpleLookup($A80,Questions!$A:$E))</f>
        <v/>
      </c>
      <c r="AE80" s="99" t="str" cm="1">
        <f t="array" ref="AE80">IF(OR($A80="",NOT($AC80)),"",SimpleLookup($A80,Questions!$A:$F))</f>
        <v/>
      </c>
      <c r="AF80" s="99" t="str" cm="1">
        <f t="array" ref="AF80">_xlfn.LET(_xlpm._answer,$C80,_xlpm._infoTextFull,IF($AC80,CHAR(10)&amp;SimpleLookup($A80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0" s="99" t="b" cm="1">
        <f t="array" ref="AG80">IF(OR($A80="",NOT($AC80)),FALSE,_xlfn.LET(_xlpm._secondAnswerRequiredOn,SimpleLookup($A80,Questions!$A:$I),_xlpm._firstAnwer,$C80,IFERROR(FIND(CHAR(10)&amp;_xlpm._firstAnwer&amp;":",CHAR(10)&amp;_xlpm._secondAnswerRequiredOn)&gt;0,FALSE)))</f>
        <v>0</v>
      </c>
      <c r="AH80" s="99" t="str" cm="1">
        <f t="array" ref="AH80">IF(OR($A80="",NOT($AC80)),"",_xlfn.LET(_xlpm._id,$A80,_xlpm._firstAnswer,$C80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0" s="99" t="str" cm="1">
        <f t="array" ref="AI80">IF(OR($A80="",NOT($AC80)),"",_xlfn.LET(_xlpm._id,$A80,_xlpm._firstAnswer,$C80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0" s="99" t="str" cm="1">
        <f t="array" ref="AJ80">IF($AG80,_xlfn.LET(_xlpm._answer,$E80,_xlpm._infoTextFull,IF($AC80,CHAR(10)&amp;SimpleLookup($A80,Questions!$A:$L)&amp;CHAR(10),""),_xlpm._startSelectedByAnswerOne,IF(_xlpm._infoTextFull="",0,FIND("___"&amp;$C80&amp;"___",_xlpm._infoTextFull)+LEN("___"&amp;$C80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0" s="99" t="b" cm="1">
        <f t="array" ref="AK80">IF(OR($A80="",NOT($AC80)),FALSE,SimpleLookup($A80,Questions!$A:$Q))</f>
        <v>0</v>
      </c>
      <c r="AL80" s="99" t="str" cm="1">
        <f t="array" ca="1" aca="1" ref="AL80">IF(AND($A80=Questions!$A$41,IFERROR(SimpleLookup(Questions!$A$36,$A:$E)=Definitions!$O$5,FALSE),$C80=Definitions!$A$5),Questions!$A$36&amp;" "&amp;Questions!$B$36&amp;CHAR(10)&amp;CHAR(187)&amp;" "&amp;SimpleLookup(Questions!$A$36,$A:$C)&amp;CHAR(10)&amp;SimpleLookup(Questions!$A$36,$A:$D)&amp;CHAR(10)&amp;CHAR(187)&amp;" "&amp;Definitions!$O$5&amp;CHAR(10)&amp;CHAR(10)&amp;"is incosistent with"&amp;CHAR(10)&amp;CHAR(10)&amp;$A80&amp;" "&amp;SimpleLookup($A80,Questions!$A:$B)&amp;CHAR(10)&amp;CHAR(187)&amp;" "&amp;$C80,"")</f>
        <v/>
      </c>
      <c r="AM80" s="99" cm="1">
        <f t="array" ca="1" aca="1" ref="AM80">CreateID($AM$3,$AM:$AM,$AL80&lt;&gt;"")</f>
        <v>0</v>
      </c>
      <c r="AN80" s="99" t="str" cm="1">
        <f t="array" ca="1" aca="1" ref="AN80">IF(OR($C80="",OFFSET($C80,1,0)=""),"",IF(AND($A80=Questions!$A$59,OFFSET($A80,1,0)=Questions!$A$60,SimpleLookup(Questions!$A$49,$A:$C)=Definitions!$A$4),IF(MATCH($C80,Definitions!$AW:$AW,0)&gt;MATCH(OFFSET($C80,1,0),Definitions!AW:AW,0),$A80&amp;" "&amp;$K80&amp;": "&amp;$C80&amp;CHAR(10)&amp;"&lt;---&gt;"&amp;CHAR(10)&amp;OFFSET($A80,1,0)&amp;" "&amp;OFFSET($K80,1,0)&amp;": "&amp;OFFSET($C80,1,0),""),""))</f>
        <v/>
      </c>
      <c r="AO80" s="99" cm="1">
        <f t="array" ca="1" aca="1" ref="AO80">CreateID($AO$3,$AO:$AO,$AN80&lt;&gt;"")</f>
        <v>0</v>
      </c>
    </row>
    <row r="81" spans="9:41" ht="15">
      <c r="I81" s="99" t="str">
        <f t="shared" si="17"/>
        <v/>
      </c>
      <c r="J81" s="99" t="str">
        <f t="shared" si="18"/>
        <v/>
      </c>
      <c r="K81" s="99" t="e" cm="1">
        <f t="array" ca="1" aca="1" ref="K81">SimpleLookup($A81,Questions!$A:$B)</f>
        <v>#N/A</v>
      </c>
      <c r="L81" s="99" cm="1">
        <f t="array" ca="1" aca="1" ref="L81">CreateID($L$3,$L:$L,AND($A81&lt;&gt;"",$AC81))</f>
        <v>39</v>
      </c>
      <c r="M81" s="99" cm="1">
        <f t="array" ca="1" aca="1" ref="M81">CreateTaskID($M$3,$M:$M,Tasks!$B$17,$G81)</f>
        <v>0</v>
      </c>
      <c r="N81" s="99" t="str">
        <f t="shared" si="16"/>
        <v/>
      </c>
      <c r="O81" s="99" cm="1">
        <f t="array" ca="1" aca="1" ref="O81">CreateID($O$3,$O:$O,$N81&lt;&gt;"")</f>
        <v>0</v>
      </c>
      <c r="P81" s="99" t="str">
        <f t="shared" si="19"/>
        <v/>
      </c>
      <c r="Q81" s="99" cm="1">
        <f t="array" ca="1" aca="1" ref="Q81">CreateID($Q$3,$Q:$Q,$P81&lt;&gt;"")</f>
        <v>0</v>
      </c>
      <c r="R81" s="99" t="str">
        <f t="shared" si="20"/>
        <v/>
      </c>
      <c r="S81" s="99" cm="1">
        <f t="array" ca="1" aca="1" ref="S81">CreateID($S$3,$S:$S,$R81&lt;&gt;"")</f>
        <v>2</v>
      </c>
      <c r="T81" s="99" t="str">
        <f t="shared" si="21"/>
        <v/>
      </c>
      <c r="U81" s="99" cm="1">
        <f t="array" ca="1" aca="1" ref="U81">CreateID($U$3,$U:$U,$T81&lt;&gt;"")</f>
        <v>0</v>
      </c>
      <c r="V81" s="99" cm="1">
        <f t="array" ca="1" aca="1" ref="V81">CreateID($V$3,$V:$V,IFERROR(FIND(Definitions!$AR$4,$G81)&gt;0,FALSE))</f>
        <v>0</v>
      </c>
      <c r="W81" s="99">
        <f>_xlfn.LET(_xlpm._comment,$G81,_xlpm._keyWord,Definitions!$AR$4,_xlpm._diffLen,LEN(_xlpm._comment)-LEN(SUBSTITUTE(_xlpm._comment,_xlpm._keyWord,"")),_xlpm._diffLen/LEN(_xlpm._keyWord))</f>
        <v>0</v>
      </c>
      <c r="X81" s="99" cm="1">
        <f t="array" ca="1" aca="1" ref="X81">CreateID($X$3,$X:$X,IFERROR(FIND(Definitions!$AR$5,$G81)&gt;0,FALSE))</f>
        <v>0</v>
      </c>
      <c r="Y81" s="99">
        <f>_xlfn.LET(_xlpm._comment,$G81,_xlpm._keyWord,Definitions!$AR$5,_xlpm._diffLen,LEN(_xlpm._comment)-LEN(SUBSTITUTE(_xlpm._comment,_xlpm._keyWord,"")),_xlpm._diffLen/LEN(_xlpm._keyWord))</f>
        <v>0</v>
      </c>
      <c r="Z81" s="99" t="b">
        <f ca="1">OR(IFERROR(_xlfn.XMATCH("*,"&amp;$A81&amp;",*",Assumptions!$AL:$AL,2)&gt;0,FALSE),IFERROR(_xlfn.XMATCH("*,"&amp;$A81&amp;",*",Countermeasures!$AO:$AO,2)&gt;0,FALSE))</f>
        <v>0</v>
      </c>
      <c r="AA81" s="99" t="str" cm="1">
        <f t="array" ref="AA81">CreateSearchString($I81)</f>
        <v/>
      </c>
      <c r="AB81" s="99" t="str">
        <f>IF($E81="","",IFERROR(VLOOKUP($E81,Definitions!$H:$J,COLUMNS(Definitions!$H:$J),FALSE),""))</f>
        <v/>
      </c>
      <c r="AC81" s="99" t="b" cm="1">
        <f t="array" ref="AC81">IF($A81="",FALSE,SimpleLookup($A81,Questions!$A:$D)="x")</f>
        <v>0</v>
      </c>
      <c r="AD81" s="99" t="str" cm="1">
        <f t="array" ref="AD81">IF(OR($A81="",NOT($AC81)),"",SimpleLookup($A81,Questions!$A:$E))</f>
        <v/>
      </c>
      <c r="AE81" s="99" t="str" cm="1">
        <f t="array" ref="AE81">IF(OR($A81="",NOT($AC81)),"",SimpleLookup($A81,Questions!$A:$F))</f>
        <v/>
      </c>
      <c r="AF81" s="99" t="str" cm="1">
        <f t="array" ref="AF81">_xlfn.LET(_xlpm._answer,$C81,_xlpm._infoTextFull,IF($AC81,CHAR(10)&amp;SimpleLookup($A81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1" s="99" t="b" cm="1">
        <f t="array" ref="AG81">IF(OR($A81="",NOT($AC81)),FALSE,_xlfn.LET(_xlpm._secondAnswerRequiredOn,SimpleLookup($A81,Questions!$A:$I),_xlpm._firstAnwer,$C81,IFERROR(FIND(CHAR(10)&amp;_xlpm._firstAnwer&amp;":",CHAR(10)&amp;_xlpm._secondAnswerRequiredOn)&gt;0,FALSE)))</f>
        <v>0</v>
      </c>
      <c r="AH81" s="99" t="str" cm="1">
        <f t="array" ref="AH81">IF(OR($A81="",NOT($AC81)),"",_xlfn.LET(_xlpm._id,$A81,_xlpm._firstAnswer,$C81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1" s="99" t="str" cm="1">
        <f t="array" ref="AI81">IF(OR($A81="",NOT($AC81)),"",_xlfn.LET(_xlpm._id,$A81,_xlpm._firstAnswer,$C81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1" s="99" t="str" cm="1">
        <f t="array" ref="AJ81">IF($AG81,_xlfn.LET(_xlpm._answer,$E81,_xlpm._infoTextFull,IF($AC81,CHAR(10)&amp;SimpleLookup($A81,Questions!$A:$L)&amp;CHAR(10),""),_xlpm._startSelectedByAnswerOne,IF(_xlpm._infoTextFull="",0,FIND("___"&amp;$C81&amp;"___",_xlpm._infoTextFull)+LEN("___"&amp;$C81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1" s="99" t="b" cm="1">
        <f t="array" ref="AK81">IF(OR($A81="",NOT($AC81)),FALSE,SimpleLookup($A81,Questions!$A:$Q))</f>
        <v>0</v>
      </c>
      <c r="AL81" s="99" t="str" cm="1">
        <f t="array" ca="1" aca="1" ref="AL81">IF(AND($A81=Questions!$A$41,IFERROR(SimpleLookup(Questions!$A$36,$A:$E)=Definitions!$O$5,FALSE),$C81=Definitions!$A$5),Questions!$A$36&amp;" "&amp;Questions!$B$36&amp;CHAR(10)&amp;CHAR(187)&amp;" "&amp;SimpleLookup(Questions!$A$36,$A:$C)&amp;CHAR(10)&amp;SimpleLookup(Questions!$A$36,$A:$D)&amp;CHAR(10)&amp;CHAR(187)&amp;" "&amp;Definitions!$O$5&amp;CHAR(10)&amp;CHAR(10)&amp;"is incosistent with"&amp;CHAR(10)&amp;CHAR(10)&amp;$A81&amp;" "&amp;SimpleLookup($A81,Questions!$A:$B)&amp;CHAR(10)&amp;CHAR(187)&amp;" "&amp;$C81,"")</f>
        <v/>
      </c>
      <c r="AM81" s="99" cm="1">
        <f t="array" ca="1" aca="1" ref="AM81">CreateID($AM$3,$AM:$AM,$AL81&lt;&gt;"")</f>
        <v>0</v>
      </c>
      <c r="AN81" s="99" t="str" cm="1">
        <f t="array" ca="1" aca="1" ref="AN81">IF(OR($C81="",OFFSET($C81,1,0)=""),"",IF(AND($A81=Questions!$A$59,OFFSET($A81,1,0)=Questions!$A$60,SimpleLookup(Questions!$A$49,$A:$C)=Definitions!$A$4),IF(MATCH($C81,Definitions!$AW:$AW,0)&gt;MATCH(OFFSET($C81,1,0),Definitions!AW:AW,0),$A81&amp;" "&amp;$K81&amp;": "&amp;$C81&amp;CHAR(10)&amp;"&lt;---&gt;"&amp;CHAR(10)&amp;OFFSET($A81,1,0)&amp;" "&amp;OFFSET($K81,1,0)&amp;": "&amp;OFFSET($C81,1,0),""),""))</f>
        <v/>
      </c>
      <c r="AO81" s="99" cm="1">
        <f t="array" ca="1" aca="1" ref="AO81">CreateID($AO$3,$AO:$AO,$AN81&lt;&gt;"")</f>
        <v>0</v>
      </c>
    </row>
    <row r="82" spans="9:41" ht="15">
      <c r="I82" s="99" t="str">
        <f t="shared" si="17"/>
        <v/>
      </c>
      <c r="J82" s="99" t="str">
        <f t="shared" si="18"/>
        <v/>
      </c>
      <c r="K82" s="99" t="e" cm="1">
        <f t="array" ca="1" aca="1" ref="K82">SimpleLookup($A82,Questions!$A:$B)</f>
        <v>#N/A</v>
      </c>
      <c r="L82" s="99" cm="1">
        <f t="array" ca="1" aca="1" ref="L82">CreateID($L$3,$L:$L,AND($A82&lt;&gt;"",$AC82))</f>
        <v>39</v>
      </c>
      <c r="M82" s="99" cm="1">
        <f t="array" ca="1" aca="1" ref="M82">CreateTaskID($M$3,$M:$M,Tasks!$B$17,$G82)</f>
        <v>0</v>
      </c>
      <c r="N82" s="99" t="str">
        <f t="shared" si="16"/>
        <v/>
      </c>
      <c r="O82" s="99" cm="1">
        <f t="array" ca="1" aca="1" ref="O82">CreateID($O$3,$O:$O,$N82&lt;&gt;"")</f>
        <v>0</v>
      </c>
      <c r="P82" s="99" t="str">
        <f t="shared" si="19"/>
        <v/>
      </c>
      <c r="Q82" s="99" cm="1">
        <f t="array" ca="1" aca="1" ref="Q82">CreateID($Q$3,$Q:$Q,$P82&lt;&gt;"")</f>
        <v>0</v>
      </c>
      <c r="R82" s="99" t="str">
        <f t="shared" si="20"/>
        <v/>
      </c>
      <c r="S82" s="99" cm="1">
        <f t="array" ca="1" aca="1" ref="S82">CreateID($S$3,$S:$S,$R82&lt;&gt;"")</f>
        <v>2</v>
      </c>
      <c r="T82" s="99" t="str">
        <f t="shared" si="21"/>
        <v/>
      </c>
      <c r="U82" s="99" cm="1">
        <f t="array" ca="1" aca="1" ref="U82">CreateID($U$3,$U:$U,$T82&lt;&gt;"")</f>
        <v>0</v>
      </c>
      <c r="V82" s="99" cm="1">
        <f t="array" ca="1" aca="1" ref="V82">CreateID($V$3,$V:$V,IFERROR(FIND(Definitions!$AR$4,$G82)&gt;0,FALSE))</f>
        <v>0</v>
      </c>
      <c r="W82" s="99">
        <f>_xlfn.LET(_xlpm._comment,$G82,_xlpm._keyWord,Definitions!$AR$4,_xlpm._diffLen,LEN(_xlpm._comment)-LEN(SUBSTITUTE(_xlpm._comment,_xlpm._keyWord,"")),_xlpm._diffLen/LEN(_xlpm._keyWord))</f>
        <v>0</v>
      </c>
      <c r="X82" s="99" cm="1">
        <f t="array" ca="1" aca="1" ref="X82">CreateID($X$3,$X:$X,IFERROR(FIND(Definitions!$AR$5,$G82)&gt;0,FALSE))</f>
        <v>0</v>
      </c>
      <c r="Y82" s="99">
        <f>_xlfn.LET(_xlpm._comment,$G82,_xlpm._keyWord,Definitions!$AR$5,_xlpm._diffLen,LEN(_xlpm._comment)-LEN(SUBSTITUTE(_xlpm._comment,_xlpm._keyWord,"")),_xlpm._diffLen/LEN(_xlpm._keyWord))</f>
        <v>0</v>
      </c>
      <c r="Z82" s="99" t="b">
        <f ca="1">OR(IFERROR(_xlfn.XMATCH("*,"&amp;$A82&amp;",*",Assumptions!$AL:$AL,2)&gt;0,FALSE),IFERROR(_xlfn.XMATCH("*,"&amp;$A82&amp;",*",Countermeasures!$AO:$AO,2)&gt;0,FALSE))</f>
        <v>0</v>
      </c>
      <c r="AA82" s="99" t="str" cm="1">
        <f t="array" ref="AA82">CreateSearchString($I82)</f>
        <v/>
      </c>
      <c r="AB82" s="99" t="str">
        <f>IF($E82="","",IFERROR(VLOOKUP($E82,Definitions!$H:$J,COLUMNS(Definitions!$H:$J),FALSE),""))</f>
        <v/>
      </c>
      <c r="AC82" s="99" t="b" cm="1">
        <f t="array" ref="AC82">IF($A82="",FALSE,SimpleLookup($A82,Questions!$A:$D)="x")</f>
        <v>0</v>
      </c>
      <c r="AD82" s="99" t="str" cm="1">
        <f t="array" ref="AD82">IF(OR($A82="",NOT($AC82)),"",SimpleLookup($A82,Questions!$A:$E))</f>
        <v/>
      </c>
      <c r="AE82" s="99" t="str" cm="1">
        <f t="array" ref="AE82">IF(OR($A82="",NOT($AC82)),"",SimpleLookup($A82,Questions!$A:$F))</f>
        <v/>
      </c>
      <c r="AF82" s="99" t="str" cm="1">
        <f t="array" ref="AF82">_xlfn.LET(_xlpm._answer,$C82,_xlpm._infoTextFull,IF($AC82,CHAR(10)&amp;SimpleLookup($A82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2" s="99" t="b" cm="1">
        <f t="array" ref="AG82">IF(OR($A82="",NOT($AC82)),FALSE,_xlfn.LET(_xlpm._secondAnswerRequiredOn,SimpleLookup($A82,Questions!$A:$I),_xlpm._firstAnwer,$C82,IFERROR(FIND(CHAR(10)&amp;_xlpm._firstAnwer&amp;":",CHAR(10)&amp;_xlpm._secondAnswerRequiredOn)&gt;0,FALSE)))</f>
        <v>0</v>
      </c>
      <c r="AH82" s="99" t="str" cm="1">
        <f t="array" ref="AH82">IF(OR($A82="",NOT($AC82)),"",_xlfn.LET(_xlpm._id,$A82,_xlpm._firstAnswer,$C82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2" s="99" t="str" cm="1">
        <f t="array" ref="AI82">IF(OR($A82="",NOT($AC82)),"",_xlfn.LET(_xlpm._id,$A82,_xlpm._firstAnswer,$C82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2" s="99" t="str" cm="1">
        <f t="array" ref="AJ82">IF($AG82,_xlfn.LET(_xlpm._answer,$E82,_xlpm._infoTextFull,IF($AC82,CHAR(10)&amp;SimpleLookup($A82,Questions!$A:$L)&amp;CHAR(10),""),_xlpm._startSelectedByAnswerOne,IF(_xlpm._infoTextFull="",0,FIND("___"&amp;$C82&amp;"___",_xlpm._infoTextFull)+LEN("___"&amp;$C82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2" s="99" t="b" cm="1">
        <f t="array" ref="AK82">IF(OR($A82="",NOT($AC82)),FALSE,SimpleLookup($A82,Questions!$A:$Q))</f>
        <v>0</v>
      </c>
      <c r="AL82" s="99" t="str" cm="1">
        <f t="array" ca="1" aca="1" ref="AL82">IF(AND($A82=Questions!$A$41,IFERROR(SimpleLookup(Questions!$A$36,$A:$E)=Definitions!$O$5,FALSE),$C82=Definitions!$A$5),Questions!$A$36&amp;" "&amp;Questions!$B$36&amp;CHAR(10)&amp;CHAR(187)&amp;" "&amp;SimpleLookup(Questions!$A$36,$A:$C)&amp;CHAR(10)&amp;SimpleLookup(Questions!$A$36,$A:$D)&amp;CHAR(10)&amp;CHAR(187)&amp;" "&amp;Definitions!$O$5&amp;CHAR(10)&amp;CHAR(10)&amp;"is incosistent with"&amp;CHAR(10)&amp;CHAR(10)&amp;$A82&amp;" "&amp;SimpleLookup($A82,Questions!$A:$B)&amp;CHAR(10)&amp;CHAR(187)&amp;" "&amp;$C82,"")</f>
        <v/>
      </c>
      <c r="AM82" s="99" cm="1">
        <f t="array" ca="1" aca="1" ref="AM82">CreateID($AM$3,$AM:$AM,$AL82&lt;&gt;"")</f>
        <v>0</v>
      </c>
      <c r="AN82" s="99" t="str" cm="1">
        <f t="array" ca="1" aca="1" ref="AN82">IF(OR($C82="",OFFSET($C82,1,0)=""),"",IF(AND($A82=Questions!$A$59,OFFSET($A82,1,0)=Questions!$A$60,SimpleLookup(Questions!$A$49,$A:$C)=Definitions!$A$4),IF(MATCH($C82,Definitions!$AW:$AW,0)&gt;MATCH(OFFSET($C82,1,0),Definitions!AW:AW,0),$A82&amp;" "&amp;$K82&amp;": "&amp;$C82&amp;CHAR(10)&amp;"&lt;---&gt;"&amp;CHAR(10)&amp;OFFSET($A82,1,0)&amp;" "&amp;OFFSET($K82,1,0)&amp;": "&amp;OFFSET($C82,1,0),""),""))</f>
        <v/>
      </c>
      <c r="AO82" s="99" cm="1">
        <f t="array" ca="1" aca="1" ref="AO82">CreateID($AO$3,$AO:$AO,$AN82&lt;&gt;"")</f>
        <v>0</v>
      </c>
    </row>
    <row r="83" spans="9:41" ht="15">
      <c r="I83" s="99" t="str">
        <f t="shared" si="17"/>
        <v/>
      </c>
      <c r="J83" s="99" t="str">
        <f t="shared" si="18"/>
        <v/>
      </c>
      <c r="K83" s="99" t="e" cm="1">
        <f t="array" ca="1" aca="1" ref="K83">SimpleLookup($A83,Questions!$A:$B)</f>
        <v>#N/A</v>
      </c>
      <c r="L83" s="99" cm="1">
        <f t="array" ca="1" aca="1" ref="L83">CreateID($L$3,$L:$L,AND($A83&lt;&gt;"",$AC83))</f>
        <v>39</v>
      </c>
      <c r="M83" s="99" cm="1">
        <f t="array" ca="1" aca="1" ref="M83">CreateTaskID($M$3,$M:$M,Tasks!$B$17,$G83)</f>
        <v>0</v>
      </c>
      <c r="N83" s="99" t="str">
        <f t="shared" si="16"/>
        <v/>
      </c>
      <c r="O83" s="99" cm="1">
        <f t="array" ca="1" aca="1" ref="O83">CreateID($O$3,$O:$O,$N83&lt;&gt;"")</f>
        <v>0</v>
      </c>
      <c r="P83" s="99" t="str">
        <f t="shared" si="19"/>
        <v/>
      </c>
      <c r="Q83" s="99" cm="1">
        <f t="array" ca="1" aca="1" ref="Q83">CreateID($Q$3,$Q:$Q,$P83&lt;&gt;"")</f>
        <v>0</v>
      </c>
      <c r="R83" s="99" t="str">
        <f t="shared" si="20"/>
        <v/>
      </c>
      <c r="S83" s="99" cm="1">
        <f t="array" ca="1" aca="1" ref="S83">CreateID($S$3,$S:$S,$R83&lt;&gt;"")</f>
        <v>2</v>
      </c>
      <c r="T83" s="99" t="str">
        <f t="shared" si="21"/>
        <v/>
      </c>
      <c r="U83" s="99" cm="1">
        <f t="array" ca="1" aca="1" ref="U83">CreateID($U$3,$U:$U,$T83&lt;&gt;"")</f>
        <v>0</v>
      </c>
      <c r="V83" s="99" cm="1">
        <f t="array" ca="1" aca="1" ref="V83">CreateID($V$3,$V:$V,IFERROR(FIND(Definitions!$AR$4,$G83)&gt;0,FALSE))</f>
        <v>0</v>
      </c>
      <c r="W83" s="99">
        <f>_xlfn.LET(_xlpm._comment,$G83,_xlpm._keyWord,Definitions!$AR$4,_xlpm._diffLen,LEN(_xlpm._comment)-LEN(SUBSTITUTE(_xlpm._comment,_xlpm._keyWord,"")),_xlpm._diffLen/LEN(_xlpm._keyWord))</f>
        <v>0</v>
      </c>
      <c r="X83" s="99" cm="1">
        <f t="array" ca="1" aca="1" ref="X83">CreateID($X$3,$X:$X,IFERROR(FIND(Definitions!$AR$5,$G83)&gt;0,FALSE))</f>
        <v>0</v>
      </c>
      <c r="Y83" s="99">
        <f>_xlfn.LET(_xlpm._comment,$G83,_xlpm._keyWord,Definitions!$AR$5,_xlpm._diffLen,LEN(_xlpm._comment)-LEN(SUBSTITUTE(_xlpm._comment,_xlpm._keyWord,"")),_xlpm._diffLen/LEN(_xlpm._keyWord))</f>
        <v>0</v>
      </c>
      <c r="Z83" s="99" t="b">
        <f ca="1">OR(IFERROR(_xlfn.XMATCH("*,"&amp;$A83&amp;",*",Assumptions!$AL:$AL,2)&gt;0,FALSE),IFERROR(_xlfn.XMATCH("*,"&amp;$A83&amp;",*",Countermeasures!$AO:$AO,2)&gt;0,FALSE))</f>
        <v>0</v>
      </c>
      <c r="AA83" s="99" t="str" cm="1">
        <f t="array" ref="AA83">CreateSearchString($I83)</f>
        <v/>
      </c>
      <c r="AB83" s="99" t="str">
        <f>IF($E83="","",IFERROR(VLOOKUP($E83,Definitions!$H:$J,COLUMNS(Definitions!$H:$J),FALSE),""))</f>
        <v/>
      </c>
      <c r="AC83" s="99" t="b" cm="1">
        <f t="array" ref="AC83">IF($A83="",FALSE,SimpleLookup($A83,Questions!$A:$D)="x")</f>
        <v>0</v>
      </c>
      <c r="AD83" s="99" t="str" cm="1">
        <f t="array" ref="AD83">IF(OR($A83="",NOT($AC83)),"",SimpleLookup($A83,Questions!$A:$E))</f>
        <v/>
      </c>
      <c r="AE83" s="99" t="str" cm="1">
        <f t="array" ref="AE83">IF(OR($A83="",NOT($AC83)),"",SimpleLookup($A83,Questions!$A:$F))</f>
        <v/>
      </c>
      <c r="AF83" s="99" t="str" cm="1">
        <f t="array" ref="AF83">_xlfn.LET(_xlpm._answer,$C83,_xlpm._infoTextFull,IF($AC83,CHAR(10)&amp;SimpleLookup($A83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3" s="99" t="b" cm="1">
        <f t="array" ref="AG83">IF(OR($A83="",NOT($AC83)),FALSE,_xlfn.LET(_xlpm._secondAnswerRequiredOn,SimpleLookup($A83,Questions!$A:$I),_xlpm._firstAnwer,$C83,IFERROR(FIND(CHAR(10)&amp;_xlpm._firstAnwer&amp;":",CHAR(10)&amp;_xlpm._secondAnswerRequiredOn)&gt;0,FALSE)))</f>
        <v>0</v>
      </c>
      <c r="AH83" s="99" t="str" cm="1">
        <f t="array" ref="AH83">IF(OR($A83="",NOT($AC83)),"",_xlfn.LET(_xlpm._id,$A83,_xlpm._firstAnswer,$C83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3" s="99" t="str" cm="1">
        <f t="array" ref="AI83">IF(OR($A83="",NOT($AC83)),"",_xlfn.LET(_xlpm._id,$A83,_xlpm._firstAnswer,$C83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3" s="99" t="str" cm="1">
        <f t="array" ref="AJ83">IF($AG83,_xlfn.LET(_xlpm._answer,$E83,_xlpm._infoTextFull,IF($AC83,CHAR(10)&amp;SimpleLookup($A83,Questions!$A:$L)&amp;CHAR(10),""),_xlpm._startSelectedByAnswerOne,IF(_xlpm._infoTextFull="",0,FIND("___"&amp;$C83&amp;"___",_xlpm._infoTextFull)+LEN("___"&amp;$C83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3" s="99" t="b" cm="1">
        <f t="array" ref="AK83">IF(OR($A83="",NOT($AC83)),FALSE,SimpleLookup($A83,Questions!$A:$Q))</f>
        <v>0</v>
      </c>
      <c r="AL83" s="99" t="str" cm="1">
        <f t="array" ca="1" aca="1" ref="AL83">IF(AND($A83=Questions!$A$41,IFERROR(SimpleLookup(Questions!$A$36,$A:$E)=Definitions!$O$5,FALSE),$C83=Definitions!$A$5),Questions!$A$36&amp;" "&amp;Questions!$B$36&amp;CHAR(10)&amp;CHAR(187)&amp;" "&amp;SimpleLookup(Questions!$A$36,$A:$C)&amp;CHAR(10)&amp;SimpleLookup(Questions!$A$36,$A:$D)&amp;CHAR(10)&amp;CHAR(187)&amp;" "&amp;Definitions!$O$5&amp;CHAR(10)&amp;CHAR(10)&amp;"is incosistent with"&amp;CHAR(10)&amp;CHAR(10)&amp;$A83&amp;" "&amp;SimpleLookup($A83,Questions!$A:$B)&amp;CHAR(10)&amp;CHAR(187)&amp;" "&amp;$C83,"")</f>
        <v/>
      </c>
      <c r="AM83" s="99" cm="1">
        <f t="array" ca="1" aca="1" ref="AM83">CreateID($AM$3,$AM:$AM,$AL83&lt;&gt;"")</f>
        <v>0</v>
      </c>
      <c r="AN83" s="99" t="str" cm="1">
        <f t="array" ca="1" aca="1" ref="AN83">IF(OR($C83="",OFFSET($C83,1,0)=""),"",IF(AND($A83=Questions!$A$59,OFFSET($A83,1,0)=Questions!$A$60,SimpleLookup(Questions!$A$49,$A:$C)=Definitions!$A$4),IF(MATCH($C83,Definitions!$AW:$AW,0)&gt;MATCH(OFFSET($C83,1,0),Definitions!AW:AW,0),$A83&amp;" "&amp;$K83&amp;": "&amp;$C83&amp;CHAR(10)&amp;"&lt;---&gt;"&amp;CHAR(10)&amp;OFFSET($A83,1,0)&amp;" "&amp;OFFSET($K83,1,0)&amp;": "&amp;OFFSET($C83,1,0),""),""))</f>
        <v/>
      </c>
      <c r="AO83" s="99" cm="1">
        <f t="array" ca="1" aca="1" ref="AO83">CreateID($AO$3,$AO:$AO,$AN83&lt;&gt;"")</f>
        <v>0</v>
      </c>
    </row>
    <row r="84" spans="9:41" ht="15">
      <c r="I84" s="99" t="str">
        <f t="shared" si="17"/>
        <v/>
      </c>
      <c r="J84" s="99" t="str">
        <f t="shared" si="18"/>
        <v/>
      </c>
      <c r="K84" s="99" t="e" cm="1">
        <f t="array" ca="1" aca="1" ref="K84">SimpleLookup($A84,Questions!$A:$B)</f>
        <v>#N/A</v>
      </c>
      <c r="L84" s="99" cm="1">
        <f t="array" ca="1" aca="1" ref="L84">CreateID($L$3,$L:$L,AND($A84&lt;&gt;"",$AC84))</f>
        <v>39</v>
      </c>
      <c r="M84" s="99" cm="1">
        <f t="array" ca="1" aca="1" ref="M84">CreateTaskID($M$3,$M:$M,Tasks!$B$17,$G84)</f>
        <v>0</v>
      </c>
      <c r="N84" s="99" t="str">
        <f t="shared" si="16"/>
        <v/>
      </c>
      <c r="O84" s="99" cm="1">
        <f t="array" ca="1" aca="1" ref="O84">CreateID($O$3,$O:$O,$N84&lt;&gt;"")</f>
        <v>0</v>
      </c>
      <c r="P84" s="99" t="str">
        <f t="shared" si="19"/>
        <v/>
      </c>
      <c r="Q84" s="99" cm="1">
        <f t="array" ca="1" aca="1" ref="Q84">CreateID($Q$3,$Q:$Q,$P84&lt;&gt;"")</f>
        <v>0</v>
      </c>
      <c r="R84" s="99" t="str">
        <f t="shared" si="20"/>
        <v/>
      </c>
      <c r="S84" s="99" cm="1">
        <f t="array" ca="1" aca="1" ref="S84">CreateID($S$3,$S:$S,$R84&lt;&gt;"")</f>
        <v>2</v>
      </c>
      <c r="T84" s="99" t="str">
        <f t="shared" si="21"/>
        <v/>
      </c>
      <c r="U84" s="99" cm="1">
        <f t="array" ca="1" aca="1" ref="U84">CreateID($U$3,$U:$U,$T84&lt;&gt;"")</f>
        <v>0</v>
      </c>
      <c r="V84" s="99" cm="1">
        <f t="array" ca="1" aca="1" ref="V84">CreateID($V$3,$V:$V,IFERROR(FIND(Definitions!$AR$4,$G84)&gt;0,FALSE))</f>
        <v>0</v>
      </c>
      <c r="W84" s="99">
        <f>_xlfn.LET(_xlpm._comment,$G84,_xlpm._keyWord,Definitions!$AR$4,_xlpm._diffLen,LEN(_xlpm._comment)-LEN(SUBSTITUTE(_xlpm._comment,_xlpm._keyWord,"")),_xlpm._diffLen/LEN(_xlpm._keyWord))</f>
        <v>0</v>
      </c>
      <c r="X84" s="99" cm="1">
        <f t="array" ca="1" aca="1" ref="X84">CreateID($X$3,$X:$X,IFERROR(FIND(Definitions!$AR$5,$G84)&gt;0,FALSE))</f>
        <v>0</v>
      </c>
      <c r="Y84" s="99">
        <f>_xlfn.LET(_xlpm._comment,$G84,_xlpm._keyWord,Definitions!$AR$5,_xlpm._diffLen,LEN(_xlpm._comment)-LEN(SUBSTITUTE(_xlpm._comment,_xlpm._keyWord,"")),_xlpm._diffLen/LEN(_xlpm._keyWord))</f>
        <v>0</v>
      </c>
      <c r="Z84" s="99" t="b">
        <f ca="1">OR(IFERROR(_xlfn.XMATCH("*,"&amp;$A84&amp;",*",Assumptions!$AL:$AL,2)&gt;0,FALSE),IFERROR(_xlfn.XMATCH("*,"&amp;$A84&amp;",*",Countermeasures!$AO:$AO,2)&gt;0,FALSE))</f>
        <v>0</v>
      </c>
      <c r="AA84" s="99" t="str" cm="1">
        <f t="array" ref="AA84">CreateSearchString($I84)</f>
        <v/>
      </c>
      <c r="AB84" s="99" t="str">
        <f>IF($E84="","",IFERROR(VLOOKUP($E84,Definitions!$H:$J,COLUMNS(Definitions!$H:$J),FALSE),""))</f>
        <v/>
      </c>
      <c r="AC84" s="99" t="b" cm="1">
        <f t="array" ref="AC84">IF($A84="",FALSE,SimpleLookup($A84,Questions!$A:$D)="x")</f>
        <v>0</v>
      </c>
      <c r="AD84" s="99" t="str" cm="1">
        <f t="array" ref="AD84">IF(OR($A84="",NOT($AC84)),"",SimpleLookup($A84,Questions!$A:$E))</f>
        <v/>
      </c>
      <c r="AE84" s="99" t="str" cm="1">
        <f t="array" ref="AE84">IF(OR($A84="",NOT($AC84)),"",SimpleLookup($A84,Questions!$A:$F))</f>
        <v/>
      </c>
      <c r="AF84" s="99" t="str" cm="1">
        <f t="array" ref="AF84">_xlfn.LET(_xlpm._answer,$C84,_xlpm._infoTextFull,IF($AC84,CHAR(10)&amp;SimpleLookup($A84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4" s="99" t="b" cm="1">
        <f t="array" ref="AG84">IF(OR($A84="",NOT($AC84)),FALSE,_xlfn.LET(_xlpm._secondAnswerRequiredOn,SimpleLookup($A84,Questions!$A:$I),_xlpm._firstAnwer,$C84,IFERROR(FIND(CHAR(10)&amp;_xlpm._firstAnwer&amp;":",CHAR(10)&amp;_xlpm._secondAnswerRequiredOn)&gt;0,FALSE)))</f>
        <v>0</v>
      </c>
      <c r="AH84" s="99" t="str" cm="1">
        <f t="array" ref="AH84">IF(OR($A84="",NOT($AC84)),"",_xlfn.LET(_xlpm._id,$A84,_xlpm._firstAnswer,$C84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4" s="99" t="str" cm="1">
        <f t="array" ref="AI84">IF(OR($A84="",NOT($AC84)),"",_xlfn.LET(_xlpm._id,$A84,_xlpm._firstAnswer,$C84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4" s="99" t="str" cm="1">
        <f t="array" ref="AJ84">IF($AG84,_xlfn.LET(_xlpm._answer,$E84,_xlpm._infoTextFull,IF($AC84,CHAR(10)&amp;SimpleLookup($A84,Questions!$A:$L)&amp;CHAR(10),""),_xlpm._startSelectedByAnswerOne,IF(_xlpm._infoTextFull="",0,FIND("___"&amp;$C84&amp;"___",_xlpm._infoTextFull)+LEN("___"&amp;$C84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4" s="99" t="b" cm="1">
        <f t="array" ref="AK84">IF(OR($A84="",NOT($AC84)),FALSE,SimpleLookup($A84,Questions!$A:$Q))</f>
        <v>0</v>
      </c>
      <c r="AL84" s="99" t="str" cm="1">
        <f t="array" ca="1" aca="1" ref="AL84">IF(AND($A84=Questions!$A$41,IFERROR(SimpleLookup(Questions!$A$36,$A:$E)=Definitions!$O$5,FALSE),$C84=Definitions!$A$5),Questions!$A$36&amp;" "&amp;Questions!$B$36&amp;CHAR(10)&amp;CHAR(187)&amp;" "&amp;SimpleLookup(Questions!$A$36,$A:$C)&amp;CHAR(10)&amp;SimpleLookup(Questions!$A$36,$A:$D)&amp;CHAR(10)&amp;CHAR(187)&amp;" "&amp;Definitions!$O$5&amp;CHAR(10)&amp;CHAR(10)&amp;"is incosistent with"&amp;CHAR(10)&amp;CHAR(10)&amp;$A84&amp;" "&amp;SimpleLookup($A84,Questions!$A:$B)&amp;CHAR(10)&amp;CHAR(187)&amp;" "&amp;$C84,"")</f>
        <v/>
      </c>
      <c r="AM84" s="99" cm="1">
        <f t="array" ca="1" aca="1" ref="AM84">CreateID($AM$3,$AM:$AM,$AL84&lt;&gt;"")</f>
        <v>0</v>
      </c>
      <c r="AN84" s="99" t="str" cm="1">
        <f t="array" ca="1" aca="1" ref="AN84">IF(OR($C84="",OFFSET($C84,1,0)=""),"",IF(AND($A84=Questions!$A$59,OFFSET($A84,1,0)=Questions!$A$60,SimpleLookup(Questions!$A$49,$A:$C)=Definitions!$A$4),IF(MATCH($C84,Definitions!$AW:$AW,0)&gt;MATCH(OFFSET($C84,1,0),Definitions!AW:AW,0),$A84&amp;" "&amp;$K84&amp;": "&amp;$C84&amp;CHAR(10)&amp;"&lt;---&gt;"&amp;CHAR(10)&amp;OFFSET($A84,1,0)&amp;" "&amp;OFFSET($K84,1,0)&amp;": "&amp;OFFSET($C84,1,0),""),""))</f>
        <v/>
      </c>
      <c r="AO84" s="99" cm="1">
        <f t="array" ca="1" aca="1" ref="AO84">CreateID($AO$3,$AO:$AO,$AN84&lt;&gt;"")</f>
        <v>0</v>
      </c>
    </row>
    <row r="85" spans="9:41" ht="15">
      <c r="I85" s="99" t="str">
        <f t="shared" si="17"/>
        <v/>
      </c>
      <c r="J85" s="99" t="str">
        <f t="shared" si="18"/>
        <v/>
      </c>
      <c r="K85" s="99" t="e" cm="1">
        <f t="array" ca="1" aca="1" ref="K85">SimpleLookup($A85,Questions!$A:$B)</f>
        <v>#N/A</v>
      </c>
      <c r="L85" s="99" cm="1">
        <f t="array" ca="1" aca="1" ref="L85">CreateID($L$3,$L:$L,AND($A85&lt;&gt;"",$AC85))</f>
        <v>39</v>
      </c>
      <c r="M85" s="99" cm="1">
        <f t="array" ca="1" aca="1" ref="M85">CreateTaskID($M$3,$M:$M,Tasks!$B$17,$G85)</f>
        <v>0</v>
      </c>
      <c r="N85" s="99" t="str">
        <f t="shared" si="16"/>
        <v/>
      </c>
      <c r="O85" s="99" cm="1">
        <f t="array" ca="1" aca="1" ref="O85">CreateID($O$3,$O:$O,$N85&lt;&gt;"")</f>
        <v>0</v>
      </c>
      <c r="P85" s="99" t="str">
        <f t="shared" si="19"/>
        <v/>
      </c>
      <c r="Q85" s="99" cm="1">
        <f t="array" ca="1" aca="1" ref="Q85">CreateID($Q$3,$Q:$Q,$P85&lt;&gt;"")</f>
        <v>0</v>
      </c>
      <c r="R85" s="99" t="str">
        <f t="shared" si="20"/>
        <v/>
      </c>
      <c r="S85" s="99" cm="1">
        <f t="array" ca="1" aca="1" ref="S85">CreateID($S$3,$S:$S,$R85&lt;&gt;"")</f>
        <v>2</v>
      </c>
      <c r="T85" s="99" t="str">
        <f t="shared" si="21"/>
        <v/>
      </c>
      <c r="U85" s="99" cm="1">
        <f t="array" ca="1" aca="1" ref="U85">CreateID($U$3,$U:$U,$T85&lt;&gt;"")</f>
        <v>0</v>
      </c>
      <c r="V85" s="99" cm="1">
        <f t="array" ca="1" aca="1" ref="V85">CreateID($V$3,$V:$V,IFERROR(FIND(Definitions!$AR$4,$G85)&gt;0,FALSE))</f>
        <v>0</v>
      </c>
      <c r="W85" s="99">
        <f>_xlfn.LET(_xlpm._comment,$G85,_xlpm._keyWord,Definitions!$AR$4,_xlpm._diffLen,LEN(_xlpm._comment)-LEN(SUBSTITUTE(_xlpm._comment,_xlpm._keyWord,"")),_xlpm._diffLen/LEN(_xlpm._keyWord))</f>
        <v>0</v>
      </c>
      <c r="X85" s="99" cm="1">
        <f t="array" ca="1" aca="1" ref="X85">CreateID($X$3,$X:$X,IFERROR(FIND(Definitions!$AR$5,$G85)&gt;0,FALSE))</f>
        <v>0</v>
      </c>
      <c r="Y85" s="99">
        <f>_xlfn.LET(_xlpm._comment,$G85,_xlpm._keyWord,Definitions!$AR$5,_xlpm._diffLen,LEN(_xlpm._comment)-LEN(SUBSTITUTE(_xlpm._comment,_xlpm._keyWord,"")),_xlpm._diffLen/LEN(_xlpm._keyWord))</f>
        <v>0</v>
      </c>
      <c r="Z85" s="99" t="b">
        <f ca="1">OR(IFERROR(_xlfn.XMATCH("*,"&amp;$A85&amp;",*",Assumptions!$AL:$AL,2)&gt;0,FALSE),IFERROR(_xlfn.XMATCH("*,"&amp;$A85&amp;",*",Countermeasures!$AO:$AO,2)&gt;0,FALSE))</f>
        <v>0</v>
      </c>
      <c r="AA85" s="99" t="str" cm="1">
        <f t="array" ref="AA85">CreateSearchString($I85)</f>
        <v/>
      </c>
      <c r="AB85" s="99" t="str">
        <f>IF($E85="","",IFERROR(VLOOKUP($E85,Definitions!$H:$J,COLUMNS(Definitions!$H:$J),FALSE),""))</f>
        <v/>
      </c>
      <c r="AC85" s="99" t="b" cm="1">
        <f t="array" ref="AC85">IF($A85="",FALSE,SimpleLookup($A85,Questions!$A:$D)="x")</f>
        <v>0</v>
      </c>
      <c r="AD85" s="99" t="str" cm="1">
        <f t="array" ref="AD85">IF(OR($A85="",NOT($AC85)),"",SimpleLookup($A85,Questions!$A:$E))</f>
        <v/>
      </c>
      <c r="AE85" s="99" t="str" cm="1">
        <f t="array" ref="AE85">IF(OR($A85="",NOT($AC85)),"",SimpleLookup($A85,Questions!$A:$F))</f>
        <v/>
      </c>
      <c r="AF85" s="99" t="str" cm="1">
        <f t="array" ref="AF85">_xlfn.LET(_xlpm._answer,$C85,_xlpm._infoTextFull,IF($AC85,CHAR(10)&amp;SimpleLookup($A85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5" s="99" t="b" cm="1">
        <f t="array" ref="AG85">IF(OR($A85="",NOT($AC85)),FALSE,_xlfn.LET(_xlpm._secondAnswerRequiredOn,SimpleLookup($A85,Questions!$A:$I),_xlpm._firstAnwer,$C85,IFERROR(FIND(CHAR(10)&amp;_xlpm._firstAnwer&amp;":",CHAR(10)&amp;_xlpm._secondAnswerRequiredOn)&gt;0,FALSE)))</f>
        <v>0</v>
      </c>
      <c r="AH85" s="99" t="str" cm="1">
        <f t="array" ref="AH85">IF(OR($A85="",NOT($AC85)),"",_xlfn.LET(_xlpm._id,$A85,_xlpm._firstAnswer,$C85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5" s="99" t="str" cm="1">
        <f t="array" ref="AI85">IF(OR($A85="",NOT($AC85)),"",_xlfn.LET(_xlpm._id,$A85,_xlpm._firstAnswer,$C85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5" s="99" t="str" cm="1">
        <f t="array" ref="AJ85">IF($AG85,_xlfn.LET(_xlpm._answer,$E85,_xlpm._infoTextFull,IF($AC85,CHAR(10)&amp;SimpleLookup($A85,Questions!$A:$L)&amp;CHAR(10),""),_xlpm._startSelectedByAnswerOne,IF(_xlpm._infoTextFull="",0,FIND("___"&amp;$C85&amp;"___",_xlpm._infoTextFull)+LEN("___"&amp;$C85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5" s="99" t="b" cm="1">
        <f t="array" ref="AK85">IF(OR($A85="",NOT($AC85)),FALSE,SimpleLookup($A85,Questions!$A:$Q))</f>
        <v>0</v>
      </c>
      <c r="AL85" s="99" t="str" cm="1">
        <f t="array" ca="1" aca="1" ref="AL85">IF(AND($A85=Questions!$A$41,IFERROR(SimpleLookup(Questions!$A$36,$A:$E)=Definitions!$O$5,FALSE),$C85=Definitions!$A$5),Questions!$A$36&amp;" "&amp;Questions!$B$36&amp;CHAR(10)&amp;CHAR(187)&amp;" "&amp;SimpleLookup(Questions!$A$36,$A:$C)&amp;CHAR(10)&amp;SimpleLookup(Questions!$A$36,$A:$D)&amp;CHAR(10)&amp;CHAR(187)&amp;" "&amp;Definitions!$O$5&amp;CHAR(10)&amp;CHAR(10)&amp;"is incosistent with"&amp;CHAR(10)&amp;CHAR(10)&amp;$A85&amp;" "&amp;SimpleLookup($A85,Questions!$A:$B)&amp;CHAR(10)&amp;CHAR(187)&amp;" "&amp;$C85,"")</f>
        <v/>
      </c>
      <c r="AM85" s="99" cm="1">
        <f t="array" ca="1" aca="1" ref="AM85">CreateID($AM$3,$AM:$AM,$AL85&lt;&gt;"")</f>
        <v>0</v>
      </c>
      <c r="AN85" s="99" t="str" cm="1">
        <f t="array" ca="1" aca="1" ref="AN85">IF(OR($C85="",OFFSET($C85,1,0)=""),"",IF(AND($A85=Questions!$A$59,OFFSET($A85,1,0)=Questions!$A$60,SimpleLookup(Questions!$A$49,$A:$C)=Definitions!$A$4),IF(MATCH($C85,Definitions!$AW:$AW,0)&gt;MATCH(OFFSET($C85,1,0),Definitions!AW:AW,0),$A85&amp;" "&amp;$K85&amp;": "&amp;$C85&amp;CHAR(10)&amp;"&lt;---&gt;"&amp;CHAR(10)&amp;OFFSET($A85,1,0)&amp;" "&amp;OFFSET($K85,1,0)&amp;": "&amp;OFFSET($C85,1,0),""),""))</f>
        <v/>
      </c>
      <c r="AO85" s="99" cm="1">
        <f t="array" ca="1" aca="1" ref="AO85">CreateID($AO$3,$AO:$AO,$AN85&lt;&gt;"")</f>
        <v>0</v>
      </c>
    </row>
    <row r="86" spans="9:41" ht="15">
      <c r="I86" s="99" t="str">
        <f t="shared" si="17"/>
        <v/>
      </c>
      <c r="J86" s="99" t="str">
        <f t="shared" si="18"/>
        <v/>
      </c>
      <c r="K86" s="99" t="e" cm="1">
        <f t="array" ca="1" aca="1" ref="K86">SimpleLookup($A86,Questions!$A:$B)</f>
        <v>#N/A</v>
      </c>
      <c r="L86" s="99" cm="1">
        <f t="array" ca="1" aca="1" ref="L86">CreateID($L$3,$L:$L,AND($A86&lt;&gt;"",$AC86))</f>
        <v>39</v>
      </c>
      <c r="M86" s="99" cm="1">
        <f t="array" ca="1" aca="1" ref="M86">CreateTaskID($M$3,$M:$M,Tasks!$B$17,$G86)</f>
        <v>0</v>
      </c>
      <c r="N86" s="99" t="str">
        <f t="shared" si="16"/>
        <v/>
      </c>
      <c r="O86" s="99" cm="1">
        <f t="array" ca="1" aca="1" ref="O86">CreateID($O$3,$O:$O,$N86&lt;&gt;"")</f>
        <v>0</v>
      </c>
      <c r="P86" s="99" t="str">
        <f t="shared" si="19"/>
        <v/>
      </c>
      <c r="Q86" s="99" cm="1">
        <f t="array" ca="1" aca="1" ref="Q86">CreateID($Q$3,$Q:$Q,$P86&lt;&gt;"")</f>
        <v>0</v>
      </c>
      <c r="R86" s="99" t="str">
        <f t="shared" si="20"/>
        <v/>
      </c>
      <c r="S86" s="99" cm="1">
        <f t="array" ca="1" aca="1" ref="S86">CreateID($S$3,$S:$S,$R86&lt;&gt;"")</f>
        <v>2</v>
      </c>
      <c r="T86" s="99" t="str">
        <f t="shared" si="21"/>
        <v/>
      </c>
      <c r="U86" s="99" cm="1">
        <f t="array" ca="1" aca="1" ref="U86">CreateID($U$3,$U:$U,$T86&lt;&gt;"")</f>
        <v>0</v>
      </c>
      <c r="V86" s="99" cm="1">
        <f t="array" ca="1" aca="1" ref="V86">CreateID($V$3,$V:$V,IFERROR(FIND(Definitions!$AR$4,$G86)&gt;0,FALSE))</f>
        <v>0</v>
      </c>
      <c r="W86" s="99">
        <f>_xlfn.LET(_xlpm._comment,$G86,_xlpm._keyWord,Definitions!$AR$4,_xlpm._diffLen,LEN(_xlpm._comment)-LEN(SUBSTITUTE(_xlpm._comment,_xlpm._keyWord,"")),_xlpm._diffLen/LEN(_xlpm._keyWord))</f>
        <v>0</v>
      </c>
      <c r="X86" s="99" cm="1">
        <f t="array" ca="1" aca="1" ref="X86">CreateID($X$3,$X:$X,IFERROR(FIND(Definitions!$AR$5,$G86)&gt;0,FALSE))</f>
        <v>0</v>
      </c>
      <c r="Y86" s="99">
        <f>_xlfn.LET(_xlpm._comment,$G86,_xlpm._keyWord,Definitions!$AR$5,_xlpm._diffLen,LEN(_xlpm._comment)-LEN(SUBSTITUTE(_xlpm._comment,_xlpm._keyWord,"")),_xlpm._diffLen/LEN(_xlpm._keyWord))</f>
        <v>0</v>
      </c>
      <c r="Z86" s="99" t="b">
        <f ca="1">OR(IFERROR(_xlfn.XMATCH("*,"&amp;$A86&amp;",*",Assumptions!$AL:$AL,2)&gt;0,FALSE),IFERROR(_xlfn.XMATCH("*,"&amp;$A86&amp;",*",Countermeasures!$AO:$AO,2)&gt;0,FALSE))</f>
        <v>0</v>
      </c>
      <c r="AA86" s="99" t="str" cm="1">
        <f t="array" ref="AA86">CreateSearchString($I86)</f>
        <v/>
      </c>
      <c r="AB86" s="99" t="str">
        <f>IF($E86="","",IFERROR(VLOOKUP($E86,Definitions!$H:$J,COLUMNS(Definitions!$H:$J),FALSE),""))</f>
        <v/>
      </c>
      <c r="AC86" s="99" t="b" cm="1">
        <f t="array" ref="AC86">IF($A86="",FALSE,SimpleLookup($A86,Questions!$A:$D)="x")</f>
        <v>0</v>
      </c>
      <c r="AD86" s="99" t="str" cm="1">
        <f t="array" ref="AD86">IF(OR($A86="",NOT($AC86)),"",SimpleLookup($A86,Questions!$A:$E))</f>
        <v/>
      </c>
      <c r="AE86" s="99" t="str" cm="1">
        <f t="array" ref="AE86">IF(OR($A86="",NOT($AC86)),"",SimpleLookup($A86,Questions!$A:$F))</f>
        <v/>
      </c>
      <c r="AF86" s="99" t="str" cm="1">
        <f t="array" ref="AF86">_xlfn.LET(_xlpm._answer,$C86,_xlpm._infoTextFull,IF($AC86,CHAR(10)&amp;SimpleLookup($A86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6" s="99" t="b" cm="1">
        <f t="array" ref="AG86">IF(OR($A86="",NOT($AC86)),FALSE,_xlfn.LET(_xlpm._secondAnswerRequiredOn,SimpleLookup($A86,Questions!$A:$I),_xlpm._firstAnwer,$C86,IFERROR(FIND(CHAR(10)&amp;_xlpm._firstAnwer&amp;":",CHAR(10)&amp;_xlpm._secondAnswerRequiredOn)&gt;0,FALSE)))</f>
        <v>0</v>
      </c>
      <c r="AH86" s="99" t="str" cm="1">
        <f t="array" ref="AH86">IF(OR($A86="",NOT($AC86)),"",_xlfn.LET(_xlpm._id,$A86,_xlpm._firstAnswer,$C86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6" s="99" t="str" cm="1">
        <f t="array" ref="AI86">IF(OR($A86="",NOT($AC86)),"",_xlfn.LET(_xlpm._id,$A86,_xlpm._firstAnswer,$C86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6" s="99" t="str" cm="1">
        <f t="array" ref="AJ86">IF($AG86,_xlfn.LET(_xlpm._answer,$E86,_xlpm._infoTextFull,IF($AC86,CHAR(10)&amp;SimpleLookup($A86,Questions!$A:$L)&amp;CHAR(10),""),_xlpm._startSelectedByAnswerOne,IF(_xlpm._infoTextFull="",0,FIND("___"&amp;$C86&amp;"___",_xlpm._infoTextFull)+LEN("___"&amp;$C86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6" s="99" t="b" cm="1">
        <f t="array" ref="AK86">IF(OR($A86="",NOT($AC86)),FALSE,SimpleLookup($A86,Questions!$A:$Q))</f>
        <v>0</v>
      </c>
      <c r="AL86" s="99" t="str" cm="1">
        <f t="array" ca="1" aca="1" ref="AL86">IF(AND($A86=Questions!$A$41,IFERROR(SimpleLookup(Questions!$A$36,$A:$E)=Definitions!$O$5,FALSE),$C86=Definitions!$A$5),Questions!$A$36&amp;" "&amp;Questions!$B$36&amp;CHAR(10)&amp;CHAR(187)&amp;" "&amp;SimpleLookup(Questions!$A$36,$A:$C)&amp;CHAR(10)&amp;SimpleLookup(Questions!$A$36,$A:$D)&amp;CHAR(10)&amp;CHAR(187)&amp;" "&amp;Definitions!$O$5&amp;CHAR(10)&amp;CHAR(10)&amp;"is incosistent with"&amp;CHAR(10)&amp;CHAR(10)&amp;$A86&amp;" "&amp;SimpleLookup($A86,Questions!$A:$B)&amp;CHAR(10)&amp;CHAR(187)&amp;" "&amp;$C86,"")</f>
        <v/>
      </c>
      <c r="AM86" s="99" cm="1">
        <f t="array" ca="1" aca="1" ref="AM86">CreateID($AM$3,$AM:$AM,$AL86&lt;&gt;"")</f>
        <v>0</v>
      </c>
      <c r="AN86" s="99" t="str" cm="1">
        <f t="array" ca="1" aca="1" ref="AN86">IF(OR($C86="",OFFSET($C86,1,0)=""),"",IF(AND($A86=Questions!$A$59,OFFSET($A86,1,0)=Questions!$A$60,SimpleLookup(Questions!$A$49,$A:$C)=Definitions!$A$4),IF(MATCH($C86,Definitions!$AW:$AW,0)&gt;MATCH(OFFSET($C86,1,0),Definitions!AW:AW,0),$A86&amp;" "&amp;$K86&amp;": "&amp;$C86&amp;CHAR(10)&amp;"&lt;---&gt;"&amp;CHAR(10)&amp;OFFSET($A86,1,0)&amp;" "&amp;OFFSET($K86,1,0)&amp;": "&amp;OFFSET($C86,1,0),""),""))</f>
        <v/>
      </c>
      <c r="AO86" s="99" cm="1">
        <f t="array" ca="1" aca="1" ref="AO86">CreateID($AO$3,$AO:$AO,$AN86&lt;&gt;"")</f>
        <v>0</v>
      </c>
    </row>
    <row r="87" spans="9:41" ht="15">
      <c r="I87" s="99" t="str">
        <f t="shared" si="17"/>
        <v/>
      </c>
      <c r="J87" s="99" t="str">
        <f t="shared" si="18"/>
        <v/>
      </c>
      <c r="K87" s="99" t="e" cm="1">
        <f t="array" ca="1" aca="1" ref="K87">SimpleLookup($A87,Questions!$A:$B)</f>
        <v>#N/A</v>
      </c>
      <c r="L87" s="99" cm="1">
        <f t="array" ca="1" aca="1" ref="L87">CreateID($L$3,$L:$L,AND($A87&lt;&gt;"",$AC87))</f>
        <v>39</v>
      </c>
      <c r="M87" s="99" cm="1">
        <f t="array" ca="1" aca="1" ref="M87">CreateTaskID($M$3,$M:$M,Tasks!$B$17,$G87)</f>
        <v>0</v>
      </c>
      <c r="N87" s="99" t="str">
        <f t="shared" si="16"/>
        <v/>
      </c>
      <c r="O87" s="99" cm="1">
        <f t="array" ca="1" aca="1" ref="O87">CreateID($O$3,$O:$O,$N87&lt;&gt;"")</f>
        <v>0</v>
      </c>
      <c r="P87" s="99" t="str">
        <f t="shared" si="19"/>
        <v/>
      </c>
      <c r="Q87" s="99" cm="1">
        <f t="array" ca="1" aca="1" ref="Q87">CreateID($Q$3,$Q:$Q,$P87&lt;&gt;"")</f>
        <v>0</v>
      </c>
      <c r="R87" s="99" t="str">
        <f t="shared" si="20"/>
        <v/>
      </c>
      <c r="S87" s="99" cm="1">
        <f t="array" ca="1" aca="1" ref="S87">CreateID($S$3,$S:$S,$R87&lt;&gt;"")</f>
        <v>2</v>
      </c>
      <c r="T87" s="99" t="str">
        <f t="shared" si="21"/>
        <v/>
      </c>
      <c r="U87" s="99" cm="1">
        <f t="array" ca="1" aca="1" ref="U87">CreateID($U$3,$U:$U,$T87&lt;&gt;"")</f>
        <v>0</v>
      </c>
      <c r="V87" s="99" cm="1">
        <f t="array" ca="1" aca="1" ref="V87">CreateID($V$3,$V:$V,IFERROR(FIND(Definitions!$AR$4,$G87)&gt;0,FALSE))</f>
        <v>0</v>
      </c>
      <c r="W87" s="99">
        <f>_xlfn.LET(_xlpm._comment,$G87,_xlpm._keyWord,Definitions!$AR$4,_xlpm._diffLen,LEN(_xlpm._comment)-LEN(SUBSTITUTE(_xlpm._comment,_xlpm._keyWord,"")),_xlpm._diffLen/LEN(_xlpm._keyWord))</f>
        <v>0</v>
      </c>
      <c r="X87" s="99" cm="1">
        <f t="array" ca="1" aca="1" ref="X87">CreateID($X$3,$X:$X,IFERROR(FIND(Definitions!$AR$5,$G87)&gt;0,FALSE))</f>
        <v>0</v>
      </c>
      <c r="Y87" s="99">
        <f>_xlfn.LET(_xlpm._comment,$G87,_xlpm._keyWord,Definitions!$AR$5,_xlpm._diffLen,LEN(_xlpm._comment)-LEN(SUBSTITUTE(_xlpm._comment,_xlpm._keyWord,"")),_xlpm._diffLen/LEN(_xlpm._keyWord))</f>
        <v>0</v>
      </c>
      <c r="Z87" s="99" t="b">
        <f ca="1">OR(IFERROR(_xlfn.XMATCH("*,"&amp;$A87&amp;",*",Assumptions!$AL:$AL,2)&gt;0,FALSE),IFERROR(_xlfn.XMATCH("*,"&amp;$A87&amp;",*",Countermeasures!$AO:$AO,2)&gt;0,FALSE))</f>
        <v>0</v>
      </c>
      <c r="AA87" s="99" t="str" cm="1">
        <f t="array" ref="AA87">CreateSearchString($I87)</f>
        <v/>
      </c>
      <c r="AB87" s="99" t="str">
        <f>IF($E87="","",IFERROR(VLOOKUP($E87,Definitions!$H:$J,COLUMNS(Definitions!$H:$J),FALSE),""))</f>
        <v/>
      </c>
      <c r="AC87" s="99" t="b" cm="1">
        <f t="array" ref="AC87">IF($A87="",FALSE,SimpleLookup($A87,Questions!$A:$D)="x")</f>
        <v>0</v>
      </c>
      <c r="AD87" s="99" t="str" cm="1">
        <f t="array" ref="AD87">IF(OR($A87="",NOT($AC87)),"",SimpleLookup($A87,Questions!$A:$E))</f>
        <v/>
      </c>
      <c r="AE87" s="99" t="str" cm="1">
        <f t="array" ref="AE87">IF(OR($A87="",NOT($AC87)),"",SimpleLookup($A87,Questions!$A:$F))</f>
        <v/>
      </c>
      <c r="AF87" s="99" t="str" cm="1">
        <f t="array" ref="AF87">_xlfn.LET(_xlpm._answer,$C87,_xlpm._infoTextFull,IF($AC87,CHAR(10)&amp;SimpleLookup($A87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7" s="99" t="b" cm="1">
        <f t="array" ref="AG87">IF(OR($A87="",NOT($AC87)),FALSE,_xlfn.LET(_xlpm._secondAnswerRequiredOn,SimpleLookup($A87,Questions!$A:$I),_xlpm._firstAnwer,$C87,IFERROR(FIND(CHAR(10)&amp;_xlpm._firstAnwer&amp;":",CHAR(10)&amp;_xlpm._secondAnswerRequiredOn)&gt;0,FALSE)))</f>
        <v>0</v>
      </c>
      <c r="AH87" s="99" t="str" cm="1">
        <f t="array" ref="AH87">IF(OR($A87="",NOT($AC87)),"",_xlfn.LET(_xlpm._id,$A87,_xlpm._firstAnswer,$C87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7" s="99" t="str" cm="1">
        <f t="array" ref="AI87">IF(OR($A87="",NOT($AC87)),"",_xlfn.LET(_xlpm._id,$A87,_xlpm._firstAnswer,$C87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7" s="99" t="str" cm="1">
        <f t="array" ref="AJ87">IF($AG87,_xlfn.LET(_xlpm._answer,$E87,_xlpm._infoTextFull,IF($AC87,CHAR(10)&amp;SimpleLookup($A87,Questions!$A:$L)&amp;CHAR(10),""),_xlpm._startSelectedByAnswerOne,IF(_xlpm._infoTextFull="",0,FIND("___"&amp;$C87&amp;"___",_xlpm._infoTextFull)+LEN("___"&amp;$C87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7" s="99" t="b" cm="1">
        <f t="array" ref="AK87">IF(OR($A87="",NOT($AC87)),FALSE,SimpleLookup($A87,Questions!$A:$Q))</f>
        <v>0</v>
      </c>
      <c r="AL87" s="99" t="str" cm="1">
        <f t="array" ca="1" aca="1" ref="AL87">IF(AND($A87=Questions!$A$41,IFERROR(SimpleLookup(Questions!$A$36,$A:$E)=Definitions!$O$5,FALSE),$C87=Definitions!$A$5),Questions!$A$36&amp;" "&amp;Questions!$B$36&amp;CHAR(10)&amp;CHAR(187)&amp;" "&amp;SimpleLookup(Questions!$A$36,$A:$C)&amp;CHAR(10)&amp;SimpleLookup(Questions!$A$36,$A:$D)&amp;CHAR(10)&amp;CHAR(187)&amp;" "&amp;Definitions!$O$5&amp;CHAR(10)&amp;CHAR(10)&amp;"is incosistent with"&amp;CHAR(10)&amp;CHAR(10)&amp;$A87&amp;" "&amp;SimpleLookup($A87,Questions!$A:$B)&amp;CHAR(10)&amp;CHAR(187)&amp;" "&amp;$C87,"")</f>
        <v/>
      </c>
      <c r="AM87" s="99" cm="1">
        <f t="array" ca="1" aca="1" ref="AM87">CreateID($AM$3,$AM:$AM,$AL87&lt;&gt;"")</f>
        <v>0</v>
      </c>
      <c r="AN87" s="99" t="str" cm="1">
        <f t="array" ca="1" aca="1" ref="AN87">IF(OR($C87="",OFFSET($C87,1,0)=""),"",IF(AND($A87=Questions!$A$59,OFFSET($A87,1,0)=Questions!$A$60,SimpleLookup(Questions!$A$49,$A:$C)=Definitions!$A$4),IF(MATCH($C87,Definitions!$AW:$AW,0)&gt;MATCH(OFFSET($C87,1,0),Definitions!AW:AW,0),$A87&amp;" "&amp;$K87&amp;": "&amp;$C87&amp;CHAR(10)&amp;"&lt;---&gt;"&amp;CHAR(10)&amp;OFFSET($A87,1,0)&amp;" "&amp;OFFSET($K87,1,0)&amp;": "&amp;OFFSET($C87,1,0),""),""))</f>
        <v/>
      </c>
      <c r="AO87" s="99" cm="1">
        <f t="array" ca="1" aca="1" ref="AO87">CreateID($AO$3,$AO:$AO,$AN87&lt;&gt;"")</f>
        <v>0</v>
      </c>
    </row>
    <row r="88" spans="9:41" ht="15">
      <c r="I88" s="99" t="str">
        <f t="shared" si="17"/>
        <v/>
      </c>
      <c r="J88" s="99" t="str">
        <f t="shared" si="18"/>
        <v/>
      </c>
      <c r="K88" s="99" t="e" cm="1">
        <f t="array" ca="1" aca="1" ref="K88">SimpleLookup($A88,Questions!$A:$B)</f>
        <v>#N/A</v>
      </c>
      <c r="L88" s="99" cm="1">
        <f t="array" ca="1" aca="1" ref="L88">CreateID($L$3,$L:$L,AND($A88&lt;&gt;"",$AC88))</f>
        <v>39</v>
      </c>
      <c r="M88" s="99" cm="1">
        <f t="array" ca="1" aca="1" ref="M88">CreateTaskID($M$3,$M:$M,Tasks!$B$17,$G88)</f>
        <v>0</v>
      </c>
      <c r="N88" s="99" t="str">
        <f t="shared" si="16"/>
        <v/>
      </c>
      <c r="O88" s="99" cm="1">
        <f t="array" ca="1" aca="1" ref="O88">CreateID($O$3,$O:$O,$N88&lt;&gt;"")</f>
        <v>0</v>
      </c>
      <c r="P88" s="99" t="str">
        <f t="shared" si="19"/>
        <v/>
      </c>
      <c r="Q88" s="99" cm="1">
        <f t="array" ca="1" aca="1" ref="Q88">CreateID($Q$3,$Q:$Q,$P88&lt;&gt;"")</f>
        <v>0</v>
      </c>
      <c r="R88" s="99" t="str">
        <f t="shared" si="20"/>
        <v/>
      </c>
      <c r="S88" s="99" cm="1">
        <f t="array" ca="1" aca="1" ref="S88">CreateID($S$3,$S:$S,$R88&lt;&gt;"")</f>
        <v>2</v>
      </c>
      <c r="T88" s="99" t="str">
        <f t="shared" si="21"/>
        <v/>
      </c>
      <c r="U88" s="99" cm="1">
        <f t="array" ca="1" aca="1" ref="U88">CreateID($U$3,$U:$U,$T88&lt;&gt;"")</f>
        <v>0</v>
      </c>
      <c r="V88" s="99" cm="1">
        <f t="array" ca="1" aca="1" ref="V88">CreateID($V$3,$V:$V,IFERROR(FIND(Definitions!$AR$4,$G88)&gt;0,FALSE))</f>
        <v>0</v>
      </c>
      <c r="W88" s="99">
        <f>_xlfn.LET(_xlpm._comment,$G88,_xlpm._keyWord,Definitions!$AR$4,_xlpm._diffLen,LEN(_xlpm._comment)-LEN(SUBSTITUTE(_xlpm._comment,_xlpm._keyWord,"")),_xlpm._diffLen/LEN(_xlpm._keyWord))</f>
        <v>0</v>
      </c>
      <c r="X88" s="99" cm="1">
        <f t="array" ca="1" aca="1" ref="X88">CreateID($X$3,$X:$X,IFERROR(FIND(Definitions!$AR$5,$G88)&gt;0,FALSE))</f>
        <v>0</v>
      </c>
      <c r="Y88" s="99">
        <f>_xlfn.LET(_xlpm._comment,$G88,_xlpm._keyWord,Definitions!$AR$5,_xlpm._diffLen,LEN(_xlpm._comment)-LEN(SUBSTITUTE(_xlpm._comment,_xlpm._keyWord,"")),_xlpm._diffLen/LEN(_xlpm._keyWord))</f>
        <v>0</v>
      </c>
      <c r="Z88" s="99" t="b">
        <f ca="1">OR(IFERROR(_xlfn.XMATCH("*,"&amp;$A88&amp;",*",Assumptions!$AL:$AL,2)&gt;0,FALSE),IFERROR(_xlfn.XMATCH("*,"&amp;$A88&amp;",*",Countermeasures!$AO:$AO,2)&gt;0,FALSE))</f>
        <v>0</v>
      </c>
      <c r="AA88" s="99" t="str" cm="1">
        <f t="array" ref="AA88">CreateSearchString($I88)</f>
        <v/>
      </c>
      <c r="AB88" s="99" t="str">
        <f>IF($E88="","",IFERROR(VLOOKUP($E88,Definitions!$H:$J,COLUMNS(Definitions!$H:$J),FALSE),""))</f>
        <v/>
      </c>
      <c r="AC88" s="99" t="b" cm="1">
        <f t="array" ref="AC88">IF($A88="",FALSE,SimpleLookup($A88,Questions!$A:$D)="x")</f>
        <v>0</v>
      </c>
      <c r="AD88" s="99" t="str" cm="1">
        <f t="array" ref="AD88">IF(OR($A88="",NOT($AC88)),"",SimpleLookup($A88,Questions!$A:$E))</f>
        <v/>
      </c>
      <c r="AE88" s="99" t="str" cm="1">
        <f t="array" ref="AE88">IF(OR($A88="",NOT($AC88)),"",SimpleLookup($A88,Questions!$A:$F))</f>
        <v/>
      </c>
      <c r="AF88" s="99" t="str" cm="1">
        <f t="array" ref="AF88">_xlfn.LET(_xlpm._answer,$C88,_xlpm._infoTextFull,IF($AC88,CHAR(10)&amp;SimpleLookup($A88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8" s="99" t="b" cm="1">
        <f t="array" ref="AG88">IF(OR($A88="",NOT($AC88)),FALSE,_xlfn.LET(_xlpm._secondAnswerRequiredOn,SimpleLookup($A88,Questions!$A:$I),_xlpm._firstAnwer,$C88,IFERROR(FIND(CHAR(10)&amp;_xlpm._firstAnwer&amp;":",CHAR(10)&amp;_xlpm._secondAnswerRequiredOn)&gt;0,FALSE)))</f>
        <v>0</v>
      </c>
      <c r="AH88" s="99" t="str" cm="1">
        <f t="array" ref="AH88">IF(OR($A88="",NOT($AC88)),"",_xlfn.LET(_xlpm._id,$A88,_xlpm._firstAnswer,$C88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8" s="99" t="str" cm="1">
        <f t="array" ref="AI88">IF(OR($A88="",NOT($AC88)),"",_xlfn.LET(_xlpm._id,$A88,_xlpm._firstAnswer,$C88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8" s="99" t="str" cm="1">
        <f t="array" ref="AJ88">IF($AG88,_xlfn.LET(_xlpm._answer,$E88,_xlpm._infoTextFull,IF($AC88,CHAR(10)&amp;SimpleLookup($A88,Questions!$A:$L)&amp;CHAR(10),""),_xlpm._startSelectedByAnswerOne,IF(_xlpm._infoTextFull="",0,FIND("___"&amp;$C88&amp;"___",_xlpm._infoTextFull)+LEN("___"&amp;$C88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8" s="99" t="b" cm="1">
        <f t="array" ref="AK88">IF(OR($A88="",NOT($AC88)),FALSE,SimpleLookup($A88,Questions!$A:$Q))</f>
        <v>0</v>
      </c>
      <c r="AL88" s="99" t="str" cm="1">
        <f t="array" ca="1" aca="1" ref="AL88">IF(AND($A88=Questions!$A$41,IFERROR(SimpleLookup(Questions!$A$36,$A:$E)=Definitions!$O$5,FALSE),$C88=Definitions!$A$5),Questions!$A$36&amp;" "&amp;Questions!$B$36&amp;CHAR(10)&amp;CHAR(187)&amp;" "&amp;SimpleLookup(Questions!$A$36,$A:$C)&amp;CHAR(10)&amp;SimpleLookup(Questions!$A$36,$A:$D)&amp;CHAR(10)&amp;CHAR(187)&amp;" "&amp;Definitions!$O$5&amp;CHAR(10)&amp;CHAR(10)&amp;"is incosistent with"&amp;CHAR(10)&amp;CHAR(10)&amp;$A88&amp;" "&amp;SimpleLookup($A88,Questions!$A:$B)&amp;CHAR(10)&amp;CHAR(187)&amp;" "&amp;$C88,"")</f>
        <v/>
      </c>
      <c r="AM88" s="99" cm="1">
        <f t="array" ca="1" aca="1" ref="AM88">CreateID($AM$3,$AM:$AM,$AL88&lt;&gt;"")</f>
        <v>0</v>
      </c>
      <c r="AN88" s="99" t="str" cm="1">
        <f t="array" ca="1" aca="1" ref="AN88">IF(OR($C88="",OFFSET($C88,1,0)=""),"",IF(AND($A88=Questions!$A$59,OFFSET($A88,1,0)=Questions!$A$60,SimpleLookup(Questions!$A$49,$A:$C)=Definitions!$A$4),IF(MATCH($C88,Definitions!$AW:$AW,0)&gt;MATCH(OFFSET($C88,1,0),Definitions!AW:AW,0),$A88&amp;" "&amp;$K88&amp;": "&amp;$C88&amp;CHAR(10)&amp;"&lt;---&gt;"&amp;CHAR(10)&amp;OFFSET($A88,1,0)&amp;" "&amp;OFFSET($K88,1,0)&amp;": "&amp;OFFSET($C88,1,0),""),""))</f>
        <v/>
      </c>
      <c r="AO88" s="99" cm="1">
        <f t="array" ca="1" aca="1" ref="AO88">CreateID($AO$3,$AO:$AO,$AN88&lt;&gt;"")</f>
        <v>0</v>
      </c>
    </row>
    <row r="89" spans="9:41" ht="15">
      <c r="I89" s="99" t="str">
        <f t="shared" si="17"/>
        <v/>
      </c>
      <c r="J89" s="99" t="str">
        <f t="shared" si="18"/>
        <v/>
      </c>
      <c r="K89" s="99" t="e" cm="1">
        <f t="array" ca="1" aca="1" ref="K89">SimpleLookup($A89,Questions!$A:$B)</f>
        <v>#N/A</v>
      </c>
      <c r="L89" s="99" cm="1">
        <f t="array" ca="1" aca="1" ref="L89">CreateID($L$3,$L:$L,AND($A89&lt;&gt;"",$AC89))</f>
        <v>39</v>
      </c>
      <c r="M89" s="99" cm="1">
        <f t="array" ca="1" aca="1" ref="M89">CreateTaskID($M$3,$M:$M,Tasks!$B$17,$G89)</f>
        <v>0</v>
      </c>
      <c r="N89" s="99" t="str">
        <f t="shared" si="16"/>
        <v/>
      </c>
      <c r="O89" s="99" cm="1">
        <f t="array" ca="1" aca="1" ref="O89">CreateID($O$3,$O:$O,$N89&lt;&gt;"")</f>
        <v>0</v>
      </c>
      <c r="P89" s="99" t="str">
        <f t="shared" si="19"/>
        <v/>
      </c>
      <c r="Q89" s="99" cm="1">
        <f t="array" ca="1" aca="1" ref="Q89">CreateID($Q$3,$Q:$Q,$P89&lt;&gt;"")</f>
        <v>0</v>
      </c>
      <c r="R89" s="99" t="str">
        <f t="shared" si="20"/>
        <v/>
      </c>
      <c r="S89" s="99" cm="1">
        <f t="array" ca="1" aca="1" ref="S89">CreateID($S$3,$S:$S,$R89&lt;&gt;"")</f>
        <v>2</v>
      </c>
      <c r="T89" s="99" t="str">
        <f t="shared" si="21"/>
        <v/>
      </c>
      <c r="U89" s="99" cm="1">
        <f t="array" ca="1" aca="1" ref="U89">CreateID($U$3,$U:$U,$T89&lt;&gt;"")</f>
        <v>0</v>
      </c>
      <c r="V89" s="99" cm="1">
        <f t="array" ca="1" aca="1" ref="V89">CreateID($V$3,$V:$V,IFERROR(FIND(Definitions!$AR$4,$G89)&gt;0,FALSE))</f>
        <v>0</v>
      </c>
      <c r="W89" s="99">
        <f>_xlfn.LET(_xlpm._comment,$G89,_xlpm._keyWord,Definitions!$AR$4,_xlpm._diffLen,LEN(_xlpm._comment)-LEN(SUBSTITUTE(_xlpm._comment,_xlpm._keyWord,"")),_xlpm._diffLen/LEN(_xlpm._keyWord))</f>
        <v>0</v>
      </c>
      <c r="X89" s="99" cm="1">
        <f t="array" ca="1" aca="1" ref="X89">CreateID($X$3,$X:$X,IFERROR(FIND(Definitions!$AR$5,$G89)&gt;0,FALSE))</f>
        <v>0</v>
      </c>
      <c r="Y89" s="99">
        <f>_xlfn.LET(_xlpm._comment,$G89,_xlpm._keyWord,Definitions!$AR$5,_xlpm._diffLen,LEN(_xlpm._comment)-LEN(SUBSTITUTE(_xlpm._comment,_xlpm._keyWord,"")),_xlpm._diffLen/LEN(_xlpm._keyWord))</f>
        <v>0</v>
      </c>
      <c r="Z89" s="99" t="b">
        <f ca="1">OR(IFERROR(_xlfn.XMATCH("*,"&amp;$A89&amp;",*",Assumptions!$AL:$AL,2)&gt;0,FALSE),IFERROR(_xlfn.XMATCH("*,"&amp;$A89&amp;",*",Countermeasures!$AO:$AO,2)&gt;0,FALSE))</f>
        <v>0</v>
      </c>
      <c r="AA89" s="99" t="str" cm="1">
        <f t="array" ref="AA89">CreateSearchString($I89)</f>
        <v/>
      </c>
      <c r="AB89" s="99" t="str">
        <f>IF($E89="","",IFERROR(VLOOKUP($E89,Definitions!$H:$J,COLUMNS(Definitions!$H:$J),FALSE),""))</f>
        <v/>
      </c>
      <c r="AC89" s="99" t="b" cm="1">
        <f t="array" ref="AC89">IF($A89="",FALSE,SimpleLookup($A89,Questions!$A:$D)="x")</f>
        <v>0</v>
      </c>
      <c r="AD89" s="99" t="str" cm="1">
        <f t="array" ref="AD89">IF(OR($A89="",NOT($AC89)),"",SimpleLookup($A89,Questions!$A:$E))</f>
        <v/>
      </c>
      <c r="AE89" s="99" t="str" cm="1">
        <f t="array" ref="AE89">IF(OR($A89="",NOT($AC89)),"",SimpleLookup($A89,Questions!$A:$F))</f>
        <v/>
      </c>
      <c r="AF89" s="99" t="str" cm="1">
        <f t="array" ref="AF89">_xlfn.LET(_xlpm._answer,$C89,_xlpm._infoTextFull,IF($AC89,CHAR(10)&amp;SimpleLookup($A89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89" s="99" t="b" cm="1">
        <f t="array" ref="AG89">IF(OR($A89="",NOT($AC89)),FALSE,_xlfn.LET(_xlpm._secondAnswerRequiredOn,SimpleLookup($A89,Questions!$A:$I),_xlpm._firstAnwer,$C89,IFERROR(FIND(CHAR(10)&amp;_xlpm._firstAnwer&amp;":",CHAR(10)&amp;_xlpm._secondAnswerRequiredOn)&gt;0,FALSE)))</f>
        <v>0</v>
      </c>
      <c r="AH89" s="99" t="str" cm="1">
        <f t="array" ref="AH89">IF(OR($A89="",NOT($AC89)),"",_xlfn.LET(_xlpm._id,$A89,_xlpm._firstAnswer,$C89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89" s="99" t="str" cm="1">
        <f t="array" ref="AI89">IF(OR($A89="",NOT($AC89)),"",_xlfn.LET(_xlpm._id,$A89,_xlpm._firstAnswer,$C89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89" s="99" t="str" cm="1">
        <f t="array" ref="AJ89">IF($AG89,_xlfn.LET(_xlpm._answer,$E89,_xlpm._infoTextFull,IF($AC89,CHAR(10)&amp;SimpleLookup($A89,Questions!$A:$L)&amp;CHAR(10),""),_xlpm._startSelectedByAnswerOne,IF(_xlpm._infoTextFull="",0,FIND("___"&amp;$C89&amp;"___",_xlpm._infoTextFull)+LEN("___"&amp;$C89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89" s="99" t="b" cm="1">
        <f t="array" ref="AK89">IF(OR($A89="",NOT($AC89)),FALSE,SimpleLookup($A89,Questions!$A:$Q))</f>
        <v>0</v>
      </c>
      <c r="AL89" s="99" t="str" cm="1">
        <f t="array" ca="1" aca="1" ref="AL89">IF(AND($A89=Questions!$A$41,IFERROR(SimpleLookup(Questions!$A$36,$A:$E)=Definitions!$O$5,FALSE),$C89=Definitions!$A$5),Questions!$A$36&amp;" "&amp;Questions!$B$36&amp;CHAR(10)&amp;CHAR(187)&amp;" "&amp;SimpleLookup(Questions!$A$36,$A:$C)&amp;CHAR(10)&amp;SimpleLookup(Questions!$A$36,$A:$D)&amp;CHAR(10)&amp;CHAR(187)&amp;" "&amp;Definitions!$O$5&amp;CHAR(10)&amp;CHAR(10)&amp;"is incosistent with"&amp;CHAR(10)&amp;CHAR(10)&amp;$A89&amp;" "&amp;SimpleLookup($A89,Questions!$A:$B)&amp;CHAR(10)&amp;CHAR(187)&amp;" "&amp;$C89,"")</f>
        <v/>
      </c>
      <c r="AM89" s="99" cm="1">
        <f t="array" ca="1" aca="1" ref="AM89">CreateID($AM$3,$AM:$AM,$AL89&lt;&gt;"")</f>
        <v>0</v>
      </c>
      <c r="AN89" s="99" t="str" cm="1">
        <f t="array" ca="1" aca="1" ref="AN89">IF(OR($C89="",OFFSET($C89,1,0)=""),"",IF(AND($A89=Questions!$A$59,OFFSET($A89,1,0)=Questions!$A$60,SimpleLookup(Questions!$A$49,$A:$C)=Definitions!$A$4),IF(MATCH($C89,Definitions!$AW:$AW,0)&gt;MATCH(OFFSET($C89,1,0),Definitions!AW:AW,0),$A89&amp;" "&amp;$K89&amp;": "&amp;$C89&amp;CHAR(10)&amp;"&lt;---&gt;"&amp;CHAR(10)&amp;OFFSET($A89,1,0)&amp;" "&amp;OFFSET($K89,1,0)&amp;": "&amp;OFFSET($C89,1,0),""),""))</f>
        <v/>
      </c>
      <c r="AO89" s="99" cm="1">
        <f t="array" ca="1" aca="1" ref="AO89">CreateID($AO$3,$AO:$AO,$AN89&lt;&gt;"")</f>
        <v>0</v>
      </c>
    </row>
    <row r="90" spans="9:41" ht="15">
      <c r="I90" s="99" t="str">
        <f t="shared" si="17"/>
        <v/>
      </c>
      <c r="J90" s="99" t="str">
        <f t="shared" si="18"/>
        <v/>
      </c>
      <c r="K90" s="99" t="e" cm="1">
        <f t="array" ca="1" aca="1" ref="K90">SimpleLookup($A90,Questions!$A:$B)</f>
        <v>#N/A</v>
      </c>
      <c r="L90" s="99" cm="1">
        <f t="array" ca="1" aca="1" ref="L90">CreateID($L$3,$L:$L,AND($A90&lt;&gt;"",$AC90))</f>
        <v>39</v>
      </c>
      <c r="M90" s="99" cm="1">
        <f t="array" ca="1" aca="1" ref="M90">CreateTaskID($M$3,$M:$M,Tasks!$B$17,$G90)</f>
        <v>0</v>
      </c>
      <c r="N90" s="99" t="str">
        <f t="shared" si="16"/>
        <v/>
      </c>
      <c r="O90" s="99" cm="1">
        <f t="array" ca="1" aca="1" ref="O90">CreateID($O$3,$O:$O,$N90&lt;&gt;"")</f>
        <v>0</v>
      </c>
      <c r="P90" s="99" t="str">
        <f t="shared" si="19"/>
        <v/>
      </c>
      <c r="Q90" s="99" cm="1">
        <f t="array" ca="1" aca="1" ref="Q90">CreateID($Q$3,$Q:$Q,$P90&lt;&gt;"")</f>
        <v>0</v>
      </c>
      <c r="R90" s="99" t="str">
        <f t="shared" si="20"/>
        <v/>
      </c>
      <c r="S90" s="99" cm="1">
        <f t="array" ca="1" aca="1" ref="S90">CreateID($S$3,$S:$S,$R90&lt;&gt;"")</f>
        <v>2</v>
      </c>
      <c r="T90" s="99" t="str">
        <f t="shared" si="21"/>
        <v/>
      </c>
      <c r="U90" s="99" cm="1">
        <f t="array" ca="1" aca="1" ref="U90">CreateID($U$3,$U:$U,$T90&lt;&gt;"")</f>
        <v>0</v>
      </c>
      <c r="V90" s="99" cm="1">
        <f t="array" ca="1" aca="1" ref="V90">CreateID($V$3,$V:$V,IFERROR(FIND(Definitions!$AR$4,$G90)&gt;0,FALSE))</f>
        <v>0</v>
      </c>
      <c r="W90" s="99">
        <f>_xlfn.LET(_xlpm._comment,$G90,_xlpm._keyWord,Definitions!$AR$4,_xlpm._diffLen,LEN(_xlpm._comment)-LEN(SUBSTITUTE(_xlpm._comment,_xlpm._keyWord,"")),_xlpm._diffLen/LEN(_xlpm._keyWord))</f>
        <v>0</v>
      </c>
      <c r="X90" s="99" cm="1">
        <f t="array" ca="1" aca="1" ref="X90">CreateID($X$3,$X:$X,IFERROR(FIND(Definitions!$AR$5,$G90)&gt;0,FALSE))</f>
        <v>0</v>
      </c>
      <c r="Y90" s="99">
        <f>_xlfn.LET(_xlpm._comment,$G90,_xlpm._keyWord,Definitions!$AR$5,_xlpm._diffLen,LEN(_xlpm._comment)-LEN(SUBSTITUTE(_xlpm._comment,_xlpm._keyWord,"")),_xlpm._diffLen/LEN(_xlpm._keyWord))</f>
        <v>0</v>
      </c>
      <c r="Z90" s="99" t="b">
        <f ca="1">OR(IFERROR(_xlfn.XMATCH("*,"&amp;$A90&amp;",*",Assumptions!$AL:$AL,2)&gt;0,FALSE),IFERROR(_xlfn.XMATCH("*,"&amp;$A90&amp;",*",Countermeasures!$AO:$AO,2)&gt;0,FALSE))</f>
        <v>0</v>
      </c>
      <c r="AA90" s="99" t="str" cm="1">
        <f t="array" ref="AA90">CreateSearchString($I90)</f>
        <v/>
      </c>
      <c r="AB90" s="99" t="str">
        <f>IF($E90="","",IFERROR(VLOOKUP($E90,Definitions!$H:$J,COLUMNS(Definitions!$H:$J),FALSE),""))</f>
        <v/>
      </c>
      <c r="AC90" s="99" t="b" cm="1">
        <f t="array" ref="AC90">IF($A90="",FALSE,SimpleLookup($A90,Questions!$A:$D)="x")</f>
        <v>0</v>
      </c>
      <c r="AD90" s="99" t="str" cm="1">
        <f t="array" ref="AD90">IF(OR($A90="",NOT($AC90)),"",SimpleLookup($A90,Questions!$A:$E))</f>
        <v/>
      </c>
      <c r="AE90" s="99" t="str" cm="1">
        <f t="array" ref="AE90">IF(OR($A90="",NOT($AC90)),"",SimpleLookup($A90,Questions!$A:$F))</f>
        <v/>
      </c>
      <c r="AF90" s="99" t="str" cm="1">
        <f t="array" ref="AF90">_xlfn.LET(_xlpm._answer,$C90,_xlpm._infoTextFull,IF($AC90,CHAR(10)&amp;SimpleLookup($A90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0" s="99" t="b" cm="1">
        <f t="array" ref="AG90">IF(OR($A90="",NOT($AC90)),FALSE,_xlfn.LET(_xlpm._secondAnswerRequiredOn,SimpleLookup($A90,Questions!$A:$I),_xlpm._firstAnwer,$C90,IFERROR(FIND(CHAR(10)&amp;_xlpm._firstAnwer&amp;":",CHAR(10)&amp;_xlpm._secondAnswerRequiredOn)&gt;0,FALSE)))</f>
        <v>0</v>
      </c>
      <c r="AH90" s="99" t="str" cm="1">
        <f t="array" ref="AH90">IF(OR($A90="",NOT($AC90)),"",_xlfn.LET(_xlpm._id,$A90,_xlpm._firstAnswer,$C90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0" s="99" t="str" cm="1">
        <f t="array" ref="AI90">IF(OR($A90="",NOT($AC90)),"",_xlfn.LET(_xlpm._id,$A90,_xlpm._firstAnswer,$C90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0" s="99" t="str" cm="1">
        <f t="array" ref="AJ90">IF($AG90,_xlfn.LET(_xlpm._answer,$E90,_xlpm._infoTextFull,IF($AC90,CHAR(10)&amp;SimpleLookup($A90,Questions!$A:$L)&amp;CHAR(10),""),_xlpm._startSelectedByAnswerOne,IF(_xlpm._infoTextFull="",0,FIND("___"&amp;$C90&amp;"___",_xlpm._infoTextFull)+LEN("___"&amp;$C90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0" s="99" t="b" cm="1">
        <f t="array" ref="AK90">IF(OR($A90="",NOT($AC90)),FALSE,SimpleLookup($A90,Questions!$A:$Q))</f>
        <v>0</v>
      </c>
      <c r="AL90" s="99" t="str" cm="1">
        <f t="array" ca="1" aca="1" ref="AL90">IF(AND($A90=Questions!$A$41,IFERROR(SimpleLookup(Questions!$A$36,$A:$E)=Definitions!$O$5,FALSE),$C90=Definitions!$A$5),Questions!$A$36&amp;" "&amp;Questions!$B$36&amp;CHAR(10)&amp;CHAR(187)&amp;" "&amp;SimpleLookup(Questions!$A$36,$A:$C)&amp;CHAR(10)&amp;SimpleLookup(Questions!$A$36,$A:$D)&amp;CHAR(10)&amp;CHAR(187)&amp;" "&amp;Definitions!$O$5&amp;CHAR(10)&amp;CHAR(10)&amp;"is incosistent with"&amp;CHAR(10)&amp;CHAR(10)&amp;$A90&amp;" "&amp;SimpleLookup($A90,Questions!$A:$B)&amp;CHAR(10)&amp;CHAR(187)&amp;" "&amp;$C90,"")</f>
        <v/>
      </c>
      <c r="AM90" s="99" cm="1">
        <f t="array" ca="1" aca="1" ref="AM90">CreateID($AM$3,$AM:$AM,$AL90&lt;&gt;"")</f>
        <v>0</v>
      </c>
      <c r="AN90" s="99" t="str" cm="1">
        <f t="array" ca="1" aca="1" ref="AN90">IF(OR($C90="",OFFSET($C90,1,0)=""),"",IF(AND($A90=Questions!$A$59,OFFSET($A90,1,0)=Questions!$A$60,SimpleLookup(Questions!$A$49,$A:$C)=Definitions!$A$4),IF(MATCH($C90,Definitions!$AW:$AW,0)&gt;MATCH(OFFSET($C90,1,0),Definitions!AW:AW,0),$A90&amp;" "&amp;$K90&amp;": "&amp;$C90&amp;CHAR(10)&amp;"&lt;---&gt;"&amp;CHAR(10)&amp;OFFSET($A90,1,0)&amp;" "&amp;OFFSET($K90,1,0)&amp;": "&amp;OFFSET($C90,1,0),""),""))</f>
        <v/>
      </c>
      <c r="AO90" s="99" cm="1">
        <f t="array" ca="1" aca="1" ref="AO90">CreateID($AO$3,$AO:$AO,$AN90&lt;&gt;"")</f>
        <v>0</v>
      </c>
    </row>
    <row r="91" spans="9:41" ht="15">
      <c r="I91" s="99" t="str">
        <f t="shared" si="17"/>
        <v/>
      </c>
      <c r="J91" s="99" t="str">
        <f t="shared" si="18"/>
        <v/>
      </c>
      <c r="K91" s="99" t="e" cm="1">
        <f t="array" ca="1" aca="1" ref="K91">SimpleLookup($A91,Questions!$A:$B)</f>
        <v>#N/A</v>
      </c>
      <c r="L91" s="99" cm="1">
        <f t="array" ca="1" aca="1" ref="L91">CreateID($L$3,$L:$L,AND($A91&lt;&gt;"",$AC91))</f>
        <v>39</v>
      </c>
      <c r="M91" s="99" cm="1">
        <f t="array" ca="1" aca="1" ref="M91">CreateTaskID($M$3,$M:$M,Tasks!$B$17,$G91)</f>
        <v>0</v>
      </c>
      <c r="N91" s="99" t="str">
        <f t="shared" si="16"/>
        <v/>
      </c>
      <c r="O91" s="99" cm="1">
        <f t="array" ca="1" aca="1" ref="O91">CreateID($O$3,$O:$O,$N91&lt;&gt;"")</f>
        <v>0</v>
      </c>
      <c r="P91" s="99" t="str">
        <f t="shared" si="19"/>
        <v/>
      </c>
      <c r="Q91" s="99" cm="1">
        <f t="array" ca="1" aca="1" ref="Q91">CreateID($Q$3,$Q:$Q,$P91&lt;&gt;"")</f>
        <v>0</v>
      </c>
      <c r="R91" s="99" t="str">
        <f t="shared" si="20"/>
        <v/>
      </c>
      <c r="S91" s="99" cm="1">
        <f t="array" ca="1" aca="1" ref="S91">CreateID($S$3,$S:$S,$R91&lt;&gt;"")</f>
        <v>2</v>
      </c>
      <c r="T91" s="99" t="str">
        <f t="shared" si="21"/>
        <v/>
      </c>
      <c r="U91" s="99" cm="1">
        <f t="array" ca="1" aca="1" ref="U91">CreateID($U$3,$U:$U,$T91&lt;&gt;"")</f>
        <v>0</v>
      </c>
      <c r="V91" s="99" cm="1">
        <f t="array" ca="1" aca="1" ref="V91">CreateID($V$3,$V:$V,IFERROR(FIND(Definitions!$AR$4,$G91)&gt;0,FALSE))</f>
        <v>0</v>
      </c>
      <c r="W91" s="99">
        <f>_xlfn.LET(_xlpm._comment,$G91,_xlpm._keyWord,Definitions!$AR$4,_xlpm._diffLen,LEN(_xlpm._comment)-LEN(SUBSTITUTE(_xlpm._comment,_xlpm._keyWord,"")),_xlpm._diffLen/LEN(_xlpm._keyWord))</f>
        <v>0</v>
      </c>
      <c r="X91" s="99" cm="1">
        <f t="array" ca="1" aca="1" ref="X91">CreateID($X$3,$X:$X,IFERROR(FIND(Definitions!$AR$5,$G91)&gt;0,FALSE))</f>
        <v>0</v>
      </c>
      <c r="Y91" s="99">
        <f>_xlfn.LET(_xlpm._comment,$G91,_xlpm._keyWord,Definitions!$AR$5,_xlpm._diffLen,LEN(_xlpm._comment)-LEN(SUBSTITUTE(_xlpm._comment,_xlpm._keyWord,"")),_xlpm._diffLen/LEN(_xlpm._keyWord))</f>
        <v>0</v>
      </c>
      <c r="Z91" s="99" t="b">
        <f ca="1">OR(IFERROR(_xlfn.XMATCH("*,"&amp;$A91&amp;",*",Assumptions!$AL:$AL,2)&gt;0,FALSE),IFERROR(_xlfn.XMATCH("*,"&amp;$A91&amp;",*",Countermeasures!$AO:$AO,2)&gt;0,FALSE))</f>
        <v>0</v>
      </c>
      <c r="AA91" s="99" t="str" cm="1">
        <f t="array" ref="AA91">CreateSearchString($I91)</f>
        <v/>
      </c>
      <c r="AB91" s="99" t="str">
        <f>IF($E91="","",IFERROR(VLOOKUP($E91,Definitions!$H:$J,COLUMNS(Definitions!$H:$J),FALSE),""))</f>
        <v/>
      </c>
      <c r="AC91" s="99" t="b" cm="1">
        <f t="array" ref="AC91">IF($A91="",FALSE,SimpleLookup($A91,Questions!$A:$D)="x")</f>
        <v>0</v>
      </c>
      <c r="AD91" s="99" t="str" cm="1">
        <f t="array" ref="AD91">IF(OR($A91="",NOT($AC91)),"",SimpleLookup($A91,Questions!$A:$E))</f>
        <v/>
      </c>
      <c r="AE91" s="99" t="str" cm="1">
        <f t="array" ref="AE91">IF(OR($A91="",NOT($AC91)),"",SimpleLookup($A91,Questions!$A:$F))</f>
        <v/>
      </c>
      <c r="AF91" s="99" t="str" cm="1">
        <f t="array" ref="AF91">_xlfn.LET(_xlpm._answer,$C91,_xlpm._infoTextFull,IF($AC91,CHAR(10)&amp;SimpleLookup($A91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1" s="99" t="b" cm="1">
        <f t="array" ref="AG91">IF(OR($A91="",NOT($AC91)),FALSE,_xlfn.LET(_xlpm._secondAnswerRequiredOn,SimpleLookup($A91,Questions!$A:$I),_xlpm._firstAnwer,$C91,IFERROR(FIND(CHAR(10)&amp;_xlpm._firstAnwer&amp;":",CHAR(10)&amp;_xlpm._secondAnswerRequiredOn)&gt;0,FALSE)))</f>
        <v>0</v>
      </c>
      <c r="AH91" s="99" t="str" cm="1">
        <f t="array" ref="AH91">IF(OR($A91="",NOT($AC91)),"",_xlfn.LET(_xlpm._id,$A91,_xlpm._firstAnswer,$C91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1" s="99" t="str" cm="1">
        <f t="array" ref="AI91">IF(OR($A91="",NOT($AC91)),"",_xlfn.LET(_xlpm._id,$A91,_xlpm._firstAnswer,$C91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1" s="99" t="str" cm="1">
        <f t="array" ref="AJ91">IF($AG91,_xlfn.LET(_xlpm._answer,$E91,_xlpm._infoTextFull,IF($AC91,CHAR(10)&amp;SimpleLookup($A91,Questions!$A:$L)&amp;CHAR(10),""),_xlpm._startSelectedByAnswerOne,IF(_xlpm._infoTextFull="",0,FIND("___"&amp;$C91&amp;"___",_xlpm._infoTextFull)+LEN("___"&amp;$C91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1" s="99" t="b" cm="1">
        <f t="array" ref="AK91">IF(OR($A91="",NOT($AC91)),FALSE,SimpleLookup($A91,Questions!$A:$Q))</f>
        <v>0</v>
      </c>
      <c r="AL91" s="99" t="str" cm="1">
        <f t="array" ca="1" aca="1" ref="AL91">IF(AND($A91=Questions!$A$41,IFERROR(SimpleLookup(Questions!$A$36,$A:$E)=Definitions!$O$5,FALSE),$C91=Definitions!$A$5),Questions!$A$36&amp;" "&amp;Questions!$B$36&amp;CHAR(10)&amp;CHAR(187)&amp;" "&amp;SimpleLookup(Questions!$A$36,$A:$C)&amp;CHAR(10)&amp;SimpleLookup(Questions!$A$36,$A:$D)&amp;CHAR(10)&amp;CHAR(187)&amp;" "&amp;Definitions!$O$5&amp;CHAR(10)&amp;CHAR(10)&amp;"is incosistent with"&amp;CHAR(10)&amp;CHAR(10)&amp;$A91&amp;" "&amp;SimpleLookup($A91,Questions!$A:$B)&amp;CHAR(10)&amp;CHAR(187)&amp;" "&amp;$C91,"")</f>
        <v/>
      </c>
      <c r="AM91" s="99" cm="1">
        <f t="array" ca="1" aca="1" ref="AM91">CreateID($AM$3,$AM:$AM,$AL91&lt;&gt;"")</f>
        <v>0</v>
      </c>
      <c r="AN91" s="99" t="str" cm="1">
        <f t="array" ca="1" aca="1" ref="AN91">IF(OR($C91="",OFFSET($C91,1,0)=""),"",IF(AND($A91=Questions!$A$59,OFFSET($A91,1,0)=Questions!$A$60,SimpleLookup(Questions!$A$49,$A:$C)=Definitions!$A$4),IF(MATCH($C91,Definitions!$AW:$AW,0)&gt;MATCH(OFFSET($C91,1,0),Definitions!AW:AW,0),$A91&amp;" "&amp;$K91&amp;": "&amp;$C91&amp;CHAR(10)&amp;"&lt;---&gt;"&amp;CHAR(10)&amp;OFFSET($A91,1,0)&amp;" "&amp;OFFSET($K91,1,0)&amp;": "&amp;OFFSET($C91,1,0),""),""))</f>
        <v/>
      </c>
      <c r="AO91" s="99" cm="1">
        <f t="array" ca="1" aca="1" ref="AO91">CreateID($AO$3,$AO:$AO,$AN91&lt;&gt;"")</f>
        <v>0</v>
      </c>
    </row>
    <row r="92" spans="9:41" ht="15">
      <c r="I92" s="99" t="str">
        <f t="shared" si="17"/>
        <v/>
      </c>
      <c r="J92" s="99" t="str">
        <f t="shared" si="18"/>
        <v/>
      </c>
      <c r="K92" s="99" t="e" cm="1">
        <f t="array" ca="1" aca="1" ref="K92">SimpleLookup($A92,Questions!$A:$B)</f>
        <v>#N/A</v>
      </c>
      <c r="L92" s="99" cm="1">
        <f t="array" ca="1" aca="1" ref="L92">CreateID($L$3,$L:$L,AND($A92&lt;&gt;"",$AC92))</f>
        <v>39</v>
      </c>
      <c r="M92" s="99" cm="1">
        <f t="array" ca="1" aca="1" ref="M92">CreateTaskID($M$3,$M:$M,Tasks!$B$17,$G92)</f>
        <v>0</v>
      </c>
      <c r="N92" s="99" t="str">
        <f t="shared" si="16"/>
        <v/>
      </c>
      <c r="O92" s="99" cm="1">
        <f t="array" ca="1" aca="1" ref="O92">CreateID($O$3,$O:$O,$N92&lt;&gt;"")</f>
        <v>0</v>
      </c>
      <c r="P92" s="99" t="str">
        <f t="shared" si="19"/>
        <v/>
      </c>
      <c r="Q92" s="99" cm="1">
        <f t="array" ca="1" aca="1" ref="Q92">CreateID($Q$3,$Q:$Q,$P92&lt;&gt;"")</f>
        <v>0</v>
      </c>
      <c r="R92" s="99" t="str">
        <f t="shared" si="20"/>
        <v/>
      </c>
      <c r="S92" s="99" cm="1">
        <f t="array" ca="1" aca="1" ref="S92">CreateID($S$3,$S:$S,$R92&lt;&gt;"")</f>
        <v>2</v>
      </c>
      <c r="T92" s="99" t="str">
        <f t="shared" si="21"/>
        <v/>
      </c>
      <c r="U92" s="99" cm="1">
        <f t="array" ca="1" aca="1" ref="U92">CreateID($U$3,$U:$U,$T92&lt;&gt;"")</f>
        <v>0</v>
      </c>
      <c r="V92" s="99" cm="1">
        <f t="array" ca="1" aca="1" ref="V92">CreateID($V$3,$V:$V,IFERROR(FIND(Definitions!$AR$4,$G92)&gt;0,FALSE))</f>
        <v>0</v>
      </c>
      <c r="W92" s="99">
        <f>_xlfn.LET(_xlpm._comment,$G92,_xlpm._keyWord,Definitions!$AR$4,_xlpm._diffLen,LEN(_xlpm._comment)-LEN(SUBSTITUTE(_xlpm._comment,_xlpm._keyWord,"")),_xlpm._diffLen/LEN(_xlpm._keyWord))</f>
        <v>0</v>
      </c>
      <c r="X92" s="99" cm="1">
        <f t="array" ca="1" aca="1" ref="X92">CreateID($X$3,$X:$X,IFERROR(FIND(Definitions!$AR$5,$G92)&gt;0,FALSE))</f>
        <v>0</v>
      </c>
      <c r="Y92" s="99">
        <f>_xlfn.LET(_xlpm._comment,$G92,_xlpm._keyWord,Definitions!$AR$5,_xlpm._diffLen,LEN(_xlpm._comment)-LEN(SUBSTITUTE(_xlpm._comment,_xlpm._keyWord,"")),_xlpm._diffLen/LEN(_xlpm._keyWord))</f>
        <v>0</v>
      </c>
      <c r="Z92" s="99" t="b">
        <f ca="1">OR(IFERROR(_xlfn.XMATCH("*,"&amp;$A92&amp;",*",Assumptions!$AL:$AL,2)&gt;0,FALSE),IFERROR(_xlfn.XMATCH("*,"&amp;$A92&amp;",*",Countermeasures!$AO:$AO,2)&gt;0,FALSE))</f>
        <v>0</v>
      </c>
      <c r="AA92" s="99" t="str" cm="1">
        <f t="array" ref="AA92">CreateSearchString($I92)</f>
        <v/>
      </c>
      <c r="AB92" s="99" t="str">
        <f>IF($E92="","",IFERROR(VLOOKUP($E92,Definitions!$H:$J,COLUMNS(Definitions!$H:$J),FALSE),""))</f>
        <v/>
      </c>
      <c r="AC92" s="99" t="b" cm="1">
        <f t="array" ref="AC92">IF($A92="",FALSE,SimpleLookup($A92,Questions!$A:$D)="x")</f>
        <v>0</v>
      </c>
      <c r="AD92" s="99" t="str" cm="1">
        <f t="array" ref="AD92">IF(OR($A92="",NOT($AC92)),"",SimpleLookup($A92,Questions!$A:$E))</f>
        <v/>
      </c>
      <c r="AE92" s="99" t="str" cm="1">
        <f t="array" ref="AE92">IF(OR($A92="",NOT($AC92)),"",SimpleLookup($A92,Questions!$A:$F))</f>
        <v/>
      </c>
      <c r="AF92" s="99" t="str" cm="1">
        <f t="array" ref="AF92">_xlfn.LET(_xlpm._answer,$C92,_xlpm._infoTextFull,IF($AC92,CHAR(10)&amp;SimpleLookup($A92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2" s="99" t="b" cm="1">
        <f t="array" ref="AG92">IF(OR($A92="",NOT($AC92)),FALSE,_xlfn.LET(_xlpm._secondAnswerRequiredOn,SimpleLookup($A92,Questions!$A:$I),_xlpm._firstAnwer,$C92,IFERROR(FIND(CHAR(10)&amp;_xlpm._firstAnwer&amp;":",CHAR(10)&amp;_xlpm._secondAnswerRequiredOn)&gt;0,FALSE)))</f>
        <v>0</v>
      </c>
      <c r="AH92" s="99" t="str" cm="1">
        <f t="array" ref="AH92">IF(OR($A92="",NOT($AC92)),"",_xlfn.LET(_xlpm._id,$A92,_xlpm._firstAnswer,$C92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2" s="99" t="str" cm="1">
        <f t="array" ref="AI92">IF(OR($A92="",NOT($AC92)),"",_xlfn.LET(_xlpm._id,$A92,_xlpm._firstAnswer,$C92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2" s="99" t="str" cm="1">
        <f t="array" ref="AJ92">IF($AG92,_xlfn.LET(_xlpm._answer,$E92,_xlpm._infoTextFull,IF($AC92,CHAR(10)&amp;SimpleLookup($A92,Questions!$A:$L)&amp;CHAR(10),""),_xlpm._startSelectedByAnswerOne,IF(_xlpm._infoTextFull="",0,FIND("___"&amp;$C92&amp;"___",_xlpm._infoTextFull)+LEN("___"&amp;$C92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2" s="99" t="b" cm="1">
        <f t="array" ref="AK92">IF(OR($A92="",NOT($AC92)),FALSE,SimpleLookup($A92,Questions!$A:$Q))</f>
        <v>0</v>
      </c>
      <c r="AL92" s="99" t="str" cm="1">
        <f t="array" ca="1" aca="1" ref="AL92">IF(AND($A92=Questions!$A$41,IFERROR(SimpleLookup(Questions!$A$36,$A:$E)=Definitions!$O$5,FALSE),$C92=Definitions!$A$5),Questions!$A$36&amp;" "&amp;Questions!$B$36&amp;CHAR(10)&amp;CHAR(187)&amp;" "&amp;SimpleLookup(Questions!$A$36,$A:$C)&amp;CHAR(10)&amp;SimpleLookup(Questions!$A$36,$A:$D)&amp;CHAR(10)&amp;CHAR(187)&amp;" "&amp;Definitions!$O$5&amp;CHAR(10)&amp;CHAR(10)&amp;"is incosistent with"&amp;CHAR(10)&amp;CHAR(10)&amp;$A92&amp;" "&amp;SimpleLookup($A92,Questions!$A:$B)&amp;CHAR(10)&amp;CHAR(187)&amp;" "&amp;$C92,"")</f>
        <v/>
      </c>
      <c r="AM92" s="99" cm="1">
        <f t="array" ca="1" aca="1" ref="AM92">CreateID($AM$3,$AM:$AM,$AL92&lt;&gt;"")</f>
        <v>0</v>
      </c>
      <c r="AN92" s="99" t="str" cm="1">
        <f t="array" ca="1" aca="1" ref="AN92">IF(OR($C92="",OFFSET($C92,1,0)=""),"",IF(AND($A92=Questions!$A$59,OFFSET($A92,1,0)=Questions!$A$60,SimpleLookup(Questions!$A$49,$A:$C)=Definitions!$A$4),IF(MATCH($C92,Definitions!$AW:$AW,0)&gt;MATCH(OFFSET($C92,1,0),Definitions!AW:AW,0),$A92&amp;" "&amp;$K92&amp;": "&amp;$C92&amp;CHAR(10)&amp;"&lt;---&gt;"&amp;CHAR(10)&amp;OFFSET($A92,1,0)&amp;" "&amp;OFFSET($K92,1,0)&amp;": "&amp;OFFSET($C92,1,0),""),""))</f>
        <v/>
      </c>
      <c r="AO92" s="99" cm="1">
        <f t="array" ca="1" aca="1" ref="AO92">CreateID($AO$3,$AO:$AO,$AN92&lt;&gt;"")</f>
        <v>0</v>
      </c>
    </row>
    <row r="93" spans="9:41" ht="15">
      <c r="I93" s="99" t="str">
        <f t="shared" si="17"/>
        <v/>
      </c>
      <c r="J93" s="99" t="str">
        <f t="shared" si="18"/>
        <v/>
      </c>
      <c r="K93" s="99" t="e" cm="1">
        <f t="array" ca="1" aca="1" ref="K93">SimpleLookup($A93,Questions!$A:$B)</f>
        <v>#N/A</v>
      </c>
      <c r="L93" s="99" cm="1">
        <f t="array" ca="1" aca="1" ref="L93">CreateID($L$3,$L:$L,AND($A93&lt;&gt;"",$AC93))</f>
        <v>39</v>
      </c>
      <c r="M93" s="99" cm="1">
        <f t="array" ca="1" aca="1" ref="M93">CreateTaskID($M$3,$M:$M,Tasks!$B$17,$G93)</f>
        <v>0</v>
      </c>
      <c r="N93" s="99" t="str">
        <f t="shared" si="16"/>
        <v/>
      </c>
      <c r="O93" s="99" cm="1">
        <f t="array" ca="1" aca="1" ref="O93">CreateID($O$3,$O:$O,$N93&lt;&gt;"")</f>
        <v>0</v>
      </c>
      <c r="P93" s="99" t="str">
        <f t="shared" si="19"/>
        <v/>
      </c>
      <c r="Q93" s="99" cm="1">
        <f t="array" ca="1" aca="1" ref="Q93">CreateID($Q$3,$Q:$Q,$P93&lt;&gt;"")</f>
        <v>0</v>
      </c>
      <c r="R93" s="99" t="str">
        <f t="shared" si="20"/>
        <v/>
      </c>
      <c r="S93" s="99" cm="1">
        <f t="array" ca="1" aca="1" ref="S93">CreateID($S$3,$S:$S,$R93&lt;&gt;"")</f>
        <v>2</v>
      </c>
      <c r="T93" s="99" t="str">
        <f t="shared" si="21"/>
        <v/>
      </c>
      <c r="U93" s="99" cm="1">
        <f t="array" ca="1" aca="1" ref="U93">CreateID($U$3,$U:$U,$T93&lt;&gt;"")</f>
        <v>0</v>
      </c>
      <c r="V93" s="99" cm="1">
        <f t="array" ca="1" aca="1" ref="V93">CreateID($V$3,$V:$V,IFERROR(FIND(Definitions!$AR$4,$G93)&gt;0,FALSE))</f>
        <v>0</v>
      </c>
      <c r="W93" s="99">
        <f>_xlfn.LET(_xlpm._comment,$G93,_xlpm._keyWord,Definitions!$AR$4,_xlpm._diffLen,LEN(_xlpm._comment)-LEN(SUBSTITUTE(_xlpm._comment,_xlpm._keyWord,"")),_xlpm._diffLen/LEN(_xlpm._keyWord))</f>
        <v>0</v>
      </c>
      <c r="X93" s="99" cm="1">
        <f t="array" ca="1" aca="1" ref="X93">CreateID($X$3,$X:$X,IFERROR(FIND(Definitions!$AR$5,$G93)&gt;0,FALSE))</f>
        <v>0</v>
      </c>
      <c r="Y93" s="99">
        <f>_xlfn.LET(_xlpm._comment,$G93,_xlpm._keyWord,Definitions!$AR$5,_xlpm._diffLen,LEN(_xlpm._comment)-LEN(SUBSTITUTE(_xlpm._comment,_xlpm._keyWord,"")),_xlpm._diffLen/LEN(_xlpm._keyWord))</f>
        <v>0</v>
      </c>
      <c r="Z93" s="99" t="b">
        <f ca="1">OR(IFERROR(_xlfn.XMATCH("*,"&amp;$A93&amp;",*",Assumptions!$AL:$AL,2)&gt;0,FALSE),IFERROR(_xlfn.XMATCH("*,"&amp;$A93&amp;",*",Countermeasures!$AO:$AO,2)&gt;0,FALSE))</f>
        <v>0</v>
      </c>
      <c r="AA93" s="99" t="str" cm="1">
        <f t="array" ref="AA93">CreateSearchString($I93)</f>
        <v/>
      </c>
      <c r="AB93" s="99" t="str">
        <f>IF($E93="","",IFERROR(VLOOKUP($E93,Definitions!$H:$J,COLUMNS(Definitions!$H:$J),FALSE),""))</f>
        <v/>
      </c>
      <c r="AC93" s="99" t="b" cm="1">
        <f t="array" ref="AC93">IF($A93="",FALSE,SimpleLookup($A93,Questions!$A:$D)="x")</f>
        <v>0</v>
      </c>
      <c r="AD93" s="99" t="str" cm="1">
        <f t="array" ref="AD93">IF(OR($A93="",NOT($AC93)),"",SimpleLookup($A93,Questions!$A:$E))</f>
        <v/>
      </c>
      <c r="AE93" s="99" t="str" cm="1">
        <f t="array" ref="AE93">IF(OR($A93="",NOT($AC93)),"",SimpleLookup($A93,Questions!$A:$F))</f>
        <v/>
      </c>
      <c r="AF93" s="99" t="str" cm="1">
        <f t="array" ref="AF93">_xlfn.LET(_xlpm._answer,$C93,_xlpm._infoTextFull,IF($AC93,CHAR(10)&amp;SimpleLookup($A93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3" s="99" t="b" cm="1">
        <f t="array" ref="AG93">IF(OR($A93="",NOT($AC93)),FALSE,_xlfn.LET(_xlpm._secondAnswerRequiredOn,SimpleLookup($A93,Questions!$A:$I),_xlpm._firstAnwer,$C93,IFERROR(FIND(CHAR(10)&amp;_xlpm._firstAnwer&amp;":",CHAR(10)&amp;_xlpm._secondAnswerRequiredOn)&gt;0,FALSE)))</f>
        <v>0</v>
      </c>
      <c r="AH93" s="99" t="str" cm="1">
        <f t="array" ref="AH93">IF(OR($A93="",NOT($AC93)),"",_xlfn.LET(_xlpm._id,$A93,_xlpm._firstAnswer,$C93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3" s="99" t="str" cm="1">
        <f t="array" ref="AI93">IF(OR($A93="",NOT($AC93)),"",_xlfn.LET(_xlpm._id,$A93,_xlpm._firstAnswer,$C93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3" s="99" t="str" cm="1">
        <f t="array" ref="AJ93">IF($AG93,_xlfn.LET(_xlpm._answer,$E93,_xlpm._infoTextFull,IF($AC93,CHAR(10)&amp;SimpleLookup($A93,Questions!$A:$L)&amp;CHAR(10),""),_xlpm._startSelectedByAnswerOne,IF(_xlpm._infoTextFull="",0,FIND("___"&amp;$C93&amp;"___",_xlpm._infoTextFull)+LEN("___"&amp;$C93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3" s="99" t="b" cm="1">
        <f t="array" ref="AK93">IF(OR($A93="",NOT($AC93)),FALSE,SimpleLookup($A93,Questions!$A:$Q))</f>
        <v>0</v>
      </c>
      <c r="AL93" s="99" t="str" cm="1">
        <f t="array" ca="1" aca="1" ref="AL93">IF(AND($A93=Questions!$A$41,IFERROR(SimpleLookup(Questions!$A$36,$A:$E)=Definitions!$O$5,FALSE),$C93=Definitions!$A$5),Questions!$A$36&amp;" "&amp;Questions!$B$36&amp;CHAR(10)&amp;CHAR(187)&amp;" "&amp;SimpleLookup(Questions!$A$36,$A:$C)&amp;CHAR(10)&amp;SimpleLookup(Questions!$A$36,$A:$D)&amp;CHAR(10)&amp;CHAR(187)&amp;" "&amp;Definitions!$O$5&amp;CHAR(10)&amp;CHAR(10)&amp;"is incosistent with"&amp;CHAR(10)&amp;CHAR(10)&amp;$A93&amp;" "&amp;SimpleLookup($A93,Questions!$A:$B)&amp;CHAR(10)&amp;CHAR(187)&amp;" "&amp;$C93,"")</f>
        <v/>
      </c>
      <c r="AM93" s="99" cm="1">
        <f t="array" ca="1" aca="1" ref="AM93">CreateID($AM$3,$AM:$AM,$AL93&lt;&gt;"")</f>
        <v>0</v>
      </c>
      <c r="AN93" s="99" t="str" cm="1">
        <f t="array" ca="1" aca="1" ref="AN93">IF(OR($C93="",OFFSET($C93,1,0)=""),"",IF(AND($A93=Questions!$A$59,OFFSET($A93,1,0)=Questions!$A$60,SimpleLookup(Questions!$A$49,$A:$C)=Definitions!$A$4),IF(MATCH($C93,Definitions!$AW:$AW,0)&gt;MATCH(OFFSET($C93,1,0),Definitions!AW:AW,0),$A93&amp;" "&amp;$K93&amp;": "&amp;$C93&amp;CHAR(10)&amp;"&lt;---&gt;"&amp;CHAR(10)&amp;OFFSET($A93,1,0)&amp;" "&amp;OFFSET($K93,1,0)&amp;": "&amp;OFFSET($C93,1,0),""),""))</f>
        <v/>
      </c>
      <c r="AO93" s="99" cm="1">
        <f t="array" ca="1" aca="1" ref="AO93">CreateID($AO$3,$AO:$AO,$AN93&lt;&gt;"")</f>
        <v>0</v>
      </c>
    </row>
    <row r="94" spans="9:41" ht="15">
      <c r="I94" s="99" t="str">
        <f t="shared" si="17"/>
        <v/>
      </c>
      <c r="J94" s="99" t="str">
        <f t="shared" si="18"/>
        <v/>
      </c>
      <c r="K94" s="99" t="e" cm="1">
        <f t="array" ca="1" aca="1" ref="K94">SimpleLookup($A94,Questions!$A:$B)</f>
        <v>#N/A</v>
      </c>
      <c r="L94" s="99" cm="1">
        <f t="array" ca="1" aca="1" ref="L94">CreateID($L$3,$L:$L,AND($A94&lt;&gt;"",$AC94))</f>
        <v>39</v>
      </c>
      <c r="M94" s="99" cm="1">
        <f t="array" ca="1" aca="1" ref="M94">CreateTaskID($M$3,$M:$M,Tasks!$B$17,$G94)</f>
        <v>0</v>
      </c>
      <c r="N94" s="99" t="str">
        <f t="shared" si="16"/>
        <v/>
      </c>
      <c r="O94" s="99" cm="1">
        <f t="array" ca="1" aca="1" ref="O94">CreateID($O$3,$O:$O,$N94&lt;&gt;"")</f>
        <v>0</v>
      </c>
      <c r="P94" s="99" t="str">
        <f t="shared" si="19"/>
        <v/>
      </c>
      <c r="Q94" s="99" cm="1">
        <f t="array" ca="1" aca="1" ref="Q94">CreateID($Q$3,$Q:$Q,$P94&lt;&gt;"")</f>
        <v>0</v>
      </c>
      <c r="R94" s="99" t="str">
        <f t="shared" si="20"/>
        <v/>
      </c>
      <c r="S94" s="99" cm="1">
        <f t="array" ca="1" aca="1" ref="S94">CreateID($S$3,$S:$S,$R94&lt;&gt;"")</f>
        <v>2</v>
      </c>
      <c r="T94" s="99" t="str">
        <f t="shared" si="21"/>
        <v/>
      </c>
      <c r="U94" s="99" cm="1">
        <f t="array" ca="1" aca="1" ref="U94">CreateID($U$3,$U:$U,$T94&lt;&gt;"")</f>
        <v>0</v>
      </c>
      <c r="V94" s="99" cm="1">
        <f t="array" ca="1" aca="1" ref="V94">CreateID($V$3,$V:$V,IFERROR(FIND(Definitions!$AR$4,$G94)&gt;0,FALSE))</f>
        <v>0</v>
      </c>
      <c r="W94" s="99">
        <f>_xlfn.LET(_xlpm._comment,$G94,_xlpm._keyWord,Definitions!$AR$4,_xlpm._diffLen,LEN(_xlpm._comment)-LEN(SUBSTITUTE(_xlpm._comment,_xlpm._keyWord,"")),_xlpm._diffLen/LEN(_xlpm._keyWord))</f>
        <v>0</v>
      </c>
      <c r="X94" s="99" cm="1">
        <f t="array" ca="1" aca="1" ref="X94">CreateID($X$3,$X:$X,IFERROR(FIND(Definitions!$AR$5,$G94)&gt;0,FALSE))</f>
        <v>0</v>
      </c>
      <c r="Y94" s="99">
        <f>_xlfn.LET(_xlpm._comment,$G94,_xlpm._keyWord,Definitions!$AR$5,_xlpm._diffLen,LEN(_xlpm._comment)-LEN(SUBSTITUTE(_xlpm._comment,_xlpm._keyWord,"")),_xlpm._diffLen/LEN(_xlpm._keyWord))</f>
        <v>0</v>
      </c>
      <c r="Z94" s="99" t="b">
        <f ca="1">OR(IFERROR(_xlfn.XMATCH("*,"&amp;$A94&amp;",*",Assumptions!$AL:$AL,2)&gt;0,FALSE),IFERROR(_xlfn.XMATCH("*,"&amp;$A94&amp;",*",Countermeasures!$AO:$AO,2)&gt;0,FALSE))</f>
        <v>0</v>
      </c>
      <c r="AA94" s="99" t="str" cm="1">
        <f t="array" ref="AA94">CreateSearchString($I94)</f>
        <v/>
      </c>
      <c r="AB94" s="99" t="str">
        <f>IF($E94="","",IFERROR(VLOOKUP($E94,Definitions!$H:$J,COLUMNS(Definitions!$H:$J),FALSE),""))</f>
        <v/>
      </c>
      <c r="AC94" s="99" t="b" cm="1">
        <f t="array" ref="AC94">IF($A94="",FALSE,SimpleLookup($A94,Questions!$A:$D)="x")</f>
        <v>0</v>
      </c>
      <c r="AD94" s="99" t="str" cm="1">
        <f t="array" ref="AD94">IF(OR($A94="",NOT($AC94)),"",SimpleLookup($A94,Questions!$A:$E))</f>
        <v/>
      </c>
      <c r="AE94" s="99" t="str" cm="1">
        <f t="array" ref="AE94">IF(OR($A94="",NOT($AC94)),"",SimpleLookup($A94,Questions!$A:$F))</f>
        <v/>
      </c>
      <c r="AF94" s="99" t="str" cm="1">
        <f t="array" ref="AF94">_xlfn.LET(_xlpm._answer,$C94,_xlpm._infoTextFull,IF($AC94,CHAR(10)&amp;SimpleLookup($A94,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4" s="99" t="b" cm="1">
        <f t="array" ref="AG94">IF(OR($A94="",NOT($AC94)),FALSE,_xlfn.LET(_xlpm._secondAnswerRequiredOn,SimpleLookup($A94,Questions!$A:$I),_xlpm._firstAnwer,$C94,IFERROR(FIND(CHAR(10)&amp;_xlpm._firstAnwer&amp;":",CHAR(10)&amp;_xlpm._secondAnswerRequiredOn)&gt;0,FALSE)))</f>
        <v>0</v>
      </c>
      <c r="AH94" s="99" t="str" cm="1">
        <f t="array" ref="AH94">IF(OR($A94="",NOT($AC94)),"",_xlfn.LET(_xlpm._id,$A94,_xlpm._firstAnswer,$C94,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4" s="99" t="str" cm="1">
        <f t="array" ref="AI94">IF(OR($A94="",NOT($AC94)),"",_xlfn.LET(_xlpm._id,$A94,_xlpm._firstAnswer,$C94,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4" s="99" t="str" cm="1">
        <f t="array" ref="AJ94">IF($AG94,_xlfn.LET(_xlpm._answer,$E94,_xlpm._infoTextFull,IF($AC94,CHAR(10)&amp;SimpleLookup($A94,Questions!$A:$L)&amp;CHAR(10),""),_xlpm._startSelectedByAnswerOne,IF(_xlpm._infoTextFull="",0,FIND("___"&amp;$C94&amp;"___",_xlpm._infoTextFull)+LEN("___"&amp;$C94&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4" s="99" t="b" cm="1">
        <f t="array" ref="AK94">IF(OR($A94="",NOT($AC94)),FALSE,SimpleLookup($A94,Questions!$A:$Q))</f>
        <v>0</v>
      </c>
      <c r="AL94" s="99" t="str" cm="1">
        <f t="array" ca="1" aca="1" ref="AL94">IF(AND($A94=Questions!$A$41,IFERROR(SimpleLookup(Questions!$A$36,$A:$E)=Definitions!$O$5,FALSE),$C94=Definitions!$A$5),Questions!$A$36&amp;" "&amp;Questions!$B$36&amp;CHAR(10)&amp;CHAR(187)&amp;" "&amp;SimpleLookup(Questions!$A$36,$A:$C)&amp;CHAR(10)&amp;SimpleLookup(Questions!$A$36,$A:$D)&amp;CHAR(10)&amp;CHAR(187)&amp;" "&amp;Definitions!$O$5&amp;CHAR(10)&amp;CHAR(10)&amp;"is incosistent with"&amp;CHAR(10)&amp;CHAR(10)&amp;$A94&amp;" "&amp;SimpleLookup($A94,Questions!$A:$B)&amp;CHAR(10)&amp;CHAR(187)&amp;" "&amp;$C94,"")</f>
        <v/>
      </c>
      <c r="AM94" s="99" cm="1">
        <f t="array" ca="1" aca="1" ref="AM94">CreateID($AM$3,$AM:$AM,$AL94&lt;&gt;"")</f>
        <v>0</v>
      </c>
      <c r="AN94" s="99" t="str" cm="1">
        <f t="array" ca="1" aca="1" ref="AN94">IF(OR($C94="",OFFSET($C94,1,0)=""),"",IF(AND($A94=Questions!$A$59,OFFSET($A94,1,0)=Questions!$A$60,SimpleLookup(Questions!$A$49,$A:$C)=Definitions!$A$4),IF(MATCH($C94,Definitions!$AW:$AW,0)&gt;MATCH(OFFSET($C94,1,0),Definitions!AW:AW,0),$A94&amp;" "&amp;$K94&amp;": "&amp;$C94&amp;CHAR(10)&amp;"&lt;---&gt;"&amp;CHAR(10)&amp;OFFSET($A94,1,0)&amp;" "&amp;OFFSET($K94,1,0)&amp;": "&amp;OFFSET($C94,1,0),""),""))</f>
        <v/>
      </c>
      <c r="AO94" s="99" cm="1">
        <f t="array" ca="1" aca="1" ref="AO94">CreateID($AO$3,$AO:$AO,$AN94&lt;&gt;"")</f>
        <v>0</v>
      </c>
    </row>
    <row r="95" spans="9:41" ht="15">
      <c r="I95" s="99" t="str">
        <f t="shared" si="17"/>
        <v/>
      </c>
      <c r="J95" s="99" t="str">
        <f t="shared" si="18"/>
        <v/>
      </c>
      <c r="K95" s="99" t="e" cm="1">
        <f t="array" ca="1" aca="1" ref="K95">SimpleLookup($A95,Questions!$A:$B)</f>
        <v>#N/A</v>
      </c>
      <c r="L95" s="99" cm="1">
        <f t="array" ca="1" aca="1" ref="L95">CreateID($L$3,$L:$L,AND($A95&lt;&gt;"",$AC95))</f>
        <v>39</v>
      </c>
      <c r="M95" s="99" cm="1">
        <f t="array" ca="1" aca="1" ref="M95">CreateTaskID($M$3,$M:$M,Tasks!$B$17,$G95)</f>
        <v>0</v>
      </c>
      <c r="N95" s="99" t="str">
        <f t="shared" si="16"/>
        <v/>
      </c>
      <c r="O95" s="99" cm="1">
        <f t="array" ca="1" aca="1" ref="O95">CreateID($O$3,$O:$O,$N95&lt;&gt;"")</f>
        <v>0</v>
      </c>
      <c r="P95" s="99" t="str">
        <f t="shared" si="19"/>
        <v/>
      </c>
      <c r="Q95" s="99" cm="1">
        <f t="array" ca="1" aca="1" ref="Q95">CreateID($Q$3,$Q:$Q,$P95&lt;&gt;"")</f>
        <v>0</v>
      </c>
      <c r="R95" s="99" t="str">
        <f t="shared" si="20"/>
        <v/>
      </c>
      <c r="S95" s="99" cm="1">
        <f t="array" ca="1" aca="1" ref="S95">CreateID($S$3,$S:$S,$R95&lt;&gt;"")</f>
        <v>2</v>
      </c>
      <c r="T95" s="99" t="str">
        <f t="shared" si="21"/>
        <v/>
      </c>
      <c r="U95" s="99" cm="1">
        <f t="array" ca="1" aca="1" ref="U95">CreateID($U$3,$U:$U,$T95&lt;&gt;"")</f>
        <v>0</v>
      </c>
      <c r="V95" s="99" cm="1">
        <f t="array" ca="1" aca="1" ref="V95">CreateID($V$3,$V:$V,IFERROR(FIND(Definitions!$AR$4,$G95)&gt;0,FALSE))</f>
        <v>0</v>
      </c>
      <c r="W95" s="99">
        <f>_xlfn.LET(_xlpm._comment,$G95,_xlpm._keyWord,Definitions!$AR$4,_xlpm._diffLen,LEN(_xlpm._comment)-LEN(SUBSTITUTE(_xlpm._comment,_xlpm._keyWord,"")),_xlpm._diffLen/LEN(_xlpm._keyWord))</f>
        <v>0</v>
      </c>
      <c r="X95" s="99" cm="1">
        <f t="array" ca="1" aca="1" ref="X95">CreateID($X$3,$X:$X,IFERROR(FIND(Definitions!$AR$5,$G95)&gt;0,FALSE))</f>
        <v>0</v>
      </c>
      <c r="Y95" s="99">
        <f>_xlfn.LET(_xlpm._comment,$G95,_xlpm._keyWord,Definitions!$AR$5,_xlpm._diffLen,LEN(_xlpm._comment)-LEN(SUBSTITUTE(_xlpm._comment,_xlpm._keyWord,"")),_xlpm._diffLen/LEN(_xlpm._keyWord))</f>
        <v>0</v>
      </c>
      <c r="Z95" s="99" t="b">
        <f ca="1">OR(IFERROR(_xlfn.XMATCH("*,"&amp;$A95&amp;",*",Assumptions!$AL:$AL,2)&gt;0,FALSE),IFERROR(_xlfn.XMATCH("*,"&amp;$A95&amp;",*",Countermeasures!$AO:$AO,2)&gt;0,FALSE))</f>
        <v>0</v>
      </c>
      <c r="AA95" s="99" t="str" cm="1">
        <f t="array" ref="AA95">CreateSearchString($I95)</f>
        <v/>
      </c>
      <c r="AB95" s="99" t="str">
        <f>IF($E95="","",IFERROR(VLOOKUP($E95,Definitions!$H:$J,COLUMNS(Definitions!$H:$J),FALSE),""))</f>
        <v/>
      </c>
      <c r="AC95" s="99" t="b" cm="1">
        <f t="array" ref="AC95">IF($A95="",FALSE,SimpleLookup($A95,Questions!$A:$D)="x")</f>
        <v>0</v>
      </c>
      <c r="AD95" s="99" t="str" cm="1">
        <f t="array" ref="AD95">IF(OR($A95="",NOT($AC95)),"",SimpleLookup($A95,Questions!$A:$E))</f>
        <v/>
      </c>
      <c r="AE95" s="99" t="str" cm="1">
        <f t="array" ref="AE95">IF(OR($A95="",NOT($AC95)),"",SimpleLookup($A95,Questions!$A:$F))</f>
        <v/>
      </c>
      <c r="AF95" s="99" t="str" cm="1">
        <f t="array" ref="AF95">_xlfn.LET(_xlpm._answer,$C95,_xlpm._infoTextFull,IF($AC95,CHAR(10)&amp;SimpleLookup($A95,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5" s="99" t="b" cm="1">
        <f t="array" ref="AG95">IF(OR($A95="",NOT($AC95)),FALSE,_xlfn.LET(_xlpm._secondAnswerRequiredOn,SimpleLookup($A95,Questions!$A:$I),_xlpm._firstAnwer,$C95,IFERROR(FIND(CHAR(10)&amp;_xlpm._firstAnwer&amp;":",CHAR(10)&amp;_xlpm._secondAnswerRequiredOn)&gt;0,FALSE)))</f>
        <v>0</v>
      </c>
      <c r="AH95" s="99" t="str" cm="1">
        <f t="array" ref="AH95">IF(OR($A95="",NOT($AC95)),"",_xlfn.LET(_xlpm._id,$A95,_xlpm._firstAnswer,$C95,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5" s="99" t="str" cm="1">
        <f t="array" ref="AI95">IF(OR($A95="",NOT($AC95)),"",_xlfn.LET(_xlpm._id,$A95,_xlpm._firstAnswer,$C95,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5" s="99" t="str" cm="1">
        <f t="array" ref="AJ95">IF($AG95,_xlfn.LET(_xlpm._answer,$E95,_xlpm._infoTextFull,IF($AC95,CHAR(10)&amp;SimpleLookup($A95,Questions!$A:$L)&amp;CHAR(10),""),_xlpm._startSelectedByAnswerOne,IF(_xlpm._infoTextFull="",0,FIND("___"&amp;$C95&amp;"___",_xlpm._infoTextFull)+LEN("___"&amp;$C95&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5" s="99" t="b" cm="1">
        <f t="array" ref="AK95">IF(OR($A95="",NOT($AC95)),FALSE,SimpleLookup($A95,Questions!$A:$Q))</f>
        <v>0</v>
      </c>
      <c r="AL95" s="99" t="str" cm="1">
        <f t="array" ca="1" aca="1" ref="AL95">IF(AND($A95=Questions!$A$41,IFERROR(SimpleLookup(Questions!$A$36,$A:$E)=Definitions!$O$5,FALSE),$C95=Definitions!$A$5),Questions!$A$36&amp;" "&amp;Questions!$B$36&amp;CHAR(10)&amp;CHAR(187)&amp;" "&amp;SimpleLookup(Questions!$A$36,$A:$C)&amp;CHAR(10)&amp;SimpleLookup(Questions!$A$36,$A:$D)&amp;CHAR(10)&amp;CHAR(187)&amp;" "&amp;Definitions!$O$5&amp;CHAR(10)&amp;CHAR(10)&amp;"is incosistent with"&amp;CHAR(10)&amp;CHAR(10)&amp;$A95&amp;" "&amp;SimpleLookup($A95,Questions!$A:$B)&amp;CHAR(10)&amp;CHAR(187)&amp;" "&amp;$C95,"")</f>
        <v/>
      </c>
      <c r="AM95" s="99" cm="1">
        <f t="array" ca="1" aca="1" ref="AM95">CreateID($AM$3,$AM:$AM,$AL95&lt;&gt;"")</f>
        <v>0</v>
      </c>
      <c r="AN95" s="99" t="str" cm="1">
        <f t="array" ca="1" aca="1" ref="AN95">IF(OR($C95="",OFFSET($C95,1,0)=""),"",IF(AND($A95=Questions!$A$59,OFFSET($A95,1,0)=Questions!$A$60,SimpleLookup(Questions!$A$49,$A:$C)=Definitions!$A$4),IF(MATCH($C95,Definitions!$AW:$AW,0)&gt;MATCH(OFFSET($C95,1,0),Definitions!AW:AW,0),$A95&amp;" "&amp;$K95&amp;": "&amp;$C95&amp;CHAR(10)&amp;"&lt;---&gt;"&amp;CHAR(10)&amp;OFFSET($A95,1,0)&amp;" "&amp;OFFSET($K95,1,0)&amp;": "&amp;OFFSET($C95,1,0),""),""))</f>
        <v/>
      </c>
      <c r="AO95" s="99" cm="1">
        <f t="array" ca="1" aca="1" ref="AO95">CreateID($AO$3,$AO:$AO,$AN95&lt;&gt;"")</f>
        <v>0</v>
      </c>
    </row>
    <row r="96" spans="9:41" ht="15">
      <c r="I96" s="99" t="str">
        <f t="shared" si="17"/>
        <v/>
      </c>
      <c r="J96" s="99" t="str">
        <f t="shared" si="18"/>
        <v/>
      </c>
      <c r="K96" s="99" t="e" cm="1">
        <f t="array" ca="1" aca="1" ref="K96">SimpleLookup($A96,Questions!$A:$B)</f>
        <v>#N/A</v>
      </c>
      <c r="L96" s="99" cm="1">
        <f t="array" ca="1" aca="1" ref="L96">CreateID($L$3,$L:$L,AND($A96&lt;&gt;"",$AC96))</f>
        <v>39</v>
      </c>
      <c r="M96" s="99" cm="1">
        <f t="array" ca="1" aca="1" ref="M96">CreateTaskID($M$3,$M:$M,Tasks!$B$17,$G96)</f>
        <v>0</v>
      </c>
      <c r="N96" s="99" t="str">
        <f t="shared" si="16"/>
        <v/>
      </c>
      <c r="O96" s="99" cm="1">
        <f t="array" ca="1" aca="1" ref="O96">CreateID($O$3,$O:$O,$N96&lt;&gt;"")</f>
        <v>0</v>
      </c>
      <c r="P96" s="99" t="str">
        <f t="shared" si="19"/>
        <v/>
      </c>
      <c r="Q96" s="99" cm="1">
        <f t="array" ca="1" aca="1" ref="Q96">CreateID($Q$3,$Q:$Q,$P96&lt;&gt;"")</f>
        <v>0</v>
      </c>
      <c r="R96" s="99" t="str">
        <f t="shared" si="20"/>
        <v/>
      </c>
      <c r="S96" s="99" cm="1">
        <f t="array" ca="1" aca="1" ref="S96">CreateID($S$3,$S:$S,$R96&lt;&gt;"")</f>
        <v>2</v>
      </c>
      <c r="T96" s="99" t="str">
        <f t="shared" si="21"/>
        <v/>
      </c>
      <c r="U96" s="99" cm="1">
        <f t="array" ca="1" aca="1" ref="U96">CreateID($U$3,$U:$U,$T96&lt;&gt;"")</f>
        <v>0</v>
      </c>
      <c r="V96" s="99" cm="1">
        <f t="array" ca="1" aca="1" ref="V96">CreateID($V$3,$V:$V,IFERROR(FIND(Definitions!$AR$4,$G96)&gt;0,FALSE))</f>
        <v>0</v>
      </c>
      <c r="W96" s="99">
        <f>_xlfn.LET(_xlpm._comment,$G96,_xlpm._keyWord,Definitions!$AR$4,_xlpm._diffLen,LEN(_xlpm._comment)-LEN(SUBSTITUTE(_xlpm._comment,_xlpm._keyWord,"")),_xlpm._diffLen/LEN(_xlpm._keyWord))</f>
        <v>0</v>
      </c>
      <c r="X96" s="99" cm="1">
        <f t="array" ca="1" aca="1" ref="X96">CreateID($X$3,$X:$X,IFERROR(FIND(Definitions!$AR$5,$G96)&gt;0,FALSE))</f>
        <v>0</v>
      </c>
      <c r="Y96" s="99">
        <f>_xlfn.LET(_xlpm._comment,$G96,_xlpm._keyWord,Definitions!$AR$5,_xlpm._diffLen,LEN(_xlpm._comment)-LEN(SUBSTITUTE(_xlpm._comment,_xlpm._keyWord,"")),_xlpm._diffLen/LEN(_xlpm._keyWord))</f>
        <v>0</v>
      </c>
      <c r="Z96" s="99" t="b">
        <f ca="1">OR(IFERROR(_xlfn.XMATCH("*,"&amp;$A96&amp;",*",Assumptions!$AL:$AL,2)&gt;0,FALSE),IFERROR(_xlfn.XMATCH("*,"&amp;$A96&amp;",*",Countermeasures!$AO:$AO,2)&gt;0,FALSE))</f>
        <v>0</v>
      </c>
      <c r="AA96" s="99" t="str" cm="1">
        <f t="array" ref="AA96">CreateSearchString($I96)</f>
        <v/>
      </c>
      <c r="AB96" s="99" t="str">
        <f>IF($E96="","",IFERROR(VLOOKUP($E96,Definitions!$H:$J,COLUMNS(Definitions!$H:$J),FALSE),""))</f>
        <v/>
      </c>
      <c r="AC96" s="99" t="b" cm="1">
        <f t="array" ref="AC96">IF($A96="",FALSE,SimpleLookup($A96,Questions!$A:$D)="x")</f>
        <v>0</v>
      </c>
      <c r="AD96" s="99" t="str" cm="1">
        <f t="array" ref="AD96">IF(OR($A96="",NOT($AC96)),"",SimpleLookup($A96,Questions!$A:$E))</f>
        <v/>
      </c>
      <c r="AE96" s="99" t="str" cm="1">
        <f t="array" ref="AE96">IF(OR($A96="",NOT($AC96)),"",SimpleLookup($A96,Questions!$A:$F))</f>
        <v/>
      </c>
      <c r="AF96" s="99" t="str" cm="1">
        <f t="array" ref="AF96">_xlfn.LET(_xlpm._answer,$C96,_xlpm._infoTextFull,IF($AC96,CHAR(10)&amp;SimpleLookup($A96,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6" s="99" t="b" cm="1">
        <f t="array" ref="AG96">IF(OR($A96="",NOT($AC96)),FALSE,_xlfn.LET(_xlpm._secondAnswerRequiredOn,SimpleLookup($A96,Questions!$A:$I),_xlpm._firstAnwer,$C96,IFERROR(FIND(CHAR(10)&amp;_xlpm._firstAnwer&amp;":",CHAR(10)&amp;_xlpm._secondAnswerRequiredOn)&gt;0,FALSE)))</f>
        <v>0</v>
      </c>
      <c r="AH96" s="99" t="str" cm="1">
        <f t="array" ref="AH96">IF(OR($A96="",NOT($AC96)),"",_xlfn.LET(_xlpm._id,$A96,_xlpm._firstAnswer,$C96,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6" s="99" t="str" cm="1">
        <f t="array" ref="AI96">IF(OR($A96="",NOT($AC96)),"",_xlfn.LET(_xlpm._id,$A96,_xlpm._firstAnswer,$C96,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6" s="99" t="str" cm="1">
        <f t="array" ref="AJ96">IF($AG96,_xlfn.LET(_xlpm._answer,$E96,_xlpm._infoTextFull,IF($AC96,CHAR(10)&amp;SimpleLookup($A96,Questions!$A:$L)&amp;CHAR(10),""),_xlpm._startSelectedByAnswerOne,IF(_xlpm._infoTextFull="",0,FIND("___"&amp;$C96&amp;"___",_xlpm._infoTextFull)+LEN("___"&amp;$C96&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6" s="99" t="b" cm="1">
        <f t="array" ref="AK96">IF(OR($A96="",NOT($AC96)),FALSE,SimpleLookup($A96,Questions!$A:$Q))</f>
        <v>0</v>
      </c>
      <c r="AL96" s="99" t="str" cm="1">
        <f t="array" ca="1" aca="1" ref="AL96">IF(AND($A96=Questions!$A$41,IFERROR(SimpleLookup(Questions!$A$36,$A:$E)=Definitions!$O$5,FALSE),$C96=Definitions!$A$5),Questions!$A$36&amp;" "&amp;Questions!$B$36&amp;CHAR(10)&amp;CHAR(187)&amp;" "&amp;SimpleLookup(Questions!$A$36,$A:$C)&amp;CHAR(10)&amp;SimpleLookup(Questions!$A$36,$A:$D)&amp;CHAR(10)&amp;CHAR(187)&amp;" "&amp;Definitions!$O$5&amp;CHAR(10)&amp;CHAR(10)&amp;"is incosistent with"&amp;CHAR(10)&amp;CHAR(10)&amp;$A96&amp;" "&amp;SimpleLookup($A96,Questions!$A:$B)&amp;CHAR(10)&amp;CHAR(187)&amp;" "&amp;$C96,"")</f>
        <v/>
      </c>
      <c r="AM96" s="99" cm="1">
        <f t="array" ca="1" aca="1" ref="AM96">CreateID($AM$3,$AM:$AM,$AL96&lt;&gt;"")</f>
        <v>0</v>
      </c>
      <c r="AN96" s="99" t="str" cm="1">
        <f t="array" ca="1" aca="1" ref="AN96">IF(OR($C96="",OFFSET($C96,1,0)=""),"",IF(AND($A96=Questions!$A$59,OFFSET($A96,1,0)=Questions!$A$60,SimpleLookup(Questions!$A$49,$A:$C)=Definitions!$A$4),IF(MATCH($C96,Definitions!$AW:$AW,0)&gt;MATCH(OFFSET($C96,1,0),Definitions!AW:AW,0),$A96&amp;" "&amp;$K96&amp;": "&amp;$C96&amp;CHAR(10)&amp;"&lt;---&gt;"&amp;CHAR(10)&amp;OFFSET($A96,1,0)&amp;" "&amp;OFFSET($K96,1,0)&amp;": "&amp;OFFSET($C96,1,0),""),""))</f>
        <v/>
      </c>
      <c r="AO96" s="99" cm="1">
        <f t="array" ca="1" aca="1" ref="AO96">CreateID($AO$3,$AO:$AO,$AN96&lt;&gt;"")</f>
        <v>0</v>
      </c>
    </row>
    <row r="97" spans="9:41" ht="15">
      <c r="I97" s="99" t="str">
        <f t="shared" si="17"/>
        <v/>
      </c>
      <c r="J97" s="99" t="str">
        <f t="shared" si="18"/>
        <v/>
      </c>
      <c r="K97" s="99" t="e" cm="1">
        <f t="array" ca="1" aca="1" ref="K97">SimpleLookup($A97,Questions!$A:$B)</f>
        <v>#N/A</v>
      </c>
      <c r="L97" s="99" cm="1">
        <f t="array" ca="1" aca="1" ref="L97">CreateID($L$3,$L:$L,AND($A97&lt;&gt;"",$AC97))</f>
        <v>39</v>
      </c>
      <c r="M97" s="99" cm="1">
        <f t="array" ca="1" aca="1" ref="M97">CreateTaskID($M$3,$M:$M,Tasks!$B$17,$G97)</f>
        <v>0</v>
      </c>
      <c r="N97" s="99" t="str">
        <f t="shared" si="16"/>
        <v/>
      </c>
      <c r="O97" s="99" cm="1">
        <f t="array" ca="1" aca="1" ref="O97">CreateID($O$3,$O:$O,$N97&lt;&gt;"")</f>
        <v>0</v>
      </c>
      <c r="P97" s="99" t="str">
        <f t="shared" si="19"/>
        <v/>
      </c>
      <c r="Q97" s="99" cm="1">
        <f t="array" ca="1" aca="1" ref="Q97">CreateID($Q$3,$Q:$Q,$P97&lt;&gt;"")</f>
        <v>0</v>
      </c>
      <c r="R97" s="99" t="str">
        <f t="shared" si="20"/>
        <v/>
      </c>
      <c r="S97" s="99" cm="1">
        <f t="array" ca="1" aca="1" ref="S97">CreateID($S$3,$S:$S,$R97&lt;&gt;"")</f>
        <v>2</v>
      </c>
      <c r="T97" s="99" t="str">
        <f t="shared" si="21"/>
        <v/>
      </c>
      <c r="U97" s="99" cm="1">
        <f t="array" ca="1" aca="1" ref="U97">CreateID($U$3,$U:$U,$T97&lt;&gt;"")</f>
        <v>0</v>
      </c>
      <c r="V97" s="99" cm="1">
        <f t="array" ca="1" aca="1" ref="V97">CreateID($V$3,$V:$V,IFERROR(FIND(Definitions!$AR$4,$G97)&gt;0,FALSE))</f>
        <v>0</v>
      </c>
      <c r="W97" s="99">
        <f>_xlfn.LET(_xlpm._comment,$G97,_xlpm._keyWord,Definitions!$AR$4,_xlpm._diffLen,LEN(_xlpm._comment)-LEN(SUBSTITUTE(_xlpm._comment,_xlpm._keyWord,"")),_xlpm._diffLen/LEN(_xlpm._keyWord))</f>
        <v>0</v>
      </c>
      <c r="X97" s="99" cm="1">
        <f t="array" ca="1" aca="1" ref="X97">CreateID($X$3,$X:$X,IFERROR(FIND(Definitions!$AR$5,$G97)&gt;0,FALSE))</f>
        <v>0</v>
      </c>
      <c r="Y97" s="99">
        <f>_xlfn.LET(_xlpm._comment,$G97,_xlpm._keyWord,Definitions!$AR$5,_xlpm._diffLen,LEN(_xlpm._comment)-LEN(SUBSTITUTE(_xlpm._comment,_xlpm._keyWord,"")),_xlpm._diffLen/LEN(_xlpm._keyWord))</f>
        <v>0</v>
      </c>
      <c r="Z97" s="99" t="b">
        <f ca="1">OR(IFERROR(_xlfn.XMATCH("*,"&amp;$A97&amp;",*",Assumptions!$AL:$AL,2)&gt;0,FALSE),IFERROR(_xlfn.XMATCH("*,"&amp;$A97&amp;",*",Countermeasures!$AO:$AO,2)&gt;0,FALSE))</f>
        <v>0</v>
      </c>
      <c r="AA97" s="99" t="str" cm="1">
        <f t="array" ref="AA97">CreateSearchString($I97)</f>
        <v/>
      </c>
      <c r="AB97" s="99" t="str">
        <f>IF($E97="","",IFERROR(VLOOKUP($E97,Definitions!$H:$J,COLUMNS(Definitions!$H:$J),FALSE),""))</f>
        <v/>
      </c>
      <c r="AC97" s="99" t="b" cm="1">
        <f t="array" ref="AC97">IF($A97="",FALSE,SimpleLookup($A97,Questions!$A:$D)="x")</f>
        <v>0</v>
      </c>
      <c r="AD97" s="99" t="str" cm="1">
        <f t="array" ref="AD97">IF(OR($A97="",NOT($AC97)),"",SimpleLookup($A97,Questions!$A:$E))</f>
        <v/>
      </c>
      <c r="AE97" s="99" t="str" cm="1">
        <f t="array" ref="AE97">IF(OR($A97="",NOT($AC97)),"",SimpleLookup($A97,Questions!$A:$F))</f>
        <v/>
      </c>
      <c r="AF97" s="99" t="str" cm="1">
        <f t="array" ref="AF97">_xlfn.LET(_xlpm._answer,$C97,_xlpm._infoTextFull,IF($AC97,CHAR(10)&amp;SimpleLookup($A97,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7" s="99" t="b" cm="1">
        <f t="array" ref="AG97">IF(OR($A97="",NOT($AC97)),FALSE,_xlfn.LET(_xlpm._secondAnswerRequiredOn,SimpleLookup($A97,Questions!$A:$I),_xlpm._firstAnwer,$C97,IFERROR(FIND(CHAR(10)&amp;_xlpm._firstAnwer&amp;":",CHAR(10)&amp;_xlpm._secondAnswerRequiredOn)&gt;0,FALSE)))</f>
        <v>0</v>
      </c>
      <c r="AH97" s="99" t="str" cm="1">
        <f t="array" ref="AH97">IF(OR($A97="",NOT($AC97)),"",_xlfn.LET(_xlpm._id,$A97,_xlpm._firstAnswer,$C97,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7" s="99" t="str" cm="1">
        <f t="array" ref="AI97">IF(OR($A97="",NOT($AC97)),"",_xlfn.LET(_xlpm._id,$A97,_xlpm._firstAnswer,$C97,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7" s="99" t="str" cm="1">
        <f t="array" ref="AJ97">IF($AG97,_xlfn.LET(_xlpm._answer,$E97,_xlpm._infoTextFull,IF($AC97,CHAR(10)&amp;SimpleLookup($A97,Questions!$A:$L)&amp;CHAR(10),""),_xlpm._startSelectedByAnswerOne,IF(_xlpm._infoTextFull="",0,FIND("___"&amp;$C97&amp;"___",_xlpm._infoTextFull)+LEN("___"&amp;$C97&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7" s="99" t="b" cm="1">
        <f t="array" ref="AK97">IF(OR($A97="",NOT($AC97)),FALSE,SimpleLookup($A97,Questions!$A:$Q))</f>
        <v>0</v>
      </c>
      <c r="AL97" s="99" t="str" cm="1">
        <f t="array" ca="1" aca="1" ref="AL97">IF(AND($A97=Questions!$A$41,IFERROR(SimpleLookup(Questions!$A$36,$A:$E)=Definitions!$O$5,FALSE),$C97=Definitions!$A$5),Questions!$A$36&amp;" "&amp;Questions!$B$36&amp;CHAR(10)&amp;CHAR(187)&amp;" "&amp;SimpleLookup(Questions!$A$36,$A:$C)&amp;CHAR(10)&amp;SimpleLookup(Questions!$A$36,$A:$D)&amp;CHAR(10)&amp;CHAR(187)&amp;" "&amp;Definitions!$O$5&amp;CHAR(10)&amp;CHAR(10)&amp;"is incosistent with"&amp;CHAR(10)&amp;CHAR(10)&amp;$A97&amp;" "&amp;SimpleLookup($A97,Questions!$A:$B)&amp;CHAR(10)&amp;CHAR(187)&amp;" "&amp;$C97,"")</f>
        <v/>
      </c>
      <c r="AM97" s="99" cm="1">
        <f t="array" ca="1" aca="1" ref="AM97">CreateID($AM$3,$AM:$AM,$AL97&lt;&gt;"")</f>
        <v>0</v>
      </c>
      <c r="AN97" s="99" t="str" cm="1">
        <f t="array" ca="1" aca="1" ref="AN97">IF(OR($C97="",OFFSET($C97,1,0)=""),"",IF(AND($A97=Questions!$A$59,OFFSET($A97,1,0)=Questions!$A$60,SimpleLookup(Questions!$A$49,$A:$C)=Definitions!$A$4),IF(MATCH($C97,Definitions!$AW:$AW,0)&gt;MATCH(OFFSET($C97,1,0),Definitions!AW:AW,0),$A97&amp;" "&amp;$K97&amp;": "&amp;$C97&amp;CHAR(10)&amp;"&lt;---&gt;"&amp;CHAR(10)&amp;OFFSET($A97,1,0)&amp;" "&amp;OFFSET($K97,1,0)&amp;": "&amp;OFFSET($C97,1,0),""),""))</f>
        <v/>
      </c>
      <c r="AO97" s="99" cm="1">
        <f t="array" ca="1" aca="1" ref="AO97">CreateID($AO$3,$AO:$AO,$AN97&lt;&gt;"")</f>
        <v>0</v>
      </c>
    </row>
    <row r="98" spans="9:41" ht="15">
      <c r="I98" s="99" t="str">
        <f t="shared" si="17"/>
        <v/>
      </c>
      <c r="J98" s="99" t="str">
        <f t="shared" si="18"/>
        <v/>
      </c>
      <c r="K98" s="99" t="e" cm="1">
        <f t="array" ca="1" aca="1" ref="K98">SimpleLookup($A98,Questions!$A:$B)</f>
        <v>#N/A</v>
      </c>
      <c r="L98" s="99" cm="1">
        <f t="array" ca="1" aca="1" ref="L98">CreateID($L$3,$L:$L,AND($A98&lt;&gt;"",$AC98))</f>
        <v>39</v>
      </c>
      <c r="M98" s="99" cm="1">
        <f t="array" ca="1" aca="1" ref="M98">CreateTaskID($M$3,$M:$M,Tasks!$B$17,$G98)</f>
        <v>0</v>
      </c>
      <c r="N98" s="99" t="str">
        <f t="shared" si="16"/>
        <v/>
      </c>
      <c r="O98" s="99" cm="1">
        <f t="array" ca="1" aca="1" ref="O98">CreateID($O$3,$O:$O,$N98&lt;&gt;"")</f>
        <v>0</v>
      </c>
      <c r="P98" s="99" t="str">
        <f t="shared" si="19"/>
        <v/>
      </c>
      <c r="Q98" s="99" cm="1">
        <f t="array" ca="1" aca="1" ref="Q98">CreateID($Q$3,$Q:$Q,$P98&lt;&gt;"")</f>
        <v>0</v>
      </c>
      <c r="R98" s="99" t="str">
        <f t="shared" si="20"/>
        <v/>
      </c>
      <c r="S98" s="99" cm="1">
        <f t="array" ca="1" aca="1" ref="S98">CreateID($S$3,$S:$S,$R98&lt;&gt;"")</f>
        <v>2</v>
      </c>
      <c r="T98" s="99" t="str">
        <f t="shared" si="21"/>
        <v/>
      </c>
      <c r="U98" s="99" cm="1">
        <f t="array" ca="1" aca="1" ref="U98">CreateID($U$3,$U:$U,$T98&lt;&gt;"")</f>
        <v>0</v>
      </c>
      <c r="V98" s="99" cm="1">
        <f t="array" ca="1" aca="1" ref="V98">CreateID($V$3,$V:$V,IFERROR(FIND(Definitions!$AR$4,$G98)&gt;0,FALSE))</f>
        <v>0</v>
      </c>
      <c r="W98" s="99">
        <f>_xlfn.LET(_xlpm._comment,$G98,_xlpm._keyWord,Definitions!$AR$4,_xlpm._diffLen,LEN(_xlpm._comment)-LEN(SUBSTITUTE(_xlpm._comment,_xlpm._keyWord,"")),_xlpm._diffLen/LEN(_xlpm._keyWord))</f>
        <v>0</v>
      </c>
      <c r="X98" s="99" cm="1">
        <f t="array" ca="1" aca="1" ref="X98">CreateID($X$3,$X:$X,IFERROR(FIND(Definitions!$AR$5,$G98)&gt;0,FALSE))</f>
        <v>0</v>
      </c>
      <c r="Y98" s="99">
        <f>_xlfn.LET(_xlpm._comment,$G98,_xlpm._keyWord,Definitions!$AR$5,_xlpm._diffLen,LEN(_xlpm._comment)-LEN(SUBSTITUTE(_xlpm._comment,_xlpm._keyWord,"")),_xlpm._diffLen/LEN(_xlpm._keyWord))</f>
        <v>0</v>
      </c>
      <c r="Z98" s="99" t="b">
        <f ca="1">OR(IFERROR(_xlfn.XMATCH("*,"&amp;$A98&amp;",*",Assumptions!$AL:$AL,2)&gt;0,FALSE),IFERROR(_xlfn.XMATCH("*,"&amp;$A98&amp;",*",Countermeasures!$AO:$AO,2)&gt;0,FALSE))</f>
        <v>0</v>
      </c>
      <c r="AA98" s="99" t="str" cm="1">
        <f t="array" ref="AA98">CreateSearchString($I98)</f>
        <v/>
      </c>
      <c r="AB98" s="99" t="str">
        <f>IF($E98="","",IFERROR(VLOOKUP($E98,Definitions!$H:$J,COLUMNS(Definitions!$H:$J),FALSE),""))</f>
        <v/>
      </c>
      <c r="AC98" s="99" t="b" cm="1">
        <f t="array" ref="AC98">IF($A98="",FALSE,SimpleLookup($A98,Questions!$A:$D)="x")</f>
        <v>0</v>
      </c>
      <c r="AD98" s="99" t="str" cm="1">
        <f t="array" ref="AD98">IF(OR($A98="",NOT($AC98)),"",SimpleLookup($A98,Questions!$A:$E))</f>
        <v/>
      </c>
      <c r="AE98" s="99" t="str" cm="1">
        <f t="array" ref="AE98">IF(OR($A98="",NOT($AC98)),"",SimpleLookup($A98,Questions!$A:$F))</f>
        <v/>
      </c>
      <c r="AF98" s="99" t="str" cm="1">
        <f t="array" ref="AF98">_xlfn.LET(_xlpm._answer,$C98,_xlpm._infoTextFull,IF($AC98,CHAR(10)&amp;SimpleLookup($A98,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8" s="99" t="b" cm="1">
        <f t="array" ref="AG98">IF(OR($A98="",NOT($AC98)),FALSE,_xlfn.LET(_xlpm._secondAnswerRequiredOn,SimpleLookup($A98,Questions!$A:$I),_xlpm._firstAnwer,$C98,IFERROR(FIND(CHAR(10)&amp;_xlpm._firstAnwer&amp;":",CHAR(10)&amp;_xlpm._secondAnswerRequiredOn)&gt;0,FALSE)))</f>
        <v>0</v>
      </c>
      <c r="AH98" s="99" t="str" cm="1">
        <f t="array" ref="AH98">IF(OR($A98="",NOT($AC98)),"",_xlfn.LET(_xlpm._id,$A98,_xlpm._firstAnswer,$C98,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8" s="99" t="str" cm="1">
        <f t="array" ref="AI98">IF(OR($A98="",NOT($AC98)),"",_xlfn.LET(_xlpm._id,$A98,_xlpm._firstAnswer,$C98,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8" s="99" t="str" cm="1">
        <f t="array" ref="AJ98">IF($AG98,_xlfn.LET(_xlpm._answer,$E98,_xlpm._infoTextFull,IF($AC98,CHAR(10)&amp;SimpleLookup($A98,Questions!$A:$L)&amp;CHAR(10),""),_xlpm._startSelectedByAnswerOne,IF(_xlpm._infoTextFull="",0,FIND("___"&amp;$C98&amp;"___",_xlpm._infoTextFull)+LEN("___"&amp;$C98&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8" s="99" t="b" cm="1">
        <f t="array" ref="AK98">IF(OR($A98="",NOT($AC98)),FALSE,SimpleLookup($A98,Questions!$A:$Q))</f>
        <v>0</v>
      </c>
      <c r="AL98" s="99" t="str" cm="1">
        <f t="array" ca="1" aca="1" ref="AL98">IF(AND($A98=Questions!$A$41,IFERROR(SimpleLookup(Questions!$A$36,$A:$E)=Definitions!$O$5,FALSE),$C98=Definitions!$A$5),Questions!$A$36&amp;" "&amp;Questions!$B$36&amp;CHAR(10)&amp;CHAR(187)&amp;" "&amp;SimpleLookup(Questions!$A$36,$A:$C)&amp;CHAR(10)&amp;SimpleLookup(Questions!$A$36,$A:$D)&amp;CHAR(10)&amp;CHAR(187)&amp;" "&amp;Definitions!$O$5&amp;CHAR(10)&amp;CHAR(10)&amp;"is incosistent with"&amp;CHAR(10)&amp;CHAR(10)&amp;$A98&amp;" "&amp;SimpleLookup($A98,Questions!$A:$B)&amp;CHAR(10)&amp;CHAR(187)&amp;" "&amp;$C98,"")</f>
        <v/>
      </c>
      <c r="AM98" s="99" cm="1">
        <f t="array" ca="1" aca="1" ref="AM98">CreateID($AM$3,$AM:$AM,$AL98&lt;&gt;"")</f>
        <v>0</v>
      </c>
      <c r="AN98" s="99" t="str" cm="1">
        <f t="array" ca="1" aca="1" ref="AN98">IF(OR($C98="",OFFSET($C98,1,0)=""),"",IF(AND($A98=Questions!$A$59,OFFSET($A98,1,0)=Questions!$A$60,SimpleLookup(Questions!$A$49,$A:$C)=Definitions!$A$4),IF(MATCH($C98,Definitions!$AW:$AW,0)&gt;MATCH(OFFSET($C98,1,0),Definitions!AW:AW,0),$A98&amp;" "&amp;$K98&amp;": "&amp;$C98&amp;CHAR(10)&amp;"&lt;---&gt;"&amp;CHAR(10)&amp;OFFSET($A98,1,0)&amp;" "&amp;OFFSET($K98,1,0)&amp;": "&amp;OFFSET($C98,1,0),""),""))</f>
        <v/>
      </c>
      <c r="AO98" s="99" cm="1">
        <f t="array" ca="1" aca="1" ref="AO98">CreateID($AO$3,$AO:$AO,$AN98&lt;&gt;"")</f>
        <v>0</v>
      </c>
    </row>
    <row r="99" spans="9:41" ht="15">
      <c r="I99" s="99" t="str">
        <f t="shared" si="17"/>
        <v/>
      </c>
      <c r="J99" s="99" t="str">
        <f t="shared" si="18"/>
        <v/>
      </c>
      <c r="K99" s="99" t="e" cm="1">
        <f t="array" ca="1" aca="1" ref="K99">SimpleLookup($A99,Questions!$A:$B)</f>
        <v>#N/A</v>
      </c>
      <c r="L99" s="99" cm="1">
        <f t="array" ca="1" aca="1" ref="L99">CreateID($L$3,$L:$L,AND($A99&lt;&gt;"",$AC99))</f>
        <v>39</v>
      </c>
      <c r="M99" s="99" cm="1">
        <f t="array" ca="1" aca="1" ref="M99">CreateTaskID($M$3,$M:$M,Tasks!$B$17,$G99)</f>
        <v>0</v>
      </c>
      <c r="N99" s="99" t="str">
        <f t="shared" si="16"/>
        <v/>
      </c>
      <c r="O99" s="99" cm="1">
        <f t="array" ca="1" aca="1" ref="O99">CreateID($O$3,$O:$O,$N99&lt;&gt;"")</f>
        <v>0</v>
      </c>
      <c r="P99" s="99" t="str">
        <f t="shared" si="19"/>
        <v/>
      </c>
      <c r="Q99" s="99" cm="1">
        <f t="array" ca="1" aca="1" ref="Q99">CreateID($Q$3,$Q:$Q,$P99&lt;&gt;"")</f>
        <v>0</v>
      </c>
      <c r="R99" s="99" t="str">
        <f t="shared" si="20"/>
        <v/>
      </c>
      <c r="S99" s="99" cm="1">
        <f t="array" ca="1" aca="1" ref="S99">CreateID($S$3,$S:$S,$R99&lt;&gt;"")</f>
        <v>2</v>
      </c>
      <c r="T99" s="99" t="str">
        <f t="shared" si="21"/>
        <v/>
      </c>
      <c r="U99" s="99" cm="1">
        <f t="array" ca="1" aca="1" ref="U99">CreateID($U$3,$U:$U,$T99&lt;&gt;"")</f>
        <v>0</v>
      </c>
      <c r="V99" s="99" cm="1">
        <f t="array" ca="1" aca="1" ref="V99">CreateID($V$3,$V:$V,IFERROR(FIND(Definitions!$AR$4,$G99)&gt;0,FALSE))</f>
        <v>0</v>
      </c>
      <c r="W99" s="99">
        <f>_xlfn.LET(_xlpm._comment,$G99,_xlpm._keyWord,Definitions!$AR$4,_xlpm._diffLen,LEN(_xlpm._comment)-LEN(SUBSTITUTE(_xlpm._comment,_xlpm._keyWord,"")),_xlpm._diffLen/LEN(_xlpm._keyWord))</f>
        <v>0</v>
      </c>
      <c r="X99" s="99" cm="1">
        <f t="array" ca="1" aca="1" ref="X99">CreateID($X$3,$X:$X,IFERROR(FIND(Definitions!$AR$5,$G99)&gt;0,FALSE))</f>
        <v>0</v>
      </c>
      <c r="Y99" s="99">
        <f>_xlfn.LET(_xlpm._comment,$G99,_xlpm._keyWord,Definitions!$AR$5,_xlpm._diffLen,LEN(_xlpm._comment)-LEN(SUBSTITUTE(_xlpm._comment,_xlpm._keyWord,"")),_xlpm._diffLen/LEN(_xlpm._keyWord))</f>
        <v>0</v>
      </c>
      <c r="Z99" s="99" t="b">
        <f ca="1">OR(IFERROR(_xlfn.XMATCH("*,"&amp;$A99&amp;",*",Assumptions!$AL:$AL,2)&gt;0,FALSE),IFERROR(_xlfn.XMATCH("*,"&amp;$A99&amp;",*",Countermeasures!$AO:$AO,2)&gt;0,FALSE))</f>
        <v>0</v>
      </c>
      <c r="AA99" s="99" t="str" cm="1">
        <f t="array" ref="AA99">CreateSearchString($I99)</f>
        <v/>
      </c>
      <c r="AB99" s="99" t="str">
        <f>IF($E99="","",IFERROR(VLOOKUP($E99,Definitions!$H:$J,COLUMNS(Definitions!$H:$J),FALSE),""))</f>
        <v/>
      </c>
      <c r="AC99" s="99" t="b" cm="1">
        <f t="array" ref="AC99">IF($A99="",FALSE,SimpleLookup($A99,Questions!$A:$D)="x")</f>
        <v>0</v>
      </c>
      <c r="AD99" s="99" t="str" cm="1">
        <f t="array" ref="AD99">IF(OR($A99="",NOT($AC99)),"",SimpleLookup($A99,Questions!$A:$E))</f>
        <v/>
      </c>
      <c r="AE99" s="99" t="str" cm="1">
        <f t="array" ref="AE99">IF(OR($A99="",NOT($AC99)),"",SimpleLookup($A99,Questions!$A:$F))</f>
        <v/>
      </c>
      <c r="AF99" s="99" t="str" cm="1">
        <f t="array" ref="AF99">_xlfn.LET(_xlpm._answer,$C99,_xlpm._infoTextFull,IF($AC99,CHAR(10)&amp;SimpleLookup($A99,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99" s="99" t="b" cm="1">
        <f t="array" ref="AG99">IF(OR($A99="",NOT($AC99)),FALSE,_xlfn.LET(_xlpm._secondAnswerRequiredOn,SimpleLookup($A99,Questions!$A:$I),_xlpm._firstAnwer,$C99,IFERROR(FIND(CHAR(10)&amp;_xlpm._firstAnwer&amp;":",CHAR(10)&amp;_xlpm._secondAnswerRequiredOn)&gt;0,FALSE)))</f>
        <v>0</v>
      </c>
      <c r="AH99" s="99" t="str" cm="1">
        <f t="array" ref="AH99">IF(OR($A99="",NOT($AC99)),"",_xlfn.LET(_xlpm._id,$A99,_xlpm._firstAnswer,$C99,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99" s="99" t="str" cm="1">
        <f t="array" ref="AI99">IF(OR($A99="",NOT($AC99)),"",_xlfn.LET(_xlpm._id,$A99,_xlpm._firstAnswer,$C99,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99" s="99" t="str" cm="1">
        <f t="array" ref="AJ99">IF($AG99,_xlfn.LET(_xlpm._answer,$E99,_xlpm._infoTextFull,IF($AC99,CHAR(10)&amp;SimpleLookup($A99,Questions!$A:$L)&amp;CHAR(10),""),_xlpm._startSelectedByAnswerOne,IF(_xlpm._infoTextFull="",0,FIND("___"&amp;$C99&amp;"___",_xlpm._infoTextFull)+LEN("___"&amp;$C99&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99" s="99" t="b" cm="1">
        <f t="array" ref="AK99">IF(OR($A99="",NOT($AC99)),FALSE,SimpleLookup($A99,Questions!$A:$Q))</f>
        <v>0</v>
      </c>
      <c r="AL99" s="99" t="str" cm="1">
        <f t="array" ca="1" aca="1" ref="AL99">IF(AND($A99=Questions!$A$41,IFERROR(SimpleLookup(Questions!$A$36,$A:$E)=Definitions!$O$5,FALSE),$C99=Definitions!$A$5),Questions!$A$36&amp;" "&amp;Questions!$B$36&amp;CHAR(10)&amp;CHAR(187)&amp;" "&amp;SimpleLookup(Questions!$A$36,$A:$C)&amp;CHAR(10)&amp;SimpleLookup(Questions!$A$36,$A:$D)&amp;CHAR(10)&amp;CHAR(187)&amp;" "&amp;Definitions!$O$5&amp;CHAR(10)&amp;CHAR(10)&amp;"is incosistent with"&amp;CHAR(10)&amp;CHAR(10)&amp;$A99&amp;" "&amp;SimpleLookup($A99,Questions!$A:$B)&amp;CHAR(10)&amp;CHAR(187)&amp;" "&amp;$C99,"")</f>
        <v/>
      </c>
      <c r="AM99" s="99" cm="1">
        <f t="array" ca="1" aca="1" ref="AM99">CreateID($AM$3,$AM:$AM,$AL99&lt;&gt;"")</f>
        <v>0</v>
      </c>
      <c r="AN99" s="99" t="str" cm="1">
        <f t="array" ca="1" aca="1" ref="AN99">IF(OR($C99="",OFFSET($C99,1,0)=""),"",IF(AND($A99=Questions!$A$59,OFFSET($A99,1,0)=Questions!$A$60,SimpleLookup(Questions!$A$49,$A:$C)=Definitions!$A$4),IF(MATCH($C99,Definitions!$AW:$AW,0)&gt;MATCH(OFFSET($C99,1,0),Definitions!AW:AW,0),$A99&amp;" "&amp;$K99&amp;": "&amp;$C99&amp;CHAR(10)&amp;"&lt;---&gt;"&amp;CHAR(10)&amp;OFFSET($A99,1,0)&amp;" "&amp;OFFSET($K99,1,0)&amp;": "&amp;OFFSET($C99,1,0),""),""))</f>
        <v/>
      </c>
      <c r="AO99" s="99" cm="1">
        <f t="array" ca="1" aca="1" ref="AO99">CreateID($AO$3,$AO:$AO,$AN99&lt;&gt;"")</f>
        <v>0</v>
      </c>
    </row>
    <row r="100" spans="9:41" ht="15">
      <c r="I100" s="99" t="str">
        <f t="shared" si="17"/>
        <v/>
      </c>
      <c r="J100" s="99" t="str">
        <f t="shared" si="18"/>
        <v/>
      </c>
      <c r="K100" s="99" t="e" cm="1">
        <f t="array" ca="1" aca="1" ref="K100">SimpleLookup($A100,Questions!$A:$B)</f>
        <v>#N/A</v>
      </c>
      <c r="L100" s="99" cm="1">
        <f t="array" ca="1" aca="1" ref="L100">CreateID($L$3,$L:$L,AND($A100&lt;&gt;"",$AC100))</f>
        <v>39</v>
      </c>
      <c r="M100" s="99" cm="1">
        <f t="array" ca="1" aca="1" ref="M100">CreateTaskID($M$3,$M:$M,Tasks!$B$17,$G100)</f>
        <v>0</v>
      </c>
      <c r="N100" s="99" t="str">
        <f t="shared" si="16"/>
        <v/>
      </c>
      <c r="O100" s="99" cm="1">
        <f t="array" ca="1" aca="1" ref="O100">CreateID($O$3,$O:$O,$N100&lt;&gt;"")</f>
        <v>0</v>
      </c>
      <c r="P100" s="99" t="str">
        <f t="shared" si="19"/>
        <v/>
      </c>
      <c r="Q100" s="99" cm="1">
        <f t="array" ca="1" aca="1" ref="Q100">CreateID($Q$3,$Q:$Q,$P100&lt;&gt;"")</f>
        <v>0</v>
      </c>
      <c r="R100" s="99" t="str">
        <f t="shared" si="20"/>
        <v/>
      </c>
      <c r="S100" s="99" cm="1">
        <f t="array" ca="1" aca="1" ref="S100">CreateID($S$3,$S:$S,$R100&lt;&gt;"")</f>
        <v>2</v>
      </c>
      <c r="T100" s="99" t="str">
        <f t="shared" si="21"/>
        <v/>
      </c>
      <c r="U100" s="99" cm="1">
        <f t="array" ca="1" aca="1" ref="U100">CreateID($U$3,$U:$U,$T100&lt;&gt;"")</f>
        <v>0</v>
      </c>
      <c r="V100" s="99" cm="1">
        <f t="array" ca="1" aca="1" ref="V100">CreateID($V$3,$V:$V,IFERROR(FIND(Definitions!$AR$4,$G100)&gt;0,FALSE))</f>
        <v>0</v>
      </c>
      <c r="W100" s="99">
        <f>_xlfn.LET(_xlpm._comment,$G100,_xlpm._keyWord,Definitions!$AR$4,_xlpm._diffLen,LEN(_xlpm._comment)-LEN(SUBSTITUTE(_xlpm._comment,_xlpm._keyWord,"")),_xlpm._diffLen/LEN(_xlpm._keyWord))</f>
        <v>0</v>
      </c>
      <c r="X100" s="99" cm="1">
        <f t="array" ca="1" aca="1" ref="X100">CreateID($X$3,$X:$X,IFERROR(FIND(Definitions!$AR$5,$G100)&gt;0,FALSE))</f>
        <v>0</v>
      </c>
      <c r="Y100" s="99">
        <f>_xlfn.LET(_xlpm._comment,$G100,_xlpm._keyWord,Definitions!$AR$5,_xlpm._diffLen,LEN(_xlpm._comment)-LEN(SUBSTITUTE(_xlpm._comment,_xlpm._keyWord,"")),_xlpm._diffLen/LEN(_xlpm._keyWord))</f>
        <v>0</v>
      </c>
      <c r="Z100" s="99" t="b">
        <f ca="1">OR(IFERROR(_xlfn.XMATCH("*,"&amp;$A100&amp;",*",Assumptions!$AL:$AL,2)&gt;0,FALSE),IFERROR(_xlfn.XMATCH("*,"&amp;$A100&amp;",*",Countermeasures!$AO:$AO,2)&gt;0,FALSE))</f>
        <v>0</v>
      </c>
      <c r="AA100" s="99" t="str" cm="1">
        <f t="array" ref="AA100">CreateSearchString($I100)</f>
        <v/>
      </c>
      <c r="AB100" s="99" t="str">
        <f>IF($E100="","",IFERROR(VLOOKUP($E100,Definitions!$H:$J,COLUMNS(Definitions!$H:$J),FALSE),""))</f>
        <v/>
      </c>
      <c r="AC100" s="99" t="b" cm="1">
        <f t="array" ref="AC100">IF($A100="",FALSE,SimpleLookup($A100,Questions!$A:$D)="x")</f>
        <v>0</v>
      </c>
      <c r="AD100" s="99" t="str" cm="1">
        <f t="array" ref="AD100">IF(OR($A100="",NOT($AC100)),"",SimpleLookup($A100,Questions!$A:$E))</f>
        <v/>
      </c>
      <c r="AE100" s="99" t="str" cm="1">
        <f t="array" ref="AE100">IF(OR($A100="",NOT($AC100)),"",SimpleLookup($A100,Questions!$A:$F))</f>
        <v/>
      </c>
      <c r="AF100" s="99" t="str" cm="1">
        <f t="array" ref="AF100">_xlfn.LET(_xlpm._answer,$C100,_xlpm._infoTextFull,IF($AC100,CHAR(10)&amp;SimpleLookup($A100,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00" s="99" t="b" cm="1">
        <f t="array" ref="AG100">IF(OR($A100="",NOT($AC100)),FALSE,_xlfn.LET(_xlpm._secondAnswerRequiredOn,SimpleLookup($A100,Questions!$A:$I),_xlpm._firstAnwer,$C100,IFERROR(FIND(CHAR(10)&amp;_xlpm._firstAnwer&amp;":",CHAR(10)&amp;_xlpm._secondAnswerRequiredOn)&gt;0,FALSE)))</f>
        <v>0</v>
      </c>
      <c r="AH100" s="99" t="str" cm="1">
        <f t="array" ref="AH100">IF(OR($A100="",NOT($AC100)),"",_xlfn.LET(_xlpm._id,$A100,_xlpm._firstAnswer,$C100,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00" s="99" t="str" cm="1">
        <f t="array" ref="AI100">IF(OR($A100="",NOT($AC100)),"",_xlfn.LET(_xlpm._id,$A100,_xlpm._firstAnswer,$C100,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00" s="99" t="str" cm="1">
        <f t="array" ref="AJ100">IF($AG100,_xlfn.LET(_xlpm._answer,$E100,_xlpm._infoTextFull,IF($AC100,CHAR(10)&amp;SimpleLookup($A100,Questions!$A:$L)&amp;CHAR(10),""),_xlpm._startSelectedByAnswerOne,IF(_xlpm._infoTextFull="",0,FIND("___"&amp;$C100&amp;"___",_xlpm._infoTextFull)+LEN("___"&amp;$C100&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00" s="99" t="b" cm="1">
        <f t="array" ref="AK100">IF(OR($A100="",NOT($AC100)),FALSE,SimpleLookup($A100,Questions!$A:$Q))</f>
        <v>0</v>
      </c>
      <c r="AL100" s="99" t="str" cm="1">
        <f t="array" ca="1" aca="1" ref="AL100">IF(AND($A100=Questions!$A$41,IFERROR(SimpleLookup(Questions!$A$36,$A:$E)=Definitions!$O$5,FALSE),$C100=Definitions!$A$5),Questions!$A$36&amp;" "&amp;Questions!$B$36&amp;CHAR(10)&amp;CHAR(187)&amp;" "&amp;SimpleLookup(Questions!$A$36,$A:$C)&amp;CHAR(10)&amp;SimpleLookup(Questions!$A$36,$A:$D)&amp;CHAR(10)&amp;CHAR(187)&amp;" "&amp;Definitions!$O$5&amp;CHAR(10)&amp;CHAR(10)&amp;"is incosistent with"&amp;CHAR(10)&amp;CHAR(10)&amp;$A100&amp;" "&amp;SimpleLookup($A100,Questions!$A:$B)&amp;CHAR(10)&amp;CHAR(187)&amp;" "&amp;$C100,"")</f>
        <v/>
      </c>
      <c r="AM100" s="99" cm="1">
        <f t="array" ca="1" aca="1" ref="AM100">CreateID($AM$3,$AM:$AM,$AL100&lt;&gt;"")</f>
        <v>0</v>
      </c>
      <c r="AN100" s="99" t="str" cm="1">
        <f t="array" ca="1" aca="1" ref="AN100">IF(OR($C100="",OFFSET($C100,1,0)=""),"",IF(AND($A100=Questions!$A$59,OFFSET($A100,1,0)=Questions!$A$60,SimpleLookup(Questions!$A$49,$A:$C)=Definitions!$A$4),IF(MATCH($C100,Definitions!$AW:$AW,0)&gt;MATCH(OFFSET($C100,1,0),Definitions!AW:AW,0),$A100&amp;" "&amp;$K100&amp;": "&amp;$C100&amp;CHAR(10)&amp;"&lt;---&gt;"&amp;CHAR(10)&amp;OFFSET($A100,1,0)&amp;" "&amp;OFFSET($K100,1,0)&amp;": "&amp;OFFSET($C100,1,0),""),""))</f>
        <v/>
      </c>
      <c r="AO100" s="99" cm="1">
        <f t="array" ca="1" aca="1" ref="AO100">CreateID($AO$3,$AO:$AO,$AN100&lt;&gt;"")</f>
        <v>0</v>
      </c>
    </row>
    <row r="101" spans="9:41" ht="15">
      <c r="I101" s="99" t="str">
        <f t="shared" si="17"/>
        <v/>
      </c>
      <c r="J101" s="99" t="str">
        <f t="shared" si="18"/>
        <v/>
      </c>
      <c r="K101" s="99" t="e" cm="1">
        <f t="array" ca="1" aca="1" ref="K101">SimpleLookup($A101,Questions!$A:$B)</f>
        <v>#N/A</v>
      </c>
      <c r="L101" s="99" cm="1">
        <f t="array" ca="1" aca="1" ref="L101">CreateID($L$3,$L:$L,AND($A101&lt;&gt;"",$AC101))</f>
        <v>39</v>
      </c>
      <c r="M101" s="99" cm="1">
        <f t="array" ca="1" aca="1" ref="M101">CreateTaskID($M$3,$M:$M,Tasks!$B$17,$G101)</f>
        <v>0</v>
      </c>
      <c r="N101" s="99" t="str">
        <f t="shared" si="16"/>
        <v/>
      </c>
      <c r="O101" s="99" cm="1">
        <f t="array" ca="1" aca="1" ref="O101">CreateID($O$3,$O:$O,$N101&lt;&gt;"")</f>
        <v>0</v>
      </c>
      <c r="P101" s="99" t="str">
        <f t="shared" si="19"/>
        <v/>
      </c>
      <c r="Q101" s="99" cm="1">
        <f t="array" ca="1" aca="1" ref="Q101">CreateID($Q$3,$Q:$Q,$P101&lt;&gt;"")</f>
        <v>0</v>
      </c>
      <c r="R101" s="99" t="str">
        <f t="shared" si="20"/>
        <v/>
      </c>
      <c r="S101" s="99" cm="1">
        <f t="array" ca="1" aca="1" ref="S101">CreateID($S$3,$S:$S,$R101&lt;&gt;"")</f>
        <v>2</v>
      </c>
      <c r="T101" s="99" t="str">
        <f t="shared" si="21"/>
        <v/>
      </c>
      <c r="U101" s="99" cm="1">
        <f t="array" ca="1" aca="1" ref="U101">CreateID($U$3,$U:$U,$T101&lt;&gt;"")</f>
        <v>0</v>
      </c>
      <c r="V101" s="99" cm="1">
        <f t="array" ca="1" aca="1" ref="V101">CreateID($V$3,$V:$V,IFERROR(FIND(Definitions!$AR$4,$G101)&gt;0,FALSE))</f>
        <v>0</v>
      </c>
      <c r="W101" s="99">
        <f>_xlfn.LET(_xlpm._comment,$G101,_xlpm._keyWord,Definitions!$AR$4,_xlpm._diffLen,LEN(_xlpm._comment)-LEN(SUBSTITUTE(_xlpm._comment,_xlpm._keyWord,"")),_xlpm._diffLen/LEN(_xlpm._keyWord))</f>
        <v>0</v>
      </c>
      <c r="X101" s="99" cm="1">
        <f t="array" ca="1" aca="1" ref="X101">CreateID($X$3,$X:$X,IFERROR(FIND(Definitions!$AR$5,$G101)&gt;0,FALSE))</f>
        <v>0</v>
      </c>
      <c r="Y101" s="99">
        <f>_xlfn.LET(_xlpm._comment,$G101,_xlpm._keyWord,Definitions!$AR$5,_xlpm._diffLen,LEN(_xlpm._comment)-LEN(SUBSTITUTE(_xlpm._comment,_xlpm._keyWord,"")),_xlpm._diffLen/LEN(_xlpm._keyWord))</f>
        <v>0</v>
      </c>
      <c r="Z101" s="99" t="b">
        <f ca="1">OR(IFERROR(_xlfn.XMATCH("*,"&amp;$A101&amp;",*",Assumptions!$AL:$AL,2)&gt;0,FALSE),IFERROR(_xlfn.XMATCH("*,"&amp;$A101&amp;",*",Countermeasures!$AO:$AO,2)&gt;0,FALSE))</f>
        <v>0</v>
      </c>
      <c r="AA101" s="99" t="str" cm="1">
        <f t="array" ref="AA101">CreateSearchString($I101)</f>
        <v/>
      </c>
      <c r="AB101" s="99" t="str">
        <f>IF($E101="","",IFERROR(VLOOKUP($E101,Definitions!$H:$J,COLUMNS(Definitions!$H:$J),FALSE),""))</f>
        <v/>
      </c>
      <c r="AC101" s="99" t="b" cm="1">
        <f t="array" ref="AC101">IF($A101="",FALSE,SimpleLookup($A101,Questions!$A:$D)="x")</f>
        <v>0</v>
      </c>
      <c r="AD101" s="99" t="str" cm="1">
        <f t="array" ref="AD101">IF(OR($A101="",NOT($AC101)),"",SimpleLookup($A101,Questions!$A:$E))</f>
        <v/>
      </c>
      <c r="AE101" s="99" t="str" cm="1">
        <f t="array" ref="AE101">IF(OR($A101="",NOT($AC101)),"",SimpleLookup($A101,Questions!$A:$F))</f>
        <v/>
      </c>
      <c r="AF101" s="99" t="str" cm="1">
        <f t="array" ref="AF101">_xlfn.LET(_xlpm._answer,$C101,_xlpm._infoTextFull,IF($AC101,CHAR(10)&amp;SimpleLookup($A101,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01" s="99" t="b" cm="1">
        <f t="array" ref="AG101">IF(OR($A101="",NOT($AC101)),FALSE,_xlfn.LET(_xlpm._secondAnswerRequiredOn,SimpleLookup($A101,Questions!$A:$I),_xlpm._firstAnwer,$C101,IFERROR(FIND(CHAR(10)&amp;_xlpm._firstAnwer&amp;":",CHAR(10)&amp;_xlpm._secondAnswerRequiredOn)&gt;0,FALSE)))</f>
        <v>0</v>
      </c>
      <c r="AH101" s="99" t="str" cm="1">
        <f t="array" ref="AH101">IF(OR($A101="",NOT($AC101)),"",_xlfn.LET(_xlpm._id,$A101,_xlpm._firstAnswer,$C101,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01" s="99" t="str" cm="1">
        <f t="array" ref="AI101">IF(OR($A101="",NOT($AC101)),"",_xlfn.LET(_xlpm._id,$A101,_xlpm._firstAnswer,$C101,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01" s="99" t="str" cm="1">
        <f t="array" ref="AJ101">IF($AG101,_xlfn.LET(_xlpm._answer,$E101,_xlpm._infoTextFull,IF($AC101,CHAR(10)&amp;SimpleLookup($A101,Questions!$A:$L)&amp;CHAR(10),""),_xlpm._startSelectedByAnswerOne,IF(_xlpm._infoTextFull="",0,FIND("___"&amp;$C101&amp;"___",_xlpm._infoTextFull)+LEN("___"&amp;$C101&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01" s="99" t="b" cm="1">
        <f t="array" ref="AK101">IF(OR($A101="",NOT($AC101)),FALSE,SimpleLookup($A101,Questions!$A:$Q))</f>
        <v>0</v>
      </c>
      <c r="AL101" s="99" t="str" cm="1">
        <f t="array" ca="1" aca="1" ref="AL101">IF(AND($A101=Questions!$A$41,IFERROR(SimpleLookup(Questions!$A$36,$A:$E)=Definitions!$O$5,FALSE),$C101=Definitions!$A$5),Questions!$A$36&amp;" "&amp;Questions!$B$36&amp;CHAR(10)&amp;CHAR(187)&amp;" "&amp;SimpleLookup(Questions!$A$36,$A:$C)&amp;CHAR(10)&amp;SimpleLookup(Questions!$A$36,$A:$D)&amp;CHAR(10)&amp;CHAR(187)&amp;" "&amp;Definitions!$O$5&amp;CHAR(10)&amp;CHAR(10)&amp;"is incosistent with"&amp;CHAR(10)&amp;CHAR(10)&amp;$A101&amp;" "&amp;SimpleLookup($A101,Questions!$A:$B)&amp;CHAR(10)&amp;CHAR(187)&amp;" "&amp;$C101,"")</f>
        <v/>
      </c>
      <c r="AM101" s="99" cm="1">
        <f t="array" ca="1" aca="1" ref="AM101">CreateID($AM$3,$AM:$AM,$AL101&lt;&gt;"")</f>
        <v>0</v>
      </c>
      <c r="AN101" s="99" t="str" cm="1">
        <f t="array" ca="1" aca="1" ref="AN101">IF(OR($C101="",OFFSET($C101,1,0)=""),"",IF(AND($A101=Questions!$A$59,OFFSET($A101,1,0)=Questions!$A$60,SimpleLookup(Questions!$A$49,$A:$C)=Definitions!$A$4),IF(MATCH($C101,Definitions!$AW:$AW,0)&gt;MATCH(OFFSET($C101,1,0),Definitions!AW:AW,0),$A101&amp;" "&amp;$K101&amp;": "&amp;$C101&amp;CHAR(10)&amp;"&lt;---&gt;"&amp;CHAR(10)&amp;OFFSET($A101,1,0)&amp;" "&amp;OFFSET($K101,1,0)&amp;": "&amp;OFFSET($C101,1,0),""),""))</f>
        <v/>
      </c>
      <c r="AO101" s="99" cm="1">
        <f t="array" ca="1" aca="1" ref="AO101">CreateID($AO$3,$AO:$AO,$AN101&lt;&gt;"")</f>
        <v>0</v>
      </c>
    </row>
    <row r="102" spans="9:41" ht="15">
      <c r="I102" s="99" t="str">
        <f t="shared" si="17"/>
        <v/>
      </c>
      <c r="J102" s="99" t="str">
        <f t="shared" si="18"/>
        <v/>
      </c>
      <c r="K102" s="99" t="e" cm="1">
        <f t="array" ca="1" aca="1" ref="K102">SimpleLookup($A102,Questions!$A:$B)</f>
        <v>#N/A</v>
      </c>
      <c r="L102" s="99" cm="1">
        <f t="array" ca="1" aca="1" ref="L102">CreateID($L$3,$L:$L,AND($A102&lt;&gt;"",$AC102))</f>
        <v>39</v>
      </c>
      <c r="M102" s="99" cm="1">
        <f t="array" ca="1" aca="1" ref="M102">CreateTaskID($M$3,$M:$M,Tasks!$B$17,$G102)</f>
        <v>0</v>
      </c>
      <c r="N102" s="99" t="str">
        <f t="shared" si="16"/>
        <v/>
      </c>
      <c r="O102" s="99" cm="1">
        <f t="array" ca="1" aca="1" ref="O102">CreateID($O$3,$O:$O,$N102&lt;&gt;"")</f>
        <v>0</v>
      </c>
      <c r="P102" s="99" t="str">
        <f t="shared" si="19"/>
        <v/>
      </c>
      <c r="Q102" s="99" cm="1">
        <f t="array" ca="1" aca="1" ref="Q102">CreateID($Q$3,$Q:$Q,$P102&lt;&gt;"")</f>
        <v>0</v>
      </c>
      <c r="R102" s="99" t="str">
        <f t="shared" si="20"/>
        <v/>
      </c>
      <c r="S102" s="99" cm="1">
        <f t="array" ca="1" aca="1" ref="S102">CreateID($S$3,$S:$S,$R102&lt;&gt;"")</f>
        <v>2</v>
      </c>
      <c r="T102" s="99" t="str">
        <f t="shared" si="21"/>
        <v/>
      </c>
      <c r="U102" s="99" cm="1">
        <f t="array" ca="1" aca="1" ref="U102">CreateID($U$3,$U:$U,$T102&lt;&gt;"")</f>
        <v>0</v>
      </c>
      <c r="V102" s="99" cm="1">
        <f t="array" ca="1" aca="1" ref="V102">CreateID($V$3,$V:$V,IFERROR(FIND(Definitions!$AR$4,$G102)&gt;0,FALSE))</f>
        <v>0</v>
      </c>
      <c r="W102" s="99">
        <f>_xlfn.LET(_xlpm._comment,$G102,_xlpm._keyWord,Definitions!$AR$4,_xlpm._diffLen,LEN(_xlpm._comment)-LEN(SUBSTITUTE(_xlpm._comment,_xlpm._keyWord,"")),_xlpm._diffLen/LEN(_xlpm._keyWord))</f>
        <v>0</v>
      </c>
      <c r="X102" s="99" cm="1">
        <f t="array" ca="1" aca="1" ref="X102">CreateID($X$3,$X:$X,IFERROR(FIND(Definitions!$AR$5,$G102)&gt;0,FALSE))</f>
        <v>0</v>
      </c>
      <c r="Y102" s="99">
        <f>_xlfn.LET(_xlpm._comment,$G102,_xlpm._keyWord,Definitions!$AR$5,_xlpm._diffLen,LEN(_xlpm._comment)-LEN(SUBSTITUTE(_xlpm._comment,_xlpm._keyWord,"")),_xlpm._diffLen/LEN(_xlpm._keyWord))</f>
        <v>0</v>
      </c>
      <c r="Z102" s="99" t="b">
        <f ca="1">OR(IFERROR(_xlfn.XMATCH("*,"&amp;$A102&amp;",*",Assumptions!$AL:$AL,2)&gt;0,FALSE),IFERROR(_xlfn.XMATCH("*,"&amp;$A102&amp;",*",Countermeasures!$AO:$AO,2)&gt;0,FALSE))</f>
        <v>0</v>
      </c>
      <c r="AA102" s="99" t="str" cm="1">
        <f t="array" ref="AA102">CreateSearchString($I102)</f>
        <v/>
      </c>
      <c r="AB102" s="99" t="str">
        <f>IF($E102="","",IFERROR(VLOOKUP($E102,Definitions!$H:$J,COLUMNS(Definitions!$H:$J),FALSE),""))</f>
        <v/>
      </c>
      <c r="AC102" s="99" t="b" cm="1">
        <f t="array" ref="AC102">IF($A102="",FALSE,SimpleLookup($A102,Questions!$A:$D)="x")</f>
        <v>0</v>
      </c>
      <c r="AD102" s="99" t="str" cm="1">
        <f t="array" ref="AD102">IF(OR($A102="",NOT($AC102)),"",SimpleLookup($A102,Questions!$A:$E))</f>
        <v/>
      </c>
      <c r="AE102" s="99" t="str" cm="1">
        <f t="array" ref="AE102">IF(OR($A102="",NOT($AC102)),"",SimpleLookup($A102,Questions!$A:$F))</f>
        <v/>
      </c>
      <c r="AF102" s="99" t="str" cm="1">
        <f t="array" ref="AF102">_xlfn.LET(_xlpm._answer,$C102,_xlpm._infoTextFull,IF($AC102,CHAR(10)&amp;SimpleLookup($A102,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02" s="99" t="b" cm="1">
        <f t="array" ref="AG102">IF(OR($A102="",NOT($AC102)),FALSE,_xlfn.LET(_xlpm._secondAnswerRequiredOn,SimpleLookup($A102,Questions!$A:$I),_xlpm._firstAnwer,$C102,IFERROR(FIND(CHAR(10)&amp;_xlpm._firstAnwer&amp;":",CHAR(10)&amp;_xlpm._secondAnswerRequiredOn)&gt;0,FALSE)))</f>
        <v>0</v>
      </c>
      <c r="AH102" s="99" t="str" cm="1">
        <f t="array" ref="AH102">IF(OR($A102="",NOT($AC102)),"",_xlfn.LET(_xlpm._id,$A102,_xlpm._firstAnswer,$C102,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02" s="99" t="str" cm="1">
        <f t="array" ref="AI102">IF(OR($A102="",NOT($AC102)),"",_xlfn.LET(_xlpm._id,$A102,_xlpm._firstAnswer,$C102,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02" s="99" t="str" cm="1">
        <f t="array" ref="AJ102">IF($AG102,_xlfn.LET(_xlpm._answer,$E102,_xlpm._infoTextFull,IF($AC102,CHAR(10)&amp;SimpleLookup($A102,Questions!$A:$L)&amp;CHAR(10),""),_xlpm._startSelectedByAnswerOne,IF(_xlpm._infoTextFull="",0,FIND("___"&amp;$C102&amp;"___",_xlpm._infoTextFull)+LEN("___"&amp;$C102&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02" s="99" t="b" cm="1">
        <f t="array" ref="AK102">IF(OR($A102="",NOT($AC102)),FALSE,SimpleLookup($A102,Questions!$A:$Q))</f>
        <v>0</v>
      </c>
      <c r="AL102" s="99" t="str" cm="1">
        <f t="array" ca="1" aca="1" ref="AL102">IF(AND($A102=Questions!$A$41,IFERROR(SimpleLookup(Questions!$A$36,$A:$E)=Definitions!$O$5,FALSE),$C102=Definitions!$A$5),Questions!$A$36&amp;" "&amp;Questions!$B$36&amp;CHAR(10)&amp;CHAR(187)&amp;" "&amp;SimpleLookup(Questions!$A$36,$A:$C)&amp;CHAR(10)&amp;SimpleLookup(Questions!$A$36,$A:$D)&amp;CHAR(10)&amp;CHAR(187)&amp;" "&amp;Definitions!$O$5&amp;CHAR(10)&amp;CHAR(10)&amp;"is incosistent with"&amp;CHAR(10)&amp;CHAR(10)&amp;$A102&amp;" "&amp;SimpleLookup($A102,Questions!$A:$B)&amp;CHAR(10)&amp;CHAR(187)&amp;" "&amp;$C102,"")</f>
        <v/>
      </c>
      <c r="AM102" s="99" cm="1">
        <f t="array" ca="1" aca="1" ref="AM102">CreateID($AM$3,$AM:$AM,$AL102&lt;&gt;"")</f>
        <v>0</v>
      </c>
      <c r="AN102" s="99" t="str" cm="1">
        <f t="array" ca="1" aca="1" ref="AN102">IF(OR($C102="",OFFSET($C102,1,0)=""),"",IF(AND($A102=Questions!$A$59,OFFSET($A102,1,0)=Questions!$A$60,SimpleLookup(Questions!$A$49,$A:$C)=Definitions!$A$4),IF(MATCH($C102,Definitions!$AW:$AW,0)&gt;MATCH(OFFSET($C102,1,0),Definitions!AW:AW,0),$A102&amp;" "&amp;$K102&amp;": "&amp;$C102&amp;CHAR(10)&amp;"&lt;---&gt;"&amp;CHAR(10)&amp;OFFSET($A102,1,0)&amp;" "&amp;OFFSET($K102,1,0)&amp;": "&amp;OFFSET($C102,1,0),""),""))</f>
        <v/>
      </c>
      <c r="AO102" s="99" cm="1">
        <f t="array" ca="1" aca="1" ref="AO102">CreateID($AO$3,$AO:$AO,$AN102&lt;&gt;"")</f>
        <v>0</v>
      </c>
    </row>
    <row r="103" spans="9:41" ht="15">
      <c r="I103" s="99" t="str">
        <f t="shared" si="17"/>
        <v/>
      </c>
      <c r="J103" s="99" t="str">
        <f t="shared" si="18"/>
        <v/>
      </c>
      <c r="K103" s="99" t="e" cm="1">
        <f t="array" ca="1" aca="1" ref="K103">SimpleLookup($A103,Questions!$A:$B)</f>
        <v>#N/A</v>
      </c>
      <c r="L103" s="99" cm="1">
        <f t="array" ca="1" aca="1" ref="L103">CreateID($L$3,$L:$L,AND($A103&lt;&gt;"",$AC103))</f>
        <v>39</v>
      </c>
      <c r="M103" s="99" cm="1">
        <f t="array" ca="1" aca="1" ref="M103">CreateTaskID($M$3,$M:$M,Tasks!$B$17,$G103)</f>
        <v>0</v>
      </c>
      <c r="N103" s="99" t="str">
        <f t="shared" si="16"/>
        <v/>
      </c>
      <c r="O103" s="99" cm="1">
        <f t="array" ca="1" aca="1" ref="O103">CreateID($O$3,$O:$O,$N103&lt;&gt;"")</f>
        <v>0</v>
      </c>
      <c r="P103" s="99" t="str">
        <f t="shared" si="19"/>
        <v/>
      </c>
      <c r="Q103" s="99" cm="1">
        <f t="array" ca="1" aca="1" ref="Q103">CreateID($Q$3,$Q:$Q,$P103&lt;&gt;"")</f>
        <v>0</v>
      </c>
      <c r="R103" s="99" t="str">
        <f t="shared" si="20"/>
        <v/>
      </c>
      <c r="S103" s="99" cm="1">
        <f t="array" ca="1" aca="1" ref="S103">CreateID($S$3,$S:$S,$R103&lt;&gt;"")</f>
        <v>2</v>
      </c>
      <c r="T103" s="99" t="str">
        <f t="shared" si="21"/>
        <v/>
      </c>
      <c r="U103" s="99" cm="1">
        <f t="array" ca="1" aca="1" ref="U103">CreateID($U$3,$U:$U,$T103&lt;&gt;"")</f>
        <v>0</v>
      </c>
      <c r="V103" s="99" cm="1">
        <f t="array" ca="1" aca="1" ref="V103">CreateID($V$3,$V:$V,IFERROR(FIND(Definitions!$AR$4,$G103)&gt;0,FALSE))</f>
        <v>0</v>
      </c>
      <c r="W103" s="99">
        <f>_xlfn.LET(_xlpm._comment,$G103,_xlpm._keyWord,Definitions!$AR$4,_xlpm._diffLen,LEN(_xlpm._comment)-LEN(SUBSTITUTE(_xlpm._comment,_xlpm._keyWord,"")),_xlpm._diffLen/LEN(_xlpm._keyWord))</f>
        <v>0</v>
      </c>
      <c r="X103" s="99" cm="1">
        <f t="array" ca="1" aca="1" ref="X103">CreateID($X$3,$X:$X,IFERROR(FIND(Definitions!$AR$5,$G103)&gt;0,FALSE))</f>
        <v>0</v>
      </c>
      <c r="Y103" s="99">
        <f>_xlfn.LET(_xlpm._comment,$G103,_xlpm._keyWord,Definitions!$AR$5,_xlpm._diffLen,LEN(_xlpm._comment)-LEN(SUBSTITUTE(_xlpm._comment,_xlpm._keyWord,"")),_xlpm._diffLen/LEN(_xlpm._keyWord))</f>
        <v>0</v>
      </c>
      <c r="Z103" s="99" t="b">
        <f ca="1">OR(IFERROR(_xlfn.XMATCH("*,"&amp;$A103&amp;",*",Assumptions!$AL:$AL,2)&gt;0,FALSE),IFERROR(_xlfn.XMATCH("*,"&amp;$A103&amp;",*",Countermeasures!$AO:$AO,2)&gt;0,FALSE))</f>
        <v>0</v>
      </c>
      <c r="AA103" s="99" t="str" cm="1">
        <f t="array" ref="AA103">CreateSearchString($I103)</f>
        <v/>
      </c>
      <c r="AB103" s="99" t="str">
        <f>IF($E103="","",IFERROR(VLOOKUP($E103,Definitions!$H:$J,COLUMNS(Definitions!$H:$J),FALSE),""))</f>
        <v/>
      </c>
      <c r="AC103" s="99" t="b" cm="1">
        <f t="array" ref="AC103">IF($A103="",FALSE,SimpleLookup($A103,Questions!$A:$D)="x")</f>
        <v>0</v>
      </c>
      <c r="AD103" s="99" t="str" cm="1">
        <f t="array" ref="AD103">IF(OR($A103="",NOT($AC103)),"",SimpleLookup($A103,Questions!$A:$E))</f>
        <v/>
      </c>
      <c r="AE103" s="99" t="str" cm="1">
        <f t="array" ref="AE103">IF(OR($A103="",NOT($AC103)),"",SimpleLookup($A103,Questions!$A:$F))</f>
        <v/>
      </c>
      <c r="AF103" s="99" t="str" cm="1">
        <f t="array" ref="AF103">_xlfn.LET(_xlpm._answer,$C103,_xlpm._infoTextFull,IF($AC103,CHAR(10)&amp;SimpleLookup($A103,Questions!$A:$H)&amp;CHAR(10),""),IF(_xlpm._answer="","",_xlfn.LET(_xlpm._start,FIND(CHAR(10)&amp;_xlpm._answer&amp;":",_xlpm._infoTextFull)+LEN(CHAR(10)&amp;_xlpm._answer&amp;":"),_xlpm._end,FIND(CHAR(10),_xlpm._infoTextFull,_xlpm._start)-_xlpm._start,_xlpm._textForAnswer,MID(_xlpm._infoTextFull,_xlpm._start,_xlpm._end),IFERROR(TRIM(_xlpm._textForAnswer),"Error: No information text for answer "&amp;_xlpm._answer&amp;" defined."))))</f>
        <v/>
      </c>
      <c r="AG103" s="99" t="b" cm="1">
        <f t="array" ref="AG103">IF(OR($A103="",NOT($AC103)),FALSE,_xlfn.LET(_xlpm._secondAnswerRequiredOn,SimpleLookup($A103,Questions!$A:$I),_xlpm._firstAnwer,$C103,IFERROR(FIND(CHAR(10)&amp;_xlpm._firstAnwer&amp;":",CHAR(10)&amp;_xlpm._secondAnswerRequiredOn)&gt;0,FALSE)))</f>
        <v>0</v>
      </c>
      <c r="AH103" s="99" t="str" cm="1">
        <f t="array" ref="AH103">IF(OR($A103="",NOT($AC103)),"",_xlfn.LET(_xlpm._id,$A103,_xlpm._firstAnswer,$C103,_xlpm._optionsHeaders,SimpleLookup(_xlpm._id,Questions!$A:$I)&amp;CHAR(10),_xlpm._startPos,IFERROR(FIND(_xlpm._firstAnswer&amp;":",_xlpm._optionsHeaders),0),_xlpm._endPos,IF(_xlpm._startPos=0,0,FIND(CHAR(10),_xlpm._optionsHeaders,_xlpm._startPos)),_xlpm._optionSelected,IF(_xlpm._startPos=0,"",MID(_xlpm._optionsHeaders,_xlpm._startPos,_xlpm._endPos-_xlpm._startPos)),TRIM(SUBSTITUTE(_xlpm._optionSelected,_xlpm._firstAnswer&amp;":",""))))</f>
        <v/>
      </c>
      <c r="AI103" s="99" t="str" cm="1">
        <f t="array" ref="AI103">IF(OR($A103="",NOT($AC103)),"",_xlfn.LET(_xlpm._id,$A103,_xlpm._firstAnswer,$C103,_xlpm._optionsHeaders,SimpleLookup(_xlpm._id,Questions!$A:$J)&amp;CHAR(10),_xlpm._startPos,IFERROR(FIND(_xlpm._firstAnswer&amp;":",_xlpm._optionsHeaders),0),_xlpm._endPos,IF(_xlpm._startPos=0,0,FIND(CHAR(10),_xlpm._optionsHeaders,_xlpm._startPos)),_xlpm._optionSelected,IF(_xlpm._startPos=0,"",MID(_xlpm._optionsHeaders,_xlpm._startPos,_xlpm._endPos-_xlpm._startPos)),IF(_xlpm._optionSelected="","",VALUE(TRIM(SUBSTITUTE(_xlpm._optionSelected,_xlpm._firstAnswer&amp;":",""))))))</f>
        <v/>
      </c>
      <c r="AJ103" s="99" t="str" cm="1">
        <f t="array" ref="AJ103">IF($AG103,_xlfn.LET(_xlpm._answer,$E103,_xlpm._infoTextFull,IF($AC103,CHAR(10)&amp;SimpleLookup($A103,Questions!$A:$L)&amp;CHAR(10),""),_xlpm._startSelectedByAnswerOne,IF(_xlpm._infoTextFull="",0,FIND("___"&amp;$C103&amp;"___",_xlpm._infoTextFull)+LEN("___"&amp;$C103&amp;"___")),_xlpm._endSelectedByAnswerOne,IF(_xlpm._infoTextFull="",0,FIND("___",_xlpm._infoTextFull&amp;"___",_xlpm._startSelectedByAnswerOne)),_xlpm._infoTextMatchingFirstAnswer,IF(_xlpm._infoTextFull="","",MID(_xlpm._infoTextFull,_xlpm._startSelectedByAnswerOne,_xlpm._endSelectedByAnswerOne-_xlpm._startSelectedByAnswerOne)),_xlpm._inforTextWithoutStar,SUBSTITUTE(_xlpm._infoTextMatchingFirstAnswer,"*",""),_xlpm._start,FIND(CHAR(10)&amp;_xlpm._answer&amp;":",_xlpm._inforTextWithoutStar)+LEN(CHAR(10)&amp;_xlpm._answer&amp;":"),_xlpm._end,FIND(CHAR(10),_xlpm._inforTextWithoutStar,_xlpm._start)-_xlpm._start,_xlpm._textForAnswer,MID(_xlpm._inforTextWithoutStar,_xlpm._start,_xlpm._end),IF(AND(_xlpm._answer="",NOT(IFERROR(FIND("*",_xlpm._infoTextMatchingFirstAnswer)&gt;0,FALSE))),"",IFERROR(TRIM(_xlpm._textForAnswer),"Error: No information text for answer "&amp;_xlpm._answer&amp;" defined."))),"")</f>
        <v/>
      </c>
      <c r="AK103" s="99" t="b" cm="1">
        <f t="array" ref="AK103">IF(OR($A103="",NOT($AC103)),FALSE,SimpleLookup($A103,Questions!$A:$Q))</f>
        <v>0</v>
      </c>
      <c r="AL103" s="99" t="str" cm="1">
        <f t="array" ca="1" aca="1" ref="AL103">IF(AND($A103=Questions!$A$41,IFERROR(SimpleLookup(Questions!$A$36,$A:$E)=Definitions!$O$5,FALSE),$C103=Definitions!$A$5),Questions!$A$36&amp;" "&amp;Questions!$B$36&amp;CHAR(10)&amp;CHAR(187)&amp;" "&amp;SimpleLookup(Questions!$A$36,$A:$C)&amp;CHAR(10)&amp;SimpleLookup(Questions!$A$36,$A:$D)&amp;CHAR(10)&amp;CHAR(187)&amp;" "&amp;Definitions!$O$5&amp;CHAR(10)&amp;CHAR(10)&amp;"is incosistent with"&amp;CHAR(10)&amp;CHAR(10)&amp;$A103&amp;" "&amp;SimpleLookup($A103,Questions!$A:$B)&amp;CHAR(10)&amp;CHAR(187)&amp;" "&amp;$C103,"")</f>
        <v/>
      </c>
      <c r="AM103" s="99" cm="1">
        <f t="array" ca="1" aca="1" ref="AM103">CreateID($AM$3,$AM:$AM,$AL103&lt;&gt;"")</f>
        <v>0</v>
      </c>
      <c r="AN103" s="99" t="str" cm="1">
        <f t="array" ca="1" aca="1" ref="AN103">IF(OR($C103="",OFFSET($C103,1,0)=""),"",IF(AND($A103=Questions!$A$59,OFFSET($A103,1,0)=Questions!$A$60,SimpleLookup(Questions!$A$49,$A:$C)=Definitions!$A$4),IF(MATCH($C103,Definitions!$AW:$AW,0)&gt;MATCH(OFFSET($C103,1,0),Definitions!AW:AW,0),$A103&amp;" "&amp;$K103&amp;": "&amp;$C103&amp;CHAR(10)&amp;"&lt;---&gt;"&amp;CHAR(10)&amp;OFFSET($A103,1,0)&amp;" "&amp;OFFSET($K103,1,0)&amp;": "&amp;OFFSET($C103,1,0),""),""))</f>
        <v/>
      </c>
      <c r="AO103" s="99" cm="1">
        <f t="array" ca="1" aca="1" ref="AO103">CreateID($AO$3,$AO:$AO,$AN103&lt;&gt;"")</f>
        <v>0</v>
      </c>
    </row>
  </sheetData>
  <sheetProtection password="EF93" sheet="1" objects="1" scenarios="1"/>
  <conditionalFormatting sqref="A1 B1:G1048576">
    <cfRule type="expression" priority="355" dxfId="682">
      <formula>AND(ROW($B1)&gt;ROW($B$2),$B1&lt;&gt;"",MOD(ROW($B1),2)=1)</formula>
    </cfRule>
  </conditionalFormatting>
  <conditionalFormatting sqref="A1:A1048576 B1:G1">
    <cfRule type="expression" priority="357" dxfId="684">
      <formula>$AC1</formula>
    </cfRule>
  </conditionalFormatting>
  <conditionalFormatting sqref="A1 B1:G1048576">
    <cfRule type="expression" priority="354" dxfId="54">
      <formula>AND($B1&lt;&gt;"",LEFT($B1,1)&lt;&gt;" ")</formula>
    </cfRule>
    <cfRule type="expression" priority="356" dxfId="53">
      <formula>$AK1</formula>
    </cfRule>
  </conditionalFormatting>
  <conditionalFormatting sqref="C1:C1048576">
    <cfRule type="expression" priority="360" dxfId="74">
      <formula>AND($A1&lt;&gt;"",$C1="",NOT($AK1),$AC1)</formula>
    </cfRule>
  </conditionalFormatting>
  <conditionalFormatting sqref="E1:E1048576">
    <cfRule type="expression" priority="358" dxfId="74">
      <formula>AND($D1&lt;&gt;"",$E1="")</formula>
    </cfRule>
    <cfRule type="expression" priority="359" dxfId="74">
      <formula>AND($AG1&lt;&gt;"",$AG1=FALSE,$E1&lt;&gt;"")</formula>
    </cfRule>
  </conditionalFormatting>
  <conditionalFormatting sqref="G1:G1048576">
    <cfRule type="expression" priority="353" dxfId="74">
      <formula>AND($F1&lt;&gt;"",$G1="")</formula>
    </cfRule>
  </conditionalFormatting>
  <conditionalFormatting sqref="E1:E1048576">
    <cfRule type="expression" priority="361" dxfId="686">
      <formula>$AB1=Definitions!$Q$5</formula>
    </cfRule>
    <cfRule type="expression" priority="362" dxfId="687">
      <formula>$AB1=Definitions!$Q$6</formula>
    </cfRule>
    <cfRule type="expression" priority="363" dxfId="688">
      <formula>$AB1=Definitions!$Q$7</formula>
    </cfRule>
    <cfRule type="expression" priority="364" dxfId="689">
      <formula>$AB1=Definitions!$Q$8</formula>
    </cfRule>
  </conditionalFormatting>
  <conditionalFormatting sqref="G1:G1048576">
    <cfRule type="expression" priority="9" dxfId="685">
      <formula>IFERROR(FIND(Tasks!$B$17,G1)&gt;0,FALSE)</formula>
    </cfRule>
    <cfRule type="expression" priority="365" dxfId="43">
      <formula>AND(Definitions!$AU$4=Definitions!$A$4,$Z1=TRUE,$A1&lt;&gt;"")</formula>
    </cfRule>
  </conditionalFormatting>
  <dataValidations count="2">
    <dataValidation type="list" allowBlank="1" showInputMessage="1" showErrorMessage="1" sqref="C6:C7 C9 C11:C12 C15 C17 C19:C20 C23 C25:C27 C29 C31:C32 C35:C36 C38:C41 C43:C51 C53:C60">
      <formula1>OFFSET(INDIRECT($AD6),0,0,$AE6,1)</formula1>
    </dataValidation>
    <dataValidation type="list" allowBlank="1" showInputMessage="1" showErrorMessage="1" sqref="E6:E7 E9 E11:E12 E15 E17 E19:E20 E23 E25:E27 E29 E31:E32 E35:E36 E38:E41 E43:E51 E53:E60">
      <formula1>IF($D6="","",OFFSET(INDIRECT($AH6),0,0,$AI6,1))</formula1>
    </dataValidation>
  </dataValidations>
  <pageMargins left="0.7" right="0.7" top="0.75" bottom="0.75" header="0.3" footer="0.3"/>
  <pageSetup orientation="portrait" paperSize="9" r:id="rId2"/>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C5A6EF-D578-4924-93EF-5F1BC0353EB7}">
  <sheetPr>
    <tabColor theme="3"/>
  </sheetPr>
  <dimension ref="A1:H20"/>
  <sheetViews>
    <sheetView windowProtection="1" workbookViewId="0" topLeftCell="A1">
      <selection pane="topLeft" activeCell="A3" sqref="A3"/>
    </sheetView>
  </sheetViews>
  <sheetFormatPr defaultColWidth="9.14428571428571" defaultRowHeight="15"/>
  <cols>
    <col min="1" max="1" width="9.14285714285714" style="4"/>
    <col min="2" max="2" width="60.7142857142857" style="4" customWidth="1"/>
    <col min="3" max="3" width="15.7142857142857" style="4" bestFit="1" customWidth="1"/>
    <col min="4" max="4" width="60.7142857142857" style="4" customWidth="1"/>
    <col min="5" max="5" width="60.7142857142857" style="4" hidden="1" customWidth="1"/>
    <col min="6" max="6" width="12.4285714285714" style="2" hidden="1" customWidth="1"/>
    <col min="7" max="8" width="9.14285714285714" style="2" hidden="1" customWidth="1"/>
    <col min="9" max="16384" width="9.14285714285714" style="2"/>
  </cols>
  <sheetData>
    <row r="1" spans="1:5" s="115" customFormat="1" ht="15">
      <c r="A1" s="114"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$11,A$2,README!$E:$E,README!$I$36,README!$B$36)</f>
        <v>◈</v>
      </c>
      <c r="B1" s="114"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$11,B$2,README!$E:$E,README!$I$36,README!$B$36)</f>
        <v>◈</v>
      </c>
      <c r="C1" s="114"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$11,C$2,README!$E:$E,README!$I$36,README!$B$36)</f>
        <v>◈</v>
      </c>
      <c r="D1" s="114"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$11,D$2,README!$E:$E,README!$I$36,README!$B$36)</f>
        <v>◈</v>
      </c>
      <c r="E1" s="114"/>
    </row>
    <row r="2" spans="1:8" ht="15">
      <c r="A2" s="16" t="s">
        <v>53</v>
      </c>
      <c r="B2" s="16" t="s">
        <v>52</v>
      </c>
      <c r="C2" s="16" t="s">
        <v>187</v>
      </c>
      <c r="D2" s="16" t="s">
        <v>441</v>
      </c>
      <c r="E2" s="13" t="s">
        <v>3</v>
      </c>
      <c r="F2" s="10" t="s">
        <v>54</v>
      </c>
      <c r="G2" s="10" t="s">
        <v>104</v>
      </c>
      <c r="H2" s="10" t="s">
        <v>230</v>
      </c>
    </row>
    <row r="3" spans="1:8" ht="135">
      <c r="A3" s="16" t="str" cm="1">
        <f t="array" ca="1" aca="1" ref="A3">IF($G3="","",INDEX('Damage Scenarios'!A:A,$G3))</f>
        <v>DS3</v>
      </c>
      <c r="B3" s="16" t="str" cm="1">
        <f t="array" ca="1" aca="1" ref="B3">IF($G3="","",INDEX('Damage Scenarios'!J:J,$G3))</f>
        <v>Disclosure of acontis techonlogies GmbH IP (moderately innovative)</v>
      </c>
      <c r="C3" s="16" t="str" cm="1">
        <f t="array" ca="1" aca="1" ref="C3">IF($G3="","",INDEX('Damage Scenarios'!M:M,$G3))</f>
        <v>Medium</v>
      </c>
      <c r="D3" s="16" t="str" cm="1">
        <f t="array" ca="1" aca="1" ref="D3">IF($G3="","",INDEX('Damage Scenarios'!$O:$O,$G3))</f>
        <v>QI3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 Yes
What is the criticality of the intellectual property?
» IP (moderately innovative)</v>
      </c>
      <c r="E3" s="13"/>
      <c r="F3" s="10" cm="1">
        <f t="array" ca="1" aca="1" ref="F3">IF(ROW()=ROW($F$2)+1,0,INDEX($F:$F,ROW()-1))+IF($A3="",0,1)</f>
        <v>1</v>
      </c>
      <c r="G3" s="24">
        <f ca="1">IFERROR(MATCH(ROW()-ROW($G$2),'Damage Scenarios'!$S:$S,0),"")</f>
        <v>5</v>
      </c>
      <c r="H3" s="14" cm="1">
        <f t="array" ref="H3">CreateTaskID($H$2,$H:$H,Tasks!$B$17,$E3)</f>
        <v>0</v>
      </c>
    </row>
    <row r="4" spans="1:8" ht="120">
      <c r="A4" s="16" t="str" cm="1">
        <f t="array" ca="1" aca="1" ref="A4">IF($G4="","",INDEX('Damage Scenarios'!A:A,$G4))</f>
        <v>DS6</v>
      </c>
      <c r="B4" s="16" t="str" cm="1">
        <f t="array" ca="1" aca="1" ref="B4">IF($G4="","",INDEX('Damage Scenarios'!J:J,$G4))</f>
        <v>Life-threatening injury caused by unavailable product</v>
      </c>
      <c r="C4" s="16" t="str" cm="1">
        <f t="array" ca="1" aca="1" ref="C4">IF($G4="","",INDEX('Damage Scenarios'!M:M,$G4))</f>
        <v>Critical</v>
      </c>
      <c r="D4" s="16" t="str" cm="1">
        <f t="array" ca="1" aca="1" ref="D4">IF($G4="","",INDEX('Damage Scenarios'!$O:$O,$G4))</f>
        <v>QI6 Can a loss of availability of the product (or its communication) endanger the health of people?
(Consider how the operational environment reacts to a loss of availability of the product.)
» Yes
What is the worst case severity of the injury for the intended use of the product?
» Life-threatening injury</v>
      </c>
      <c r="E4" s="13"/>
      <c r="F4" s="10" cm="1">
        <f t="array" ca="1" aca="1" ref="F4">IF(ROW()=ROW($F$2)+1,0,INDEX($F:$F,ROW()-1))+IF($A4="",0,1)</f>
        <v>2</v>
      </c>
      <c r="G4" s="24">
        <f ca="1">IFERROR(MATCH(ROW()-ROW($G$2),'Damage Scenarios'!$S:$S,0),"")</f>
        <v>8</v>
      </c>
      <c r="H4" s="14" cm="1">
        <f t="array" ref="H4">CreateTaskID($H$2,$H:$H,Tasks!$B$17,$E4)</f>
        <v>0</v>
      </c>
    </row>
    <row r="5" spans="1:8" ht="90">
      <c r="A5" s="16" t="str" cm="1">
        <f t="array" ca="1" aca="1" ref="A5">IF($G5="","",INDEX('Damage Scenarios'!A:A,$G5))</f>
        <v>DS7</v>
      </c>
      <c r="B5" s="16" t="str" cm="1">
        <f t="array" ca="1" aca="1" ref="B5">IF($G5="","",INDEX('Damage Scenarios'!J:J,$G5))</f>
        <v>Critical environmental damage caused by unavailable product</v>
      </c>
      <c r="C5" s="16" t="str" cm="1">
        <f t="array" ca="1" aca="1" ref="C5">IF($G5="","",INDEX('Damage Scenarios'!M:M,$G5))</f>
        <v>Critical</v>
      </c>
      <c r="D5" s="16" t="str" cm="1">
        <f t="array" ca="1" aca="1" ref="D5">IF($G5="","",INDEX('Damage Scenarios'!$O:$O,$G5))</f>
        <v>QI7 Is the availability of the product relevant for its operational environment?
» Yes
What is the worst case effect on the operational environment for the intended use of the product?
» Critical environmental damage</v>
      </c>
      <c r="E5" s="13"/>
      <c r="F5" s="10" cm="1">
        <f t="array" ca="1" aca="1" ref="F5">IF(ROW()=ROW($F$2)+1,0,INDEX($F:$F,ROW()-1))+IF($A5="",0,1)</f>
        <v>3</v>
      </c>
      <c r="G5" s="24">
        <f ca="1">IFERROR(MATCH(ROW()-ROW($G$2),'Damage Scenarios'!$S:$S,0),"")</f>
        <v>9</v>
      </c>
      <c r="H5" s="14" cm="1">
        <f t="array" ref="H5">CreateTaskID($H$2,$H:$H,Tasks!$B$17,$E5)</f>
        <v>0</v>
      </c>
    </row>
    <row r="6" spans="1:8" ht="120">
      <c r="A6" s="16" t="str" cm="1">
        <f t="array" ca="1" aca="1" ref="A6">IF($G6="","",INDEX('Damage Scenarios'!A:A,$G6))</f>
        <v>DS8</v>
      </c>
      <c r="B6" s="16" t="str" cm="1">
        <f t="array" ca="1" aca="1" ref="B6">IF($G6="","",INDEX('Damage Scenarios'!J:J,$G6))</f>
        <v>Loss of Critical financial damage caused by unavailable product</v>
      </c>
      <c r="C6" s="16" t="str" cm="1">
        <f t="array" ca="1" aca="1" ref="C6">IF($G6="","",INDEX('Damage Scenarios'!M:M,$G6))</f>
        <v>Critical</v>
      </c>
      <c r="D6" s="16" t="str" cm="1">
        <f t="array" ca="1" aca="1" ref="D6">IF($G6="","",INDEX('Damage Scenarios'!$O:$O,$G6))</f>
        <v>QI8 Can a loss of availability allow an attacker access to assets of the customer (including physical access not detected by the acontis techonlogies GmbH product)? Example: The product is used for access control.
» Yes
What is the worst case value of these assets for the intended use of the product?
» Critical financial damage</v>
      </c>
      <c r="E6" s="13"/>
      <c r="F6" s="10" cm="1">
        <f t="array" ca="1" aca="1" ref="F6">IF(ROW()=ROW($F$2)+1,0,INDEX($F:$F,ROW()-1))+IF($A6="",0,1)</f>
        <v>4</v>
      </c>
      <c r="G6" s="24">
        <f ca="1">IFERROR(MATCH(ROW()-ROW($G$2),'Damage Scenarios'!$S:$S,0),"")</f>
        <v>10</v>
      </c>
      <c r="H6" s="14" cm="1">
        <f t="array" ref="H6">CreateTaskID($H$2,$H:$H,Tasks!$B$17,$E6)</f>
        <v>0</v>
      </c>
    </row>
    <row r="7" spans="1:8" ht="105">
      <c r="A7" s="16" t="str" cm="1">
        <f t="array" ca="1" aca="1" ref="A7">IF($G7="","",INDEX('Damage Scenarios'!A:A,$G7))</f>
        <v>DS10</v>
      </c>
      <c r="B7" s="16" t="str" cm="1">
        <f t="array" ca="1" aca="1" ref="B7">IF($G7="","",INDEX('Damage Scenarios'!J:J,$G7))</f>
        <v>Life-threatening injury caused by manipulated product</v>
      </c>
      <c r="C7" s="16" t="str" cm="1">
        <f t="array" ca="1" aca="1" ref="C7">IF($G7="","",INDEX('Damage Scenarios'!M:M,$G7))</f>
        <v>Critical</v>
      </c>
      <c r="D7" s="16" t="str" cm="1">
        <f t="array" ca="1" aca="1" ref="D7">IF($G7="","",INDEX('Damage Scenarios'!$O:$O,$G7))</f>
        <v>QI10 Can a manipulated product (or its communication) endanger the health of people? Also consider cases where the product is used against its intended use or misconfigured!
» Yes
What is the worst case severity of the injury for the intended use of the product?
» Life-threatening injury</v>
      </c>
      <c r="E7" s="13"/>
      <c r="F7" s="10" cm="1">
        <f t="array" ca="1" aca="1" ref="F7">IF(ROW()=ROW($F$2)+1,0,INDEX($F:$F,ROW()-1))+IF($A7="",0,1)</f>
        <v>5</v>
      </c>
      <c r="G7" s="24">
        <f ca="1">IFERROR(MATCH(ROW()-ROW($G$2),'Damage Scenarios'!$S:$S,0),"")</f>
        <v>12</v>
      </c>
      <c r="H7" s="14" cm="1">
        <f t="array" ref="H7">CreateTaskID($H$2,$H:$H,Tasks!$B$17,$E7)</f>
        <v>0</v>
      </c>
    </row>
    <row r="8" spans="1:8" ht="90">
      <c r="A8" s="16" t="str" cm="1">
        <f t="array" ca="1" aca="1" ref="A8">IF($G8="","",INDEX('Damage Scenarios'!A:A,$G8))</f>
        <v>DS11</v>
      </c>
      <c r="B8" s="16" t="str" cm="1">
        <f t="array" ca="1" aca="1" ref="B8">IF($G8="","",INDEX('Damage Scenarios'!J:J,$G8))</f>
        <v>Personal data (ruinous) disclosed by manipulated product</v>
      </c>
      <c r="C8" s="16" t="str" cm="1">
        <f t="array" ca="1" aca="1" ref="C8">IF($G8="","",INDEX('Damage Scenarios'!M:M,$G8))</f>
        <v>Critical</v>
      </c>
      <c r="D8" s="16" t="str" cm="1">
        <f t="array" ca="1" aca="1" ref="D8">IF($G8="","",INDEX('Damage Scenarios'!$O:$O,$G8))</f>
        <v>QI11 Can a manipulated product disclose personal data to an attacker? Also consider cases where the product is used against its intended use or misconfigured!
» Yes
What is the criticality of the disclosed data?
» Personal data (ruinous)</v>
      </c>
      <c r="E8" s="13"/>
      <c r="F8" s="10" cm="1">
        <f t="array" ca="1" aca="1" ref="F8">IF(ROW()=ROW($F$2)+1,0,INDEX($F:$F,ROW()-1))+IF($A8="",0,1)</f>
        <v>6</v>
      </c>
      <c r="G8" s="24">
        <f ca="1">IFERROR(MATCH(ROW()-ROW($G$2),'Damage Scenarios'!$S:$S,0),"")</f>
        <v>13</v>
      </c>
      <c r="H8" s="14" cm="1">
        <f t="array" ref="H8">CreateTaskID($H$2,$H:$H,Tasks!$B$17,$E8)</f>
        <v>0</v>
      </c>
    </row>
    <row r="9" spans="1:8" ht="90">
      <c r="A9" s="16" t="str" cm="1">
        <f t="array" ca="1" aca="1" ref="A9">IF($G9="","",INDEX('Damage Scenarios'!A:A,$G9))</f>
        <v>DS12</v>
      </c>
      <c r="B9" s="16" t="str" cm="1">
        <f t="array" ca="1" aca="1" ref="B9">IF($G9="","",INDEX('Damage Scenarios'!J:J,$G9))</f>
        <v>IP (highly innovative) disclosed by manipulated product</v>
      </c>
      <c r="C9" s="16" t="str" cm="1">
        <f t="array" ca="1" aca="1" ref="C9">IF($G9="","",INDEX('Damage Scenarios'!M:M,$G9))</f>
        <v>High</v>
      </c>
      <c r="D9" s="16" t="str" cm="1">
        <f t="array" ca="1" aca="1" ref="D9">IF($G9="","",INDEX('Damage Scenarios'!$O:$O,$G9))</f>
        <v>QI12 Can a manipulated product disclose intellectual property to an attacker? Also consider cases where the product is used against its intended use or misconfigured!
» Yes
What is the criticality of the disclosed data?
» IP (highly innovative)</v>
      </c>
      <c r="E9" s="13"/>
      <c r="F9" s="10" cm="1">
        <f t="array" ca="1" aca="1" ref="F9">IF(ROW()=ROW($F$2)+1,0,INDEX($F:$F,ROW()-1))+IF($A9="",0,1)</f>
        <v>7</v>
      </c>
      <c r="G9" s="24">
        <f ca="1">IFERROR(MATCH(ROW()-ROW($G$2),'Damage Scenarios'!$S:$S,0),"")</f>
        <v>14</v>
      </c>
      <c r="H9" s="14" cm="1">
        <f t="array" ref="H9">CreateTaskID($H$2,$H:$H,Tasks!$B$17,$E9)</f>
        <v>0</v>
      </c>
    </row>
    <row r="10" spans="1:8" ht="135">
      <c r="A10" s="16" t="str" cm="1">
        <f t="array" ca="1" aca="1" ref="A10">IF($G10="","",INDEX('Damage Scenarios'!A:A,$G10))</f>
        <v>DS13</v>
      </c>
      <c r="B10" s="16" t="str" cm="1">
        <f t="array" ca="1" aca="1" ref="B10">IF($G10="","",INDEX('Damage Scenarios'!J:J,$G10))</f>
        <v>Critical environmental damage caused by a disclosure or misuse of cyptographic material by the manipulated product</v>
      </c>
      <c r="C10" s="16" t="str" cm="1">
        <f t="array" ca="1" aca="1" ref="C10">IF($G10="","",INDEX('Damage Scenarios'!M:M,$G10))</f>
        <v>Critical</v>
      </c>
      <c r="D10" s="16" t="str" cm="1">
        <f t="array" ca="1" aca="1" ref="D10">IF($G10="","",INDEX('Damage Scenarios'!$O:$O,$G10))</f>
        <v>QI13 Can a manipulated product disclose credentials / cryptographic material to an attacker? Also consider cases where the product does not disclose the material but misuses its access to other systems! (E.g., product contains access credentials to store data on a server.)
» Yes
What is the criticality of the disclosed data / what are the consequences of the malicious access?
» Critical environmental damage</v>
      </c>
      <c r="E10" s="13"/>
      <c r="F10" s="10" cm="1">
        <f t="array" ca="1" aca="1" ref="F10">IF(ROW()=ROW($F$2)+1,0,INDEX($F:$F,ROW()-1))+IF($A10="",0,1)</f>
        <v>8</v>
      </c>
      <c r="G10" s="24">
        <f ca="1">IFERROR(MATCH(ROW()-ROW($G$2),'Damage Scenarios'!$S:$S,0),"")</f>
        <v>15</v>
      </c>
      <c r="H10" s="14" cm="1">
        <f t="array" ref="H10">CreateTaskID($H$2,$H:$H,Tasks!$B$17,$E10)</f>
        <v>0</v>
      </c>
    </row>
    <row r="11" spans="1:8" ht="90">
      <c r="A11" s="16" t="str" cm="1">
        <f t="array" ca="1" aca="1" ref="A11">IF($G11="","",INDEX('Damage Scenarios'!A:A,$G11))</f>
        <v>DS14</v>
      </c>
      <c r="B11" s="16" t="str" cm="1">
        <f t="array" ca="1" aca="1" ref="B11">IF($G11="","",INDEX('Damage Scenarios'!J:J,$G11))</f>
        <v>Critical environmental damage caused by manipulated product</v>
      </c>
      <c r="C11" s="16" t="str" cm="1">
        <f t="array" ca="1" aca="1" ref="C11">IF($G11="","",INDEX('Damage Scenarios'!M:M,$G11))</f>
        <v>Critical</v>
      </c>
      <c r="D11" s="16" t="str" cm="1">
        <f t="array" ca="1" aca="1" ref="D11">IF($G11="","",INDEX('Damage Scenarios'!$O:$O,$G11))</f>
        <v>QI14 Can a manipulated product affect the operation of its operational environment?
» Yes
What is the worst case effect on the operational environment for the intended use of the product?
» Critical environmental damage</v>
      </c>
      <c r="E11" s="13"/>
      <c r="F11" s="10" cm="1">
        <f t="array" ca="1" aca="1" ref="F11">IF(ROW()=ROW($F$2)+1,0,INDEX($F:$F,ROW()-1))+IF($A11="",0,1)</f>
        <v>9</v>
      </c>
      <c r="G11" s="24">
        <f ca="1">IFERROR(MATCH(ROW()-ROW($G$2),'Damage Scenarios'!$S:$S,0),"")</f>
        <v>16</v>
      </c>
      <c r="H11" s="14" cm="1">
        <f t="array" ref="H11">CreateTaskID($H$2,$H:$H,Tasks!$B$17,$E11)</f>
        <v>0</v>
      </c>
    </row>
    <row r="12" spans="1:8" ht="105">
      <c r="A12" s="16" t="str" cm="1">
        <f t="array" ca="1" aca="1" ref="A12">IF($G12="","",INDEX('Damage Scenarios'!A:A,$G12))</f>
        <v>DS15</v>
      </c>
      <c r="B12" s="16" t="str" cm="1">
        <f t="array" ca="1" aca="1" ref="B12">IF($G12="","",INDEX('Damage Scenarios'!J:J,$G12))</f>
        <v>Critical environmental damage caused by attacks on customer's assets by manipulated product</v>
      </c>
      <c r="C12" s="16" t="str" cm="1">
        <f t="array" ca="1" aca="1" ref="C12">IF($G12="","",INDEX('Damage Scenarios'!M:M,$G12))</f>
        <v>Critical</v>
      </c>
      <c r="D12" s="16" t="str" cm="1">
        <f t="array" ca="1" aca="1" ref="D12">IF($G12="","",INDEX('Damage Scenarios'!$O:$O,$G12))</f>
        <v>QI15 Can a manipulated product allow an attacker access to assets of the customer or allow the attacker to attack the customer's network?
» Yes
What is the worst case damage caused by the manipulation for the intended use of the product?
» Critical environmental damage</v>
      </c>
      <c r="E12" s="13"/>
      <c r="F12" s="10" cm="1">
        <f t="array" ca="1" aca="1" ref="F12">IF(ROW()=ROW($F$2)+1,0,INDEX($F:$F,ROW()-1))+IF($A12="",0,1)</f>
        <v>10</v>
      </c>
      <c r="G12" s="24">
        <f ca="1">IFERROR(MATCH(ROW()-ROW($G$2),'Damage Scenarios'!$S:$S,0),"")</f>
        <v>17</v>
      </c>
      <c r="H12" s="14" cm="1">
        <f t="array" ref="H12">CreateTaskID($H$2,$H:$H,Tasks!$B$17,$E12)</f>
        <v>0</v>
      </c>
    </row>
    <row r="13" spans="1:8" ht="15">
      <c r="A13" s="16" t="str" cm="1">
        <f t="array" ca="1" aca="1" ref="A13">IF($G13="","",INDEX('Damage Scenarios'!A:A,$G13))</f>
        <v/>
      </c>
      <c r="B13" s="16" t="str" cm="1">
        <f t="array" ca="1" aca="1" ref="B13">IF($G13="","",INDEX('Damage Scenarios'!J:J,$G13))</f>
        <v/>
      </c>
      <c r="C13" s="16" t="str" cm="1">
        <f t="array" ca="1" aca="1" ref="C13">IF($G13="","",INDEX('Damage Scenarios'!M:M,$G13))</f>
        <v/>
      </c>
      <c r="D13" s="16" t="str" cm="1">
        <f t="array" ca="1" aca="1" ref="D13">IF($G13="","",INDEX('Damage Scenarios'!$O:$O,$G13))</f>
        <v/>
      </c>
      <c r="E13" s="13"/>
      <c r="F13" s="10" cm="1">
        <f t="array" ca="1" aca="1" ref="F13">IF(ROW()=ROW($F$2)+1,0,INDEX($F:$F,ROW()-1))+IF($A13="",0,1)</f>
        <v>10</v>
      </c>
      <c r="G13" s="24" t="str">
        <f ca="1">IFERROR(MATCH(ROW()-ROW($G$2),'Damage Scenarios'!$S:$S,0),"")</f>
        <v/>
      </c>
      <c r="H13" s="14" cm="1">
        <f t="array" ref="H13">CreateTaskID($H$2,$H:$H,Tasks!$B$17,$E13)</f>
        <v>0</v>
      </c>
    </row>
    <row r="14" spans="1:8" ht="15">
      <c r="A14" s="16" t="str" cm="1">
        <f t="array" ca="1" aca="1" ref="A14">IF($G14="","",INDEX('Damage Scenarios'!A:A,$G14))</f>
        <v/>
      </c>
      <c r="B14" s="16" t="str" cm="1">
        <f t="array" ca="1" aca="1" ref="B14">IF($G14="","",INDEX('Damage Scenarios'!J:J,$G14))</f>
        <v/>
      </c>
      <c r="C14" s="16" t="str" cm="1">
        <f t="array" ca="1" aca="1" ref="C14">IF($G14="","",INDEX('Damage Scenarios'!M:M,$G14))</f>
        <v/>
      </c>
      <c r="D14" s="16" t="str" cm="1">
        <f t="array" ca="1" aca="1" ref="D14">IF($G14="","",INDEX('Damage Scenarios'!$O:$O,$G14))</f>
        <v/>
      </c>
      <c r="E14" s="13"/>
      <c r="F14" s="10" cm="1">
        <f t="array" ca="1" aca="1" ref="F14">IF(ROW()=ROW($F$2)+1,0,INDEX($F:$F,ROW()-1))+IF($A14="",0,1)</f>
        <v>10</v>
      </c>
      <c r="G14" s="24" t="str">
        <f ca="1">IFERROR(MATCH(ROW()-ROW($G$2),'Damage Scenarios'!$S:$S,0),"")</f>
        <v/>
      </c>
      <c r="H14" s="14" cm="1">
        <f t="array" ref="H14">CreateTaskID($H$2,$H:$H,Tasks!$B$17,$E14)</f>
        <v>0</v>
      </c>
    </row>
    <row r="15" spans="1:8" ht="15">
      <c r="A15" s="16" t="str" cm="1">
        <f t="array" ca="1" aca="1" ref="A15">IF($G15="","",INDEX('Damage Scenarios'!A:A,$G15))</f>
        <v/>
      </c>
      <c r="B15" s="16" t="str" cm="1">
        <f t="array" ca="1" aca="1" ref="B15">IF($G15="","",INDEX('Damage Scenarios'!J:J,$G15))</f>
        <v/>
      </c>
      <c r="C15" s="16" t="str" cm="1">
        <f t="array" ca="1" aca="1" ref="C15">IF($G15="","",INDEX('Damage Scenarios'!M:M,$G15))</f>
        <v/>
      </c>
      <c r="D15" s="16" t="str" cm="1">
        <f t="array" ca="1" aca="1" ref="D15">IF($G15="","",INDEX('Damage Scenarios'!$O:$O,$G15))</f>
        <v/>
      </c>
      <c r="E15" s="13"/>
      <c r="F15" s="10" cm="1">
        <f t="array" ca="1" aca="1" ref="F15">IF(ROW()=ROW($F$2)+1,0,INDEX($F:$F,ROW()-1))+IF($A15="",0,1)</f>
        <v>10</v>
      </c>
      <c r="G15" s="24" t="str">
        <f ca="1">IFERROR(MATCH(ROW()-ROW($G$2),'Damage Scenarios'!$S:$S,0),"")</f>
        <v/>
      </c>
      <c r="H15" s="14" cm="1">
        <f t="array" ref="H15">CreateTaskID($H$2,$H:$H,Tasks!$B$17,$E15)</f>
        <v>0</v>
      </c>
    </row>
    <row r="16" spans="1:8" ht="15">
      <c r="A16" s="16" t="str" cm="1">
        <f t="array" ca="1" aca="1" ref="A16">IF($G16="","",INDEX('Damage Scenarios'!A:A,$G16))</f>
        <v/>
      </c>
      <c r="B16" s="16" t="str" cm="1">
        <f t="array" ca="1" aca="1" ref="B16">IF($G16="","",INDEX('Damage Scenarios'!J:J,$G16))</f>
        <v/>
      </c>
      <c r="C16" s="16" t="str" cm="1">
        <f t="array" ca="1" aca="1" ref="C16">IF($G16="","",INDEX('Damage Scenarios'!M:M,$G16))</f>
        <v/>
      </c>
      <c r="D16" s="16" t="str" cm="1">
        <f t="array" ca="1" aca="1" ref="D16">IF($G16="","",INDEX('Damage Scenarios'!$O:$O,$G16))</f>
        <v/>
      </c>
      <c r="E16" s="13"/>
      <c r="F16" s="10" cm="1">
        <f t="array" ca="1" aca="1" ref="F16">IF(ROW()=ROW($F$2)+1,0,INDEX($F:$F,ROW()-1))+IF($A16="",0,1)</f>
        <v>10</v>
      </c>
      <c r="G16" s="24" t="str">
        <f ca="1">IFERROR(MATCH(ROW()-ROW($G$2),'Damage Scenarios'!$S:$S,0),"")</f>
        <v/>
      </c>
      <c r="H16" s="14" cm="1">
        <f t="array" ref="H16">CreateTaskID($H$2,$H:$H,Tasks!$B$17,$E16)</f>
        <v>0</v>
      </c>
    </row>
    <row r="17" spans="1:8" ht="15">
      <c r="A17" s="16" t="str" cm="1">
        <f t="array" ca="1" aca="1" ref="A17">IF($G17="","",INDEX('Damage Scenarios'!A:A,$G17))</f>
        <v/>
      </c>
      <c r="B17" s="16" t="str" cm="1">
        <f t="array" ca="1" aca="1" ref="B17">IF($G17="","",INDEX('Damage Scenarios'!J:J,$G17))</f>
        <v/>
      </c>
      <c r="C17" s="16" t="str" cm="1">
        <f t="array" ca="1" aca="1" ref="C17">IF($G17="","",INDEX('Damage Scenarios'!M:M,$G17))</f>
        <v/>
      </c>
      <c r="D17" s="16" t="str" cm="1">
        <f t="array" ca="1" aca="1" ref="D17">IF($G17="","",INDEX('Damage Scenarios'!$O:$O,$G17))</f>
        <v/>
      </c>
      <c r="E17" s="13"/>
      <c r="F17" s="10" cm="1">
        <f t="array" ca="1" aca="1" ref="F17">IF(ROW()=ROW($F$2)+1,0,INDEX($F:$F,ROW()-1))+IF($A17="",0,1)</f>
        <v>10</v>
      </c>
      <c r="G17" s="24" t="str">
        <f ca="1">IFERROR(MATCH(ROW()-ROW($G$2),'Damage Scenarios'!$S:$S,0),"")</f>
        <v/>
      </c>
      <c r="H17" s="14" cm="1">
        <f t="array" ref="H17">CreateTaskID($H$2,$H:$H,Tasks!$B$17,$E17)</f>
        <v>0</v>
      </c>
    </row>
    <row r="18" spans="1:8" ht="15">
      <c r="A18" s="16" t="str" cm="1">
        <f t="array" ca="1" aca="1" ref="A18">IF($G18="","",INDEX('Damage Scenarios'!A:A,$G18))</f>
        <v/>
      </c>
      <c r="B18" s="16" t="str" cm="1">
        <f t="array" ca="1" aca="1" ref="B18">IF($G18="","",INDEX('Damage Scenarios'!J:J,$G18))</f>
        <v/>
      </c>
      <c r="C18" s="16" t="str" cm="1">
        <f t="array" ca="1" aca="1" ref="C18">IF($G18="","",INDEX('Damage Scenarios'!M:M,$G18))</f>
        <v/>
      </c>
      <c r="D18" s="16" t="str" cm="1">
        <f t="array" ca="1" aca="1" ref="D18">IF($G18="","",INDEX('Damage Scenarios'!$O:$O,$G18))</f>
        <v/>
      </c>
      <c r="E18" s="13"/>
      <c r="F18" s="10" cm="1">
        <f t="array" ca="1" aca="1" ref="F18">IF(ROW()=ROW($F$2)+1,0,INDEX($F:$F,ROW()-1))+IF($A18="",0,1)</f>
        <v>10</v>
      </c>
      <c r="G18" s="24" t="str">
        <f ca="1">IFERROR(MATCH(ROW()-ROW($G$2),'Damage Scenarios'!$S:$S,0),"")</f>
        <v/>
      </c>
      <c r="H18" s="14" cm="1">
        <f t="array" ref="H18">CreateTaskID($H$2,$H:$H,Tasks!$B$17,$E18)</f>
        <v>0</v>
      </c>
    </row>
    <row r="19" spans="1:8" ht="15">
      <c r="A19" s="16" t="str" cm="1">
        <f t="array" ca="1" aca="1" ref="A19">IF($G19="","",INDEX('Damage Scenarios'!A:A,$G19))</f>
        <v/>
      </c>
      <c r="B19" s="16" t="str" cm="1">
        <f t="array" ca="1" aca="1" ref="B19">IF($G19="","",INDEX('Damage Scenarios'!J:J,$G19))</f>
        <v/>
      </c>
      <c r="C19" s="16" t="str" cm="1">
        <f t="array" ca="1" aca="1" ref="C19">IF($G19="","",INDEX('Damage Scenarios'!M:M,$G19))</f>
        <v/>
      </c>
      <c r="D19" s="16" t="str" cm="1">
        <f t="array" ca="1" aca="1" ref="D19">IF($G19="","",INDEX('Damage Scenarios'!$O:$O,$G19))</f>
        <v/>
      </c>
      <c r="E19" s="13"/>
      <c r="F19" s="10" cm="1">
        <f t="array" ca="1" aca="1" ref="F19">IF(ROW()=ROW($F$2)+1,0,INDEX($F:$F,ROW()-1))+IF($A19="",0,1)</f>
        <v>10</v>
      </c>
      <c r="G19" s="24" t="str">
        <f ca="1">IFERROR(MATCH(ROW()-ROW($G$2),'Damage Scenarios'!$S:$S,0),"")</f>
        <v/>
      </c>
      <c r="H19" s="14" cm="1">
        <f t="array" ref="H19">CreateTaskID($H$2,$H:$H,Tasks!$B$17,$E19)</f>
        <v>0</v>
      </c>
    </row>
    <row r="20" spans="1:8" ht="15">
      <c r="A20" s="16" t="str" cm="1">
        <f t="array" ca="1" aca="1" ref="A20">IF($G20="","",INDEX('Damage Scenarios'!A:A,$G20))</f>
        <v/>
      </c>
      <c r="B20" s="16" t="str" cm="1">
        <f t="array" ca="1" aca="1" ref="B20">IF($G20="","",INDEX('Damage Scenarios'!J:J,$G20))</f>
        <v/>
      </c>
      <c r="C20" s="16" t="str" cm="1">
        <f t="array" ca="1" aca="1" ref="C20">IF($G20="","",INDEX('Damage Scenarios'!M:M,$G20))</f>
        <v/>
      </c>
      <c r="D20" s="16" t="str" cm="1">
        <f t="array" ca="1" aca="1" ref="D20">IF($G20="","",INDEX('Damage Scenarios'!$O:$O,$G20))</f>
        <v/>
      </c>
      <c r="E20" s="13"/>
      <c r="F20" s="10" cm="1">
        <f t="array" ca="1" aca="1" ref="F20">IF(ROW()=ROW($F$2)+1,0,INDEX($F:$F,ROW()-1))+IF($A20="",0,1)</f>
        <v>10</v>
      </c>
      <c r="G20" s="24" t="str">
        <f ca="1">IFERROR(MATCH(ROW()-ROW($G$2),'Damage Scenarios'!$S:$S,0),"")</f>
        <v/>
      </c>
      <c r="H20" s="14" cm="1">
        <f t="array" ref="H20">CreateTaskID($H$2,$H:$H,Tasks!$B$17,$E20)</f>
        <v>0</v>
      </c>
    </row>
  </sheetData>
  <sheetProtection password="EAC3" sheet="1" objects="1" scenarios="1"/>
  <pageMargins left="0.7" right="0.7" top="0.75" bottom="0.75" header="0.3" footer="0.3"/>
  <pageSetup orientation="portrait" paperSize="9" r:id="rId2"/>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2CF315-27FA-4AA2-984B-11893A7618E5}">
  <sheetPr>
    <tabColor theme="3"/>
  </sheetPr>
  <dimension ref="A1:CW77"/>
  <sheetViews>
    <sheetView windowProtection="1" workbookViewId="0" topLeftCell="A3">
      <selection pane="topLeft" activeCell="D3" sqref="D3"/>
    </sheetView>
  </sheetViews>
  <sheetFormatPr defaultColWidth="9.14428571428571" defaultRowHeight="15"/>
  <cols>
    <col min="1" max="1" width="15.7142857142857" style="4" customWidth="1"/>
    <col min="2" max="3" width="60.7142857142857" style="4" customWidth="1"/>
    <col min="4" max="4" width="15.7142857142857" style="4" customWidth="1"/>
    <col min="5" max="5" width="35.7142857142857" style="4" customWidth="1"/>
    <col min="6" max="7" width="15.7142857142857" style="4" customWidth="1"/>
    <col min="8" max="8" width="15.7142857142857" style="4" hidden="1" customWidth="1"/>
    <col min="9" max="9" width="15.5714285714286" style="2" hidden="1" customWidth="1"/>
    <col min="10" max="11" width="13.1428571428571" style="2" hidden="1" customWidth="1"/>
    <col min="12" max="12" width="29.5714285714286" style="2" hidden="1" customWidth="1"/>
    <col min="13" max="13" width="13.1428571428571" style="2" hidden="1" customWidth="1"/>
    <col min="14" max="14" width="24.8571428571429" style="2" hidden="1" customWidth="1"/>
    <col min="15" max="15" width="20.7142857142857" style="2" hidden="1" customWidth="1"/>
    <col min="16" max="16" width="18.5714285714286" style="2" hidden="1" customWidth="1"/>
    <col min="17" max="17" width="20" style="2" hidden="1" customWidth="1"/>
    <col min="18" max="18" width="9.14285714285714" style="2" hidden="1" customWidth="1"/>
    <col min="19" max="19" width="10.5714285714286" style="2" hidden="1" customWidth="1"/>
    <col min="20" max="20" width="9.14285714285714" style="2" hidden="1" customWidth="1"/>
    <col min="21" max="21" width="24.2857142857143" style="2" hidden="1" customWidth="1"/>
    <col min="22" max="22" width="20.4285714285714" style="2" hidden="1" customWidth="1"/>
    <col min="23" max="27" width="9.14285714285714" style="2" hidden="1" customWidth="1"/>
    <col min="28" max="32" width="10.7142857142857" style="2" hidden="1" customWidth="1"/>
    <col min="33" max="34" width="9.14285714285714" style="2" hidden="1" customWidth="1"/>
    <col min="35" max="35" width="12" style="2" hidden="1" customWidth="1"/>
    <col min="36" max="36" width="17.7142857142857" style="2" hidden="1" customWidth="1"/>
    <col min="37" max="37" width="27.5714285714286" style="2" hidden="1" customWidth="1"/>
    <col min="38" max="42" width="9.14285714285714" style="2" hidden="1" customWidth="1"/>
    <col min="43" max="43" width="10.4285714285714" style="2" hidden="1" customWidth="1"/>
    <col min="44" max="45" width="10.5714285714286" style="2" hidden="1" customWidth="1"/>
    <col min="46" max="46" width="11.8571428571429" style="2" hidden="1" customWidth="1"/>
    <col min="47" max="47" width="10.8571428571429" style="2" hidden="1" customWidth="1"/>
    <col min="48" max="52" width="9.14285714285714" style="2" hidden="1" customWidth="1"/>
    <col min="53" max="53" width="10.7142857142857" style="2" hidden="1" customWidth="1"/>
    <col min="54" max="55" width="10.8571428571429" style="2" hidden="1" customWidth="1"/>
    <col min="56" max="56" width="12.1428571428571" style="2" hidden="1" customWidth="1"/>
    <col min="57" max="57" width="11.1428571428571" style="2" hidden="1" customWidth="1"/>
    <col min="58" max="58" width="9.71428571428571" style="2" hidden="1" customWidth="1"/>
    <col min="59" max="59" width="19.1428571428571" style="2" hidden="1" customWidth="1"/>
    <col min="60" max="61" width="14.8571428571429" style="2" hidden="1" customWidth="1"/>
    <col min="62" max="63" width="14.1428571428571" style="2" hidden="1" customWidth="1"/>
    <col min="64" max="64" width="38.5714285714286" style="2" hidden="1" customWidth="1"/>
    <col min="65" max="65" width="27.8571428571429" style="2" hidden="1" customWidth="1"/>
    <col min="66" max="66" width="23.7142857142857" style="2" hidden="1" customWidth="1"/>
    <col min="67" max="67" width="27.1428571428571" style="2" hidden="1" customWidth="1"/>
    <col min="68" max="68" width="23.2857142857143" style="2" hidden="1" customWidth="1"/>
    <col min="69" max="69" width="8.14285714285714" style="2" hidden="1" customWidth="1"/>
    <col min="70" max="71" width="8.28571428571429" style="2" hidden="1" customWidth="1"/>
    <col min="72" max="72" width="9.57142857142857" style="2" hidden="1" customWidth="1"/>
    <col min="73" max="73" width="8.57142857142857" style="2" hidden="1" customWidth="1"/>
    <col min="74" max="74" width="11.4285714285714" style="2" hidden="1" customWidth="1"/>
    <col min="75" max="76" width="11.5714285714286" style="2" hidden="1" customWidth="1"/>
    <col min="77" max="77" width="12.8571428571429" style="2" hidden="1" customWidth="1"/>
    <col min="78" max="78" width="11.8571428571429" style="2" hidden="1" customWidth="1"/>
    <col min="79" max="83" width="9.14285714285714" style="2" hidden="1" customWidth="1"/>
    <col min="84" max="84" width="10.2857142857143" style="2" hidden="1" customWidth="1"/>
    <col min="85" max="86" width="10.4285714285714" style="2" hidden="1" customWidth="1"/>
    <col min="87" max="87" width="11.7142857142857" style="2" hidden="1" customWidth="1"/>
    <col min="88" max="88" width="10.7142857142857" style="2" hidden="1" customWidth="1"/>
    <col min="89" max="89" width="9.28571428571429" style="2" hidden="1" customWidth="1"/>
    <col min="90" max="90" width="18.7142857142857" style="2" hidden="1" customWidth="1"/>
    <col min="91" max="91" width="14.4285714285714" style="2" hidden="1" customWidth="1"/>
    <col min="92" max="92" width="8.57142857142857" style="2" hidden="1" customWidth="1"/>
    <col min="93" max="93" width="13.7142857142857" style="2" hidden="1" customWidth="1"/>
    <col min="94" max="94" width="14.1428571428571" style="2" hidden="1" customWidth="1"/>
    <col min="95" max="95" width="14.5714285714286" style="2" hidden="1" customWidth="1"/>
    <col min="96" max="97" width="24.2857142857143" style="2" hidden="1" customWidth="1"/>
    <col min="98" max="98" width="21.1428571428571" style="2" hidden="1" customWidth="1"/>
    <col min="99" max="99" width="19" style="2" hidden="1" customWidth="1"/>
    <col min="100" max="100" width="9.14285714285714" style="2" customWidth="1"/>
    <col min="101" max="101" width="40.7142857142857" style="2" customWidth="1"/>
    <col min="102" max="102" width="9.14285714285714" style="2" customWidth="1"/>
    <col min="103" max="16384" width="9.14285714285714" style="2"/>
  </cols>
  <sheetData>
    <row r="1" spans="1:8" s="115" customFormat="1" ht="15">
      <c r="A1" s="114"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A$2,README!$E:$E,README!$I$36,README!$B$36)</f>
        <v>◈</v>
      </c>
      <c r="B1" s="114"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B$2,README!$E:$E,README!$I$36,README!$B$36)</f>
        <v>◈</v>
      </c>
      <c r="C1" s="114"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C$2,README!$E:$E,README!$I$36,README!$B$36)</f>
        <v>◈</v>
      </c>
      <c r="D1" s="114"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D$2,README!$E:$E,README!$I$36,README!$B$36)</f>
        <v>◈</v>
      </c>
      <c r="E1" s="114"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E$2,README!$E:$E,README!$I$36,README!$B$36)</f>
        <v>◈</v>
      </c>
      <c r="F1" s="114"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F$2,README!$E:$E,README!$I$36,README!$B$36)</f>
        <v>◈</v>
      </c>
      <c r="G1" s="114"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$12,G$2,README!$E:$E,README!$I$36,README!$B$36)</f>
        <v>◈</v>
      </c>
      <c r="H1" s="114"/>
    </row>
    <row r="2" spans="1:101" ht="15">
      <c r="A2" s="16" t="s">
        <v>176</v>
      </c>
      <c r="B2" s="16" t="s">
        <v>105</v>
      </c>
      <c r="C2" s="16" t="s">
        <v>157</v>
      </c>
      <c r="D2" s="16" t="s">
        <v>187</v>
      </c>
      <c r="E2" s="16" t="s">
        <v>575</v>
      </c>
      <c r="F2" s="16" t="s">
        <v>188</v>
      </c>
      <c r="G2" s="16" t="s">
        <v>189</v>
      </c>
      <c r="H2" s="13" t="s">
        <v>54</v>
      </c>
      <c r="I2" s="10" t="s">
        <v>177</v>
      </c>
      <c r="J2" s="10" t="s">
        <v>179</v>
      </c>
      <c r="K2" s="10" t="s">
        <v>183</v>
      </c>
      <c r="L2" s="10" t="s">
        <v>208</v>
      </c>
      <c r="M2" s="10" t="s">
        <v>184</v>
      </c>
      <c r="N2" s="10" t="s">
        <v>427</v>
      </c>
      <c r="O2" s="10" t="s">
        <v>426</v>
      </c>
      <c r="P2" s="10" t="s">
        <v>180</v>
      </c>
      <c r="Q2" s="10" t="s">
        <v>181</v>
      </c>
      <c r="R2" s="10" t="s">
        <v>178</v>
      </c>
      <c r="S2" s="10" t="s">
        <v>182</v>
      </c>
      <c r="T2" s="10" t="s">
        <v>190</v>
      </c>
      <c r="U2" s="10" t="s">
        <v>428</v>
      </c>
      <c r="V2" s="10" t="s">
        <v>429</v>
      </c>
      <c r="W2" s="10" t="s">
        <v>44</v>
      </c>
      <c r="X2" s="10" t="s">
        <v>45</v>
      </c>
      <c r="Y2" s="10" t="s">
        <v>46</v>
      </c>
      <c r="Z2" s="10" t="s">
        <v>47</v>
      </c>
      <c r="AA2" s="10" t="s">
        <v>48</v>
      </c>
      <c r="AB2" s="10" t="s">
        <v>209</v>
      </c>
      <c r="AC2" s="10" t="s">
        <v>210</v>
      </c>
      <c r="AD2" s="10" t="s">
        <v>211</v>
      </c>
      <c r="AE2" s="10" t="s">
        <v>212</v>
      </c>
      <c r="AF2" s="10" t="s">
        <v>213</v>
      </c>
      <c r="AG2" s="10" t="s">
        <v>78</v>
      </c>
      <c r="AH2" s="10" t="s">
        <v>264</v>
      </c>
      <c r="AI2" s="10" t="s">
        <v>288</v>
      </c>
      <c r="AJ2" s="10" t="s">
        <v>289</v>
      </c>
      <c r="AK2" s="10" t="s">
        <v>301</v>
      </c>
      <c r="AL2" s="10" t="s">
        <v>291</v>
      </c>
      <c r="AM2" s="10" t="s">
        <v>292</v>
      </c>
      <c r="AN2" s="10" t="s">
        <v>293</v>
      </c>
      <c r="AO2" s="10" t="s">
        <v>294</v>
      </c>
      <c r="AP2" s="10" t="s">
        <v>295</v>
      </c>
      <c r="AQ2" s="10" t="s">
        <v>296</v>
      </c>
      <c r="AR2" s="10" t="s">
        <v>297</v>
      </c>
      <c r="AS2" s="10" t="s">
        <v>298</v>
      </c>
      <c r="AT2" s="10" t="s">
        <v>299</v>
      </c>
      <c r="AU2" s="10" t="s">
        <v>300</v>
      </c>
      <c r="AV2" s="10" t="s">
        <v>304</v>
      </c>
      <c r="AW2" s="10" t="s">
        <v>305</v>
      </c>
      <c r="AX2" s="10" t="s">
        <v>306</v>
      </c>
      <c r="AY2" s="10" t="s">
        <v>307</v>
      </c>
      <c r="AZ2" s="10" t="s">
        <v>308</v>
      </c>
      <c r="BA2" s="10" t="s">
        <v>309</v>
      </c>
      <c r="BB2" s="10" t="s">
        <v>310</v>
      </c>
      <c r="BC2" s="10" t="s">
        <v>311</v>
      </c>
      <c r="BD2" s="10" t="s">
        <v>312</v>
      </c>
      <c r="BE2" s="10" t="s">
        <v>313</v>
      </c>
      <c r="BF2" s="10" t="s">
        <v>314</v>
      </c>
      <c r="BG2" s="10" t="s">
        <v>1283</v>
      </c>
      <c r="BH2" s="10" t="s">
        <v>1285</v>
      </c>
      <c r="BI2" s="10" t="s">
        <v>315</v>
      </c>
      <c r="BJ2" s="10" t="s">
        <v>316</v>
      </c>
      <c r="BK2" s="10" t="s">
        <v>318</v>
      </c>
      <c r="BL2" s="10" t="s">
        <v>1455</v>
      </c>
      <c r="BM2" s="10" t="s">
        <v>1470</v>
      </c>
      <c r="BN2" s="10" t="s">
        <v>1471</v>
      </c>
      <c r="BO2" s="10" t="s">
        <v>1468</v>
      </c>
      <c r="BP2" s="10" t="s">
        <v>1469</v>
      </c>
      <c r="BQ2" s="10" t="s">
        <v>1456</v>
      </c>
      <c r="BR2" s="10" t="s">
        <v>1457</v>
      </c>
      <c r="BS2" s="10" t="s">
        <v>1458</v>
      </c>
      <c r="BT2" s="10" t="s">
        <v>1459</v>
      </c>
      <c r="BU2" s="10" t="s">
        <v>1460</v>
      </c>
      <c r="BV2" s="10" t="s">
        <v>1461</v>
      </c>
      <c r="BW2" s="10" t="s">
        <v>1462</v>
      </c>
      <c r="BX2" s="10" t="s">
        <v>1463</v>
      </c>
      <c r="BY2" s="10" t="s">
        <v>1464</v>
      </c>
      <c r="BZ2" s="10" t="s">
        <v>1465</v>
      </c>
      <c r="CA2" s="10" t="s">
        <v>1439</v>
      </c>
      <c r="CB2" s="10" t="s">
        <v>1440</v>
      </c>
      <c r="CC2" s="10" t="s">
        <v>1441</v>
      </c>
      <c r="CD2" s="10" t="s">
        <v>1442</v>
      </c>
      <c r="CE2" s="10" t="s">
        <v>1443</v>
      </c>
      <c r="CF2" s="10" t="s">
        <v>1444</v>
      </c>
      <c r="CG2" s="10" t="s">
        <v>1445</v>
      </c>
      <c r="CH2" s="10" t="s">
        <v>1446</v>
      </c>
      <c r="CI2" s="10" t="s">
        <v>1447</v>
      </c>
      <c r="CJ2" s="10" t="s">
        <v>1448</v>
      </c>
      <c r="CK2" s="10" t="s">
        <v>1449</v>
      </c>
      <c r="CL2" s="10" t="s">
        <v>1450</v>
      </c>
      <c r="CM2" s="10" t="s">
        <v>1451</v>
      </c>
      <c r="CN2" s="10" t="s">
        <v>1452</v>
      </c>
      <c r="CO2" s="10" t="s">
        <v>1453</v>
      </c>
      <c r="CP2" s="10" t="s">
        <v>1454</v>
      </c>
      <c r="CQ2" s="10" t="s">
        <v>615</v>
      </c>
      <c r="CR2" s="10" t="s">
        <v>617</v>
      </c>
      <c r="CS2" s="10" t="s">
        <v>618</v>
      </c>
      <c r="CT2" s="10" t="s">
        <v>1322</v>
      </c>
      <c r="CU2" s="10" t="s">
        <v>1323</v>
      </c>
      <c r="CW2" s="53" t="str">
        <f>IF(MAX($CV:$CV)=0,"","Please enlarge the table to calculate all risks!")</f>
        <v/>
      </c>
    </row>
    <row r="3" spans="1:99" ht="90.75">
      <c r="A3" s="16" t="str" cm="1">
        <f t="array" ca="1" aca="1" ref="A3">IF($B3="","","R"&amp;RemoveDelimiter(SUBSTITUTE(SUBSTITUTE($K3,"AS",""),",","-"),"-"))</f>
        <v>R1-3</v>
      </c>
      <c r="B3" s="16" t="str" cm="1">
        <f t="array" ca="1" aca="1" ref="B3">IF($L3="","",_xlfn.LET(_xlpm._finalAttackStep,$L3,_xlpm._prepAttacks,RemoveFirstElement(_xlpm._finalAttackStep&amp;","&amp;$K3),_xlpm._prepAttackNames,IFERROR(LookupNames(_xlpm._prepAttacks,'Attack Steps'!$A:$B),""),_xlpm._delimiter,REPT(CHAR(150),55),$L3&amp;" "&amp;SimpleLookup($L3,'Attack Steps'!$A:$B)&amp;IF(_xlpm._prepAttackNames="","",CHAR(10)&amp;_xlpm._delimiter&amp;CHAR(10)&amp;_xlpm._prepAttackNames)))</f>
        <v>AS3 Compromising the product using a software vulnerability
–––––––––––––––––––––––––––––––––––––––––––––––––––––––
AS1 Getting access to a trusted operational environment</v>
      </c>
      <c r="C3" s="19" t="str" cm="1">
        <f t="array" ca="1" aca="1" ref="C3">IFERROR(LookupNames($M3,'Damage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3" s="16" t="str">
        <f ca="1">IFERROR(IF($T3=0,"",INDEX(Definitions!$Q:$Q,MATCH($T3,Definitions!$R:$R,0))),"")</f>
        <v>Critical</v>
      </c>
      <c r="E3" s="19" t="str" cm="1">
        <f t="array" ca="1" aca="1" ref="E3">IF($A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A:W,Definitions!$Y:$Y,Definitions!$AB:$AB,1)&amp;CHAR(10)&amp;_xlpm._factorFunction($A3,$A:X,Definitions!$Y:$Y,Definitions!$AB:$AB,2)&amp;CHAR(10)&amp;_xlpm._factorFunction($A3,$A:Y,Definitions!$Y:$Y,Definitions!$AB:$AB,3)&amp;CHAR(10)&amp;_xlpm._factorFunction($A3,$A:Z,Definitions!$Y:$Y,Definitions!$AB:$AB,4)&amp;CHAR(10)&amp;_xlpm._factorFunction($A3,$A:AA,Definitions!$Y:$Y,Definitions!$AB:$AB,5)))</f>
        <v>Elapsed Time [4]: AS3
Expertise [6]: AS3
Knowledge of TOE [3]: AS3
Window of Opportunity [0]: AS1, AS3
Equipment [0]: AS1, AS3</v>
      </c>
      <c r="F3" s="16" t="str">
        <f ca="1">IF($A3="","",IFERROR(VLOOKUP($AG3,Definitions!$V:$W,COLUMNS(Definitions!$V:$W),TRUE),""))</f>
        <v>Enhanced-Basic</v>
      </c>
      <c r="G3" s="16" t="str">
        <f ca="1">IFERROR(IF(OR($D3="",$F3=""),"",VLOOKUP($D3,Definitions!$AH:$AM,MATCH($F3,Definitions!$AH$3:$AM$3,0),FALSE)),"")</f>
        <v>Very High</v>
      </c>
      <c r="H3" s="13" cm="1">
        <f t="array" ca="1" aca="1" ref="H3">IF(ROW()=ROW($H$2)+1,0,INDEX($H:$H,ROW()-1))+IF($A3="",0,1)</f>
        <v>1</v>
      </c>
      <c r="I3" s="10" cm="1">
        <f t="array" ref="I3">IF(ROW()=ROW($I$2)+1,1,INDEX($I:$I,ROW()-1)+IF(INDEX($S:$S,ROW()-1),1,0))</f>
        <v>1</v>
      </c>
      <c r="J3" s="10">
        <f ca="1" t="shared" si="0" ref="J3:J34">COUNTIF(OFFSET($I$2,1,0,ROW()-ROW($I$2),1),$I3)</f>
        <v>1</v>
      </c>
      <c r="K3" s="10" t="str">
        <f ca="1">IF($Q3="","",_xlfn.LET(_xlpm._aps,$Q3,_xlpm._firstPos,FIND("$",SUBSTITUTE(_xlpm._aps,"§","$",$J3))+1,_xlpm._lastPos,FIND("$",SUBSTITUTE(_xlpm._aps,"§","$",$J3+1)),MID(_xlpm._aps,_xlpm._firstPos,_xlpm._lastPos-_xlpm._firstPos)))</f>
        <v>AS1,AS3,</v>
      </c>
      <c r="L3" s="10" t="str" cm="1">
        <f t="array" ca="1" aca="1" ref="L3">IF($P3="","",INDEX('Attack Steps'!$A:$A,$P3))</f>
        <v>AS3</v>
      </c>
      <c r="M3" s="10" t="str" cm="1">
        <f t="array" ca="1" aca="1" ref="M3">IF($P3="","",INDEX('Attack Steps'!$T:$T,$P3))</f>
        <v>DS10,DS11,DS12,DS13,DS14,DS15,</v>
      </c>
      <c r="N3" s="10" t="str" cm="1">
        <f t="array" ca="1" aca="1" ref="N3">_xlfn.LET(_xlpm._dm,SanitizeInput(GetValuesWithFallback(SanitizeInput($AK3),Assumptions!$A:$I,Countermeasures!$A:$I,"",",",FALSE)),IF(_xlpm._dm="","",","&amp;_xlpm._dm))</f>
        <v/>
      </c>
      <c r="O3" s="10" t="str" cm="1">
        <f t="array" ca="1" aca="1" ref="O3">ApplyDamageMitigation($M3,$N3,"")</f>
        <v>DS10,DS11,DS12,DS13,DS14,DS15,</v>
      </c>
      <c r="P3" s="10">
        <f ca="1">IFERROR(MATCH($I3,'Attack Steps'!$V:$V,0),"")</f>
        <v>5</v>
      </c>
      <c r="Q3" s="10" t="str" cm="1">
        <f t="array" ca="1" aca="1" ref="Q3">IF($P3="","","§"&amp;INDEX('Attack Steps'!$S:$S,$P3))</f>
        <v>§AS1,AS3,§AS2,AS3,§</v>
      </c>
      <c r="R3" s="21" cm="1">
        <f t="array" ca="1" aca="1" ref="R3">IF($P3="","",INDEX('Attack Steps'!$W:$W,$P3))</f>
        <v>2</v>
      </c>
      <c r="S3" s="21" t="b">
        <f ca="1" t="shared" si="1" ref="S3:S4">$J3=$R3</f>
        <v>0</v>
      </c>
      <c r="T3" s="21" cm="1">
        <f t="array" ca="1" aca="1" ref="T3">_xlfn.LAMBDA(_xlpm._in,_xlpm._val,_xlpm._range,IF(_xlpm._in="",_xlpm._val,_xlfn.LET(_xlpm._id,LEFT(_xlpm._in,FIND(",",_xlpm._in)-1),CalculateMaxFromList(RemoveFirstElement(_xlpm._in),MAX(_xlpm._val,VLOOKUP(_xlpm._id,_xlpm._range,COLUMNS(_xlpm._range),FALSE)),_xlpm._range))))($M3,0,'Damage Scenarios'!$A:$U)</f>
        <v>5</v>
      </c>
      <c r="U3" s="21" cm="1">
        <f t="array" ca="1" aca="1" ref="U3">CalculateMaxFromList($O3,0,'Damage Scenarios'!$A:$U)</f>
        <v>5</v>
      </c>
      <c r="V3" s="21" t="str">
        <f ca="1">IF($U3=0,"",INDEX(Definitions!$Q:$Q,MATCH($U3,Definitions!$R:$R,0)))</f>
        <v>Critical</v>
      </c>
      <c r="W3" s="21" t="str" cm="1">
        <f t="array" ca="1" aca="1" ref="W3">CalculateMaxAndElements($K3,0,"",'Attack Steps'!$A:X)</f>
        <v>4:AS3,</v>
      </c>
      <c r="X3" s="21" t="str" cm="1">
        <f t="array" ca="1" aca="1" ref="X3">CalculateMaxAndElements($K3,0,"",'Attack Steps'!$A:Y)</f>
        <v>6:AS3,</v>
      </c>
      <c r="Y3" s="21" t="str" cm="1">
        <f t="array" ca="1" aca="1" ref="Y3">CalculateMaxAndElements($K3,0,"",'Attack Steps'!$A:Z)</f>
        <v>3:AS3,</v>
      </c>
      <c r="Z3" s="21" t="str" cm="1">
        <f t="array" ca="1" aca="1" ref="Z3">CalculateMaxAndElements($K3,0,"",'Attack Steps'!$A:AA)</f>
        <v>0:AS1,AS3,</v>
      </c>
      <c r="AA3" s="21" t="str" cm="1">
        <f t="array" ca="1" aca="1" ref="AA3">CalculateMaxAndElements($K3,0,"",'Attack Steps'!$A:AB)</f>
        <v>0:AS1,AS3,</v>
      </c>
      <c r="AB3" s="21">
        <f ca="1" t="shared" si="2" ref="AB3:AF4">IF(W3="","",VALUE(LEFT(W3,FIND(":",W3)-1)))</f>
        <v>4</v>
      </c>
      <c r="AC3" s="21">
        <f t="shared" ca="1" si="2"/>
        <v>6</v>
      </c>
      <c r="AD3" s="21">
        <f t="shared" ca="1" si="2"/>
        <v>3</v>
      </c>
      <c r="AE3" s="21">
        <f t="shared" ca="1" si="2"/>
        <v>0</v>
      </c>
      <c r="AF3" s="21">
        <f t="shared" ca="1" si="2"/>
        <v>0</v>
      </c>
      <c r="AG3" s="21">
        <f ca="1" t="shared" si="3" ref="AG3:AG34">SUM(OFFSET($AB3,0,0,1,COLUMNS($AB:$AF)))</f>
        <v>13</v>
      </c>
      <c r="AH3" s="21" t="str" cm="1">
        <f t="array" ca="1" aca="1" ref="AH3">IF(ROW()=ROW($AH$2)+1,"",INDEX($AH:$AH,ROW()-1))&amp;IF($A3="","",$A3&amp;",")</f>
        <v>R1-3,</v>
      </c>
      <c r="AI3" s="21" t="str">
        <f ca="1">IF($K3="","",","&amp;$K3)</f>
        <v>,AS1,AS3,</v>
      </c>
      <c r="AJ3" s="21" cm="1">
        <f t="array" ca="1" aca="1" ref="AJ3">IF($G3="",0,SimpleLookup($G3,Definitions!$AE:$AF))</f>
        <v>4</v>
      </c>
      <c r="AK3" s="21" t="str" cm="1">
        <f t="array" ca="1" aca="1" ref="AK3">InverseLookup($A3,Mitigation!$U$2,Mitigation!$J$2,1,Helper!$B$5,",")</f>
        <v/>
      </c>
      <c r="AL3" s="21" t="str" cm="1">
        <f t="array" ca="1" aca="1" ref="AL3">CalculateMaxAndElementsWithFallback(SanitizeInput($AK3),0,"",Countermeasures!$A:Y,Assumptions!$A:Z)</f>
        <v>0:</v>
      </c>
      <c r="AM3" s="21" t="str" cm="1">
        <f t="array" ca="1" aca="1" ref="AM3">CalculateMaxAndElementsWithFallback(SanitizeInput($AK3),0,"",Countermeasures!$A:Z,Assumptions!$A:AA)</f>
        <v>0:</v>
      </c>
      <c r="AN3" s="21" t="str" cm="1">
        <f t="array" ca="1" aca="1" ref="AN3">CalculateMaxAndElementsWithFallback(SanitizeInput($AK3),0,"",Countermeasures!$A:AA,Assumptions!$A:AB)</f>
        <v>0:</v>
      </c>
      <c r="AO3" s="21" t="str" cm="1">
        <f t="array" ca="1" aca="1" ref="AO3">CalculateMaxAndElementsWithFallback(SanitizeInput($AK3),0,"",Countermeasures!$A:AB,Assumptions!$A:AC)</f>
        <v>0:</v>
      </c>
      <c r="AP3" s="21" t="str" cm="1">
        <f t="array" ca="1" aca="1" ref="AP3">CalculateMaxAndElementsWithFallback(SanitizeInput($AK3),0,"",Countermeasures!$A:AC,Assumptions!$A:AD)</f>
        <v>0:</v>
      </c>
      <c r="AQ3" s="21">
        <f ca="1" t="shared" si="4" ref="AQ3:AU4">IF(AL3="","",VALUE(LEFT(AL3,FIND(":",AL3)-1)))</f>
        <v>0</v>
      </c>
      <c r="AR3" s="21">
        <f t="shared" ca="1" si="4"/>
        <v>0</v>
      </c>
      <c r="AS3" s="21">
        <f t="shared" ca="1" si="4"/>
        <v>0</v>
      </c>
      <c r="AT3" s="21">
        <f t="shared" ca="1" si="4"/>
        <v>0</v>
      </c>
      <c r="AU3" s="21">
        <f t="shared" ca="1" si="4"/>
        <v>0</v>
      </c>
      <c r="AV3" s="21" t="str">
        <f ca="1">IF(AB3=AQ3,W3&amp;RIGHT(AL3,LEN(AL3)-FIND(":",AL3)),IF(AB3&gt;AQ3,W3,AL3))</f>
        <v>4:AS3,</v>
      </c>
      <c r="AW3" s="21" t="str">
        <f ca="1" t="shared" si="5" ref="AW3:AW4">IF(AC3=AR3,X3&amp;RIGHT(AM3,LEN(AM3)-FIND(":",AM3)),IF(AC3&gt;AR3,X3,AM3))</f>
        <v>6:AS3,</v>
      </c>
      <c r="AX3" s="21" t="str">
        <f ca="1" t="shared" si="6" ref="AX3:AZ4">IF(AD3=AS3,Y3&amp;RIGHT(AN3,LEN(AN3)-FIND(":",AN3)),IF(AD3&gt;AS3,Y3,AN3))</f>
        <v>3:AS3,</v>
      </c>
      <c r="AY3" s="21" t="str">
        <f t="shared" ca="1" si="6"/>
        <v>0:AS1,AS3,</v>
      </c>
      <c r="AZ3" s="21" t="str">
        <f t="shared" ca="1" si="6"/>
        <v>0:AS1,AS3,</v>
      </c>
      <c r="BA3" s="21">
        <f ca="1">MAX(AB3,AQ3)</f>
        <v>4</v>
      </c>
      <c r="BB3" s="21">
        <f ca="1" t="shared" si="7" ref="BB3:BB4">MAX(AC3,AR3)</f>
        <v>6</v>
      </c>
      <c r="BC3" s="21">
        <f ca="1" t="shared" si="8" ref="BC3:BE4">MAX(AD3,AS3)</f>
        <v>3</v>
      </c>
      <c r="BD3" s="21">
        <f t="shared" ca="1" si="8"/>
        <v>0</v>
      </c>
      <c r="BE3" s="21">
        <f t="shared" ca="1" si="8"/>
        <v>0</v>
      </c>
      <c r="BF3" s="21">
        <f ca="1" t="shared" si="9" ref="BF3:BF34">SUM(OFFSET($BA3,0,0,1,COLUMNS($BA:$BE)))</f>
        <v>13</v>
      </c>
      <c r="BG3" s="21" t="str">
        <f ca="1">IFERROR(VLOOKUP($BF3,Definitions!$V:$W,COLUMNS(Definitions!$V:$W),TRUE),"")</f>
        <v>Enhanced-Basic</v>
      </c>
      <c r="BH3" s="21" t="str">
        <f ca="1">_xlfn.LET(_xlpm._comments,GetValues($K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 s="21" t="str" cm="1">
        <f t="array" ca="1" aca="1" ref="BI3">_xlfn.LET(_xlpm._rapRange,Definitions!$W:$W,_xlpm._calculatedRAP,$BG3,_xlpm._inlineRAP,$BH3,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3" s="21" t="str">
        <f ca="1">IFERROR(IF(OR($V3="",$BI3=""),Definitions!$AE$4,VLOOKUP($V3,Definitions!$AH:$AM,MATCH($BI3,Definitions!$AH$3:$AM$3,0),FALSE)),"")</f>
        <v>Very High</v>
      </c>
      <c r="BK3" s="21" cm="1">
        <f t="array" ca="1" aca="1" ref="BK3">IF($BJ3="",0,SimpleLookup($BJ3,Definitions!$AE:$AF))</f>
        <v>4</v>
      </c>
      <c r="BL3" s="21" t="str" cm="1">
        <f t="array" ca="1" aca="1" ref="BL3">IFERROR(SimpleLookup($A3,Tracing!$B:$Z),"")</f>
        <v/>
      </c>
      <c r="BM3" s="21" t="str" cm="1">
        <f t="array" ca="1" aca="1" ref="BM3">_xlfn.LET(_xlpm._dm,SanitizeInput(GetValuesWithFallback(SanitizeInput($BL3),Assumptions!$A:$I,Countermeasures!$A:$I,"",",",FALSE)),IF(_xlpm._dm="","",","&amp;_xlpm._dm))</f>
        <v/>
      </c>
      <c r="BN3" s="21" t="str" cm="1">
        <f t="array" ca="1" aca="1" ref="BN3">ApplyDamageMitigation($M3,$BM3,"")</f>
        <v>DS10,DS11,DS12,DS13,DS14,DS15,</v>
      </c>
      <c r="BO3" s="21" cm="1">
        <f t="array" ca="1" aca="1" ref="BO3">CalculateMaxFromList($BN3,0,'Damage Scenarios'!$A:$U)</f>
        <v>5</v>
      </c>
      <c r="BP3" s="21" t="str">
        <f ca="1">IF($BO3=0,"",INDEX(Definitions!$Q:$Q,MATCH($BO3,Definitions!$R:$R,0)))</f>
        <v>Critical</v>
      </c>
      <c r="BQ3" s="21" t="str" cm="1">
        <f t="array" ca="1" aca="1" ref="BQ3">CalculateMaxAndElementsWithFallback(SanitizeInput($BL3),0,"",Countermeasures!$A:Y,Assumptions!$A:Z)</f>
        <v>0:</v>
      </c>
      <c r="BR3" s="21" t="str" cm="1">
        <f t="array" ca="1" aca="1" ref="BR3">CalculateMaxAndElementsWithFallback(SanitizeInput($BL3),0,"",Countermeasures!$A:Z,Assumptions!$A:AA)</f>
        <v>0:</v>
      </c>
      <c r="BS3" s="21" t="str" cm="1">
        <f t="array" ca="1" aca="1" ref="BS3">CalculateMaxAndElementsWithFallback(SanitizeInput($BL3),0,"",Countermeasures!$A:AA,Assumptions!$A:AB)</f>
        <v>0:</v>
      </c>
      <c r="BT3" s="21" t="str" cm="1">
        <f t="array" ca="1" aca="1" ref="BT3">CalculateMaxAndElementsWithFallback(SanitizeInput($BL3),0,"",Countermeasures!$A:AB,Assumptions!$A:AC)</f>
        <v>0:</v>
      </c>
      <c r="BU3" s="21" t="str" cm="1">
        <f t="array" ca="1" aca="1" ref="BU3">CalculateMaxAndElementsWithFallback(SanitizeInput($BL3),0,"",Countermeasures!$A:AC,Assumptions!$A:AD)</f>
        <v>0:</v>
      </c>
      <c r="BV3" s="21">
        <f ca="1" t="shared" si="10" ref="BV3">IF(BQ3="","",VALUE(LEFT(BQ3,FIND(":",BQ3)-1)))</f>
        <v>0</v>
      </c>
      <c r="BW3" s="21">
        <f ca="1" t="shared" si="11" ref="BW3">IF(BR3="","",VALUE(LEFT(BR3,FIND(":",BR3)-1)))</f>
        <v>0</v>
      </c>
      <c r="BX3" s="21">
        <f ca="1" t="shared" si="12" ref="BX3">IF(BS3="","",VALUE(LEFT(BS3,FIND(":",BS3)-1)))</f>
        <v>0</v>
      </c>
      <c r="BY3" s="21">
        <f ca="1" t="shared" si="13" ref="BY3">IF(BT3="","",VALUE(LEFT(BT3,FIND(":",BT3)-1)))</f>
        <v>0</v>
      </c>
      <c r="BZ3" s="21">
        <f ca="1" t="shared" si="14" ref="BZ3">IF(BU3="","",VALUE(LEFT(BU3,FIND(":",BU3)-1)))</f>
        <v>0</v>
      </c>
      <c r="CA3" s="21" t="str">
        <f ca="1">IF(AB3=BV3,W3&amp;RIGHT(BQ3,LEN(BQ3)-FIND(":",BQ3)),IF(AB3&gt;BV3,W3,BQ3))</f>
        <v>4:AS3,</v>
      </c>
      <c r="CB3" s="21" t="str">
        <f ca="1" t="shared" si="15" ref="CB3">IF(AC3=BW3,X3&amp;RIGHT(BR3,LEN(BR3)-FIND(":",BR3)),IF(AC3&gt;BW3,X3,BR3))</f>
        <v>6:AS3,</v>
      </c>
      <c r="CC3" s="21" t="str">
        <f ca="1" t="shared" si="16" ref="CC3">IF(AD3=BX3,Y3&amp;RIGHT(BS3,LEN(BS3)-FIND(":",BS3)),IF(AD3&gt;BX3,Y3,BS3))</f>
        <v>3:AS3,</v>
      </c>
      <c r="CD3" s="21" t="str">
        <f ca="1" t="shared" si="17" ref="CD3">IF(AE3=BY3,Z3&amp;RIGHT(BT3,LEN(BT3)-FIND(":",BT3)),IF(AE3&gt;BY3,Z3,BT3))</f>
        <v>0:AS1,AS3,</v>
      </c>
      <c r="CE3" s="21" t="str">
        <f ca="1" t="shared" si="18" ref="CE3">IF(AF3=BZ3,AA3&amp;RIGHT(BU3,LEN(BU3)-FIND(":",BU3)),IF(AF3&gt;BZ3,AA3,BU3))</f>
        <v>0:AS1,AS3,</v>
      </c>
      <c r="CF3" s="21">
        <f ca="1">MAX(AB3,BV3)</f>
        <v>4</v>
      </c>
      <c r="CG3" s="21">
        <f ca="1" t="shared" si="19" ref="CG3">MAX(AC3,BW3)</f>
        <v>6</v>
      </c>
      <c r="CH3" s="21">
        <f ca="1" t="shared" si="20" ref="CH3">MAX(AD3,BX3)</f>
        <v>3</v>
      </c>
      <c r="CI3" s="21">
        <f ca="1" t="shared" si="21" ref="CI3">MAX(AE3,BY3)</f>
        <v>0</v>
      </c>
      <c r="CJ3" s="21">
        <f ca="1" t="shared" si="22" ref="CJ3">MAX(AF3,BZ3)</f>
        <v>0</v>
      </c>
      <c r="CK3" s="21">
        <f ca="1" t="shared" si="23" ref="CK3:CK34">SUM(OFFSET($CF3,0,0,1,COLUMNS($CF:$CJ)))</f>
        <v>13</v>
      </c>
      <c r="CL3" s="21" t="str">
        <f ca="1">IFERROR(VLOOKUP($CK3,Definitions!$V:$W,COLUMNS(Definitions!$V:$W),TRUE),"")</f>
        <v>Enhanced-Basic</v>
      </c>
      <c r="CM3" s="21" t="str">
        <f ca="1">_xlfn.LET(_xlpm._comments,SimpleLookup($A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 s="21" t="str" cm="1">
        <f t="array" ca="1" aca="1" ref="CN3">_xlfn.LET(_xlpm._rapRange,Definitions!$W:$W,_xlpm._calculatedRAP,$CL3,_xlpm._inlineRAP,$CM3,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3" s="21" t="str">
        <f ca="1">IFERROR(IF(OR($BP3="",$CN3=""),Definitions!$AE$4,VLOOKUP($BP3,Definitions!$AH:$AM,MATCH($CN3,Definitions!$AH$3:$AM$3,0),FALSE)),"")</f>
        <v>Very High</v>
      </c>
      <c r="CP3" s="21" cm="1">
        <f t="array" ca="1" aca="1" ref="CP3">IF($CO3="",0,SimpleLookup($CO3,Definitions!$AE:$AF))</f>
        <v>4</v>
      </c>
      <c r="CQ3" s="21" t="b">
        <f ca="1">OR(AND($S3,$I3=Helper!$B$7),$I3&gt;Helper!$B$7)</f>
        <v>0</v>
      </c>
      <c r="CR3" s="21" t="str">
        <f ca="1" t="shared" si="24" ref="CR3:CR34">IF(NOT(OR($CQ3,AND(NOT($CQ3),OFFSET($CQ3,1,0)&lt;&gt;""))),"Please enlarge the table!","")</f>
        <v/>
      </c>
      <c r="CS3" s="21" cm="1">
        <f t="array" ca="1" aca="1" ref="CS3">CreateID($CS$2,$CV:$CV,$CR3&lt;&gt;"")</f>
        <v>0</v>
      </c>
      <c r="CT3" s="21" t="str">
        <f ca="1">IF(IFERROR(MATCH(","&amp;A3&amp;",",'Risk Treatment'!$AT:$AT,0)&gt;0,FALSE),"",$A3)</f>
        <v>R1-3</v>
      </c>
      <c r="CU3" s="21" cm="1">
        <f t="array" ca="1" aca="1" ref="CU3">CreateID($CU$2,$CU:$CU,$CT3&lt;&gt;"")</f>
        <v>1</v>
      </c>
    </row>
    <row r="4" spans="1:99" ht="90.75">
      <c r="A4" s="16" t="str" cm="1">
        <f t="array" ca="1" aca="1" ref="A4">IF($B4="","","R"&amp;RemoveDelimiter(SUBSTITUTE(SUBSTITUTE($K4,"AS",""),",","-"),"-"))</f>
        <v>R2-3</v>
      </c>
      <c r="B4" s="16" t="str" cm="1">
        <f t="array" ca="1" aca="1" ref="B4">IF($L4="","",_xlfn.LET(_xlpm._finalAttackStep,$L4,_xlpm._prepAttacks,RemoveFirstElement(_xlpm._finalAttackStep&amp;","&amp;$K4),_xlpm._prepAttackNames,IFERROR(LookupNames(_xlpm._prepAttacks,'Attack Steps'!$A:$B),""),_xlpm._delimiter,REPT(CHAR(150),55),$L4&amp;" "&amp;SimpleLookup($L4,'Attack Steps'!$A:$B)&amp;IF(_xlpm._prepAttackNames="","",CHAR(10)&amp;_xlpm._delimiter&amp;CHAR(10)&amp;_xlpm._prepAttackNames)))</f>
        <v>AS3 Compromising the product using a software vulnerability
–––––––––––––––––––––––––––––––––––––––––––––––––––––––
AS2 Getting access to a wireless network</v>
      </c>
      <c r="C4" s="19" t="str" cm="1">
        <f t="array" ca="1" aca="1" ref="C4">IFERROR(LookupNames($M4,'Damage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4" s="16" t="str">
        <f ca="1">IFERROR(IF($T4=0,"",INDEX(Definitions!$Q:$Q,MATCH($T4,Definitions!$R:$R,0))),"")</f>
        <v>Critical</v>
      </c>
      <c r="E4" s="19" t="str" cm="1">
        <f t="array" ca="1" aca="1" ref="E4">IF($A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A:W,Definitions!$Y:$Y,Definitions!$AB:$AB,1)&amp;CHAR(10)&amp;_xlpm._factorFunction($A4,$A:X,Definitions!$Y:$Y,Definitions!$AB:$AB,2)&amp;CHAR(10)&amp;_xlpm._factorFunction($A4,$A:Y,Definitions!$Y:$Y,Definitions!$AB:$AB,3)&amp;CHAR(10)&amp;_xlpm._factorFunction($A4,$A:Z,Definitions!$Y:$Y,Definitions!$AB:$AB,4)&amp;CHAR(10)&amp;_xlpm._factorFunction($A4,$A:AA,Definitions!$Y:$Y,Definitions!$AB:$AB,5)))</f>
        <v>Elapsed Time [4]: AS3
Expertise [6]: AS3
Knowledge of TOE [3]: AS3
Window of Opportunity [1]: AS2
Equipment [0]: AS2, AS3</v>
      </c>
      <c r="F4" s="16" t="str">
        <f ca="1">IF($A4="","",IFERROR(VLOOKUP($AG4,Definitions!$V:$W,COLUMNS(Definitions!$V:$W),TRUE),""))</f>
        <v>Moderate</v>
      </c>
      <c r="G4" s="16" t="str">
        <f ca="1">IFERROR(IF(OR($D4="",$F4=""),"",VLOOKUP($D4,Definitions!$AH:$AM,MATCH($F4,Definitions!$AH$3:$AM$3,0),FALSE)),"")</f>
        <v>Very High</v>
      </c>
      <c r="H4" s="13" cm="1">
        <f t="array" ca="1" aca="1" ref="H4">IF(ROW()=ROW($H$2)+1,0,INDEX($H:$H,ROW()-1))+IF($A4="",0,1)</f>
        <v>2</v>
      </c>
      <c r="I4" s="10" cm="1">
        <f t="array" ca="1" aca="1" ref="I4">IF(ROW()=ROW($I$2)+1,1,INDEX($I:$I,ROW()-1)+IF(INDEX($S:$S,ROW()-1),1,0))</f>
        <v>1</v>
      </c>
      <c r="J4" s="10">
        <f t="shared" ca="1" si="0"/>
        <v>2</v>
      </c>
      <c r="K4" s="10" t="str">
        <f ca="1">IF($Q4="","",_xlfn.LET(_xlpm._aps,$Q4,_xlpm._firstPos,FIND("$",SUBSTITUTE(_xlpm._aps,"§","$",$J4))+1,_xlpm._lastPos,FIND("$",SUBSTITUTE(_xlpm._aps,"§","$",$J4+1)),MID(_xlpm._aps,_xlpm._firstPos,_xlpm._lastPos-_xlpm._firstPos)))</f>
        <v>AS2,AS3,</v>
      </c>
      <c r="L4" s="10" t="str" cm="1">
        <f t="array" ca="1" aca="1" ref="L4">IF($P4="","",INDEX('Attack Steps'!$A:$A,$P4))</f>
        <v>AS3</v>
      </c>
      <c r="M4" s="22" t="str" cm="1">
        <f t="array" ca="1" aca="1" ref="M4">IF($P4="","",INDEX('Attack Steps'!$T:$T,$P4))</f>
        <v>DS10,DS11,DS12,DS13,DS14,DS15,</v>
      </c>
      <c r="N4" s="22" t="str" cm="1">
        <f t="array" ca="1" aca="1" ref="N4">_xlfn.LET(_xlpm._dm,SanitizeInput(GetValuesWithFallback(SanitizeInput($AK4),Assumptions!$A:$I,Countermeasures!$A:$I,"",",",FALSE)),IF(_xlpm._dm="","",","&amp;_xlpm._dm))</f>
        <v/>
      </c>
      <c r="O4" s="22" t="str" cm="1">
        <f t="array" ca="1" aca="1" ref="O4">ApplyDamageMitigation($M4,$N4,"")</f>
        <v>DS10,DS11,DS12,DS13,DS14,DS15,</v>
      </c>
      <c r="P4" s="10">
        <f ca="1">IFERROR(MATCH($I4,'Attack Steps'!$V:$V,0),"")</f>
        <v>5</v>
      </c>
      <c r="Q4" s="10" t="str" cm="1">
        <f t="array" ca="1" aca="1" ref="Q4">IF($P4="","","§"&amp;INDEX('Attack Steps'!$S:$S,$P4))</f>
        <v>§AS1,AS3,§AS2,AS3,§</v>
      </c>
      <c r="R4" s="21" cm="1">
        <f t="array" ca="1" aca="1" ref="R4">IF($P4="","",INDEX('Attack Steps'!$W:$W,$P4))</f>
        <v>2</v>
      </c>
      <c r="S4" s="21" t="b">
        <f t="shared" ca="1" si="1"/>
        <v>1</v>
      </c>
      <c r="T4" s="21" cm="1">
        <f t="array" ca="1" aca="1" ref="T4">_xlfn.LAMBDA(_xlpm._in,_xlpm._val,_xlpm._range,IF(_xlpm._in="",_xlpm._val,_xlfn.LET(_xlpm._id,LEFT(_xlpm._in,FIND(",",_xlpm._in)-1),CalculateMaxFromList(RemoveFirstElement(_xlpm._in),MAX(_xlpm._val,VLOOKUP(_xlpm._id,_xlpm._range,COLUMNS(_xlpm._range),FALSE)),_xlpm._range))))($M4,0,'Damage Scenarios'!$A:$U)</f>
        <v>5</v>
      </c>
      <c r="U4" s="21" cm="1">
        <f t="array" ca="1" aca="1" ref="U4">CalculateMaxFromList($O4,0,'Damage Scenarios'!$A:$U)</f>
        <v>5</v>
      </c>
      <c r="V4" s="21" t="str">
        <f ca="1">IF($U4=0,"",INDEX(Definitions!$Q:$Q,MATCH($U4,Definitions!$R:$R,0)))</f>
        <v>Critical</v>
      </c>
      <c r="W4" s="21" t="str" cm="1">
        <f t="array" ca="1" aca="1" ref="W4">CalculateMaxAndElements($K4,0,"",'Attack Steps'!$A:X)</f>
        <v>4:AS3,</v>
      </c>
      <c r="X4" s="21" t="str" cm="1">
        <f t="array" ca="1" aca="1" ref="X4">CalculateMaxAndElements($K4,0,"",'Attack Steps'!$A:Y)</f>
        <v>6:AS3,</v>
      </c>
      <c r="Y4" s="21" t="str" cm="1">
        <f t="array" ca="1" aca="1" ref="Y4">CalculateMaxAndElements($K4,0,"",'Attack Steps'!$A:Z)</f>
        <v>3:AS3,</v>
      </c>
      <c r="Z4" s="21" t="str" cm="1">
        <f t="array" ca="1" aca="1" ref="Z4">CalculateMaxAndElements($K4,0,"",'Attack Steps'!$A:AA)</f>
        <v>1:AS2,</v>
      </c>
      <c r="AA4" s="21" t="str" cm="1">
        <f t="array" ca="1" aca="1" ref="AA4">CalculateMaxAndElements($K4,0,"",'Attack Steps'!$A:AB)</f>
        <v>0:AS2,AS3,</v>
      </c>
      <c r="AB4" s="21">
        <f t="shared" ca="1" si="2"/>
        <v>4</v>
      </c>
      <c r="AC4" s="21">
        <f t="shared" ca="1" si="2"/>
        <v>6</v>
      </c>
      <c r="AD4" s="21">
        <f t="shared" ca="1" si="2"/>
        <v>3</v>
      </c>
      <c r="AE4" s="21">
        <f t="shared" ca="1" si="2"/>
        <v>1</v>
      </c>
      <c r="AF4" s="21">
        <f t="shared" ca="1" si="2"/>
        <v>0</v>
      </c>
      <c r="AG4" s="21">
        <f t="shared" ca="1" si="3"/>
        <v>14</v>
      </c>
      <c r="AH4" s="21" t="str" cm="1">
        <f t="array" ca="1" aca="1" ref="AH4">IF(ROW()=ROW($AH$2)+1,"",INDEX($AH:$AH,ROW()-1))&amp;IF($A4="","",$A4&amp;",")</f>
        <v>R1-3,R2-3,</v>
      </c>
      <c r="AI4" s="21" t="str">
        <f ca="1">IF($K4="","",","&amp;$K4)</f>
        <v>,AS2,AS3,</v>
      </c>
      <c r="AJ4" s="21" cm="1">
        <f t="array" ca="1" aca="1" ref="AJ4">IF($G4="",0,SimpleLookup($G4,Definitions!$AE:$AF))</f>
        <v>4</v>
      </c>
      <c r="AK4" s="21" t="str" cm="1">
        <f t="array" ca="1" aca="1" ref="AK4">InverseLookup($A4,Mitigation!$U$2,Mitigation!$J$2,1,Helper!$B$5,",")</f>
        <v/>
      </c>
      <c r="AL4" s="21" t="str" cm="1">
        <f t="array" ca="1" aca="1" ref="AL4">CalculateMaxAndElementsWithFallback(SanitizeInput($AK4),0,"",Countermeasures!$A:Y,Assumptions!$A:Z)</f>
        <v>0:</v>
      </c>
      <c r="AM4" s="21" t="str" cm="1">
        <f t="array" ca="1" aca="1" ref="AM4">CalculateMaxAndElementsWithFallback(SanitizeInput($AK4),0,"",Countermeasures!$A:Z,Assumptions!$A:AA)</f>
        <v>0:</v>
      </c>
      <c r="AN4" s="21" t="str" cm="1">
        <f t="array" ca="1" aca="1" ref="AN4">CalculateMaxAndElementsWithFallback(SanitizeInput($AK4),0,"",Countermeasures!$A:AA,Assumptions!$A:AB)</f>
        <v>0:</v>
      </c>
      <c r="AO4" s="21" t="str" cm="1">
        <f t="array" ca="1" aca="1" ref="AO4">CalculateMaxAndElementsWithFallback(SanitizeInput($AK4),0,"",Countermeasures!$A:AB,Assumptions!$A:AC)</f>
        <v>0:</v>
      </c>
      <c r="AP4" s="21" t="str" cm="1">
        <f t="array" ca="1" aca="1" ref="AP4">CalculateMaxAndElementsWithFallback(SanitizeInput($AK4),0,"",Countermeasures!$A:AC,Assumptions!$A:AD)</f>
        <v>0:</v>
      </c>
      <c r="AQ4" s="21">
        <f t="shared" ca="1" si="4"/>
        <v>0</v>
      </c>
      <c r="AR4" s="21">
        <f t="shared" ca="1" si="4"/>
        <v>0</v>
      </c>
      <c r="AS4" s="21">
        <f t="shared" ca="1" si="4"/>
        <v>0</v>
      </c>
      <c r="AT4" s="21">
        <f t="shared" ca="1" si="4"/>
        <v>0</v>
      </c>
      <c r="AU4" s="21">
        <f t="shared" ca="1" si="4"/>
        <v>0</v>
      </c>
      <c r="AV4" s="21" t="str">
        <f ca="1">IF(AB4=AQ4,W4&amp;RIGHT(AL4,LEN(AL4)-FIND(":",AL4)),IF(AB4&gt;AQ4,W4,AL4))</f>
        <v>4:AS3,</v>
      </c>
      <c r="AW4" s="21" t="str">
        <f t="shared" ca="1" si="5"/>
        <v>6:AS3,</v>
      </c>
      <c r="AX4" s="21" t="str">
        <f t="shared" ca="1" si="6"/>
        <v>3:AS3,</v>
      </c>
      <c r="AY4" s="21" t="str">
        <f t="shared" ca="1" si="6"/>
        <v>1:AS2,</v>
      </c>
      <c r="AZ4" s="21" t="str">
        <f t="shared" ca="1" si="6"/>
        <v>0:AS2,AS3,</v>
      </c>
      <c r="BA4" s="21">
        <f ca="1">MAX(AB4,AQ4)</f>
        <v>4</v>
      </c>
      <c r="BB4" s="21">
        <f t="shared" ca="1" si="7"/>
        <v>6</v>
      </c>
      <c r="BC4" s="21">
        <f t="shared" ca="1" si="8"/>
        <v>3</v>
      </c>
      <c r="BD4" s="21">
        <f t="shared" ca="1" si="8"/>
        <v>1</v>
      </c>
      <c r="BE4" s="21">
        <f t="shared" ca="1" si="8"/>
        <v>0</v>
      </c>
      <c r="BF4" s="21">
        <f t="shared" ca="1" si="9"/>
        <v>14</v>
      </c>
      <c r="BG4" s="21" t="str">
        <f ca="1">IFERROR(VLOOKUP($BF4,Definitions!$V:$W,COLUMNS(Definitions!$V:$W),TRUE),"")</f>
        <v>Moderate</v>
      </c>
      <c r="BH4" s="21" t="str">
        <f ca="1">_xlfn.LET(_xlpm._comments,GetValues($K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 s="21" t="str" cm="1">
        <f t="array" ca="1" aca="1" ref="BI4">_xlfn.LET(_xlpm._rapRange,Definitions!$W:$W,_xlpm._calculatedRAP,$BG4,_xlpm._inlineRAP,$BH4,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BJ4" s="21" t="str">
        <f ca="1">IFERROR(IF(OR($V4="",$BI4=""),Definitions!$AE$4,VLOOKUP($V4,Definitions!$AH:$AM,MATCH($BI4,Definitions!$AH$3:$AM$3,0),FALSE)),"")</f>
        <v>Very High</v>
      </c>
      <c r="BK4" s="21" cm="1">
        <f t="array" ca="1" aca="1" ref="BK4">IF($BJ4="",0,SimpleLookup($BJ4,Definitions!$AE:$AF))</f>
        <v>4</v>
      </c>
      <c r="BL4" s="21" t="str" cm="1">
        <f t="array" ca="1" aca="1" ref="BL4">IFERROR(SimpleLookup($A4,Tracing!$B:$Z),"")</f>
        <v/>
      </c>
      <c r="BM4" s="21" t="str" cm="1">
        <f t="array" ca="1" aca="1" ref="BM4">_xlfn.LET(_xlpm._dm,SanitizeInput(GetValuesWithFallback(SanitizeInput($BL4),Assumptions!$A:$I,Countermeasures!$A:$I,"",",",FALSE)),IF(_xlpm._dm="","",","&amp;_xlpm._dm))</f>
        <v/>
      </c>
      <c r="BN4" s="21" t="str" cm="1">
        <f t="array" ca="1" aca="1" ref="BN4">ApplyDamageMitigation($M4,$BM4,"")</f>
        <v>DS10,DS11,DS12,DS13,DS14,DS15,</v>
      </c>
      <c r="BO4" s="21" cm="1">
        <f t="array" ca="1" aca="1" ref="BO4">CalculateMaxFromList($BN4,0,'Damage Scenarios'!$A:$U)</f>
        <v>5</v>
      </c>
      <c r="BP4" s="21" t="str">
        <f ca="1">IF($BO4=0,"",INDEX(Definitions!$Q:$Q,MATCH($BO4,Definitions!$R:$R,0)))</f>
        <v>Critical</v>
      </c>
      <c r="BQ4" s="21" t="str" cm="1">
        <f t="array" ca="1" aca="1" ref="BQ4">CalculateMaxAndElementsWithFallback(SanitizeInput($BL4),0,"",Countermeasures!$A:Y,Assumptions!$A:Z)</f>
        <v>0:</v>
      </c>
      <c r="BR4" s="21" t="str" cm="1">
        <f t="array" ca="1" aca="1" ref="BR4">CalculateMaxAndElementsWithFallback(SanitizeInput($BL4),0,"",Countermeasures!$A:Z,Assumptions!$A:AA)</f>
        <v>0:</v>
      </c>
      <c r="BS4" s="21" t="str" cm="1">
        <f t="array" ca="1" aca="1" ref="BS4">CalculateMaxAndElementsWithFallback(SanitizeInput($BL4),0,"",Countermeasures!$A:AA,Assumptions!$A:AB)</f>
        <v>0:</v>
      </c>
      <c r="BT4" s="21" t="str" cm="1">
        <f t="array" ca="1" aca="1" ref="BT4">CalculateMaxAndElementsWithFallback(SanitizeInput($BL4),0,"",Countermeasures!$A:AB,Assumptions!$A:AC)</f>
        <v>0:</v>
      </c>
      <c r="BU4" s="21" t="str" cm="1">
        <f t="array" ca="1" aca="1" ref="BU4">CalculateMaxAndElementsWithFallback(SanitizeInput($BL4),0,"",Countermeasures!$A:AC,Assumptions!$A:AD)</f>
        <v>0:</v>
      </c>
      <c r="BV4" s="21">
        <f ca="1" t="shared" si="25" ref="BV4:BV67">IF(BQ4="","",VALUE(LEFT(BQ4,FIND(":",BQ4)-1)))</f>
        <v>0</v>
      </c>
      <c r="BW4" s="21">
        <f ca="1" t="shared" si="26" ref="BW4:BW67">IF(BR4="","",VALUE(LEFT(BR4,FIND(":",BR4)-1)))</f>
        <v>0</v>
      </c>
      <c r="BX4" s="21">
        <f ca="1" t="shared" si="27" ref="BX4:BX67">IF(BS4="","",VALUE(LEFT(BS4,FIND(":",BS4)-1)))</f>
        <v>0</v>
      </c>
      <c r="BY4" s="21">
        <f ca="1" t="shared" si="28" ref="BY4:BY67">IF(BT4="","",VALUE(LEFT(BT4,FIND(":",BT4)-1)))</f>
        <v>0</v>
      </c>
      <c r="BZ4" s="21">
        <f ca="1" t="shared" si="29" ref="BZ4:BZ67">IF(BU4="","",VALUE(LEFT(BU4,FIND(":",BU4)-1)))</f>
        <v>0</v>
      </c>
      <c r="CA4" s="21" t="str">
        <f ca="1" t="shared" si="30" ref="CA4:CA67">IF(AB4=BV4,W4&amp;RIGHT(BQ4,LEN(BQ4)-FIND(":",BQ4)),IF(AB4&gt;BV4,W4,BQ4))</f>
        <v>4:AS3,</v>
      </c>
      <c r="CB4" s="21" t="str">
        <f ca="1" t="shared" si="31" ref="CB4:CB67">IF(AC4=BW4,X4&amp;RIGHT(BR4,LEN(BR4)-FIND(":",BR4)),IF(AC4&gt;BW4,X4,BR4))</f>
        <v>6:AS3,</v>
      </c>
      <c r="CC4" s="21" t="str">
        <f ca="1" t="shared" si="32" ref="CC4:CC67">IF(AD4=BX4,Y4&amp;RIGHT(BS4,LEN(BS4)-FIND(":",BS4)),IF(AD4&gt;BX4,Y4,BS4))</f>
        <v>3:AS3,</v>
      </c>
      <c r="CD4" s="21" t="str">
        <f ca="1" t="shared" si="33" ref="CD4:CD67">IF(AE4=BY4,Z4&amp;RIGHT(BT4,LEN(BT4)-FIND(":",BT4)),IF(AE4&gt;BY4,Z4,BT4))</f>
        <v>1:AS2,</v>
      </c>
      <c r="CE4" s="21" t="str">
        <f ca="1" t="shared" si="34" ref="CE4:CE67">IF(AF4=BZ4,AA4&amp;RIGHT(BU4,LEN(BU4)-FIND(":",BU4)),IF(AF4&gt;BZ4,AA4,BU4))</f>
        <v>0:AS2,AS3,</v>
      </c>
      <c r="CF4" s="21">
        <f ca="1" t="shared" si="35" ref="CF4:CF67">MAX(AB4,BV4)</f>
        <v>4</v>
      </c>
      <c r="CG4" s="21">
        <f ca="1" t="shared" si="36" ref="CG4:CG67">MAX(AC4,BW4)</f>
        <v>6</v>
      </c>
      <c r="CH4" s="21">
        <f ca="1" t="shared" si="37" ref="CH4:CH67">MAX(AD4,BX4)</f>
        <v>3</v>
      </c>
      <c r="CI4" s="21">
        <f ca="1" t="shared" si="38" ref="CI4:CI67">MAX(AE4,BY4)</f>
        <v>1</v>
      </c>
      <c r="CJ4" s="21">
        <f ca="1" t="shared" si="39" ref="CJ4:CJ67">MAX(AF4,BZ4)</f>
        <v>0</v>
      </c>
      <c r="CK4" s="21">
        <f t="shared" ca="1" si="23"/>
        <v>14</v>
      </c>
      <c r="CL4" s="21" t="str">
        <f ca="1">IFERROR(VLOOKUP($CK4,Definitions!$V:$W,COLUMNS(Definitions!$V:$W),TRUE),"")</f>
        <v>Moderate</v>
      </c>
      <c r="CM4" s="21" t="str">
        <f ca="1">_xlfn.LET(_xlpm._comments,SimpleLookup($A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 s="21" t="str" cm="1">
        <f t="array" ca="1" aca="1" ref="CN4">_xlfn.LET(_xlpm._rapRange,Definitions!$W:$W,_xlpm._calculatedRAP,$CL4,_xlpm._inlineRAP,$CM4,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CO4" s="21" t="str">
        <f ca="1">IFERROR(IF(OR($BP4="",$CN4=""),Definitions!$AE$4,VLOOKUP($BP4,Definitions!$AH:$AM,MATCH($CN4,Definitions!$AH$3:$AM$3,0),FALSE)),"")</f>
        <v>Very High</v>
      </c>
      <c r="CP4" s="21" cm="1">
        <f t="array" ca="1" aca="1" ref="CP4">IF($CO4="",0,SimpleLookup($CO4,Definitions!$AE:$AF))</f>
        <v>4</v>
      </c>
      <c r="CQ4" s="21" t="b">
        <f ca="1">OR(AND($S4,$I4=Helper!$B$7),$I4&gt;Helper!$B$7)</f>
        <v>0</v>
      </c>
      <c r="CR4" s="21" t="str">
        <f t="shared" ca="1" si="24"/>
        <v/>
      </c>
      <c r="CS4" s="21" cm="1">
        <f t="array" ca="1" aca="1" ref="CS4">CreateID($CS$2,$CV:$CV,$CR4&lt;&gt;"")</f>
        <v>0</v>
      </c>
      <c r="CT4" s="21" t="str">
        <f ca="1">IF(IFERROR(MATCH(","&amp;A4&amp;",",'Risk Treatment'!$AT:$AT,0)&gt;0,FALSE),"",$A4)</f>
        <v>R2-3</v>
      </c>
      <c r="CU4" s="21" cm="1">
        <f t="array" ca="1" aca="1" ref="CU4">CreateID($CU$2,$CU:$CU,$CT4&lt;&gt;"")</f>
        <v>2</v>
      </c>
    </row>
    <row r="5" spans="1:99" ht="57">
      <c r="A5" s="33" t="str" cm="1">
        <f t="array" ca="1" aca="1" ref="A5">IF($B5="","","R"&amp;RemoveDelimiter(SUBSTITUTE(SUBSTITUTE($K5,"AS",""),",","-"),"-"))</f>
        <v>R1-4</v>
      </c>
      <c r="B5" s="33" t="str" cm="1">
        <f t="array" ca="1" aca="1" ref="B5">IF($L5="","",_xlfn.LET(_xlpm._finalAttackStep,$L5,_xlpm._prepAttacks,RemoveFirstElement(_xlpm._finalAttackStep&amp;","&amp;$K5),_xlpm._prepAttackNames,IFERROR(LookupNames(_xlpm._prepAttacks,'Attack Steps'!$A:$B),""),_xlpm._delimiter,REPT(CHAR(150),55),$L5&amp;" "&amp;SimpleLookup($L5,'Attack Steps'!$A:$B)&amp;IF(_xlpm._prepAttackNames="","",CHAR(10)&amp;_xlpm._delimiter&amp;CHAR(10)&amp;_xlpm._prepAttackNames)))</f>
        <v>AS4 Interrupting the product with a denial of service attack
–––––––––––––––––––––––––––––––––––––––––––––––––––––––
AS1 Getting access to a trusted operational environment</v>
      </c>
      <c r="C5" s="34" t="str" cm="1">
        <f t="array" ca="1" aca="1" ref="C5">IFERROR(LookupNames($M5,'Damage Scenarios'!$A:$V),"")</f>
        <v>DS6 Life-threatening injury caused by unavailable product [Critical],
DS7 Critical environmental damage caused by unavailable product [Critical],
DS8 Loss of Critical financial damage caused by unavailable product [Critical]</v>
      </c>
      <c r="D5" s="33" t="str">
        <f ca="1">IFERROR(IF($T5=0,"",INDEX(Definitions!$Q:$Q,MATCH($T5,Definitions!$R:$R,0))),"")</f>
        <v>Critical</v>
      </c>
      <c r="E5" s="34" t="str" cm="1">
        <f t="array" ca="1" aca="1" ref="E5">IF($A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A:W,Definitions!$Y:$Y,Definitions!$AB:$AB,1)&amp;CHAR(10)&amp;_xlpm._factorFunction($A5,$A:X,Definitions!$Y:$Y,Definitions!$AB:$AB,2)&amp;CHAR(10)&amp;_xlpm._factorFunction($A5,$A:Y,Definitions!$Y:$Y,Definitions!$AB:$AB,3)&amp;CHAR(10)&amp;_xlpm._factorFunction($A5,$A:Z,Definitions!$Y:$Y,Definitions!$AB:$AB,4)&amp;CHAR(10)&amp;_xlpm._factorFunction($A5,$A:AA,Definitions!$Y:$Y,Definitions!$AB:$AB,5)))</f>
        <v>Elapsed Time [0]: AS1, AS4
Expertise [3]: AS4
Knowledge of TOE [0]: AS1, AS4
Window of Opportunity [0]: AS1, AS4
Equipment [0]: AS1, AS4</v>
      </c>
      <c r="F5" s="33" t="str">
        <f ca="1">IF($A5="","",IFERROR(VLOOKUP($AG5,Definitions!$V:$W,COLUMNS(Definitions!$V:$W),TRUE),""))</f>
        <v>Basic</v>
      </c>
      <c r="G5" s="33" t="str">
        <f ca="1">IFERROR(IF(OR($D5="",$F5=""),"",VLOOKUP($D5,Definitions!$AH:$AM,MATCH($F5,Definitions!$AH$3:$AM$3,0),FALSE)),"")</f>
        <v>Very High</v>
      </c>
      <c r="H5" s="23" cm="1">
        <f t="array" ca="1" aca="1" ref="H5">IF(ROW()=ROW($H$2)+1,0,INDEX($H:$H,ROW()-1))+IF($A5="",0,1)</f>
        <v>3</v>
      </c>
      <c r="I5" s="21" cm="1">
        <f t="array" ca="1" aca="1" ref="I5">IF(ROW()=ROW($I$2)+1,1,INDEX($I:$I,ROW()-1)+IF(INDEX($S:$S,ROW()-1),1,0))</f>
        <v>2</v>
      </c>
      <c r="J5" s="21">
        <f t="shared" ca="1" si="0"/>
        <v>1</v>
      </c>
      <c r="K5" s="21" t="str">
        <f ca="1" t="shared" si="40" ref="K5:K36">IF($Q5="","",_xlfn.LET(_xlpm._aps,$Q5,_xlpm._firstPos,FIND("$",SUBSTITUTE(_xlpm._aps,"§","$",$J5))+1,_xlpm._lastPos,FIND("$",SUBSTITUTE(_xlpm._aps,"§","$",$J5+1)),MID(_xlpm._aps,_xlpm._firstPos,_xlpm._lastPos-_xlpm._firstPos)))</f>
        <v>AS1,AS4,</v>
      </c>
      <c r="L5" s="21" t="str" cm="1">
        <f t="array" ca="1" aca="1" ref="L5">IF($P5="","",INDEX('Attack Steps'!$A:$A,$P5))</f>
        <v>AS4</v>
      </c>
      <c r="M5" s="21" t="str" cm="1">
        <f t="array" ca="1" aca="1" ref="M5">IF($P5="","",INDEX('Attack Steps'!$T:$T,$P5))</f>
        <v>DS6,DS7,DS8,</v>
      </c>
      <c r="N5" s="21" t="str" cm="1">
        <f t="array" ca="1" aca="1" ref="N5">_xlfn.LET(_xlpm._dm,SanitizeInput(GetValuesWithFallback(SanitizeInput($AK5),Assumptions!$A:$I,Countermeasures!$A:$I,"",",",FALSE)),IF(_xlpm._dm="","",","&amp;_xlpm._dm))</f>
        <v/>
      </c>
      <c r="O5" s="21" t="str" cm="1">
        <f t="array" ca="1" aca="1" ref="O5">ApplyDamageMitigation($M5,$N5,"")</f>
        <v>DS6,DS7,DS8,</v>
      </c>
      <c r="P5" s="21">
        <f ca="1">IFERROR(MATCH($I5,'Attack Steps'!$V:$V,0),"")</f>
        <v>6</v>
      </c>
      <c r="Q5" s="21" t="str" cm="1">
        <f t="array" ca="1" aca="1" ref="Q5">IF($P5="","","§"&amp;INDEX('Attack Steps'!$S:$S,$P5))</f>
        <v>§AS1,AS4,§AS2,AS4,§</v>
      </c>
      <c r="R5" s="21" cm="1">
        <f t="array" ca="1" aca="1" ref="R5">IF($P5="","",INDEX('Attack Steps'!$W:$W,$P5))</f>
        <v>2</v>
      </c>
      <c r="S5" s="21" t="b">
        <f ca="1" t="shared" si="41" ref="S5:S36">$J5=$R5</f>
        <v>0</v>
      </c>
      <c r="T5" s="21" cm="1">
        <f t="array" ca="1" aca="1" ref="T5">_xlfn.LAMBDA(_xlpm._in,_xlpm._val,_xlpm._range,IF(_xlpm._in="",_xlpm._val,_xlfn.LET(_xlpm._id,LEFT(_xlpm._in,FIND(",",_xlpm._in)-1),CalculateMaxFromList(RemoveFirstElement(_xlpm._in),MAX(_xlpm._val,VLOOKUP(_xlpm._id,_xlpm._range,COLUMNS(_xlpm._range),FALSE)),_xlpm._range))))($M5,0,'Damage Scenarios'!$A:$U)</f>
        <v>5</v>
      </c>
      <c r="U5" s="21" cm="1">
        <f t="array" ca="1" aca="1" ref="U5">CalculateMaxFromList($O5,0,'Damage Scenarios'!$A:$U)</f>
        <v>5</v>
      </c>
      <c r="V5" s="21" t="str">
        <f ca="1">IF($U5=0,"",INDEX(Definitions!$Q:$Q,MATCH($U5,Definitions!$R:$R,0)))</f>
        <v>Critical</v>
      </c>
      <c r="W5" s="21" t="str" cm="1">
        <f t="array" ca="1" aca="1" ref="W5">CalculateMaxAndElements($K5,0,"",'Attack Steps'!$A:X)</f>
        <v>0:AS1,AS4,</v>
      </c>
      <c r="X5" s="21" t="str" cm="1">
        <f t="array" ca="1" aca="1" ref="X5">CalculateMaxAndElements($K5,0,"",'Attack Steps'!$A:Y)</f>
        <v>3:AS4,</v>
      </c>
      <c r="Y5" s="21" t="str" cm="1">
        <f t="array" ca="1" aca="1" ref="Y5">CalculateMaxAndElements($K5,0,"",'Attack Steps'!$A:Z)</f>
        <v>0:AS1,AS4,</v>
      </c>
      <c r="Z5" s="21" t="str" cm="1">
        <f t="array" ca="1" aca="1" ref="Z5">CalculateMaxAndElements($K5,0,"",'Attack Steps'!$A:AA)</f>
        <v>0:AS1,AS4,</v>
      </c>
      <c r="AA5" s="21" t="str" cm="1">
        <f t="array" ca="1" aca="1" ref="AA5">CalculateMaxAndElements($K5,0,"",'Attack Steps'!$A:AB)</f>
        <v>0:AS1,AS4,</v>
      </c>
      <c r="AB5" s="21">
        <f ca="1" t="shared" si="42" ref="AB5:AB36">IF(W5="","",VALUE(LEFT(W5,FIND(":",W5)-1)))</f>
        <v>0</v>
      </c>
      <c r="AC5" s="21">
        <f ca="1" t="shared" si="43" ref="AC5:AC36">IF(X5="","",VALUE(LEFT(X5,FIND(":",X5)-1)))</f>
        <v>3</v>
      </c>
      <c r="AD5" s="21">
        <f ca="1" t="shared" si="44" ref="AD5:AD36">IF(Y5="","",VALUE(LEFT(Y5,FIND(":",Y5)-1)))</f>
        <v>0</v>
      </c>
      <c r="AE5" s="21">
        <f ca="1" t="shared" si="45" ref="AE5:AE36">IF(Z5="","",VALUE(LEFT(Z5,FIND(":",Z5)-1)))</f>
        <v>0</v>
      </c>
      <c r="AF5" s="21">
        <f ca="1" t="shared" si="46" ref="AF5:AF36">IF(AA5="","",VALUE(LEFT(AA5,FIND(":",AA5)-1)))</f>
        <v>0</v>
      </c>
      <c r="AG5" s="21">
        <f t="shared" ca="1" si="3"/>
        <v>3</v>
      </c>
      <c r="AH5" s="21" t="str" cm="1">
        <f t="array" ca="1" aca="1" ref="AH5">IF(ROW()=ROW($AH$2)+1,"",INDEX($AH:$AH,ROW()-1))&amp;IF($A5="","",$A5&amp;",")</f>
        <v>R1-3,R2-3,R1-4,</v>
      </c>
      <c r="AI5" s="21" t="str">
        <f ca="1" t="shared" si="47" ref="AI5:AI36">IF($K5="","",","&amp;$K5)</f>
        <v>,AS1,AS4,</v>
      </c>
      <c r="AJ5" s="21" cm="1">
        <f t="array" ca="1" aca="1" ref="AJ5">IF($G5="",0,SimpleLookup($G5,Definitions!$AE:$AF))</f>
        <v>4</v>
      </c>
      <c r="AK5" s="21" t="str" cm="1">
        <f t="array" ca="1" aca="1" ref="AK5">InverseLookup($A5,Mitigation!$U$2,Mitigation!$J$2,1,Helper!$B$5,",")</f>
        <v/>
      </c>
      <c r="AL5" s="21" t="str" cm="1">
        <f t="array" ca="1" aca="1" ref="AL5">CalculateMaxAndElementsWithFallback(SanitizeInput($AK5),0,"",Countermeasures!$A:Y,Assumptions!$A:Z)</f>
        <v>0:</v>
      </c>
      <c r="AM5" s="21" t="str" cm="1">
        <f t="array" ca="1" aca="1" ref="AM5">CalculateMaxAndElementsWithFallback(SanitizeInput($AK5),0,"",Countermeasures!$A:Z,Assumptions!$A:AA)</f>
        <v>0:</v>
      </c>
      <c r="AN5" s="21" t="str" cm="1">
        <f t="array" ca="1" aca="1" ref="AN5">CalculateMaxAndElementsWithFallback(SanitizeInput($AK5),0,"",Countermeasures!$A:AA,Assumptions!$A:AB)</f>
        <v>0:</v>
      </c>
      <c r="AO5" s="21" t="str" cm="1">
        <f t="array" ca="1" aca="1" ref="AO5">CalculateMaxAndElementsWithFallback(SanitizeInput($AK5),0,"",Countermeasures!$A:AB,Assumptions!$A:AC)</f>
        <v>0:</v>
      </c>
      <c r="AP5" s="21" t="str" cm="1">
        <f t="array" ca="1" aca="1" ref="AP5">CalculateMaxAndElementsWithFallback(SanitizeInput($AK5),0,"",Countermeasures!$A:AC,Assumptions!$A:AD)</f>
        <v>0:</v>
      </c>
      <c r="AQ5" s="21">
        <f ca="1" t="shared" si="48" ref="AQ5:AQ36">IF(AL5="","",VALUE(LEFT(AL5,FIND(":",AL5)-1)))</f>
        <v>0</v>
      </c>
      <c r="AR5" s="21">
        <f ca="1" t="shared" si="49" ref="AR5:AR36">IF(AM5="","",VALUE(LEFT(AM5,FIND(":",AM5)-1)))</f>
        <v>0</v>
      </c>
      <c r="AS5" s="21">
        <f ca="1" t="shared" si="50" ref="AS5:AS36">IF(AN5="","",VALUE(LEFT(AN5,FIND(":",AN5)-1)))</f>
        <v>0</v>
      </c>
      <c r="AT5" s="21">
        <f ca="1" t="shared" si="51" ref="AT5:AT36">IF(AO5="","",VALUE(LEFT(AO5,FIND(":",AO5)-1)))</f>
        <v>0</v>
      </c>
      <c r="AU5" s="21">
        <f ca="1" t="shared" si="52" ref="AU5:AU36">IF(AP5="","",VALUE(LEFT(AP5,FIND(":",AP5)-1)))</f>
        <v>0</v>
      </c>
      <c r="AV5" s="21" t="str">
        <f ca="1" t="shared" si="53" ref="AV5:AV36">IF(AB5=AQ5,W5&amp;RIGHT(AL5,LEN(AL5)-FIND(":",AL5)),IF(AB5&gt;AQ5,W5,AL5))</f>
        <v>0:AS1,AS4,</v>
      </c>
      <c r="AW5" s="21" t="str">
        <f ca="1" t="shared" si="54" ref="AW5:AW36">IF(AC5=AR5,X5&amp;RIGHT(AM5,LEN(AM5)-FIND(":",AM5)),IF(AC5&gt;AR5,X5,AM5))</f>
        <v>3:AS4,</v>
      </c>
      <c r="AX5" s="21" t="str">
        <f ca="1" t="shared" si="55" ref="AX5:AX36">IF(AD5=AS5,Y5&amp;RIGHT(AN5,LEN(AN5)-FIND(":",AN5)),IF(AD5&gt;AS5,Y5,AN5))</f>
        <v>0:AS1,AS4,</v>
      </c>
      <c r="AY5" s="21" t="str">
        <f ca="1" t="shared" si="56" ref="AY5:AY36">IF(AE5=AT5,Z5&amp;RIGHT(AO5,LEN(AO5)-FIND(":",AO5)),IF(AE5&gt;AT5,Z5,AO5))</f>
        <v>0:AS1,AS4,</v>
      </c>
      <c r="AZ5" s="21" t="str">
        <f ca="1" t="shared" si="57" ref="AZ5:AZ36">IF(AF5=AU5,AA5&amp;RIGHT(AP5,LEN(AP5)-FIND(":",AP5)),IF(AF5&gt;AU5,AA5,AP5))</f>
        <v>0:AS1,AS4,</v>
      </c>
      <c r="BA5" s="21">
        <f ca="1" t="shared" si="58" ref="BA5:BA36">MAX(AB5,AQ5)</f>
        <v>0</v>
      </c>
      <c r="BB5" s="21">
        <f ca="1" t="shared" si="59" ref="BB5:BB36">MAX(AC5,AR5)</f>
        <v>3</v>
      </c>
      <c r="BC5" s="21">
        <f ca="1" t="shared" si="60" ref="BC5:BC36">MAX(AD5,AS5)</f>
        <v>0</v>
      </c>
      <c r="BD5" s="21">
        <f ca="1" t="shared" si="61" ref="BD5:BD36">MAX(AE5,AT5)</f>
        <v>0</v>
      </c>
      <c r="BE5" s="21">
        <f ca="1" t="shared" si="62" ref="BE5:BE36">MAX(AF5,AU5)</f>
        <v>0</v>
      </c>
      <c r="BF5" s="21">
        <f t="shared" ca="1" si="9"/>
        <v>3</v>
      </c>
      <c r="BG5" s="21" t="str">
        <f ca="1">IFERROR(VLOOKUP($BF5,Definitions!$V:$W,COLUMNS(Definitions!$V:$W),TRUE),"")</f>
        <v>Basic</v>
      </c>
      <c r="BH5" s="21" t="str">
        <f ca="1">_xlfn.LET(_xlpm._comments,GetValues($K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 s="21" t="str" cm="1">
        <f t="array" ca="1" aca="1" ref="BI5">_xlfn.LET(_xlpm._rapRange,Definitions!$W:$W,_xlpm._calculatedRAP,$BG5,_xlpm._inlineRAP,$BH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 s="21" t="str">
        <f ca="1">IFERROR(IF(OR($V5="",$BI5=""),Definitions!$AE$4,VLOOKUP($V5,Definitions!$AH:$AM,MATCH($BI5,Definitions!$AH$3:$AM$3,0),FALSE)),"")</f>
        <v>Very High</v>
      </c>
      <c r="BK5" s="21" cm="1">
        <f t="array" ca="1" aca="1" ref="BK5">IF($BJ5="",0,SimpleLookup($BJ5,Definitions!$AE:$AF))</f>
        <v>4</v>
      </c>
      <c r="BL5" s="21" t="str" cm="1">
        <f t="array" ca="1" aca="1" ref="BL5">IFERROR(SimpleLookup($A5,Tracing!$B:$Z),"")</f>
        <v/>
      </c>
      <c r="BM5" s="21" t="str" cm="1">
        <f t="array" ca="1" aca="1" ref="BM5">_xlfn.LET(_xlpm._dm,SanitizeInput(GetValuesWithFallback(SanitizeInput($BL5),Assumptions!$A:$I,Countermeasures!$A:$I,"",",",FALSE)),IF(_xlpm._dm="","",","&amp;_xlpm._dm))</f>
        <v/>
      </c>
      <c r="BN5" s="21" t="str" cm="1">
        <f t="array" ca="1" aca="1" ref="BN5">ApplyDamageMitigation($M5,$BM5,"")</f>
        <v>DS6,DS7,DS8,</v>
      </c>
      <c r="BO5" s="21" cm="1">
        <f t="array" ca="1" aca="1" ref="BO5">CalculateMaxFromList($BN5,0,'Damage Scenarios'!$A:$U)</f>
        <v>5</v>
      </c>
      <c r="BP5" s="21" t="str">
        <f ca="1">IF($BO5=0,"",INDEX(Definitions!$Q:$Q,MATCH($BO5,Definitions!$R:$R,0)))</f>
        <v>Critical</v>
      </c>
      <c r="BQ5" s="21" t="str" cm="1">
        <f t="array" ca="1" aca="1" ref="BQ5">CalculateMaxAndElementsWithFallback(SanitizeInput($BL5),0,"",Countermeasures!$A:Y,Assumptions!$A:Z)</f>
        <v>0:</v>
      </c>
      <c r="BR5" s="21" t="str" cm="1">
        <f t="array" ca="1" aca="1" ref="BR5">CalculateMaxAndElementsWithFallback(SanitizeInput($BL5),0,"",Countermeasures!$A:Z,Assumptions!$A:AA)</f>
        <v>0:</v>
      </c>
      <c r="BS5" s="21" t="str" cm="1">
        <f t="array" ca="1" aca="1" ref="BS5">CalculateMaxAndElementsWithFallback(SanitizeInput($BL5),0,"",Countermeasures!$A:AA,Assumptions!$A:AB)</f>
        <v>0:</v>
      </c>
      <c r="BT5" s="21" t="str" cm="1">
        <f t="array" ca="1" aca="1" ref="BT5">CalculateMaxAndElementsWithFallback(SanitizeInput($BL5),0,"",Countermeasures!$A:AB,Assumptions!$A:AC)</f>
        <v>0:</v>
      </c>
      <c r="BU5" s="21" t="str" cm="1">
        <f t="array" ca="1" aca="1" ref="BU5">CalculateMaxAndElementsWithFallback(SanitizeInput($BL5),0,"",Countermeasures!$A:AC,Assumptions!$A:AD)</f>
        <v>0:</v>
      </c>
      <c r="BV5" s="21">
        <f t="shared" ca="1" si="25"/>
        <v>0</v>
      </c>
      <c r="BW5" s="21">
        <f t="shared" ca="1" si="26"/>
        <v>0</v>
      </c>
      <c r="BX5" s="21">
        <f t="shared" ca="1" si="27"/>
        <v>0</v>
      </c>
      <c r="BY5" s="21">
        <f t="shared" ca="1" si="28"/>
        <v>0</v>
      </c>
      <c r="BZ5" s="21">
        <f t="shared" ca="1" si="29"/>
        <v>0</v>
      </c>
      <c r="CA5" s="21" t="str">
        <f t="shared" ca="1" si="30"/>
        <v>0:AS1,AS4,</v>
      </c>
      <c r="CB5" s="21" t="str">
        <f t="shared" ca="1" si="31"/>
        <v>3:AS4,</v>
      </c>
      <c r="CC5" s="21" t="str">
        <f t="shared" ca="1" si="32"/>
        <v>0:AS1,AS4,</v>
      </c>
      <c r="CD5" s="21" t="str">
        <f t="shared" ca="1" si="33"/>
        <v>0:AS1,AS4,</v>
      </c>
      <c r="CE5" s="21" t="str">
        <f t="shared" ca="1" si="34"/>
        <v>0:AS1,AS4,</v>
      </c>
      <c r="CF5" s="21">
        <f t="shared" ca="1" si="35"/>
        <v>0</v>
      </c>
      <c r="CG5" s="21">
        <f t="shared" ca="1" si="36"/>
        <v>3</v>
      </c>
      <c r="CH5" s="21">
        <f t="shared" ca="1" si="37"/>
        <v>0</v>
      </c>
      <c r="CI5" s="21">
        <f t="shared" ca="1" si="38"/>
        <v>0</v>
      </c>
      <c r="CJ5" s="21">
        <f t="shared" ca="1" si="39"/>
        <v>0</v>
      </c>
      <c r="CK5" s="21">
        <f t="shared" ca="1" si="23"/>
        <v>3</v>
      </c>
      <c r="CL5" s="21" t="str">
        <f ca="1">IFERROR(VLOOKUP($CK5,Definitions!$V:$W,COLUMNS(Definitions!$V:$W),TRUE),"")</f>
        <v>Basic</v>
      </c>
      <c r="CM5" s="21" t="str">
        <f ca="1">_xlfn.LET(_xlpm._comments,SimpleLookup($A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 s="21" t="str" cm="1">
        <f t="array" ca="1" aca="1" ref="CN5">_xlfn.LET(_xlpm._rapRange,Definitions!$W:$W,_xlpm._calculatedRAP,$CL5,_xlpm._inlineRAP,$CM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 s="21" t="str">
        <f ca="1">IFERROR(IF(OR($BP5="",$CN5=""),Definitions!$AE$4,VLOOKUP($BP5,Definitions!$AH:$AM,MATCH($CN5,Definitions!$AH$3:$AM$3,0),FALSE)),"")</f>
        <v>Very High</v>
      </c>
      <c r="CP5" s="21" cm="1">
        <f t="array" ca="1" aca="1" ref="CP5">IF($CO5="",0,SimpleLookup($CO5,Definitions!$AE:$AF))</f>
        <v>4</v>
      </c>
      <c r="CQ5" s="21" t="b">
        <f ca="1">OR(AND($S5,$I5=Helper!$B$7),$I5&gt;Helper!$B$7)</f>
        <v>0</v>
      </c>
      <c r="CR5" s="21" t="str">
        <f t="shared" ca="1" si="24"/>
        <v/>
      </c>
      <c r="CS5" s="21" cm="1">
        <f t="array" ca="1" aca="1" ref="CS5">CreateID($CS$2,$CV:$CV,$CR5&lt;&gt;"")</f>
        <v>0</v>
      </c>
      <c r="CT5" s="21" t="str">
        <f ca="1">IF(IFERROR(MATCH(","&amp;A5&amp;",",'Risk Treatment'!$AT:$AT,0)&gt;0,FALSE),"",$A5)</f>
        <v>R1-4</v>
      </c>
      <c r="CU5" s="21" cm="1">
        <f t="array" ca="1" aca="1" ref="CU5">CreateID($CU$2,$CU:$CU,$CT5&lt;&gt;"")</f>
        <v>3</v>
      </c>
    </row>
    <row r="6" spans="1:99" ht="57">
      <c r="A6" s="33" t="str" cm="1">
        <f t="array" ca="1" aca="1" ref="A6">IF($B6="","","R"&amp;RemoveDelimiter(SUBSTITUTE(SUBSTITUTE($K6,"AS",""),",","-"),"-"))</f>
        <v>R2-4</v>
      </c>
      <c r="B6" s="33" t="str" cm="1">
        <f t="array" ca="1" aca="1" ref="B6">IF($L6="","",_xlfn.LET(_xlpm._finalAttackStep,$L6,_xlpm._prepAttacks,RemoveFirstElement(_xlpm._finalAttackStep&amp;","&amp;$K6),_xlpm._prepAttackNames,IFERROR(LookupNames(_xlpm._prepAttacks,'Attack Steps'!$A:$B),""),_xlpm._delimiter,REPT(CHAR(150),55),$L6&amp;" "&amp;SimpleLookup($L6,'Attack Steps'!$A:$B)&amp;IF(_xlpm._prepAttackNames="","",CHAR(10)&amp;_xlpm._delimiter&amp;CHAR(10)&amp;_xlpm._prepAttackNames)))</f>
        <v>AS4 Interrupting the product with a denial of service attack
–––––––––––––––––––––––––––––––––––––––––––––––––––––––
AS2 Getting access to a wireless network</v>
      </c>
      <c r="C6" s="34" t="str" cm="1">
        <f t="array" ca="1" aca="1" ref="C6">IFERROR(LookupNames($M6,'Damage Scenarios'!$A:$V),"")</f>
        <v>DS6 Life-threatening injury caused by unavailable product [Critical],
DS7 Critical environmental damage caused by unavailable product [Critical],
DS8 Loss of Critical financial damage caused by unavailable product [Critical]</v>
      </c>
      <c r="D6" s="33" t="str">
        <f ca="1">IFERROR(IF($T6=0,"",INDEX(Definitions!$Q:$Q,MATCH($T6,Definitions!$R:$R,0))),"")</f>
        <v>Critical</v>
      </c>
      <c r="E6" s="34" t="str" cm="1">
        <f t="array" ca="1" aca="1" ref="E6">IF($A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A:W,Definitions!$Y:$Y,Definitions!$AB:$AB,1)&amp;CHAR(10)&amp;_xlpm._factorFunction($A6,$A:X,Definitions!$Y:$Y,Definitions!$AB:$AB,2)&amp;CHAR(10)&amp;_xlpm._factorFunction($A6,$A:Y,Definitions!$Y:$Y,Definitions!$AB:$AB,3)&amp;CHAR(10)&amp;_xlpm._factorFunction($A6,$A:Z,Definitions!$Y:$Y,Definitions!$AB:$AB,4)&amp;CHAR(10)&amp;_xlpm._factorFunction($A6,$A:AA,Definitions!$Y:$Y,Definitions!$AB:$AB,5)))</f>
        <v>Elapsed Time [0]: AS2, AS4
Expertise [3]: AS2, AS4
Knowledge of TOE [0]: AS2, AS4
Window of Opportunity [1]: AS2
Equipment [0]: AS2, AS4</v>
      </c>
      <c r="F6" s="33" t="str">
        <f ca="1">IF($A6="","",IFERROR(VLOOKUP($AG6,Definitions!$V:$W,COLUMNS(Definitions!$V:$W),TRUE),""))</f>
        <v>Basic</v>
      </c>
      <c r="G6" s="33" t="str">
        <f ca="1">IFERROR(IF(OR($D6="",$F6=""),"",VLOOKUP($D6,Definitions!$AH:$AM,MATCH($F6,Definitions!$AH$3:$AM$3,0),FALSE)),"")</f>
        <v>Very High</v>
      </c>
      <c r="H6" s="23" cm="1">
        <f t="array" ca="1" aca="1" ref="H6">IF(ROW()=ROW($H$2)+1,0,INDEX($H:$H,ROW()-1))+IF($A6="",0,1)</f>
        <v>4</v>
      </c>
      <c r="I6" s="21" cm="1">
        <f t="array" ca="1" aca="1" ref="I6">IF(ROW()=ROW($I$2)+1,1,INDEX($I:$I,ROW()-1)+IF(INDEX($S:$S,ROW()-1),1,0))</f>
        <v>2</v>
      </c>
      <c r="J6" s="21">
        <f t="shared" ca="1" si="0"/>
        <v>2</v>
      </c>
      <c r="K6" s="21" t="str">
        <f t="shared" ca="1" si="40"/>
        <v>AS2,AS4,</v>
      </c>
      <c r="L6" s="21" t="str" cm="1">
        <f t="array" ca="1" aca="1" ref="L6">IF($P6="","",INDEX('Attack Steps'!$A:$A,$P6))</f>
        <v>AS4</v>
      </c>
      <c r="M6" s="21" t="str" cm="1">
        <f t="array" ca="1" aca="1" ref="M6">IF($P6="","",INDEX('Attack Steps'!$T:$T,$P6))</f>
        <v>DS6,DS7,DS8,</v>
      </c>
      <c r="N6" s="21" t="str" cm="1">
        <f t="array" ca="1" aca="1" ref="N6">_xlfn.LET(_xlpm._dm,SanitizeInput(GetValuesWithFallback(SanitizeInput($AK6),Assumptions!$A:$I,Countermeasures!$A:$I,"",",",FALSE)),IF(_xlpm._dm="","",","&amp;_xlpm._dm))</f>
        <v/>
      </c>
      <c r="O6" s="21" t="str" cm="1">
        <f t="array" ca="1" aca="1" ref="O6">ApplyDamageMitigation($M6,$N6,"")</f>
        <v>DS6,DS7,DS8,</v>
      </c>
      <c r="P6" s="21">
        <f ca="1">IFERROR(MATCH($I6,'Attack Steps'!$V:$V,0),"")</f>
        <v>6</v>
      </c>
      <c r="Q6" s="21" t="str" cm="1">
        <f t="array" ca="1" aca="1" ref="Q6">IF($P6="","","§"&amp;INDEX('Attack Steps'!$S:$S,$P6))</f>
        <v>§AS1,AS4,§AS2,AS4,§</v>
      </c>
      <c r="R6" s="21" cm="1">
        <f t="array" ca="1" aca="1" ref="R6">IF($P6="","",INDEX('Attack Steps'!$W:$W,$P6))</f>
        <v>2</v>
      </c>
      <c r="S6" s="21" t="b">
        <f t="shared" ca="1" si="41"/>
        <v>1</v>
      </c>
      <c r="T6" s="21" cm="1">
        <f t="array" ca="1" aca="1" ref="T6">_xlfn.LAMBDA(_xlpm._in,_xlpm._val,_xlpm._range,IF(_xlpm._in="",_xlpm._val,_xlfn.LET(_xlpm._id,LEFT(_xlpm._in,FIND(",",_xlpm._in)-1),CalculateMaxFromList(RemoveFirstElement(_xlpm._in),MAX(_xlpm._val,VLOOKUP(_xlpm._id,_xlpm._range,COLUMNS(_xlpm._range),FALSE)),_xlpm._range))))($M6,0,'Damage Scenarios'!$A:$U)</f>
        <v>5</v>
      </c>
      <c r="U6" s="21" cm="1">
        <f t="array" ca="1" aca="1" ref="U6">CalculateMaxFromList($O6,0,'Damage Scenarios'!$A:$U)</f>
        <v>5</v>
      </c>
      <c r="V6" s="21" t="str">
        <f ca="1">IF($U6=0,"",INDEX(Definitions!$Q:$Q,MATCH($U6,Definitions!$R:$R,0)))</f>
        <v>Critical</v>
      </c>
      <c r="W6" s="21" t="str" cm="1">
        <f t="array" ca="1" aca="1" ref="W6">CalculateMaxAndElements($K6,0,"",'Attack Steps'!$A:X)</f>
        <v>0:AS2,AS4,</v>
      </c>
      <c r="X6" s="21" t="str" cm="1">
        <f t="array" ca="1" aca="1" ref="X6">CalculateMaxAndElements($K6,0,"",'Attack Steps'!$A:Y)</f>
        <v>3:AS2,AS4,</v>
      </c>
      <c r="Y6" s="21" t="str" cm="1">
        <f t="array" ca="1" aca="1" ref="Y6">CalculateMaxAndElements($K6,0,"",'Attack Steps'!$A:Z)</f>
        <v>0:AS2,AS4,</v>
      </c>
      <c r="Z6" s="21" t="str" cm="1">
        <f t="array" ca="1" aca="1" ref="Z6">CalculateMaxAndElements($K6,0,"",'Attack Steps'!$A:AA)</f>
        <v>1:AS2,</v>
      </c>
      <c r="AA6" s="21" t="str" cm="1">
        <f t="array" ca="1" aca="1" ref="AA6">CalculateMaxAndElements($K6,0,"",'Attack Steps'!$A:AB)</f>
        <v>0:AS2,AS4,</v>
      </c>
      <c r="AB6" s="21">
        <f t="shared" ca="1" si="42"/>
        <v>0</v>
      </c>
      <c r="AC6" s="21">
        <f t="shared" ca="1" si="43"/>
        <v>3</v>
      </c>
      <c r="AD6" s="21">
        <f t="shared" ca="1" si="44"/>
        <v>0</v>
      </c>
      <c r="AE6" s="21">
        <f t="shared" ca="1" si="45"/>
        <v>1</v>
      </c>
      <c r="AF6" s="21">
        <f t="shared" ca="1" si="46"/>
        <v>0</v>
      </c>
      <c r="AG6" s="21">
        <f t="shared" ca="1" si="3"/>
        <v>4</v>
      </c>
      <c r="AH6" s="21" t="str" cm="1">
        <f t="array" ca="1" aca="1" ref="AH6">IF(ROW()=ROW($AH$2)+1,"",INDEX($AH:$AH,ROW()-1))&amp;IF($A6="","",$A6&amp;",")</f>
        <v>R1-3,R2-3,R1-4,R2-4,</v>
      </c>
      <c r="AI6" s="21" t="str">
        <f t="shared" ca="1" si="47"/>
        <v>,AS2,AS4,</v>
      </c>
      <c r="AJ6" s="21" cm="1">
        <f t="array" ca="1" aca="1" ref="AJ6">IF($G6="",0,SimpleLookup($G6,Definitions!$AE:$AF))</f>
        <v>4</v>
      </c>
      <c r="AK6" s="21" t="str" cm="1">
        <f t="array" ca="1" aca="1" ref="AK6">InverseLookup($A6,Mitigation!$U$2,Mitigation!$J$2,1,Helper!$B$5,",")</f>
        <v/>
      </c>
      <c r="AL6" s="21" t="str" cm="1">
        <f t="array" ca="1" aca="1" ref="AL6">CalculateMaxAndElementsWithFallback(SanitizeInput($AK6),0,"",Countermeasures!$A:Y,Assumptions!$A:Z)</f>
        <v>0:</v>
      </c>
      <c r="AM6" s="21" t="str" cm="1">
        <f t="array" ca="1" aca="1" ref="AM6">CalculateMaxAndElementsWithFallback(SanitizeInput($AK6),0,"",Countermeasures!$A:Z,Assumptions!$A:AA)</f>
        <v>0:</v>
      </c>
      <c r="AN6" s="21" t="str" cm="1">
        <f t="array" ca="1" aca="1" ref="AN6">CalculateMaxAndElementsWithFallback(SanitizeInput($AK6),0,"",Countermeasures!$A:AA,Assumptions!$A:AB)</f>
        <v>0:</v>
      </c>
      <c r="AO6" s="21" t="str" cm="1">
        <f t="array" ca="1" aca="1" ref="AO6">CalculateMaxAndElementsWithFallback(SanitizeInput($AK6),0,"",Countermeasures!$A:AB,Assumptions!$A:AC)</f>
        <v>0:</v>
      </c>
      <c r="AP6" s="21" t="str" cm="1">
        <f t="array" ca="1" aca="1" ref="AP6">CalculateMaxAndElementsWithFallback(SanitizeInput($AK6),0,"",Countermeasures!$A:AC,Assumptions!$A:AD)</f>
        <v>0:</v>
      </c>
      <c r="AQ6" s="21">
        <f t="shared" ca="1" si="48"/>
        <v>0</v>
      </c>
      <c r="AR6" s="21">
        <f t="shared" ca="1" si="49"/>
        <v>0</v>
      </c>
      <c r="AS6" s="21">
        <f t="shared" ca="1" si="50"/>
        <v>0</v>
      </c>
      <c r="AT6" s="21">
        <f t="shared" ca="1" si="51"/>
        <v>0</v>
      </c>
      <c r="AU6" s="21">
        <f t="shared" ca="1" si="52"/>
        <v>0</v>
      </c>
      <c r="AV6" s="21" t="str">
        <f t="shared" ca="1" si="53"/>
        <v>0:AS2,AS4,</v>
      </c>
      <c r="AW6" s="21" t="str">
        <f t="shared" ca="1" si="54"/>
        <v>3:AS2,AS4,</v>
      </c>
      <c r="AX6" s="21" t="str">
        <f t="shared" ca="1" si="55"/>
        <v>0:AS2,AS4,</v>
      </c>
      <c r="AY6" s="21" t="str">
        <f t="shared" ca="1" si="56"/>
        <v>1:AS2,</v>
      </c>
      <c r="AZ6" s="21" t="str">
        <f t="shared" ca="1" si="57"/>
        <v>0:AS2,AS4,</v>
      </c>
      <c r="BA6" s="21">
        <f t="shared" ca="1" si="58"/>
        <v>0</v>
      </c>
      <c r="BB6" s="21">
        <f t="shared" ca="1" si="59"/>
        <v>3</v>
      </c>
      <c r="BC6" s="21">
        <f t="shared" ca="1" si="60"/>
        <v>0</v>
      </c>
      <c r="BD6" s="21">
        <f t="shared" ca="1" si="61"/>
        <v>1</v>
      </c>
      <c r="BE6" s="21">
        <f t="shared" ca="1" si="62"/>
        <v>0</v>
      </c>
      <c r="BF6" s="21">
        <f t="shared" ca="1" si="9"/>
        <v>4</v>
      </c>
      <c r="BG6" s="21" t="str">
        <f ca="1">IFERROR(VLOOKUP($BF6,Definitions!$V:$W,COLUMNS(Definitions!$V:$W),TRUE),"")</f>
        <v>Basic</v>
      </c>
      <c r="BH6" s="21" t="str">
        <f ca="1">_xlfn.LET(_xlpm._comments,GetValues($K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 s="21" t="str" cm="1">
        <f t="array" ca="1" aca="1" ref="BI6">_xlfn.LET(_xlpm._rapRange,Definitions!$W:$W,_xlpm._calculatedRAP,$BG6,_xlpm._inlineRAP,$BH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 s="21" t="str">
        <f ca="1">IFERROR(IF(OR($V6="",$BI6=""),Definitions!$AE$4,VLOOKUP($V6,Definitions!$AH:$AM,MATCH($BI6,Definitions!$AH$3:$AM$3,0),FALSE)),"")</f>
        <v>Very High</v>
      </c>
      <c r="BK6" s="21" cm="1">
        <f t="array" ca="1" aca="1" ref="BK6">IF($BJ6="",0,SimpleLookup($BJ6,Definitions!$AE:$AF))</f>
        <v>4</v>
      </c>
      <c r="BL6" s="21" t="str" cm="1">
        <f t="array" ca="1" aca="1" ref="BL6">IFERROR(SimpleLookup($A6,Tracing!$B:$Z),"")</f>
        <v/>
      </c>
      <c r="BM6" s="21" t="str" cm="1">
        <f t="array" ca="1" aca="1" ref="BM6">_xlfn.LET(_xlpm._dm,SanitizeInput(GetValuesWithFallback(SanitizeInput($BL6),Assumptions!$A:$I,Countermeasures!$A:$I,"",",",FALSE)),IF(_xlpm._dm="","",","&amp;_xlpm._dm))</f>
        <v/>
      </c>
      <c r="BN6" s="21" t="str" cm="1">
        <f t="array" ca="1" aca="1" ref="BN6">ApplyDamageMitigation($M6,$BM6,"")</f>
        <v>DS6,DS7,DS8,</v>
      </c>
      <c r="BO6" s="21" cm="1">
        <f t="array" ca="1" aca="1" ref="BO6">CalculateMaxFromList($BN6,0,'Damage Scenarios'!$A:$U)</f>
        <v>5</v>
      </c>
      <c r="BP6" s="21" t="str">
        <f ca="1">IF($BO6=0,"",INDEX(Definitions!$Q:$Q,MATCH($BO6,Definitions!$R:$R,0)))</f>
        <v>Critical</v>
      </c>
      <c r="BQ6" s="21" t="str" cm="1">
        <f t="array" ca="1" aca="1" ref="BQ6">CalculateMaxAndElementsWithFallback(SanitizeInput($BL6),0,"",Countermeasures!$A:Y,Assumptions!$A:Z)</f>
        <v>0:</v>
      </c>
      <c r="BR6" s="21" t="str" cm="1">
        <f t="array" ca="1" aca="1" ref="BR6">CalculateMaxAndElementsWithFallback(SanitizeInput($BL6),0,"",Countermeasures!$A:Z,Assumptions!$A:AA)</f>
        <v>0:</v>
      </c>
      <c r="BS6" s="21" t="str" cm="1">
        <f t="array" ca="1" aca="1" ref="BS6">CalculateMaxAndElementsWithFallback(SanitizeInput($BL6),0,"",Countermeasures!$A:AA,Assumptions!$A:AB)</f>
        <v>0:</v>
      </c>
      <c r="BT6" s="21" t="str" cm="1">
        <f t="array" ca="1" aca="1" ref="BT6">CalculateMaxAndElementsWithFallback(SanitizeInput($BL6),0,"",Countermeasures!$A:AB,Assumptions!$A:AC)</f>
        <v>0:</v>
      </c>
      <c r="BU6" s="21" t="str" cm="1">
        <f t="array" ca="1" aca="1" ref="BU6">CalculateMaxAndElementsWithFallback(SanitizeInput($BL6),0,"",Countermeasures!$A:AC,Assumptions!$A:AD)</f>
        <v>0:</v>
      </c>
      <c r="BV6" s="21">
        <f t="shared" ca="1" si="25"/>
        <v>0</v>
      </c>
      <c r="BW6" s="21">
        <f t="shared" ca="1" si="26"/>
        <v>0</v>
      </c>
      <c r="BX6" s="21">
        <f t="shared" ca="1" si="27"/>
        <v>0</v>
      </c>
      <c r="BY6" s="21">
        <f t="shared" ca="1" si="28"/>
        <v>0</v>
      </c>
      <c r="BZ6" s="21">
        <f t="shared" ca="1" si="29"/>
        <v>0</v>
      </c>
      <c r="CA6" s="21" t="str">
        <f t="shared" ca="1" si="30"/>
        <v>0:AS2,AS4,</v>
      </c>
      <c r="CB6" s="21" t="str">
        <f t="shared" ca="1" si="31"/>
        <v>3:AS2,AS4,</v>
      </c>
      <c r="CC6" s="21" t="str">
        <f t="shared" ca="1" si="32"/>
        <v>0:AS2,AS4,</v>
      </c>
      <c r="CD6" s="21" t="str">
        <f t="shared" ca="1" si="33"/>
        <v>1:AS2,</v>
      </c>
      <c r="CE6" s="21" t="str">
        <f t="shared" ca="1" si="34"/>
        <v>0:AS2,AS4,</v>
      </c>
      <c r="CF6" s="21">
        <f t="shared" ca="1" si="35"/>
        <v>0</v>
      </c>
      <c r="CG6" s="21">
        <f t="shared" ca="1" si="36"/>
        <v>3</v>
      </c>
      <c r="CH6" s="21">
        <f t="shared" ca="1" si="37"/>
        <v>0</v>
      </c>
      <c r="CI6" s="21">
        <f t="shared" ca="1" si="38"/>
        <v>1</v>
      </c>
      <c r="CJ6" s="21">
        <f t="shared" ca="1" si="39"/>
        <v>0</v>
      </c>
      <c r="CK6" s="21">
        <f t="shared" ca="1" si="23"/>
        <v>4</v>
      </c>
      <c r="CL6" s="21" t="str">
        <f ca="1">IFERROR(VLOOKUP($CK6,Definitions!$V:$W,COLUMNS(Definitions!$V:$W),TRUE),"")</f>
        <v>Basic</v>
      </c>
      <c r="CM6" s="21" t="str">
        <f ca="1">_xlfn.LET(_xlpm._comments,SimpleLookup($A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 s="21" t="str" cm="1">
        <f t="array" ca="1" aca="1" ref="CN6">_xlfn.LET(_xlpm._rapRange,Definitions!$W:$W,_xlpm._calculatedRAP,$CL6,_xlpm._inlineRAP,$CM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 s="21" t="str">
        <f ca="1">IFERROR(IF(OR($BP6="",$CN6=""),Definitions!$AE$4,VLOOKUP($BP6,Definitions!$AH:$AM,MATCH($CN6,Definitions!$AH$3:$AM$3,0),FALSE)),"")</f>
        <v>Very High</v>
      </c>
      <c r="CP6" s="21" cm="1">
        <f t="array" ca="1" aca="1" ref="CP6">IF($CO6="",0,SimpleLookup($CO6,Definitions!$AE:$AF))</f>
        <v>4</v>
      </c>
      <c r="CQ6" s="21" t="b">
        <f ca="1">OR(AND($S6,$I6=Helper!$B$7),$I6&gt;Helper!$B$7)</f>
        <v>0</v>
      </c>
      <c r="CR6" s="21" t="str">
        <f t="shared" ca="1" si="24"/>
        <v/>
      </c>
      <c r="CS6" s="21" cm="1">
        <f t="array" ca="1" aca="1" ref="CS6">CreateID($CS$2,$CV:$CV,$CR6&lt;&gt;"")</f>
        <v>0</v>
      </c>
      <c r="CT6" s="21" t="str">
        <f ca="1">IF(IFERROR(MATCH(","&amp;A6&amp;",",'Risk Treatment'!$AT:$AT,0)&gt;0,FALSE),"",$A6)</f>
        <v>R2-4</v>
      </c>
      <c r="CU6" s="21" cm="1">
        <f t="array" ca="1" aca="1" ref="CU6">CreateID($CU$2,$CU:$CU,$CT6&lt;&gt;"")</f>
        <v>4</v>
      </c>
    </row>
    <row r="7" spans="1:99" ht="60">
      <c r="A7" s="33" t="str" cm="1">
        <f t="array" ca="1" aca="1" ref="A7">IF($B7="","","R"&amp;RemoveDelimiter(SUBSTITUTE(SUBSTITUTE($K7,"AS",""),",","-"),"-"))</f>
        <v>R1-6</v>
      </c>
      <c r="B7" s="33" t="str" cm="1">
        <f t="array" ca="1" aca="1" ref="B7">IF($L7="","",_xlfn.LET(_xlpm._finalAttackStep,$L7,_xlpm._prepAttacks,RemoveFirstElement(_xlpm._finalAttackStep&amp;","&amp;$K7),_xlpm._prepAttackNames,IFERROR(LookupNames(_xlpm._prepAttacks,'Attack Steps'!$A:$B),""),_xlpm._delimiter,REPT(CHAR(150),55),$L7&amp;" "&amp;SimpleLookup($L7,'Attack Steps'!$A:$B)&amp;IF(_xlpm._prepAttackNames="","",CHAR(10)&amp;_xlpm._delimiter&amp;CHAR(10)&amp;_xlpm._prepAttackNames)))</f>
        <v>AS6 Spoofing / tampering with the product's outgoing communication
–––––––––––––––––––––––––––––––––––––––––––––––––––––––
AS1 Getting access to a trusted operational environment</v>
      </c>
      <c r="C7" s="34" t="str" cm="1">
        <f t="array" ca="1" aca="1" ref="C7">IFERROR(LookupNames($M7,'Damage Scenarios'!$A:$V),"")</f>
        <v>DS10 Life-threatening injury caused by manipulated product [Critical],
DS14 Critical environmental damage caused by manipulated product [Critical],
DS15 Critical environmental damage caused by attacks on customer's assets by manipulated product [Critical]</v>
      </c>
      <c r="D7" s="33" t="str">
        <f ca="1">IFERROR(IF($T7=0,"",INDEX(Definitions!$Q:$Q,MATCH($T7,Definitions!$R:$R,0))),"")</f>
        <v>Critical</v>
      </c>
      <c r="E7" s="34" t="str" cm="1">
        <f t="array" ca="1" aca="1" ref="E7">IF($A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A:W,Definitions!$Y:$Y,Definitions!$AB:$AB,1)&amp;CHAR(10)&amp;_xlpm._factorFunction($A7,$A:X,Definitions!$Y:$Y,Definitions!$AB:$AB,2)&amp;CHAR(10)&amp;_xlpm._factorFunction($A7,$A:Y,Definitions!$Y:$Y,Definitions!$AB:$AB,3)&amp;CHAR(10)&amp;_xlpm._factorFunction($A7,$A:Z,Definitions!$Y:$Y,Definitions!$AB:$AB,4)&amp;CHAR(10)&amp;_xlpm._factorFunction($A7,$A:AA,Definitions!$Y:$Y,Definitions!$AB:$AB,5)))</f>
        <v>Elapsed Time [1]: AS6
Expertise [6]: AS6
Knowledge of TOE [3]: AS6
Window of Opportunity [0]: AS1, AS6
Equipment [0]: AS1, AS6</v>
      </c>
      <c r="F7" s="33" t="str">
        <f ca="1">IF($A7="","",IFERROR(VLOOKUP($AG7,Definitions!$V:$W,COLUMNS(Definitions!$V:$W),TRUE),""))</f>
        <v>Enhanced-Basic</v>
      </c>
      <c r="G7" s="33" t="str">
        <f ca="1">IFERROR(IF(OR($D7="",$F7=""),"",VLOOKUP($D7,Definitions!$AH:$AM,MATCH($F7,Definitions!$AH$3:$AM$3,0),FALSE)),"")</f>
        <v>Very High</v>
      </c>
      <c r="H7" s="23" cm="1">
        <f t="array" ca="1" aca="1" ref="H7">IF(ROW()=ROW($H$2)+1,0,INDEX($H:$H,ROW()-1))+IF($A7="",0,1)</f>
        <v>5</v>
      </c>
      <c r="I7" s="21" cm="1">
        <f t="array" ca="1" aca="1" ref="I7">IF(ROW()=ROW($I$2)+1,1,INDEX($I:$I,ROW()-1)+IF(INDEX($S:$S,ROW()-1),1,0))</f>
        <v>3</v>
      </c>
      <c r="J7" s="21">
        <f t="shared" ca="1" si="0"/>
        <v>1</v>
      </c>
      <c r="K7" s="21" t="str">
        <f t="shared" ca="1" si="40"/>
        <v>AS1,AS6,</v>
      </c>
      <c r="L7" s="21" t="str" cm="1">
        <f t="array" ca="1" aca="1" ref="L7">IF($P7="","",INDEX('Attack Steps'!$A:$A,$P7))</f>
        <v>AS6</v>
      </c>
      <c r="M7" s="21" t="str" cm="1">
        <f t="array" ca="1" aca="1" ref="M7">IF($P7="","",INDEX('Attack Steps'!$T:$T,$P7))</f>
        <v>DS10,DS14,DS15,</v>
      </c>
      <c r="N7" s="21" t="str" cm="1">
        <f t="array" ca="1" aca="1" ref="N7">_xlfn.LET(_xlpm._dm,SanitizeInput(GetValuesWithFallback(SanitizeInput($AK7),Assumptions!$A:$I,Countermeasures!$A:$I,"",",",FALSE)),IF(_xlpm._dm="","",","&amp;_xlpm._dm))</f>
        <v/>
      </c>
      <c r="O7" s="21" t="str" cm="1">
        <f t="array" ca="1" aca="1" ref="O7">ApplyDamageMitigation($M7,$N7,"")</f>
        <v>DS10,DS14,DS15,</v>
      </c>
      <c r="P7" s="21">
        <f ca="1">IFERROR(MATCH($I7,'Attack Steps'!$V:$V,0),"")</f>
        <v>8</v>
      </c>
      <c r="Q7" s="21" t="str" cm="1">
        <f t="array" ca="1" aca="1" ref="Q7">IF($P7="","","§"&amp;INDEX('Attack Steps'!$S:$S,$P7))</f>
        <v>§AS1,AS6,§AS2,AS6,§</v>
      </c>
      <c r="R7" s="21" cm="1">
        <f t="array" ca="1" aca="1" ref="R7">IF($P7="","",INDEX('Attack Steps'!$W:$W,$P7))</f>
        <v>2</v>
      </c>
      <c r="S7" s="21" t="b">
        <f t="shared" ca="1" si="41"/>
        <v>0</v>
      </c>
      <c r="T7" s="21" cm="1">
        <f t="array" ca="1" aca="1" ref="T7">_xlfn.LAMBDA(_xlpm._in,_xlpm._val,_xlpm._range,IF(_xlpm._in="",_xlpm._val,_xlfn.LET(_xlpm._id,LEFT(_xlpm._in,FIND(",",_xlpm._in)-1),CalculateMaxFromList(RemoveFirstElement(_xlpm._in),MAX(_xlpm._val,VLOOKUP(_xlpm._id,_xlpm._range,COLUMNS(_xlpm._range),FALSE)),_xlpm._range))))($M7,0,'Damage Scenarios'!$A:$U)</f>
        <v>5</v>
      </c>
      <c r="U7" s="21" cm="1">
        <f t="array" ca="1" aca="1" ref="U7">CalculateMaxFromList($O7,0,'Damage Scenarios'!$A:$U)</f>
        <v>5</v>
      </c>
      <c r="V7" s="21" t="str">
        <f ca="1">IF($U7=0,"",INDEX(Definitions!$Q:$Q,MATCH($U7,Definitions!$R:$R,0)))</f>
        <v>Critical</v>
      </c>
      <c r="W7" s="21" t="str" cm="1">
        <f t="array" ca="1" aca="1" ref="W7">CalculateMaxAndElements($K7,0,"",'Attack Steps'!$A:X)</f>
        <v>1:AS6,</v>
      </c>
      <c r="X7" s="21" t="str" cm="1">
        <f t="array" ca="1" aca="1" ref="X7">CalculateMaxAndElements($K7,0,"",'Attack Steps'!$A:Y)</f>
        <v>6:AS6,</v>
      </c>
      <c r="Y7" s="21" t="str" cm="1">
        <f t="array" ca="1" aca="1" ref="Y7">CalculateMaxAndElements($K7,0,"",'Attack Steps'!$A:Z)</f>
        <v>3:AS6,</v>
      </c>
      <c r="Z7" s="21" t="str" cm="1">
        <f t="array" ca="1" aca="1" ref="Z7">CalculateMaxAndElements($K7,0,"",'Attack Steps'!$A:AA)</f>
        <v>0:AS1,AS6,</v>
      </c>
      <c r="AA7" s="21" t="str" cm="1">
        <f t="array" ca="1" aca="1" ref="AA7">CalculateMaxAndElements($K7,0,"",'Attack Steps'!$A:AB)</f>
        <v>0:AS1,AS6,</v>
      </c>
      <c r="AB7" s="21">
        <f t="shared" ca="1" si="42"/>
        <v>1</v>
      </c>
      <c r="AC7" s="21">
        <f t="shared" ca="1" si="43"/>
        <v>6</v>
      </c>
      <c r="AD7" s="21">
        <f t="shared" ca="1" si="44"/>
        <v>3</v>
      </c>
      <c r="AE7" s="21">
        <f t="shared" ca="1" si="45"/>
        <v>0</v>
      </c>
      <c r="AF7" s="21">
        <f t="shared" ca="1" si="46"/>
        <v>0</v>
      </c>
      <c r="AG7" s="21">
        <f t="shared" ca="1" si="3"/>
        <v>10</v>
      </c>
      <c r="AH7" s="21" t="str" cm="1">
        <f t="array" ca="1" aca="1" ref="AH7">IF(ROW()=ROW($AH$2)+1,"",INDEX($AH:$AH,ROW()-1))&amp;IF($A7="","",$A7&amp;",")</f>
        <v>R1-3,R2-3,R1-4,R2-4,R1-6,</v>
      </c>
      <c r="AI7" s="21" t="str">
        <f t="shared" ca="1" si="47"/>
        <v>,AS1,AS6,</v>
      </c>
      <c r="AJ7" s="21" cm="1">
        <f t="array" ca="1" aca="1" ref="AJ7">IF($G7="",0,SimpleLookup($G7,Definitions!$AE:$AF))</f>
        <v>4</v>
      </c>
      <c r="AK7" s="21" t="str" cm="1">
        <f t="array" ca="1" aca="1" ref="AK7">InverseLookup($A7,Mitigation!$U$2,Mitigation!$J$2,1,Helper!$B$5,",")</f>
        <v/>
      </c>
      <c r="AL7" s="21" t="str" cm="1">
        <f t="array" ca="1" aca="1" ref="AL7">CalculateMaxAndElementsWithFallback(SanitizeInput($AK7),0,"",Countermeasures!$A:Y,Assumptions!$A:Z)</f>
        <v>0:</v>
      </c>
      <c r="AM7" s="21" t="str" cm="1">
        <f t="array" ca="1" aca="1" ref="AM7">CalculateMaxAndElementsWithFallback(SanitizeInput($AK7),0,"",Countermeasures!$A:Z,Assumptions!$A:AA)</f>
        <v>0:</v>
      </c>
      <c r="AN7" s="21" t="str" cm="1">
        <f t="array" ca="1" aca="1" ref="AN7">CalculateMaxAndElementsWithFallback(SanitizeInput($AK7),0,"",Countermeasures!$A:AA,Assumptions!$A:AB)</f>
        <v>0:</v>
      </c>
      <c r="AO7" s="21" t="str" cm="1">
        <f t="array" ca="1" aca="1" ref="AO7">CalculateMaxAndElementsWithFallback(SanitizeInput($AK7),0,"",Countermeasures!$A:AB,Assumptions!$A:AC)</f>
        <v>0:</v>
      </c>
      <c r="AP7" s="21" t="str" cm="1">
        <f t="array" ca="1" aca="1" ref="AP7">CalculateMaxAndElementsWithFallback(SanitizeInput($AK7),0,"",Countermeasures!$A:AC,Assumptions!$A:AD)</f>
        <v>0:</v>
      </c>
      <c r="AQ7" s="21">
        <f t="shared" ca="1" si="48"/>
        <v>0</v>
      </c>
      <c r="AR7" s="21">
        <f t="shared" ca="1" si="49"/>
        <v>0</v>
      </c>
      <c r="AS7" s="21">
        <f t="shared" ca="1" si="50"/>
        <v>0</v>
      </c>
      <c r="AT7" s="21">
        <f t="shared" ca="1" si="51"/>
        <v>0</v>
      </c>
      <c r="AU7" s="21">
        <f t="shared" ca="1" si="52"/>
        <v>0</v>
      </c>
      <c r="AV7" s="21" t="str">
        <f t="shared" ca="1" si="53"/>
        <v>1:AS6,</v>
      </c>
      <c r="AW7" s="21" t="str">
        <f t="shared" ca="1" si="54"/>
        <v>6:AS6,</v>
      </c>
      <c r="AX7" s="21" t="str">
        <f t="shared" ca="1" si="55"/>
        <v>3:AS6,</v>
      </c>
      <c r="AY7" s="21" t="str">
        <f t="shared" ca="1" si="56"/>
        <v>0:AS1,AS6,</v>
      </c>
      <c r="AZ7" s="21" t="str">
        <f t="shared" ca="1" si="57"/>
        <v>0:AS1,AS6,</v>
      </c>
      <c r="BA7" s="21">
        <f t="shared" ca="1" si="58"/>
        <v>1</v>
      </c>
      <c r="BB7" s="21">
        <f t="shared" ca="1" si="59"/>
        <v>6</v>
      </c>
      <c r="BC7" s="21">
        <f t="shared" ca="1" si="60"/>
        <v>3</v>
      </c>
      <c r="BD7" s="21">
        <f t="shared" ca="1" si="61"/>
        <v>0</v>
      </c>
      <c r="BE7" s="21">
        <f t="shared" ca="1" si="62"/>
        <v>0</v>
      </c>
      <c r="BF7" s="21">
        <f t="shared" ca="1" si="9"/>
        <v>10</v>
      </c>
      <c r="BG7" s="21" t="str">
        <f ca="1">IFERROR(VLOOKUP($BF7,Definitions!$V:$W,COLUMNS(Definitions!$V:$W),TRUE),"")</f>
        <v>Enhanced-Basic</v>
      </c>
      <c r="BH7" s="21" t="str">
        <f ca="1">_xlfn.LET(_xlpm._comments,GetValues($K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 s="21" t="str" cm="1">
        <f t="array" ca="1" aca="1" ref="BI7">_xlfn.LET(_xlpm._rapRange,Definitions!$W:$W,_xlpm._calculatedRAP,$BG7,_xlpm._inlineRAP,$BH7,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7" s="21" t="str">
        <f ca="1">IFERROR(IF(OR($V7="",$BI7=""),Definitions!$AE$4,VLOOKUP($V7,Definitions!$AH:$AM,MATCH($BI7,Definitions!$AH$3:$AM$3,0),FALSE)),"")</f>
        <v>Very High</v>
      </c>
      <c r="BK7" s="21" cm="1">
        <f t="array" ca="1" aca="1" ref="BK7">IF($BJ7="",0,SimpleLookup($BJ7,Definitions!$AE:$AF))</f>
        <v>4</v>
      </c>
      <c r="BL7" s="21" t="str" cm="1">
        <f t="array" ca="1" aca="1" ref="BL7">IFERROR(SimpleLookup($A7,Tracing!$B:$Z),"")</f>
        <v/>
      </c>
      <c r="BM7" s="21" t="str" cm="1">
        <f t="array" ca="1" aca="1" ref="BM7">_xlfn.LET(_xlpm._dm,SanitizeInput(GetValuesWithFallback(SanitizeInput($BL7),Assumptions!$A:$I,Countermeasures!$A:$I,"",",",FALSE)),IF(_xlpm._dm="","",","&amp;_xlpm._dm))</f>
        <v/>
      </c>
      <c r="BN7" s="21" t="str" cm="1">
        <f t="array" ca="1" aca="1" ref="BN7">ApplyDamageMitigation($M7,$BM7,"")</f>
        <v>DS10,DS14,DS15,</v>
      </c>
      <c r="BO7" s="21" cm="1">
        <f t="array" ca="1" aca="1" ref="BO7">CalculateMaxFromList($BN7,0,'Damage Scenarios'!$A:$U)</f>
        <v>5</v>
      </c>
      <c r="BP7" s="21" t="str">
        <f ca="1">IF($BO7=0,"",INDEX(Definitions!$Q:$Q,MATCH($BO7,Definitions!$R:$R,0)))</f>
        <v>Critical</v>
      </c>
      <c r="BQ7" s="21" t="str" cm="1">
        <f t="array" ca="1" aca="1" ref="BQ7">CalculateMaxAndElementsWithFallback(SanitizeInput($BL7),0,"",Countermeasures!$A:Y,Assumptions!$A:Z)</f>
        <v>0:</v>
      </c>
      <c r="BR7" s="21" t="str" cm="1">
        <f t="array" ca="1" aca="1" ref="BR7">CalculateMaxAndElementsWithFallback(SanitizeInput($BL7),0,"",Countermeasures!$A:Z,Assumptions!$A:AA)</f>
        <v>0:</v>
      </c>
      <c r="BS7" s="21" t="str" cm="1">
        <f t="array" ca="1" aca="1" ref="BS7">CalculateMaxAndElementsWithFallback(SanitizeInput($BL7),0,"",Countermeasures!$A:AA,Assumptions!$A:AB)</f>
        <v>0:</v>
      </c>
      <c r="BT7" s="21" t="str" cm="1">
        <f t="array" ca="1" aca="1" ref="BT7">CalculateMaxAndElementsWithFallback(SanitizeInput($BL7),0,"",Countermeasures!$A:AB,Assumptions!$A:AC)</f>
        <v>0:</v>
      </c>
      <c r="BU7" s="21" t="str" cm="1">
        <f t="array" ca="1" aca="1" ref="BU7">CalculateMaxAndElementsWithFallback(SanitizeInput($BL7),0,"",Countermeasures!$A:AC,Assumptions!$A:AD)</f>
        <v>0:</v>
      </c>
      <c r="BV7" s="21">
        <f t="shared" ca="1" si="25"/>
        <v>0</v>
      </c>
      <c r="BW7" s="21">
        <f t="shared" ca="1" si="26"/>
        <v>0</v>
      </c>
      <c r="BX7" s="21">
        <f t="shared" ca="1" si="27"/>
        <v>0</v>
      </c>
      <c r="BY7" s="21">
        <f t="shared" ca="1" si="28"/>
        <v>0</v>
      </c>
      <c r="BZ7" s="21">
        <f t="shared" ca="1" si="29"/>
        <v>0</v>
      </c>
      <c r="CA7" s="21" t="str">
        <f t="shared" ca="1" si="30"/>
        <v>1:AS6,</v>
      </c>
      <c r="CB7" s="21" t="str">
        <f t="shared" ca="1" si="31"/>
        <v>6:AS6,</v>
      </c>
      <c r="CC7" s="21" t="str">
        <f t="shared" ca="1" si="32"/>
        <v>3:AS6,</v>
      </c>
      <c r="CD7" s="21" t="str">
        <f t="shared" ca="1" si="33"/>
        <v>0:AS1,AS6,</v>
      </c>
      <c r="CE7" s="21" t="str">
        <f t="shared" ca="1" si="34"/>
        <v>0:AS1,AS6,</v>
      </c>
      <c r="CF7" s="21">
        <f t="shared" ca="1" si="35"/>
        <v>1</v>
      </c>
      <c r="CG7" s="21">
        <f t="shared" ca="1" si="36"/>
        <v>6</v>
      </c>
      <c r="CH7" s="21">
        <f t="shared" ca="1" si="37"/>
        <v>3</v>
      </c>
      <c r="CI7" s="21">
        <f t="shared" ca="1" si="38"/>
        <v>0</v>
      </c>
      <c r="CJ7" s="21">
        <f t="shared" ca="1" si="39"/>
        <v>0</v>
      </c>
      <c r="CK7" s="21">
        <f t="shared" ca="1" si="23"/>
        <v>10</v>
      </c>
      <c r="CL7" s="21" t="str">
        <f ca="1">IFERROR(VLOOKUP($CK7,Definitions!$V:$W,COLUMNS(Definitions!$V:$W),TRUE),"")</f>
        <v>Enhanced-Basic</v>
      </c>
      <c r="CM7" s="21" t="str">
        <f ca="1">_xlfn.LET(_xlpm._comments,SimpleLookup($A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 s="21" t="str" cm="1">
        <f t="array" ca="1" aca="1" ref="CN7">_xlfn.LET(_xlpm._rapRange,Definitions!$W:$W,_xlpm._calculatedRAP,$CL7,_xlpm._inlineRAP,$CM7,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7" s="21" t="str">
        <f ca="1">IFERROR(IF(OR($BP7="",$CN7=""),Definitions!$AE$4,VLOOKUP($BP7,Definitions!$AH:$AM,MATCH($CN7,Definitions!$AH$3:$AM$3,0),FALSE)),"")</f>
        <v>Very High</v>
      </c>
      <c r="CP7" s="21" cm="1">
        <f t="array" ca="1" aca="1" ref="CP7">IF($CO7="",0,SimpleLookup($CO7,Definitions!$AE:$AF))</f>
        <v>4</v>
      </c>
      <c r="CQ7" s="21" t="b">
        <f ca="1">OR(AND($S7,$I7=Helper!$B$7),$I7&gt;Helper!$B$7)</f>
        <v>0</v>
      </c>
      <c r="CR7" s="21" t="str">
        <f t="shared" ca="1" si="24"/>
        <v/>
      </c>
      <c r="CS7" s="21" cm="1">
        <f t="array" ca="1" aca="1" ref="CS7">CreateID($CS$2,$CV:$CV,$CR7&lt;&gt;"")</f>
        <v>0</v>
      </c>
      <c r="CT7" s="21" t="str">
        <f ca="1">IF(IFERROR(MATCH(","&amp;A7&amp;",",'Risk Treatment'!$AT:$AT,0)&gt;0,FALSE),"",$A7)</f>
        <v>R1-6</v>
      </c>
      <c r="CU7" s="21" cm="1">
        <f t="array" ca="1" aca="1" ref="CU7">CreateID($CU$2,$CU:$CU,$CT7&lt;&gt;"")</f>
        <v>5</v>
      </c>
    </row>
    <row r="8" spans="1:99" ht="60">
      <c r="A8" s="33" t="str" cm="1">
        <f t="array" ca="1" aca="1" ref="A8">IF($B8="","","R"&amp;RemoveDelimiter(SUBSTITUTE(SUBSTITUTE($K8,"AS",""),",","-"),"-"))</f>
        <v>R2-6</v>
      </c>
      <c r="B8" s="33" t="str" cm="1">
        <f t="array" ca="1" aca="1" ref="B8">IF($L8="","",_xlfn.LET(_xlpm._finalAttackStep,$L8,_xlpm._prepAttacks,RemoveFirstElement(_xlpm._finalAttackStep&amp;","&amp;$K8),_xlpm._prepAttackNames,IFERROR(LookupNames(_xlpm._prepAttacks,'Attack Steps'!$A:$B),""),_xlpm._delimiter,REPT(CHAR(150),55),$L8&amp;" "&amp;SimpleLookup($L8,'Attack Steps'!$A:$B)&amp;IF(_xlpm._prepAttackNames="","",CHAR(10)&amp;_xlpm._delimiter&amp;CHAR(10)&amp;_xlpm._prepAttackNames)))</f>
        <v>AS6 Spoofing / tampering with the product's outgoing communication
–––––––––––––––––––––––––––––––––––––––––––––––––––––––
AS2 Getting access to a wireless network</v>
      </c>
      <c r="C8" s="34" t="str" cm="1">
        <f t="array" ca="1" aca="1" ref="C8">IFERROR(LookupNames($M8,'Damage Scenarios'!$A:$V),"")</f>
        <v>DS10 Life-threatening injury caused by manipulated product [Critical],
DS14 Critical environmental damage caused by manipulated product [Critical],
DS15 Critical environmental damage caused by attacks on customer's assets by manipulated product [Critical]</v>
      </c>
      <c r="D8" s="33" t="str">
        <f ca="1">IFERROR(IF($T8=0,"",INDEX(Definitions!$Q:$Q,MATCH($T8,Definitions!$R:$R,0))),"")</f>
        <v>Critical</v>
      </c>
      <c r="E8" s="34" t="str" cm="1">
        <f t="array" ca="1" aca="1" ref="E8">IF($A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8,$A:W,Definitions!$Y:$Y,Definitions!$AB:$AB,1)&amp;CHAR(10)&amp;_xlpm._factorFunction($A8,$A:X,Definitions!$Y:$Y,Definitions!$AB:$AB,2)&amp;CHAR(10)&amp;_xlpm._factorFunction($A8,$A:Y,Definitions!$Y:$Y,Definitions!$AB:$AB,3)&amp;CHAR(10)&amp;_xlpm._factorFunction($A8,$A:Z,Definitions!$Y:$Y,Definitions!$AB:$AB,4)&amp;CHAR(10)&amp;_xlpm._factorFunction($A8,$A:AA,Definitions!$Y:$Y,Definitions!$AB:$AB,5)))</f>
        <v>Elapsed Time [1]: AS6
Expertise [6]: AS6
Knowledge of TOE [3]: AS6
Window of Opportunity [1]: AS2
Equipment [0]: AS2, AS6</v>
      </c>
      <c r="F8" s="33" t="str">
        <f ca="1">IF($A8="","",IFERROR(VLOOKUP($AG8,Definitions!$V:$W,COLUMNS(Definitions!$V:$W),TRUE),""))</f>
        <v>Enhanced-Basic</v>
      </c>
      <c r="G8" s="33" t="str">
        <f ca="1">IFERROR(IF(OR($D8="",$F8=""),"",VLOOKUP($D8,Definitions!$AH:$AM,MATCH($F8,Definitions!$AH$3:$AM$3,0),FALSE)),"")</f>
        <v>Very High</v>
      </c>
      <c r="H8" s="23" cm="1">
        <f t="array" ca="1" aca="1" ref="H8">IF(ROW()=ROW($H$2)+1,0,INDEX($H:$H,ROW()-1))+IF($A8="",0,1)</f>
        <v>6</v>
      </c>
      <c r="I8" s="21" cm="1">
        <f t="array" ca="1" aca="1" ref="I8">IF(ROW()=ROW($I$2)+1,1,INDEX($I:$I,ROW()-1)+IF(INDEX($S:$S,ROW()-1),1,0))</f>
        <v>3</v>
      </c>
      <c r="J8" s="21">
        <f t="shared" ca="1" si="0"/>
        <v>2</v>
      </c>
      <c r="K8" s="21" t="str">
        <f t="shared" ca="1" si="40"/>
        <v>AS2,AS6,</v>
      </c>
      <c r="L8" s="21" t="str" cm="1">
        <f t="array" ca="1" aca="1" ref="L8">IF($P8="","",INDEX('Attack Steps'!$A:$A,$P8))</f>
        <v>AS6</v>
      </c>
      <c r="M8" s="21" t="str" cm="1">
        <f t="array" ca="1" aca="1" ref="M8">IF($P8="","",INDEX('Attack Steps'!$T:$T,$P8))</f>
        <v>DS10,DS14,DS15,</v>
      </c>
      <c r="N8" s="21" t="str" cm="1">
        <f t="array" ca="1" aca="1" ref="N8">_xlfn.LET(_xlpm._dm,SanitizeInput(GetValuesWithFallback(SanitizeInput($AK8),Assumptions!$A:$I,Countermeasures!$A:$I,"",",",FALSE)),IF(_xlpm._dm="","",","&amp;_xlpm._dm))</f>
        <v/>
      </c>
      <c r="O8" s="21" t="str" cm="1">
        <f t="array" ca="1" aca="1" ref="O8">ApplyDamageMitigation($M8,$N8,"")</f>
        <v>DS10,DS14,DS15,</v>
      </c>
      <c r="P8" s="21">
        <f ca="1">IFERROR(MATCH($I8,'Attack Steps'!$V:$V,0),"")</f>
        <v>8</v>
      </c>
      <c r="Q8" s="21" t="str" cm="1">
        <f t="array" ca="1" aca="1" ref="Q8">IF($P8="","","§"&amp;INDEX('Attack Steps'!$S:$S,$P8))</f>
        <v>§AS1,AS6,§AS2,AS6,§</v>
      </c>
      <c r="R8" s="21" cm="1">
        <f t="array" ca="1" aca="1" ref="R8">IF($P8="","",INDEX('Attack Steps'!$W:$W,$P8))</f>
        <v>2</v>
      </c>
      <c r="S8" s="21" t="b">
        <f t="shared" ca="1" si="41"/>
        <v>1</v>
      </c>
      <c r="T8" s="21" cm="1">
        <f t="array" ca="1" aca="1" ref="T8">_xlfn.LAMBDA(_xlpm._in,_xlpm._val,_xlpm._range,IF(_xlpm._in="",_xlpm._val,_xlfn.LET(_xlpm._id,LEFT(_xlpm._in,FIND(",",_xlpm._in)-1),CalculateMaxFromList(RemoveFirstElement(_xlpm._in),MAX(_xlpm._val,VLOOKUP(_xlpm._id,_xlpm._range,COLUMNS(_xlpm._range),FALSE)),_xlpm._range))))($M8,0,'Damage Scenarios'!$A:$U)</f>
        <v>5</v>
      </c>
      <c r="U8" s="21" cm="1">
        <f t="array" ca="1" aca="1" ref="U8">CalculateMaxFromList($O8,0,'Damage Scenarios'!$A:$U)</f>
        <v>5</v>
      </c>
      <c r="V8" s="21" t="str">
        <f ca="1">IF($U8=0,"",INDEX(Definitions!$Q:$Q,MATCH($U8,Definitions!$R:$R,0)))</f>
        <v>Critical</v>
      </c>
      <c r="W8" s="21" t="str" cm="1">
        <f t="array" ca="1" aca="1" ref="W8">CalculateMaxAndElements($K8,0,"",'Attack Steps'!$A:X)</f>
        <v>1:AS6,</v>
      </c>
      <c r="X8" s="21" t="str" cm="1">
        <f t="array" ca="1" aca="1" ref="X8">CalculateMaxAndElements($K8,0,"",'Attack Steps'!$A:Y)</f>
        <v>6:AS6,</v>
      </c>
      <c r="Y8" s="21" t="str" cm="1">
        <f t="array" ca="1" aca="1" ref="Y8">CalculateMaxAndElements($K8,0,"",'Attack Steps'!$A:Z)</f>
        <v>3:AS6,</v>
      </c>
      <c r="Z8" s="21" t="str" cm="1">
        <f t="array" ca="1" aca="1" ref="Z8">CalculateMaxAndElements($K8,0,"",'Attack Steps'!$A:AA)</f>
        <v>1:AS2,</v>
      </c>
      <c r="AA8" s="21" t="str" cm="1">
        <f t="array" ca="1" aca="1" ref="AA8">CalculateMaxAndElements($K8,0,"",'Attack Steps'!$A:AB)</f>
        <v>0:AS2,AS6,</v>
      </c>
      <c r="AB8" s="21">
        <f t="shared" ca="1" si="42"/>
        <v>1</v>
      </c>
      <c r="AC8" s="21">
        <f t="shared" ca="1" si="43"/>
        <v>6</v>
      </c>
      <c r="AD8" s="21">
        <f t="shared" ca="1" si="44"/>
        <v>3</v>
      </c>
      <c r="AE8" s="21">
        <f t="shared" ca="1" si="45"/>
        <v>1</v>
      </c>
      <c r="AF8" s="21">
        <f t="shared" ca="1" si="46"/>
        <v>0</v>
      </c>
      <c r="AG8" s="21">
        <f t="shared" ca="1" si="3"/>
        <v>11</v>
      </c>
      <c r="AH8" s="21" t="str" cm="1">
        <f t="array" ca="1" aca="1" ref="AH8">IF(ROW()=ROW($AH$2)+1,"",INDEX($AH:$AH,ROW()-1))&amp;IF($A8="","",$A8&amp;",")</f>
        <v>R1-3,R2-3,R1-4,R2-4,R1-6,R2-6,</v>
      </c>
      <c r="AI8" s="21" t="str">
        <f t="shared" ca="1" si="47"/>
        <v>,AS2,AS6,</v>
      </c>
      <c r="AJ8" s="21" cm="1">
        <f t="array" ca="1" aca="1" ref="AJ8">IF($G8="",0,SimpleLookup($G8,Definitions!$AE:$AF))</f>
        <v>4</v>
      </c>
      <c r="AK8" s="21" t="str" cm="1">
        <f t="array" ca="1" aca="1" ref="AK8">InverseLookup($A8,Mitigation!$U$2,Mitigation!$J$2,1,Helper!$B$5,",")</f>
        <v/>
      </c>
      <c r="AL8" s="21" t="str" cm="1">
        <f t="array" ca="1" aca="1" ref="AL8">CalculateMaxAndElementsWithFallback(SanitizeInput($AK8),0,"",Countermeasures!$A:Y,Assumptions!$A:Z)</f>
        <v>0:</v>
      </c>
      <c r="AM8" s="21" t="str" cm="1">
        <f t="array" ca="1" aca="1" ref="AM8">CalculateMaxAndElementsWithFallback(SanitizeInput($AK8),0,"",Countermeasures!$A:Z,Assumptions!$A:AA)</f>
        <v>0:</v>
      </c>
      <c r="AN8" s="21" t="str" cm="1">
        <f t="array" ca="1" aca="1" ref="AN8">CalculateMaxAndElementsWithFallback(SanitizeInput($AK8),0,"",Countermeasures!$A:AA,Assumptions!$A:AB)</f>
        <v>0:</v>
      </c>
      <c r="AO8" s="21" t="str" cm="1">
        <f t="array" ca="1" aca="1" ref="AO8">CalculateMaxAndElementsWithFallback(SanitizeInput($AK8),0,"",Countermeasures!$A:AB,Assumptions!$A:AC)</f>
        <v>0:</v>
      </c>
      <c r="AP8" s="21" t="str" cm="1">
        <f t="array" ca="1" aca="1" ref="AP8">CalculateMaxAndElementsWithFallback(SanitizeInput($AK8),0,"",Countermeasures!$A:AC,Assumptions!$A:AD)</f>
        <v>0:</v>
      </c>
      <c r="AQ8" s="21">
        <f t="shared" ca="1" si="48"/>
        <v>0</v>
      </c>
      <c r="AR8" s="21">
        <f t="shared" ca="1" si="49"/>
        <v>0</v>
      </c>
      <c r="AS8" s="21">
        <f t="shared" ca="1" si="50"/>
        <v>0</v>
      </c>
      <c r="AT8" s="21">
        <f t="shared" ca="1" si="51"/>
        <v>0</v>
      </c>
      <c r="AU8" s="21">
        <f t="shared" ca="1" si="52"/>
        <v>0</v>
      </c>
      <c r="AV8" s="21" t="str">
        <f t="shared" ca="1" si="53"/>
        <v>1:AS6,</v>
      </c>
      <c r="AW8" s="21" t="str">
        <f t="shared" ca="1" si="54"/>
        <v>6:AS6,</v>
      </c>
      <c r="AX8" s="21" t="str">
        <f t="shared" ca="1" si="55"/>
        <v>3:AS6,</v>
      </c>
      <c r="AY8" s="21" t="str">
        <f t="shared" ca="1" si="56"/>
        <v>1:AS2,</v>
      </c>
      <c r="AZ8" s="21" t="str">
        <f t="shared" ca="1" si="57"/>
        <v>0:AS2,AS6,</v>
      </c>
      <c r="BA8" s="21">
        <f t="shared" ca="1" si="58"/>
        <v>1</v>
      </c>
      <c r="BB8" s="21">
        <f t="shared" ca="1" si="59"/>
        <v>6</v>
      </c>
      <c r="BC8" s="21">
        <f t="shared" ca="1" si="60"/>
        <v>3</v>
      </c>
      <c r="BD8" s="21">
        <f t="shared" ca="1" si="61"/>
        <v>1</v>
      </c>
      <c r="BE8" s="21">
        <f t="shared" ca="1" si="62"/>
        <v>0</v>
      </c>
      <c r="BF8" s="21">
        <f t="shared" ca="1" si="9"/>
        <v>11</v>
      </c>
      <c r="BG8" s="21" t="str">
        <f ca="1">IFERROR(VLOOKUP($BF8,Definitions!$V:$W,COLUMNS(Definitions!$V:$W),TRUE),"")</f>
        <v>Enhanced-Basic</v>
      </c>
      <c r="BH8" s="21" t="str">
        <f ca="1">_xlfn.LET(_xlpm._comments,GetValues($K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8" s="21" t="str" cm="1">
        <f t="array" ca="1" aca="1" ref="BI8">_xlfn.LET(_xlpm._rapRange,Definitions!$W:$W,_xlpm._calculatedRAP,$BG8,_xlpm._inlineRAP,$BH8,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8" s="21" t="str">
        <f ca="1">IFERROR(IF(OR($V8="",$BI8=""),Definitions!$AE$4,VLOOKUP($V8,Definitions!$AH:$AM,MATCH($BI8,Definitions!$AH$3:$AM$3,0),FALSE)),"")</f>
        <v>Very High</v>
      </c>
      <c r="BK8" s="21" cm="1">
        <f t="array" ca="1" aca="1" ref="BK8">IF($BJ8="",0,SimpleLookup($BJ8,Definitions!$AE:$AF))</f>
        <v>4</v>
      </c>
      <c r="BL8" s="21" t="str" cm="1">
        <f t="array" ca="1" aca="1" ref="BL8">IFERROR(SimpleLookup($A8,Tracing!$B:$Z),"")</f>
        <v/>
      </c>
      <c r="BM8" s="21" t="str" cm="1">
        <f t="array" ca="1" aca="1" ref="BM8">_xlfn.LET(_xlpm._dm,SanitizeInput(GetValuesWithFallback(SanitizeInput($BL8),Assumptions!$A:$I,Countermeasures!$A:$I,"",",",FALSE)),IF(_xlpm._dm="","",","&amp;_xlpm._dm))</f>
        <v/>
      </c>
      <c r="BN8" s="21" t="str" cm="1">
        <f t="array" ca="1" aca="1" ref="BN8">ApplyDamageMitigation($M8,$BM8,"")</f>
        <v>DS10,DS14,DS15,</v>
      </c>
      <c r="BO8" s="21" cm="1">
        <f t="array" ca="1" aca="1" ref="BO8">CalculateMaxFromList($BN8,0,'Damage Scenarios'!$A:$U)</f>
        <v>5</v>
      </c>
      <c r="BP8" s="21" t="str">
        <f ca="1">IF($BO8=0,"",INDEX(Definitions!$Q:$Q,MATCH($BO8,Definitions!$R:$R,0)))</f>
        <v>Critical</v>
      </c>
      <c r="BQ8" s="21" t="str" cm="1">
        <f t="array" ca="1" aca="1" ref="BQ8">CalculateMaxAndElementsWithFallback(SanitizeInput($BL8),0,"",Countermeasures!$A:Y,Assumptions!$A:Z)</f>
        <v>0:</v>
      </c>
      <c r="BR8" s="21" t="str" cm="1">
        <f t="array" ca="1" aca="1" ref="BR8">CalculateMaxAndElementsWithFallback(SanitizeInput($BL8),0,"",Countermeasures!$A:Z,Assumptions!$A:AA)</f>
        <v>0:</v>
      </c>
      <c r="BS8" s="21" t="str" cm="1">
        <f t="array" ca="1" aca="1" ref="BS8">CalculateMaxAndElementsWithFallback(SanitizeInput($BL8),0,"",Countermeasures!$A:AA,Assumptions!$A:AB)</f>
        <v>0:</v>
      </c>
      <c r="BT8" s="21" t="str" cm="1">
        <f t="array" ca="1" aca="1" ref="BT8">CalculateMaxAndElementsWithFallback(SanitizeInput($BL8),0,"",Countermeasures!$A:AB,Assumptions!$A:AC)</f>
        <v>0:</v>
      </c>
      <c r="BU8" s="21" t="str" cm="1">
        <f t="array" ca="1" aca="1" ref="BU8">CalculateMaxAndElementsWithFallback(SanitizeInput($BL8),0,"",Countermeasures!$A:AC,Assumptions!$A:AD)</f>
        <v>0:</v>
      </c>
      <c r="BV8" s="21">
        <f t="shared" ca="1" si="25"/>
        <v>0</v>
      </c>
      <c r="BW8" s="21">
        <f t="shared" ca="1" si="26"/>
        <v>0</v>
      </c>
      <c r="BX8" s="21">
        <f t="shared" ca="1" si="27"/>
        <v>0</v>
      </c>
      <c r="BY8" s="21">
        <f t="shared" ca="1" si="28"/>
        <v>0</v>
      </c>
      <c r="BZ8" s="21">
        <f t="shared" ca="1" si="29"/>
        <v>0</v>
      </c>
      <c r="CA8" s="21" t="str">
        <f t="shared" ca="1" si="30"/>
        <v>1:AS6,</v>
      </c>
      <c r="CB8" s="21" t="str">
        <f t="shared" ca="1" si="31"/>
        <v>6:AS6,</v>
      </c>
      <c r="CC8" s="21" t="str">
        <f t="shared" ca="1" si="32"/>
        <v>3:AS6,</v>
      </c>
      <c r="CD8" s="21" t="str">
        <f t="shared" ca="1" si="33"/>
        <v>1:AS2,</v>
      </c>
      <c r="CE8" s="21" t="str">
        <f t="shared" ca="1" si="34"/>
        <v>0:AS2,AS6,</v>
      </c>
      <c r="CF8" s="21">
        <f t="shared" ca="1" si="35"/>
        <v>1</v>
      </c>
      <c r="CG8" s="21">
        <f t="shared" ca="1" si="36"/>
        <v>6</v>
      </c>
      <c r="CH8" s="21">
        <f t="shared" ca="1" si="37"/>
        <v>3</v>
      </c>
      <c r="CI8" s="21">
        <f t="shared" ca="1" si="38"/>
        <v>1</v>
      </c>
      <c r="CJ8" s="21">
        <f t="shared" ca="1" si="39"/>
        <v>0</v>
      </c>
      <c r="CK8" s="21">
        <f t="shared" ca="1" si="23"/>
        <v>11</v>
      </c>
      <c r="CL8" s="21" t="str">
        <f ca="1">IFERROR(VLOOKUP($CK8,Definitions!$V:$W,COLUMNS(Definitions!$V:$W),TRUE),"")</f>
        <v>Enhanced-Basic</v>
      </c>
      <c r="CM8" s="21" t="str">
        <f ca="1">_xlfn.LET(_xlpm._comments,SimpleLookup($A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8" s="21" t="str" cm="1">
        <f t="array" ca="1" aca="1" ref="CN8">_xlfn.LET(_xlpm._rapRange,Definitions!$W:$W,_xlpm._calculatedRAP,$CL8,_xlpm._inlineRAP,$CM8,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8" s="21" t="str">
        <f ca="1">IFERROR(IF(OR($BP8="",$CN8=""),Definitions!$AE$4,VLOOKUP($BP8,Definitions!$AH:$AM,MATCH($CN8,Definitions!$AH$3:$AM$3,0),FALSE)),"")</f>
        <v>Very High</v>
      </c>
      <c r="CP8" s="21" cm="1">
        <f t="array" ca="1" aca="1" ref="CP8">IF($CO8="",0,SimpleLookup($CO8,Definitions!$AE:$AF))</f>
        <v>4</v>
      </c>
      <c r="CQ8" s="21" t="b">
        <f ca="1">OR(AND($S8,$I8=Helper!$B$7),$I8&gt;Helper!$B$7)</f>
        <v>0</v>
      </c>
      <c r="CR8" s="21" t="str">
        <f t="shared" ca="1" si="24"/>
        <v/>
      </c>
      <c r="CS8" s="21" cm="1">
        <f t="array" ca="1" aca="1" ref="CS8">CreateID($CS$2,$CV:$CV,$CR8&lt;&gt;"")</f>
        <v>0</v>
      </c>
      <c r="CT8" s="21" t="str">
        <f ca="1">IF(IFERROR(MATCH(","&amp;A8&amp;",",'Risk Treatment'!$AT:$AT,0)&gt;0,FALSE),"",$A8)</f>
        <v>R2-6</v>
      </c>
      <c r="CU8" s="21" cm="1">
        <f t="array" ca="1" aca="1" ref="CU8">CreateID($CU$2,$CU:$CU,$CT8&lt;&gt;"")</f>
        <v>6</v>
      </c>
    </row>
    <row r="9" spans="1:99" ht="90.75">
      <c r="A9" s="33" t="str" cm="1">
        <f t="array" ca="1" aca="1" ref="A9">IF($B9="","","R"&amp;RemoveDelimiter(SUBSTITUTE(SUBSTITUTE($K9,"AS",""),",","-"),"-"))</f>
        <v>R1-7</v>
      </c>
      <c r="B9" s="33" t="str" cm="1">
        <f t="array" ca="1" aca="1" ref="B9">IF($L9="","",_xlfn.LET(_xlpm._finalAttackStep,$L9,_xlpm._prepAttacks,RemoveFirstElement(_xlpm._finalAttackStep&amp;","&amp;$K9),_xlpm._prepAttackNames,IFERROR(LookupNames(_xlpm._prepAttacks,'Attack Steps'!$A:$B),""),_xlpm._delimiter,REPT(CHAR(150),55),$L9&amp;" "&amp;SimpleLookup($L9,'Attack Steps'!$A:$B)&amp;IF(_xlpm._prepAttackNames="","",CHAR(10)&amp;_xlpm._delimiter&amp;CHAR(10)&amp;_xlpm._prepAttackNames)))</f>
        <v>AS7 Spoofing / tampering with the product's incoming communication
–––––––––––––––––––––––––––––––––––––––––––––––––––––––
AS1 Getting access to a trusted operational environment</v>
      </c>
      <c r="C9" s="34" t="str" cm="1">
        <f t="array" ca="1" aca="1" ref="C9">IFERROR(LookupNames($M9,'Damage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9" s="33" t="str">
        <f ca="1">IFERROR(IF($T9=0,"",INDEX(Definitions!$Q:$Q,MATCH($T9,Definitions!$R:$R,0))),"")</f>
        <v>Critical</v>
      </c>
      <c r="E9" s="34" t="str" cm="1">
        <f t="array" ca="1" aca="1" ref="E9">IF($A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9,$A:W,Definitions!$Y:$Y,Definitions!$AB:$AB,1)&amp;CHAR(10)&amp;_xlpm._factorFunction($A9,$A:X,Definitions!$Y:$Y,Definitions!$AB:$AB,2)&amp;CHAR(10)&amp;_xlpm._factorFunction($A9,$A:Y,Definitions!$Y:$Y,Definitions!$AB:$AB,3)&amp;CHAR(10)&amp;_xlpm._factorFunction($A9,$A:Z,Definitions!$Y:$Y,Definitions!$AB:$AB,4)&amp;CHAR(10)&amp;_xlpm._factorFunction($A9,$A:AA,Definitions!$Y:$Y,Definitions!$AB:$AB,5)))</f>
        <v>Elapsed Time [1]: AS7
Expertise [6]: AS7
Knowledge of TOE [3]: AS7
Window of Opportunity [0]: AS1, AS7
Equipment [0]: AS1, AS7</v>
      </c>
      <c r="F9" s="33" t="str">
        <f ca="1">IF($A9="","",IFERROR(VLOOKUP($AG9,Definitions!$V:$W,COLUMNS(Definitions!$V:$W),TRUE),""))</f>
        <v>Enhanced-Basic</v>
      </c>
      <c r="G9" s="33" t="str">
        <f ca="1">IFERROR(IF(OR($D9="",$F9=""),"",VLOOKUP($D9,Definitions!$AH:$AM,MATCH($F9,Definitions!$AH$3:$AM$3,0),FALSE)),"")</f>
        <v>Very High</v>
      </c>
      <c r="H9" s="23" cm="1">
        <f t="array" ca="1" aca="1" ref="H9">IF(ROW()=ROW($H$2)+1,0,INDEX($H:$H,ROW()-1))+IF($A9="",0,1)</f>
        <v>7</v>
      </c>
      <c r="I9" s="21" cm="1">
        <f t="array" ca="1" aca="1" ref="I9">IF(ROW()=ROW($I$2)+1,1,INDEX($I:$I,ROW()-1)+IF(INDEX($S:$S,ROW()-1),1,0))</f>
        <v>4</v>
      </c>
      <c r="J9" s="21">
        <f t="shared" ca="1" si="0"/>
        <v>1</v>
      </c>
      <c r="K9" s="21" t="str">
        <f t="shared" ca="1" si="40"/>
        <v>AS1,AS7,</v>
      </c>
      <c r="L9" s="21" t="str" cm="1">
        <f t="array" ca="1" aca="1" ref="L9">IF($P9="","",INDEX('Attack Steps'!$A:$A,$P9))</f>
        <v>AS7</v>
      </c>
      <c r="M9" s="21" t="str" cm="1">
        <f t="array" ca="1" aca="1" ref="M9">IF($P9="","",INDEX('Attack Steps'!$T:$T,$P9))</f>
        <v>DS10,DS11,DS12,DS13,DS14,DS15,</v>
      </c>
      <c r="N9" s="21" t="str" cm="1">
        <f t="array" ca="1" aca="1" ref="N9">_xlfn.LET(_xlpm._dm,SanitizeInput(GetValuesWithFallback(SanitizeInput($AK9),Assumptions!$A:$I,Countermeasures!$A:$I,"",",",FALSE)),IF(_xlpm._dm="","",","&amp;_xlpm._dm))</f>
        <v/>
      </c>
      <c r="O9" s="21" t="str" cm="1">
        <f t="array" ca="1" aca="1" ref="O9">ApplyDamageMitigation($M9,$N9,"")</f>
        <v>DS10,DS11,DS12,DS13,DS14,DS15,</v>
      </c>
      <c r="P9" s="21">
        <f ca="1">IFERROR(MATCH($I9,'Attack Steps'!$V:$V,0),"")</f>
        <v>9</v>
      </c>
      <c r="Q9" s="21" t="str" cm="1">
        <f t="array" ca="1" aca="1" ref="Q9">IF($P9="","","§"&amp;INDEX('Attack Steps'!$S:$S,$P9))</f>
        <v>§AS1,AS7,§AS2,AS7,§</v>
      </c>
      <c r="R9" s="21" cm="1">
        <f t="array" ca="1" aca="1" ref="R9">IF($P9="","",INDEX('Attack Steps'!$W:$W,$P9))</f>
        <v>2</v>
      </c>
      <c r="S9" s="21" t="b">
        <f t="shared" ca="1" si="41"/>
        <v>0</v>
      </c>
      <c r="T9" s="21" cm="1">
        <f t="array" ca="1" aca="1" ref="T9">_xlfn.LAMBDA(_xlpm._in,_xlpm._val,_xlpm._range,IF(_xlpm._in="",_xlpm._val,_xlfn.LET(_xlpm._id,LEFT(_xlpm._in,FIND(",",_xlpm._in)-1),CalculateMaxFromList(RemoveFirstElement(_xlpm._in),MAX(_xlpm._val,VLOOKUP(_xlpm._id,_xlpm._range,COLUMNS(_xlpm._range),FALSE)),_xlpm._range))))($M9,0,'Damage Scenarios'!$A:$U)</f>
        <v>5</v>
      </c>
      <c r="U9" s="21" cm="1">
        <f t="array" ca="1" aca="1" ref="U9">CalculateMaxFromList($O9,0,'Damage Scenarios'!$A:$U)</f>
        <v>5</v>
      </c>
      <c r="V9" s="21" t="str">
        <f ca="1">IF($U9=0,"",INDEX(Definitions!$Q:$Q,MATCH($U9,Definitions!$R:$R,0)))</f>
        <v>Critical</v>
      </c>
      <c r="W9" s="21" t="str" cm="1">
        <f t="array" ca="1" aca="1" ref="W9">CalculateMaxAndElements($K9,0,"",'Attack Steps'!$A:X)</f>
        <v>1:AS7,</v>
      </c>
      <c r="X9" s="21" t="str" cm="1">
        <f t="array" ca="1" aca="1" ref="X9">CalculateMaxAndElements($K9,0,"",'Attack Steps'!$A:Y)</f>
        <v>6:AS7,</v>
      </c>
      <c r="Y9" s="21" t="str" cm="1">
        <f t="array" ca="1" aca="1" ref="Y9">CalculateMaxAndElements($K9,0,"",'Attack Steps'!$A:Z)</f>
        <v>3:AS7,</v>
      </c>
      <c r="Z9" s="21" t="str" cm="1">
        <f t="array" ca="1" aca="1" ref="Z9">CalculateMaxAndElements($K9,0,"",'Attack Steps'!$A:AA)</f>
        <v>0:AS1,AS7,</v>
      </c>
      <c r="AA9" s="21" t="str" cm="1">
        <f t="array" ca="1" aca="1" ref="AA9">CalculateMaxAndElements($K9,0,"",'Attack Steps'!$A:AB)</f>
        <v>0:AS1,AS7,</v>
      </c>
      <c r="AB9" s="21">
        <f t="shared" ca="1" si="42"/>
        <v>1</v>
      </c>
      <c r="AC9" s="21">
        <f t="shared" ca="1" si="43"/>
        <v>6</v>
      </c>
      <c r="AD9" s="21">
        <f t="shared" ca="1" si="44"/>
        <v>3</v>
      </c>
      <c r="AE9" s="21">
        <f t="shared" ca="1" si="45"/>
        <v>0</v>
      </c>
      <c r="AF9" s="21">
        <f t="shared" ca="1" si="46"/>
        <v>0</v>
      </c>
      <c r="AG9" s="21">
        <f t="shared" ca="1" si="3"/>
        <v>10</v>
      </c>
      <c r="AH9" s="21" t="str" cm="1">
        <f t="array" ca="1" aca="1" ref="AH9">IF(ROW()=ROW($AH$2)+1,"",INDEX($AH:$AH,ROW()-1))&amp;IF($A9="","",$A9&amp;",")</f>
        <v>R1-3,R2-3,R1-4,R2-4,R1-6,R2-6,R1-7,</v>
      </c>
      <c r="AI9" s="21" t="str">
        <f t="shared" ca="1" si="47"/>
        <v>,AS1,AS7,</v>
      </c>
      <c r="AJ9" s="21" cm="1">
        <f t="array" ca="1" aca="1" ref="AJ9">IF($G9="",0,SimpleLookup($G9,Definitions!$AE:$AF))</f>
        <v>4</v>
      </c>
      <c r="AK9" s="21" t="str" cm="1">
        <f t="array" ca="1" aca="1" ref="AK9">InverseLookup($A9,Mitigation!$U$2,Mitigation!$J$2,1,Helper!$B$5,",")</f>
        <v/>
      </c>
      <c r="AL9" s="21" t="str" cm="1">
        <f t="array" ca="1" aca="1" ref="AL9">CalculateMaxAndElementsWithFallback(SanitizeInput($AK9),0,"",Countermeasures!$A:Y,Assumptions!$A:Z)</f>
        <v>0:</v>
      </c>
      <c r="AM9" s="21" t="str" cm="1">
        <f t="array" ca="1" aca="1" ref="AM9">CalculateMaxAndElementsWithFallback(SanitizeInput($AK9),0,"",Countermeasures!$A:Z,Assumptions!$A:AA)</f>
        <v>0:</v>
      </c>
      <c r="AN9" s="21" t="str" cm="1">
        <f t="array" ca="1" aca="1" ref="AN9">CalculateMaxAndElementsWithFallback(SanitizeInput($AK9),0,"",Countermeasures!$A:AA,Assumptions!$A:AB)</f>
        <v>0:</v>
      </c>
      <c r="AO9" s="21" t="str" cm="1">
        <f t="array" ca="1" aca="1" ref="AO9">CalculateMaxAndElementsWithFallback(SanitizeInput($AK9),0,"",Countermeasures!$A:AB,Assumptions!$A:AC)</f>
        <v>0:</v>
      </c>
      <c r="AP9" s="21" t="str" cm="1">
        <f t="array" ca="1" aca="1" ref="AP9">CalculateMaxAndElementsWithFallback(SanitizeInput($AK9),0,"",Countermeasures!$A:AC,Assumptions!$A:AD)</f>
        <v>0:</v>
      </c>
      <c r="AQ9" s="21">
        <f t="shared" ca="1" si="48"/>
        <v>0</v>
      </c>
      <c r="AR9" s="21">
        <f t="shared" ca="1" si="49"/>
        <v>0</v>
      </c>
      <c r="AS9" s="21">
        <f t="shared" ca="1" si="50"/>
        <v>0</v>
      </c>
      <c r="AT9" s="21">
        <f t="shared" ca="1" si="51"/>
        <v>0</v>
      </c>
      <c r="AU9" s="21">
        <f t="shared" ca="1" si="52"/>
        <v>0</v>
      </c>
      <c r="AV9" s="21" t="str">
        <f t="shared" ca="1" si="53"/>
        <v>1:AS7,</v>
      </c>
      <c r="AW9" s="21" t="str">
        <f t="shared" ca="1" si="54"/>
        <v>6:AS7,</v>
      </c>
      <c r="AX9" s="21" t="str">
        <f t="shared" ca="1" si="55"/>
        <v>3:AS7,</v>
      </c>
      <c r="AY9" s="21" t="str">
        <f t="shared" ca="1" si="56"/>
        <v>0:AS1,AS7,</v>
      </c>
      <c r="AZ9" s="21" t="str">
        <f t="shared" ca="1" si="57"/>
        <v>0:AS1,AS7,</v>
      </c>
      <c r="BA9" s="21">
        <f t="shared" ca="1" si="58"/>
        <v>1</v>
      </c>
      <c r="BB9" s="21">
        <f t="shared" ca="1" si="59"/>
        <v>6</v>
      </c>
      <c r="BC9" s="21">
        <f t="shared" ca="1" si="60"/>
        <v>3</v>
      </c>
      <c r="BD9" s="21">
        <f t="shared" ca="1" si="61"/>
        <v>0</v>
      </c>
      <c r="BE9" s="21">
        <f t="shared" ca="1" si="62"/>
        <v>0</v>
      </c>
      <c r="BF9" s="21">
        <f t="shared" ca="1" si="9"/>
        <v>10</v>
      </c>
      <c r="BG9" s="21" t="str">
        <f ca="1">IFERROR(VLOOKUP($BF9,Definitions!$V:$W,COLUMNS(Definitions!$V:$W),TRUE),"")</f>
        <v>Enhanced-Basic</v>
      </c>
      <c r="BH9" s="21" t="str">
        <f ca="1">_xlfn.LET(_xlpm._comments,GetValues($K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9" s="21" t="str" cm="1">
        <f t="array" ca="1" aca="1" ref="BI9">_xlfn.LET(_xlpm._rapRange,Definitions!$W:$W,_xlpm._calculatedRAP,$BG9,_xlpm._inlineRAP,$BH9,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9" s="21" t="str">
        <f ca="1">IFERROR(IF(OR($V9="",$BI9=""),Definitions!$AE$4,VLOOKUP($V9,Definitions!$AH:$AM,MATCH($BI9,Definitions!$AH$3:$AM$3,0),FALSE)),"")</f>
        <v>Very High</v>
      </c>
      <c r="BK9" s="21" cm="1">
        <f t="array" ca="1" aca="1" ref="BK9">IF($BJ9="",0,SimpleLookup($BJ9,Definitions!$AE:$AF))</f>
        <v>4</v>
      </c>
      <c r="BL9" s="21" t="str" cm="1">
        <f t="array" ca="1" aca="1" ref="BL9">IFERROR(SimpleLookup($A9,Tracing!$B:$Z),"")</f>
        <v/>
      </c>
      <c r="BM9" s="21" t="str" cm="1">
        <f t="array" ca="1" aca="1" ref="BM9">_xlfn.LET(_xlpm._dm,SanitizeInput(GetValuesWithFallback(SanitizeInput($BL9),Assumptions!$A:$I,Countermeasures!$A:$I,"",",",FALSE)),IF(_xlpm._dm="","",","&amp;_xlpm._dm))</f>
        <v/>
      </c>
      <c r="BN9" s="21" t="str" cm="1">
        <f t="array" ca="1" aca="1" ref="BN9">ApplyDamageMitigation($M9,$BM9,"")</f>
        <v>DS10,DS11,DS12,DS13,DS14,DS15,</v>
      </c>
      <c r="BO9" s="21" cm="1">
        <f t="array" ca="1" aca="1" ref="BO9">CalculateMaxFromList($BN9,0,'Damage Scenarios'!$A:$U)</f>
        <v>5</v>
      </c>
      <c r="BP9" s="21" t="str">
        <f ca="1">IF($BO9=0,"",INDEX(Definitions!$Q:$Q,MATCH($BO9,Definitions!$R:$R,0)))</f>
        <v>Critical</v>
      </c>
      <c r="BQ9" s="21" t="str" cm="1">
        <f t="array" ca="1" aca="1" ref="BQ9">CalculateMaxAndElementsWithFallback(SanitizeInput($BL9),0,"",Countermeasures!$A:Y,Assumptions!$A:Z)</f>
        <v>0:</v>
      </c>
      <c r="BR9" s="21" t="str" cm="1">
        <f t="array" ca="1" aca="1" ref="BR9">CalculateMaxAndElementsWithFallback(SanitizeInput($BL9),0,"",Countermeasures!$A:Z,Assumptions!$A:AA)</f>
        <v>0:</v>
      </c>
      <c r="BS9" s="21" t="str" cm="1">
        <f t="array" ca="1" aca="1" ref="BS9">CalculateMaxAndElementsWithFallback(SanitizeInput($BL9),0,"",Countermeasures!$A:AA,Assumptions!$A:AB)</f>
        <v>0:</v>
      </c>
      <c r="BT9" s="21" t="str" cm="1">
        <f t="array" ca="1" aca="1" ref="BT9">CalculateMaxAndElementsWithFallback(SanitizeInput($BL9),0,"",Countermeasures!$A:AB,Assumptions!$A:AC)</f>
        <v>0:</v>
      </c>
      <c r="BU9" s="21" t="str" cm="1">
        <f t="array" ca="1" aca="1" ref="BU9">CalculateMaxAndElementsWithFallback(SanitizeInput($BL9),0,"",Countermeasures!$A:AC,Assumptions!$A:AD)</f>
        <v>0:</v>
      </c>
      <c r="BV9" s="21">
        <f t="shared" ca="1" si="25"/>
        <v>0</v>
      </c>
      <c r="BW9" s="21">
        <f t="shared" ca="1" si="26"/>
        <v>0</v>
      </c>
      <c r="BX9" s="21">
        <f t="shared" ca="1" si="27"/>
        <v>0</v>
      </c>
      <c r="BY9" s="21">
        <f t="shared" ca="1" si="28"/>
        <v>0</v>
      </c>
      <c r="BZ9" s="21">
        <f t="shared" ca="1" si="29"/>
        <v>0</v>
      </c>
      <c r="CA9" s="21" t="str">
        <f t="shared" ca="1" si="30"/>
        <v>1:AS7,</v>
      </c>
      <c r="CB9" s="21" t="str">
        <f t="shared" ca="1" si="31"/>
        <v>6:AS7,</v>
      </c>
      <c r="CC9" s="21" t="str">
        <f t="shared" ca="1" si="32"/>
        <v>3:AS7,</v>
      </c>
      <c r="CD9" s="21" t="str">
        <f t="shared" ca="1" si="33"/>
        <v>0:AS1,AS7,</v>
      </c>
      <c r="CE9" s="21" t="str">
        <f t="shared" ca="1" si="34"/>
        <v>0:AS1,AS7,</v>
      </c>
      <c r="CF9" s="21">
        <f t="shared" ca="1" si="35"/>
        <v>1</v>
      </c>
      <c r="CG9" s="21">
        <f t="shared" ca="1" si="36"/>
        <v>6</v>
      </c>
      <c r="CH9" s="21">
        <f t="shared" ca="1" si="37"/>
        <v>3</v>
      </c>
      <c r="CI9" s="21">
        <f t="shared" ca="1" si="38"/>
        <v>0</v>
      </c>
      <c r="CJ9" s="21">
        <f t="shared" ca="1" si="39"/>
        <v>0</v>
      </c>
      <c r="CK9" s="21">
        <f t="shared" ca="1" si="23"/>
        <v>10</v>
      </c>
      <c r="CL9" s="21" t="str">
        <f ca="1">IFERROR(VLOOKUP($CK9,Definitions!$V:$W,COLUMNS(Definitions!$V:$W),TRUE),"")</f>
        <v>Enhanced-Basic</v>
      </c>
      <c r="CM9" s="21" t="str">
        <f ca="1">_xlfn.LET(_xlpm._comments,SimpleLookup($A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9" s="21" t="str" cm="1">
        <f t="array" ca="1" aca="1" ref="CN9">_xlfn.LET(_xlpm._rapRange,Definitions!$W:$W,_xlpm._calculatedRAP,$CL9,_xlpm._inlineRAP,$CM9,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9" s="21" t="str">
        <f ca="1">IFERROR(IF(OR($BP9="",$CN9=""),Definitions!$AE$4,VLOOKUP($BP9,Definitions!$AH:$AM,MATCH($CN9,Definitions!$AH$3:$AM$3,0),FALSE)),"")</f>
        <v>Very High</v>
      </c>
      <c r="CP9" s="21" cm="1">
        <f t="array" ca="1" aca="1" ref="CP9">IF($CO9="",0,SimpleLookup($CO9,Definitions!$AE:$AF))</f>
        <v>4</v>
      </c>
      <c r="CQ9" s="21" t="b">
        <f ca="1">OR(AND($S9,$I9=Helper!$B$7),$I9&gt;Helper!$B$7)</f>
        <v>0</v>
      </c>
      <c r="CR9" s="21" t="str">
        <f t="shared" ca="1" si="24"/>
        <v/>
      </c>
      <c r="CS9" s="21" cm="1">
        <f t="array" ca="1" aca="1" ref="CS9">CreateID($CS$2,$CV:$CV,$CR9&lt;&gt;"")</f>
        <v>0</v>
      </c>
      <c r="CT9" s="21" t="str">
        <f ca="1">IF(IFERROR(MATCH(","&amp;A9&amp;",",'Risk Treatment'!$AT:$AT,0)&gt;0,FALSE),"",$A9)</f>
        <v>R1-7</v>
      </c>
      <c r="CU9" s="21" cm="1">
        <f t="array" ca="1" aca="1" ref="CU9">CreateID($CU$2,$CU:$CU,$CT9&lt;&gt;"")</f>
        <v>7</v>
      </c>
    </row>
    <row r="10" spans="1:99" ht="90.75">
      <c r="A10" s="33" t="str" cm="1">
        <f t="array" ca="1" aca="1" ref="A10">IF($B10="","","R"&amp;RemoveDelimiter(SUBSTITUTE(SUBSTITUTE($K10,"AS",""),",","-"),"-"))</f>
        <v>R2-7</v>
      </c>
      <c r="B10" s="33" t="str" cm="1">
        <f t="array" ca="1" aca="1" ref="B10">IF($L10="","",_xlfn.LET(_xlpm._finalAttackStep,$L10,_xlpm._prepAttacks,RemoveFirstElement(_xlpm._finalAttackStep&amp;","&amp;$K10),_xlpm._prepAttackNames,IFERROR(LookupNames(_xlpm._prepAttacks,'Attack Steps'!$A:$B),""),_xlpm._delimiter,REPT(CHAR(150),55),$L10&amp;" "&amp;SimpleLookup($L10,'Attack Steps'!$A:$B)&amp;IF(_xlpm._prepAttackNames="","",CHAR(10)&amp;_xlpm._delimiter&amp;CHAR(10)&amp;_xlpm._prepAttackNames)))</f>
        <v>AS7 Spoofing / tampering with the product's incoming communication
–––––––––––––––––––––––––––––––––––––––––––––––––––––––
AS2 Getting access to a wireless network</v>
      </c>
      <c r="C10" s="34" t="str" cm="1">
        <f t="array" ca="1" aca="1" ref="C10">IFERROR(LookupNames($M10,'Damage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10" s="33" t="str">
        <f ca="1">IFERROR(IF($T10=0,"",INDEX(Definitions!$Q:$Q,MATCH($T10,Definitions!$R:$R,0))),"")</f>
        <v>Critical</v>
      </c>
      <c r="E10" s="34" t="str" cm="1">
        <f t="array" ca="1" aca="1" ref="E10">IF($A10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10,$A:W,Definitions!$Y:$Y,Definitions!$AB:$AB,1)&amp;CHAR(10)&amp;_xlpm._factorFunction($A10,$A:X,Definitions!$Y:$Y,Definitions!$AB:$AB,2)&amp;CHAR(10)&amp;_xlpm._factorFunction($A10,$A:Y,Definitions!$Y:$Y,Definitions!$AB:$AB,3)&amp;CHAR(10)&amp;_xlpm._factorFunction($A10,$A:Z,Definitions!$Y:$Y,Definitions!$AB:$AB,4)&amp;CHAR(10)&amp;_xlpm._factorFunction($A10,$A:AA,Definitions!$Y:$Y,Definitions!$AB:$AB,5)))</f>
        <v>Elapsed Time [1]: AS7
Expertise [6]: AS7
Knowledge of TOE [3]: AS7
Window of Opportunity [1]: AS2
Equipment [0]: AS2, AS7</v>
      </c>
      <c r="F10" s="33" t="str">
        <f ca="1">IF($A10="","",IFERROR(VLOOKUP($AG10,Definitions!$V:$W,COLUMNS(Definitions!$V:$W),TRUE),""))</f>
        <v>Enhanced-Basic</v>
      </c>
      <c r="G10" s="33" t="str">
        <f ca="1">IFERROR(IF(OR($D10="",$F10=""),"",VLOOKUP($D10,Definitions!$AH:$AM,MATCH($F10,Definitions!$AH$3:$AM$3,0),FALSE)),"")</f>
        <v>Very High</v>
      </c>
      <c r="H10" s="23" cm="1">
        <f t="array" ca="1" aca="1" ref="H10">IF(ROW()=ROW($H$2)+1,0,INDEX($H:$H,ROW()-1))+IF($A10="",0,1)</f>
        <v>8</v>
      </c>
      <c r="I10" s="21" cm="1">
        <f t="array" ca="1" aca="1" ref="I10">IF(ROW()=ROW($I$2)+1,1,INDEX($I:$I,ROW()-1)+IF(INDEX($S:$S,ROW()-1),1,0))</f>
        <v>4</v>
      </c>
      <c r="J10" s="21">
        <f t="shared" ca="1" si="0"/>
        <v>2</v>
      </c>
      <c r="K10" s="21" t="str">
        <f t="shared" ca="1" si="40"/>
        <v>AS2,AS7,</v>
      </c>
      <c r="L10" s="21" t="str" cm="1">
        <f t="array" ca="1" aca="1" ref="L10">IF($P10="","",INDEX('Attack Steps'!$A:$A,$P10))</f>
        <v>AS7</v>
      </c>
      <c r="M10" s="21" t="str" cm="1">
        <f t="array" ca="1" aca="1" ref="M10">IF($P10="","",INDEX('Attack Steps'!$T:$T,$P10))</f>
        <v>DS10,DS11,DS12,DS13,DS14,DS15,</v>
      </c>
      <c r="N10" s="21" t="str" cm="1">
        <f t="array" ca="1" aca="1" ref="N10">_xlfn.LET(_xlpm._dm,SanitizeInput(GetValuesWithFallback(SanitizeInput($AK10),Assumptions!$A:$I,Countermeasures!$A:$I,"",",",FALSE)),IF(_xlpm._dm="","",","&amp;_xlpm._dm))</f>
        <v/>
      </c>
      <c r="O10" s="21" t="str" cm="1">
        <f t="array" ca="1" aca="1" ref="O10">ApplyDamageMitigation($M10,$N10,"")</f>
        <v>DS10,DS11,DS12,DS13,DS14,DS15,</v>
      </c>
      <c r="P10" s="21">
        <f ca="1">IFERROR(MATCH($I10,'Attack Steps'!$V:$V,0),"")</f>
        <v>9</v>
      </c>
      <c r="Q10" s="21" t="str" cm="1">
        <f t="array" ca="1" aca="1" ref="Q10">IF($P10="","","§"&amp;INDEX('Attack Steps'!$S:$S,$P10))</f>
        <v>§AS1,AS7,§AS2,AS7,§</v>
      </c>
      <c r="R10" s="21" cm="1">
        <f t="array" ca="1" aca="1" ref="R10">IF($P10="","",INDEX('Attack Steps'!$W:$W,$P10))</f>
        <v>2</v>
      </c>
      <c r="S10" s="21" t="b">
        <f t="shared" ca="1" si="41"/>
        <v>1</v>
      </c>
      <c r="T10" s="21" cm="1">
        <f t="array" ca="1" aca="1" ref="T10">_xlfn.LAMBDA(_xlpm._in,_xlpm._val,_xlpm._range,IF(_xlpm._in="",_xlpm._val,_xlfn.LET(_xlpm._id,LEFT(_xlpm._in,FIND(",",_xlpm._in)-1),CalculateMaxFromList(RemoveFirstElement(_xlpm._in),MAX(_xlpm._val,VLOOKUP(_xlpm._id,_xlpm._range,COLUMNS(_xlpm._range),FALSE)),_xlpm._range))))($M10,0,'Damage Scenarios'!$A:$U)</f>
        <v>5</v>
      </c>
      <c r="U10" s="21" cm="1">
        <f t="array" ca="1" aca="1" ref="U10">CalculateMaxFromList($O10,0,'Damage Scenarios'!$A:$U)</f>
        <v>5</v>
      </c>
      <c r="V10" s="21" t="str">
        <f ca="1">IF($U10=0,"",INDEX(Definitions!$Q:$Q,MATCH($U10,Definitions!$R:$R,0)))</f>
        <v>Critical</v>
      </c>
      <c r="W10" s="21" t="str" cm="1">
        <f t="array" ca="1" aca="1" ref="W10">CalculateMaxAndElements($K10,0,"",'Attack Steps'!$A:X)</f>
        <v>1:AS7,</v>
      </c>
      <c r="X10" s="21" t="str" cm="1">
        <f t="array" ca="1" aca="1" ref="X10">CalculateMaxAndElements($K10,0,"",'Attack Steps'!$A:Y)</f>
        <v>6:AS7,</v>
      </c>
      <c r="Y10" s="21" t="str" cm="1">
        <f t="array" ca="1" aca="1" ref="Y10">CalculateMaxAndElements($K10,0,"",'Attack Steps'!$A:Z)</f>
        <v>3:AS7,</v>
      </c>
      <c r="Z10" s="21" t="str" cm="1">
        <f t="array" ca="1" aca="1" ref="Z10">CalculateMaxAndElements($K10,0,"",'Attack Steps'!$A:AA)</f>
        <v>1:AS2,</v>
      </c>
      <c r="AA10" s="21" t="str" cm="1">
        <f t="array" ca="1" aca="1" ref="AA10">CalculateMaxAndElements($K10,0,"",'Attack Steps'!$A:AB)</f>
        <v>0:AS2,AS7,</v>
      </c>
      <c r="AB10" s="21">
        <f t="shared" ca="1" si="42"/>
        <v>1</v>
      </c>
      <c r="AC10" s="21">
        <f t="shared" ca="1" si="43"/>
        <v>6</v>
      </c>
      <c r="AD10" s="21">
        <f t="shared" ca="1" si="44"/>
        <v>3</v>
      </c>
      <c r="AE10" s="21">
        <f t="shared" ca="1" si="45"/>
        <v>1</v>
      </c>
      <c r="AF10" s="21">
        <f t="shared" ca="1" si="46"/>
        <v>0</v>
      </c>
      <c r="AG10" s="21">
        <f t="shared" ca="1" si="3"/>
        <v>11</v>
      </c>
      <c r="AH10" s="21" t="str" cm="1">
        <f t="array" ca="1" aca="1" ref="AH10">IF(ROW()=ROW($AH$2)+1,"",INDEX($AH:$AH,ROW()-1))&amp;IF($A10="","",$A10&amp;",")</f>
        <v>R1-3,R2-3,R1-4,R2-4,R1-6,R2-6,R1-7,R2-7,</v>
      </c>
      <c r="AI10" s="21" t="str">
        <f t="shared" ca="1" si="47"/>
        <v>,AS2,AS7,</v>
      </c>
      <c r="AJ10" s="21" cm="1">
        <f t="array" ca="1" aca="1" ref="AJ10">IF($G10="",0,SimpleLookup($G10,Definitions!$AE:$AF))</f>
        <v>4</v>
      </c>
      <c r="AK10" s="21" t="str" cm="1">
        <f t="array" ca="1" aca="1" ref="AK10">InverseLookup($A10,Mitigation!$U$2,Mitigation!$J$2,1,Helper!$B$5,",")</f>
        <v/>
      </c>
      <c r="AL10" s="21" t="str" cm="1">
        <f t="array" ca="1" aca="1" ref="AL10">CalculateMaxAndElementsWithFallback(SanitizeInput($AK10),0,"",Countermeasures!$A:Y,Assumptions!$A:Z)</f>
        <v>0:</v>
      </c>
      <c r="AM10" s="21" t="str" cm="1">
        <f t="array" ca="1" aca="1" ref="AM10">CalculateMaxAndElementsWithFallback(SanitizeInput($AK10),0,"",Countermeasures!$A:Z,Assumptions!$A:AA)</f>
        <v>0:</v>
      </c>
      <c r="AN10" s="21" t="str" cm="1">
        <f t="array" ca="1" aca="1" ref="AN10">CalculateMaxAndElementsWithFallback(SanitizeInput($AK10),0,"",Countermeasures!$A:AA,Assumptions!$A:AB)</f>
        <v>0:</v>
      </c>
      <c r="AO10" s="21" t="str" cm="1">
        <f t="array" ca="1" aca="1" ref="AO10">CalculateMaxAndElementsWithFallback(SanitizeInput($AK10),0,"",Countermeasures!$A:AB,Assumptions!$A:AC)</f>
        <v>0:</v>
      </c>
      <c r="AP10" s="21" t="str" cm="1">
        <f t="array" ca="1" aca="1" ref="AP10">CalculateMaxAndElementsWithFallback(SanitizeInput($AK10),0,"",Countermeasures!$A:AC,Assumptions!$A:AD)</f>
        <v>0:</v>
      </c>
      <c r="AQ10" s="21">
        <f t="shared" ca="1" si="48"/>
        <v>0</v>
      </c>
      <c r="AR10" s="21">
        <f t="shared" ca="1" si="49"/>
        <v>0</v>
      </c>
      <c r="AS10" s="21">
        <f t="shared" ca="1" si="50"/>
        <v>0</v>
      </c>
      <c r="AT10" s="21">
        <f t="shared" ca="1" si="51"/>
        <v>0</v>
      </c>
      <c r="AU10" s="21">
        <f t="shared" ca="1" si="52"/>
        <v>0</v>
      </c>
      <c r="AV10" s="21" t="str">
        <f t="shared" ca="1" si="53"/>
        <v>1:AS7,</v>
      </c>
      <c r="AW10" s="21" t="str">
        <f t="shared" ca="1" si="54"/>
        <v>6:AS7,</v>
      </c>
      <c r="AX10" s="21" t="str">
        <f t="shared" ca="1" si="55"/>
        <v>3:AS7,</v>
      </c>
      <c r="AY10" s="21" t="str">
        <f t="shared" ca="1" si="56"/>
        <v>1:AS2,</v>
      </c>
      <c r="AZ10" s="21" t="str">
        <f t="shared" ca="1" si="57"/>
        <v>0:AS2,AS7,</v>
      </c>
      <c r="BA10" s="21">
        <f t="shared" ca="1" si="58"/>
        <v>1</v>
      </c>
      <c r="BB10" s="21">
        <f t="shared" ca="1" si="59"/>
        <v>6</v>
      </c>
      <c r="BC10" s="21">
        <f t="shared" ca="1" si="60"/>
        <v>3</v>
      </c>
      <c r="BD10" s="21">
        <f t="shared" ca="1" si="61"/>
        <v>1</v>
      </c>
      <c r="BE10" s="21">
        <f t="shared" ca="1" si="62"/>
        <v>0</v>
      </c>
      <c r="BF10" s="21">
        <f t="shared" ca="1" si="9"/>
        <v>11</v>
      </c>
      <c r="BG10" s="21" t="str">
        <f ca="1">IFERROR(VLOOKUP($BF10,Definitions!$V:$W,COLUMNS(Definitions!$V:$W),TRUE),"")</f>
        <v>Enhanced-Basic</v>
      </c>
      <c r="BH10" s="21" t="str">
        <f ca="1">_xlfn.LET(_xlpm._comments,GetValues($K10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0" s="21" t="str" cm="1">
        <f t="array" ca="1" aca="1" ref="BI10">_xlfn.LET(_xlpm._rapRange,Definitions!$W:$W,_xlpm._calculatedRAP,$BG10,_xlpm._inlineRAP,$BH10,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10" s="21" t="str">
        <f ca="1">IFERROR(IF(OR($V10="",$BI10=""),Definitions!$AE$4,VLOOKUP($V10,Definitions!$AH:$AM,MATCH($BI10,Definitions!$AH$3:$AM$3,0),FALSE)),"")</f>
        <v>Very High</v>
      </c>
      <c r="BK10" s="21" cm="1">
        <f t="array" ca="1" aca="1" ref="BK10">IF($BJ10="",0,SimpleLookup($BJ10,Definitions!$AE:$AF))</f>
        <v>4</v>
      </c>
      <c r="BL10" s="21" t="str" cm="1">
        <f t="array" ca="1" aca="1" ref="BL10">IFERROR(SimpleLookup($A10,Tracing!$B:$Z),"")</f>
        <v/>
      </c>
      <c r="BM10" s="21" t="str" cm="1">
        <f t="array" ca="1" aca="1" ref="BM10">_xlfn.LET(_xlpm._dm,SanitizeInput(GetValuesWithFallback(SanitizeInput($BL10),Assumptions!$A:$I,Countermeasures!$A:$I,"",",",FALSE)),IF(_xlpm._dm="","",","&amp;_xlpm._dm))</f>
        <v/>
      </c>
      <c r="BN10" s="21" t="str" cm="1">
        <f t="array" ca="1" aca="1" ref="BN10">ApplyDamageMitigation($M10,$BM10,"")</f>
        <v>DS10,DS11,DS12,DS13,DS14,DS15,</v>
      </c>
      <c r="BO10" s="21" cm="1">
        <f t="array" ca="1" aca="1" ref="BO10">CalculateMaxFromList($BN10,0,'Damage Scenarios'!$A:$U)</f>
        <v>5</v>
      </c>
      <c r="BP10" s="21" t="str">
        <f ca="1">IF($BO10=0,"",INDEX(Definitions!$Q:$Q,MATCH($BO10,Definitions!$R:$R,0)))</f>
        <v>Critical</v>
      </c>
      <c r="BQ10" s="21" t="str" cm="1">
        <f t="array" ca="1" aca="1" ref="BQ10">CalculateMaxAndElementsWithFallback(SanitizeInput($BL10),0,"",Countermeasures!$A:Y,Assumptions!$A:Z)</f>
        <v>0:</v>
      </c>
      <c r="BR10" s="21" t="str" cm="1">
        <f t="array" ca="1" aca="1" ref="BR10">CalculateMaxAndElementsWithFallback(SanitizeInput($BL10),0,"",Countermeasures!$A:Z,Assumptions!$A:AA)</f>
        <v>0:</v>
      </c>
      <c r="BS10" s="21" t="str" cm="1">
        <f t="array" ca="1" aca="1" ref="BS10">CalculateMaxAndElementsWithFallback(SanitizeInput($BL10),0,"",Countermeasures!$A:AA,Assumptions!$A:AB)</f>
        <v>0:</v>
      </c>
      <c r="BT10" s="21" t="str" cm="1">
        <f t="array" ca="1" aca="1" ref="BT10">CalculateMaxAndElementsWithFallback(SanitizeInput($BL10),0,"",Countermeasures!$A:AB,Assumptions!$A:AC)</f>
        <v>0:</v>
      </c>
      <c r="BU10" s="21" t="str" cm="1">
        <f t="array" ca="1" aca="1" ref="BU10">CalculateMaxAndElementsWithFallback(SanitizeInput($BL10),0,"",Countermeasures!$A:AC,Assumptions!$A:AD)</f>
        <v>0:</v>
      </c>
      <c r="BV10" s="21">
        <f t="shared" ca="1" si="25"/>
        <v>0</v>
      </c>
      <c r="BW10" s="21">
        <f t="shared" ca="1" si="26"/>
        <v>0</v>
      </c>
      <c r="BX10" s="21">
        <f t="shared" ca="1" si="27"/>
        <v>0</v>
      </c>
      <c r="BY10" s="21">
        <f t="shared" ca="1" si="28"/>
        <v>0</v>
      </c>
      <c r="BZ10" s="21">
        <f t="shared" ca="1" si="29"/>
        <v>0</v>
      </c>
      <c r="CA10" s="21" t="str">
        <f t="shared" ca="1" si="30"/>
        <v>1:AS7,</v>
      </c>
      <c r="CB10" s="21" t="str">
        <f t="shared" ca="1" si="31"/>
        <v>6:AS7,</v>
      </c>
      <c r="CC10" s="21" t="str">
        <f t="shared" ca="1" si="32"/>
        <v>3:AS7,</v>
      </c>
      <c r="CD10" s="21" t="str">
        <f t="shared" ca="1" si="33"/>
        <v>1:AS2,</v>
      </c>
      <c r="CE10" s="21" t="str">
        <f t="shared" ca="1" si="34"/>
        <v>0:AS2,AS7,</v>
      </c>
      <c r="CF10" s="21">
        <f t="shared" ca="1" si="35"/>
        <v>1</v>
      </c>
      <c r="CG10" s="21">
        <f t="shared" ca="1" si="36"/>
        <v>6</v>
      </c>
      <c r="CH10" s="21">
        <f t="shared" ca="1" si="37"/>
        <v>3</v>
      </c>
      <c r="CI10" s="21">
        <f t="shared" ca="1" si="38"/>
        <v>1</v>
      </c>
      <c r="CJ10" s="21">
        <f t="shared" ca="1" si="39"/>
        <v>0</v>
      </c>
      <c r="CK10" s="21">
        <f t="shared" ca="1" si="23"/>
        <v>11</v>
      </c>
      <c r="CL10" s="21" t="str">
        <f ca="1">IFERROR(VLOOKUP($CK10,Definitions!$V:$W,COLUMNS(Definitions!$V:$W),TRUE),"")</f>
        <v>Enhanced-Basic</v>
      </c>
      <c r="CM10" s="21" t="str">
        <f ca="1">_xlfn.LET(_xlpm._comments,SimpleLookup($A10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0" s="21" t="str" cm="1">
        <f t="array" ca="1" aca="1" ref="CN10">_xlfn.LET(_xlpm._rapRange,Definitions!$W:$W,_xlpm._calculatedRAP,$CL10,_xlpm._inlineRAP,$CM10,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10" s="21" t="str">
        <f ca="1">IFERROR(IF(OR($BP10="",$CN10=""),Definitions!$AE$4,VLOOKUP($BP10,Definitions!$AH:$AM,MATCH($CN10,Definitions!$AH$3:$AM$3,0),FALSE)),"")</f>
        <v>Very High</v>
      </c>
      <c r="CP10" s="21" cm="1">
        <f t="array" ca="1" aca="1" ref="CP10">IF($CO10="",0,SimpleLookup($CO10,Definitions!$AE:$AF))</f>
        <v>4</v>
      </c>
      <c r="CQ10" s="21" t="b">
        <f ca="1">OR(AND($S10,$I10=Helper!$B$7),$I10&gt;Helper!$B$7)</f>
        <v>0</v>
      </c>
      <c r="CR10" s="21" t="str">
        <f t="shared" ca="1" si="24"/>
        <v/>
      </c>
      <c r="CS10" s="21" cm="1">
        <f t="array" ca="1" aca="1" ref="CS10">CreateID($CS$2,$CV:$CV,$CR10&lt;&gt;"")</f>
        <v>0</v>
      </c>
      <c r="CT10" s="21" t="str">
        <f ca="1">IF(IFERROR(MATCH(","&amp;A10&amp;",",'Risk Treatment'!$AT:$AT,0)&gt;0,FALSE),"",$A10)</f>
        <v>R2-7</v>
      </c>
      <c r="CU10" s="21" cm="1">
        <f t="array" ca="1" aca="1" ref="CU10">CreateID($CU$2,$CU:$CU,$CT10&lt;&gt;"")</f>
        <v>8</v>
      </c>
    </row>
    <row r="11" spans="1:99" ht="60">
      <c r="A11" s="33" t="str" cm="1">
        <f t="array" ca="1" aca="1" ref="A11">IF($B11="","","R"&amp;RemoveDelimiter(SUBSTITUTE(SUBSTITUTE($K11,"AS",""),",","-"),"-"))</f>
        <v>R1-3-10</v>
      </c>
      <c r="B11" s="33" t="str" cm="1">
        <f t="array" ca="1" aca="1" ref="B11">IF($L11="","",_xlfn.LET(_xlpm._finalAttackStep,$L11,_xlpm._prepAttacks,RemoveFirstElement(_xlpm._finalAttackStep&amp;","&amp;$K11),_xlpm._prepAttackNames,IFERROR(LookupNames(_xlpm._prepAttacks,'Attack Steps'!$A:$B),""),_xlpm._delimiter,REPT(CHAR(150),55),$L11&amp;" "&amp;SimpleLookup($L11,'Attack Steps'!$A:$B)&amp;IF(_xlpm._prepAttackNames="","",CHAR(10)&amp;_xlpm._delimiter&amp;CHAR(10)&amp;_xlpm._prepAttackNames)))</f>
        <v>AS10 Attacking devices in the customer's network
–––––––––––––––––––––––––––––––––––––––––––––––––––––––
AS1 Getting access to a trusted operational environment,
AS3 Compromising the product using a software vulnerability</v>
      </c>
      <c r="C11" s="34" t="str" cm="1">
        <f t="array" ca="1" aca="1" ref="C11">IFERROR(LookupNames($M11,'Damage Scenarios'!$A:$V),"")</f>
        <v>DS10 Life-threatening injury caused by manipulated product [Critical],
DS14 Critical environmental damage caused by manipulated product [Critical],
DS15 Critical environmental damage caused by attacks on customer's assets by manipulated product [Critical]</v>
      </c>
      <c r="D11" s="33" t="str">
        <f ca="1">IFERROR(IF($T11=0,"",INDEX(Definitions!$Q:$Q,MATCH($T11,Definitions!$R:$R,0))),"")</f>
        <v>Critical</v>
      </c>
      <c r="E11" s="34" t="str" cm="1">
        <f t="array" ca="1" aca="1" ref="E11">IF($A11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11,$A:W,Definitions!$Y:$Y,Definitions!$AB:$AB,1)&amp;CHAR(10)&amp;_xlpm._factorFunction($A11,$A:X,Definitions!$Y:$Y,Definitions!$AB:$AB,2)&amp;CHAR(10)&amp;_xlpm._factorFunction($A11,$A:Y,Definitions!$Y:$Y,Definitions!$AB:$AB,3)&amp;CHAR(10)&amp;_xlpm._factorFunction($A11,$A:Z,Definitions!$Y:$Y,Definitions!$AB:$AB,4)&amp;CHAR(10)&amp;_xlpm._factorFunction($A11,$A:AA,Definitions!$Y:$Y,Definitions!$AB:$AB,5)))</f>
        <v>Elapsed Time [4]: AS3
Expertise [6]: AS3, AS10
Knowledge of TOE [3]: AS3, AS10
Window of Opportunity [0]: AS1, AS3, AS10
Equipment [0]: AS1, AS3, AS10</v>
      </c>
      <c r="F11" s="33" t="str">
        <f ca="1">IF($A11="","",IFERROR(VLOOKUP($AG11,Definitions!$V:$W,COLUMNS(Definitions!$V:$W),TRUE),""))</f>
        <v>Enhanced-Basic</v>
      </c>
      <c r="G11" s="33" t="str">
        <f ca="1">IFERROR(IF(OR($D11="",$F11=""),"",VLOOKUP($D11,Definitions!$AH:$AM,MATCH($F11,Definitions!$AH$3:$AM$3,0),FALSE)),"")</f>
        <v>Very High</v>
      </c>
      <c r="H11" s="23" cm="1">
        <f t="array" ca="1" aca="1" ref="H11">IF(ROW()=ROW($H$2)+1,0,INDEX($H:$H,ROW()-1))+IF($A11="",0,1)</f>
        <v>9</v>
      </c>
      <c r="I11" s="21" cm="1">
        <f t="array" ca="1" aca="1" ref="I11">IF(ROW()=ROW($I$2)+1,1,INDEX($I:$I,ROW()-1)+IF(INDEX($S:$S,ROW()-1),1,0))</f>
        <v>5</v>
      </c>
      <c r="J11" s="21">
        <f t="shared" ca="1" si="0"/>
        <v>1</v>
      </c>
      <c r="K11" s="21" t="str">
        <f t="shared" ca="1" si="40"/>
        <v>AS1,AS3,AS10,</v>
      </c>
      <c r="L11" s="21" t="str" cm="1">
        <f t="array" ca="1" aca="1" ref="L11">IF($P11="","",INDEX('Attack Steps'!$A:$A,$P11))</f>
        <v>AS10</v>
      </c>
      <c r="M11" s="21" t="str" cm="1">
        <f t="array" ca="1" aca="1" ref="M11">IF($P11="","",INDEX('Attack Steps'!$T:$T,$P11))</f>
        <v>DS10,DS14,DS15,</v>
      </c>
      <c r="N11" s="21" t="str" cm="1">
        <f t="array" ca="1" aca="1" ref="N11">_xlfn.LET(_xlpm._dm,SanitizeInput(GetValuesWithFallback(SanitizeInput($AK11),Assumptions!$A:$I,Countermeasures!$A:$I,"",",",FALSE)),IF(_xlpm._dm="","",","&amp;_xlpm._dm))</f>
        <v/>
      </c>
      <c r="O11" s="21" t="str" cm="1">
        <f t="array" ca="1" aca="1" ref="O11">ApplyDamageMitigation($M11,$N11,"")</f>
        <v>DS10,DS14,DS15,</v>
      </c>
      <c r="P11" s="21">
        <f ca="1">IFERROR(MATCH($I11,'Attack Steps'!$V:$V,0),"")</f>
        <v>12</v>
      </c>
      <c r="Q11" s="21" t="str" cm="1">
        <f t="array" ca="1" aca="1" ref="Q11">IF($P11="","","§"&amp;INDEX('Attack Steps'!$S:$S,$P11))</f>
        <v>§AS1,AS3,AS10,§AS2,AS3,AS10,§</v>
      </c>
      <c r="R11" s="21" cm="1">
        <f t="array" ca="1" aca="1" ref="R11">IF($P11="","",INDEX('Attack Steps'!$W:$W,$P11))</f>
        <v>2</v>
      </c>
      <c r="S11" s="21" t="b">
        <f t="shared" ca="1" si="41"/>
        <v>0</v>
      </c>
      <c r="T11" s="21" cm="1">
        <f t="array" ca="1" aca="1" ref="T11">_xlfn.LAMBDA(_xlpm._in,_xlpm._val,_xlpm._range,IF(_xlpm._in="",_xlpm._val,_xlfn.LET(_xlpm._id,LEFT(_xlpm._in,FIND(",",_xlpm._in)-1),CalculateMaxFromList(RemoveFirstElement(_xlpm._in),MAX(_xlpm._val,VLOOKUP(_xlpm._id,_xlpm._range,COLUMNS(_xlpm._range),FALSE)),_xlpm._range))))($M11,0,'Damage Scenarios'!$A:$U)</f>
        <v>5</v>
      </c>
      <c r="U11" s="21" cm="1">
        <f t="array" ca="1" aca="1" ref="U11">CalculateMaxFromList($O11,0,'Damage Scenarios'!$A:$U)</f>
        <v>5</v>
      </c>
      <c r="V11" s="21" t="str">
        <f ca="1">IF($U11=0,"",INDEX(Definitions!$Q:$Q,MATCH($U11,Definitions!$R:$R,0)))</f>
        <v>Critical</v>
      </c>
      <c r="W11" s="21" t="str" cm="1">
        <f t="array" ca="1" aca="1" ref="W11">CalculateMaxAndElements($K11,0,"",'Attack Steps'!$A:X)</f>
        <v>4:AS3,</v>
      </c>
      <c r="X11" s="21" t="str" cm="1">
        <f t="array" ca="1" aca="1" ref="X11">CalculateMaxAndElements($K11,0,"",'Attack Steps'!$A:Y)</f>
        <v>6:AS3,AS10,</v>
      </c>
      <c r="Y11" s="21" t="str" cm="1">
        <f t="array" ca="1" aca="1" ref="Y11">CalculateMaxAndElements($K11,0,"",'Attack Steps'!$A:Z)</f>
        <v>3:AS3,AS10,</v>
      </c>
      <c r="Z11" s="21" t="str" cm="1">
        <f t="array" ca="1" aca="1" ref="Z11">CalculateMaxAndElements($K11,0,"",'Attack Steps'!$A:AA)</f>
        <v>0:AS1,AS3,AS10,</v>
      </c>
      <c r="AA11" s="21" t="str" cm="1">
        <f t="array" ca="1" aca="1" ref="AA11">CalculateMaxAndElements($K11,0,"",'Attack Steps'!$A:AB)</f>
        <v>0:AS1,AS3,AS10,</v>
      </c>
      <c r="AB11" s="21">
        <f t="shared" ca="1" si="42"/>
        <v>4</v>
      </c>
      <c r="AC11" s="21">
        <f t="shared" ca="1" si="43"/>
        <v>6</v>
      </c>
      <c r="AD11" s="21">
        <f t="shared" ca="1" si="44"/>
        <v>3</v>
      </c>
      <c r="AE11" s="21">
        <f t="shared" ca="1" si="45"/>
        <v>0</v>
      </c>
      <c r="AF11" s="21">
        <f t="shared" ca="1" si="46"/>
        <v>0</v>
      </c>
      <c r="AG11" s="21">
        <f t="shared" ca="1" si="3"/>
        <v>13</v>
      </c>
      <c r="AH11" s="21" t="str" cm="1">
        <f t="array" ca="1" aca="1" ref="AH11">IF(ROW()=ROW($AH$2)+1,"",INDEX($AH:$AH,ROW()-1))&amp;IF($A11="","",$A11&amp;",")</f>
        <v>R1-3,R2-3,R1-4,R2-4,R1-6,R2-6,R1-7,R2-7,R1-3-10,</v>
      </c>
      <c r="AI11" s="21" t="str">
        <f t="shared" ca="1" si="47"/>
        <v>,AS1,AS3,AS10,</v>
      </c>
      <c r="AJ11" s="21" cm="1">
        <f t="array" ca="1" aca="1" ref="AJ11">IF($G11="",0,SimpleLookup($G11,Definitions!$AE:$AF))</f>
        <v>4</v>
      </c>
      <c r="AK11" s="21" t="str" cm="1">
        <f t="array" ca="1" aca="1" ref="AK11">InverseLookup($A11,Mitigation!$U$2,Mitigation!$J$2,1,Helper!$B$5,",")</f>
        <v/>
      </c>
      <c r="AL11" s="21" t="str" cm="1">
        <f t="array" ca="1" aca="1" ref="AL11">CalculateMaxAndElementsWithFallback(SanitizeInput($AK11),0,"",Countermeasures!$A:Y,Assumptions!$A:Z)</f>
        <v>0:</v>
      </c>
      <c r="AM11" s="21" t="str" cm="1">
        <f t="array" ca="1" aca="1" ref="AM11">CalculateMaxAndElementsWithFallback(SanitizeInput($AK11),0,"",Countermeasures!$A:Z,Assumptions!$A:AA)</f>
        <v>0:</v>
      </c>
      <c r="AN11" s="21" t="str" cm="1">
        <f t="array" ca="1" aca="1" ref="AN11">CalculateMaxAndElementsWithFallback(SanitizeInput($AK11),0,"",Countermeasures!$A:AA,Assumptions!$A:AB)</f>
        <v>0:</v>
      </c>
      <c r="AO11" s="21" t="str" cm="1">
        <f t="array" ca="1" aca="1" ref="AO11">CalculateMaxAndElementsWithFallback(SanitizeInput($AK11),0,"",Countermeasures!$A:AB,Assumptions!$A:AC)</f>
        <v>0:</v>
      </c>
      <c r="AP11" s="21" t="str" cm="1">
        <f t="array" ca="1" aca="1" ref="AP11">CalculateMaxAndElementsWithFallback(SanitizeInput($AK11),0,"",Countermeasures!$A:AC,Assumptions!$A:AD)</f>
        <v>0:</v>
      </c>
      <c r="AQ11" s="21">
        <f t="shared" ca="1" si="48"/>
        <v>0</v>
      </c>
      <c r="AR11" s="21">
        <f t="shared" ca="1" si="49"/>
        <v>0</v>
      </c>
      <c r="AS11" s="21">
        <f t="shared" ca="1" si="50"/>
        <v>0</v>
      </c>
      <c r="AT11" s="21">
        <f t="shared" ca="1" si="51"/>
        <v>0</v>
      </c>
      <c r="AU11" s="21">
        <f t="shared" ca="1" si="52"/>
        <v>0</v>
      </c>
      <c r="AV11" s="21" t="str">
        <f t="shared" ca="1" si="53"/>
        <v>4:AS3,</v>
      </c>
      <c r="AW11" s="21" t="str">
        <f t="shared" ca="1" si="54"/>
        <v>6:AS3,AS10,</v>
      </c>
      <c r="AX11" s="21" t="str">
        <f t="shared" ca="1" si="55"/>
        <v>3:AS3,AS10,</v>
      </c>
      <c r="AY11" s="21" t="str">
        <f t="shared" ca="1" si="56"/>
        <v>0:AS1,AS3,AS10,</v>
      </c>
      <c r="AZ11" s="21" t="str">
        <f t="shared" ca="1" si="57"/>
        <v>0:AS1,AS3,AS10,</v>
      </c>
      <c r="BA11" s="21">
        <f t="shared" ca="1" si="58"/>
        <v>4</v>
      </c>
      <c r="BB11" s="21">
        <f t="shared" ca="1" si="59"/>
        <v>6</v>
      </c>
      <c r="BC11" s="21">
        <f t="shared" ca="1" si="60"/>
        <v>3</v>
      </c>
      <c r="BD11" s="21">
        <f t="shared" ca="1" si="61"/>
        <v>0</v>
      </c>
      <c r="BE11" s="21">
        <f t="shared" ca="1" si="62"/>
        <v>0</v>
      </c>
      <c r="BF11" s="21">
        <f t="shared" ca="1" si="9"/>
        <v>13</v>
      </c>
      <c r="BG11" s="21" t="str">
        <f ca="1">IFERROR(VLOOKUP($BF11,Definitions!$V:$W,COLUMNS(Definitions!$V:$W),TRUE),"")</f>
        <v>Enhanced-Basic</v>
      </c>
      <c r="BH11" s="21" t="str">
        <f ca="1">_xlfn.LET(_xlpm._comments,GetValues($K11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1" s="21" t="str" cm="1">
        <f t="array" ca="1" aca="1" ref="BI11">_xlfn.LET(_xlpm._rapRange,Definitions!$W:$W,_xlpm._calculatedRAP,$BG11,_xlpm._inlineRAP,$BH11,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11" s="21" t="str">
        <f ca="1">IFERROR(IF(OR($V11="",$BI11=""),Definitions!$AE$4,VLOOKUP($V11,Definitions!$AH:$AM,MATCH($BI11,Definitions!$AH$3:$AM$3,0),FALSE)),"")</f>
        <v>Very High</v>
      </c>
      <c r="BK11" s="21" cm="1">
        <f t="array" ca="1" aca="1" ref="BK11">IF($BJ11="",0,SimpleLookup($BJ11,Definitions!$AE:$AF))</f>
        <v>4</v>
      </c>
      <c r="BL11" s="21" t="str" cm="1">
        <f t="array" ca="1" aca="1" ref="BL11">IFERROR(SimpleLookup($A11,Tracing!$B:$Z),"")</f>
        <v/>
      </c>
      <c r="BM11" s="21" t="str" cm="1">
        <f t="array" ca="1" aca="1" ref="BM11">_xlfn.LET(_xlpm._dm,SanitizeInput(GetValuesWithFallback(SanitizeInput($BL11),Assumptions!$A:$I,Countermeasures!$A:$I,"",",",FALSE)),IF(_xlpm._dm="","",","&amp;_xlpm._dm))</f>
        <v/>
      </c>
      <c r="BN11" s="21" t="str" cm="1">
        <f t="array" ca="1" aca="1" ref="BN11">ApplyDamageMitigation($M11,$BM11,"")</f>
        <v>DS10,DS14,DS15,</v>
      </c>
      <c r="BO11" s="21" cm="1">
        <f t="array" ca="1" aca="1" ref="BO11">CalculateMaxFromList($BN11,0,'Damage Scenarios'!$A:$U)</f>
        <v>5</v>
      </c>
      <c r="BP11" s="21" t="str">
        <f ca="1">IF($BO11=0,"",INDEX(Definitions!$Q:$Q,MATCH($BO11,Definitions!$R:$R,0)))</f>
        <v>Critical</v>
      </c>
      <c r="BQ11" s="21" t="str" cm="1">
        <f t="array" ca="1" aca="1" ref="BQ11">CalculateMaxAndElementsWithFallback(SanitizeInput($BL11),0,"",Countermeasures!$A:Y,Assumptions!$A:Z)</f>
        <v>0:</v>
      </c>
      <c r="BR11" s="21" t="str" cm="1">
        <f t="array" ca="1" aca="1" ref="BR11">CalculateMaxAndElementsWithFallback(SanitizeInput($BL11),0,"",Countermeasures!$A:Z,Assumptions!$A:AA)</f>
        <v>0:</v>
      </c>
      <c r="BS11" s="21" t="str" cm="1">
        <f t="array" ca="1" aca="1" ref="BS11">CalculateMaxAndElementsWithFallback(SanitizeInput($BL11),0,"",Countermeasures!$A:AA,Assumptions!$A:AB)</f>
        <v>0:</v>
      </c>
      <c r="BT11" s="21" t="str" cm="1">
        <f t="array" ca="1" aca="1" ref="BT11">CalculateMaxAndElementsWithFallback(SanitizeInput($BL11),0,"",Countermeasures!$A:AB,Assumptions!$A:AC)</f>
        <v>0:</v>
      </c>
      <c r="BU11" s="21" t="str" cm="1">
        <f t="array" ca="1" aca="1" ref="BU11">CalculateMaxAndElementsWithFallback(SanitizeInput($BL11),0,"",Countermeasures!$A:AC,Assumptions!$A:AD)</f>
        <v>0:</v>
      </c>
      <c r="BV11" s="21">
        <f t="shared" ca="1" si="25"/>
        <v>0</v>
      </c>
      <c r="BW11" s="21">
        <f t="shared" ca="1" si="26"/>
        <v>0</v>
      </c>
      <c r="BX11" s="21">
        <f t="shared" ca="1" si="27"/>
        <v>0</v>
      </c>
      <c r="BY11" s="21">
        <f t="shared" ca="1" si="28"/>
        <v>0</v>
      </c>
      <c r="BZ11" s="21">
        <f t="shared" ca="1" si="29"/>
        <v>0</v>
      </c>
      <c r="CA11" s="21" t="str">
        <f t="shared" ca="1" si="30"/>
        <v>4:AS3,</v>
      </c>
      <c r="CB11" s="21" t="str">
        <f t="shared" ca="1" si="31"/>
        <v>6:AS3,AS10,</v>
      </c>
      <c r="CC11" s="21" t="str">
        <f t="shared" ca="1" si="32"/>
        <v>3:AS3,AS10,</v>
      </c>
      <c r="CD11" s="21" t="str">
        <f t="shared" ca="1" si="33"/>
        <v>0:AS1,AS3,AS10,</v>
      </c>
      <c r="CE11" s="21" t="str">
        <f t="shared" ca="1" si="34"/>
        <v>0:AS1,AS3,AS10,</v>
      </c>
      <c r="CF11" s="21">
        <f t="shared" ca="1" si="35"/>
        <v>4</v>
      </c>
      <c r="CG11" s="21">
        <f t="shared" ca="1" si="36"/>
        <v>6</v>
      </c>
      <c r="CH11" s="21">
        <f t="shared" ca="1" si="37"/>
        <v>3</v>
      </c>
      <c r="CI11" s="21">
        <f t="shared" ca="1" si="38"/>
        <v>0</v>
      </c>
      <c r="CJ11" s="21">
        <f t="shared" ca="1" si="39"/>
        <v>0</v>
      </c>
      <c r="CK11" s="21">
        <f t="shared" ca="1" si="23"/>
        <v>13</v>
      </c>
      <c r="CL11" s="21" t="str">
        <f ca="1">IFERROR(VLOOKUP($CK11,Definitions!$V:$W,COLUMNS(Definitions!$V:$W),TRUE),"")</f>
        <v>Enhanced-Basic</v>
      </c>
      <c r="CM11" s="21" t="str">
        <f ca="1">_xlfn.LET(_xlpm._comments,SimpleLookup($A11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1" s="21" t="str" cm="1">
        <f t="array" ca="1" aca="1" ref="CN11">_xlfn.LET(_xlpm._rapRange,Definitions!$W:$W,_xlpm._calculatedRAP,$CL11,_xlpm._inlineRAP,$CM11,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11" s="21" t="str">
        <f ca="1">IFERROR(IF(OR($BP11="",$CN11=""),Definitions!$AE$4,VLOOKUP($BP11,Definitions!$AH:$AM,MATCH($CN11,Definitions!$AH$3:$AM$3,0),FALSE)),"")</f>
        <v>Very High</v>
      </c>
      <c r="CP11" s="21" cm="1">
        <f t="array" ca="1" aca="1" ref="CP11">IF($CO11="",0,SimpleLookup($CO11,Definitions!$AE:$AF))</f>
        <v>4</v>
      </c>
      <c r="CQ11" s="21" t="b">
        <f ca="1">OR(AND($S11,$I11=Helper!$B$7),$I11&gt;Helper!$B$7)</f>
        <v>0</v>
      </c>
      <c r="CR11" s="21" t="str">
        <f t="shared" ca="1" si="24"/>
        <v/>
      </c>
      <c r="CS11" s="21" cm="1">
        <f t="array" ca="1" aca="1" ref="CS11">CreateID($CS$2,$CV:$CV,$CR11&lt;&gt;"")</f>
        <v>0</v>
      </c>
      <c r="CT11" s="21" t="str">
        <f ca="1">IF(IFERROR(MATCH(","&amp;A11&amp;",",'Risk Treatment'!$AT:$AT,0)&gt;0,FALSE),"",$A11)</f>
        <v>R1-3-10</v>
      </c>
      <c r="CU11" s="21" cm="1">
        <f t="array" ca="1" aca="1" ref="CU11">CreateID($CU$2,$CU:$CU,$CT11&lt;&gt;"")</f>
        <v>9</v>
      </c>
    </row>
    <row r="12" spans="1:99" ht="60">
      <c r="A12" s="33" t="str" cm="1">
        <f t="array" ca="1" aca="1" ref="A12">IF($B12="","","R"&amp;RemoveDelimiter(SUBSTITUTE(SUBSTITUTE($K12,"AS",""),",","-"),"-"))</f>
        <v>R2-3-10</v>
      </c>
      <c r="B12" s="33" t="str" cm="1">
        <f t="array" ca="1" aca="1" ref="B12">IF($L12="","",_xlfn.LET(_xlpm._finalAttackStep,$L12,_xlpm._prepAttacks,RemoveFirstElement(_xlpm._finalAttackStep&amp;","&amp;$K12),_xlpm._prepAttackNames,IFERROR(LookupNames(_xlpm._prepAttacks,'Attack Steps'!$A:$B),""),_xlpm._delimiter,REPT(CHAR(150),55),$L12&amp;" "&amp;SimpleLookup($L12,'Attack Steps'!$A:$B)&amp;IF(_xlpm._prepAttackNames="","",CHAR(10)&amp;_xlpm._delimiter&amp;CHAR(10)&amp;_xlpm._prepAttackNames)))</f>
        <v>AS10 Attacking devices in the customer's network
–––––––––––––––––––––––––––––––––––––––––––––––––––––––
AS2 Getting access to a wireless network,
AS3 Compromising the product using a software vulnerability</v>
      </c>
      <c r="C12" s="34" t="str" cm="1">
        <f t="array" ca="1" aca="1" ref="C12">IFERROR(LookupNames($M12,'Damage Scenarios'!$A:$V),"")</f>
        <v>DS10 Life-threatening injury caused by manipulated product [Critical],
DS14 Critical environmental damage caused by manipulated product [Critical],
DS15 Critical environmental damage caused by attacks on customer's assets by manipulated product [Critical]</v>
      </c>
      <c r="D12" s="33" t="str">
        <f ca="1">IFERROR(IF($T12=0,"",INDEX(Definitions!$Q:$Q,MATCH($T12,Definitions!$R:$R,0))),"")</f>
        <v>Critical</v>
      </c>
      <c r="E12" s="34" t="str" cm="1">
        <f t="array" ca="1" aca="1" ref="E12">IF($A12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12,$A:W,Definitions!$Y:$Y,Definitions!$AB:$AB,1)&amp;CHAR(10)&amp;_xlpm._factorFunction($A12,$A:X,Definitions!$Y:$Y,Definitions!$AB:$AB,2)&amp;CHAR(10)&amp;_xlpm._factorFunction($A12,$A:Y,Definitions!$Y:$Y,Definitions!$AB:$AB,3)&amp;CHAR(10)&amp;_xlpm._factorFunction($A12,$A:Z,Definitions!$Y:$Y,Definitions!$AB:$AB,4)&amp;CHAR(10)&amp;_xlpm._factorFunction($A12,$A:AA,Definitions!$Y:$Y,Definitions!$AB:$AB,5)))</f>
        <v>Elapsed Time [4]: AS3
Expertise [6]: AS3, AS10
Knowledge of TOE [3]: AS3, AS10
Window of Opportunity [1]: AS2
Equipment [0]: AS2, AS3, AS10</v>
      </c>
      <c r="F12" s="33" t="str">
        <f ca="1">IF($A12="","",IFERROR(VLOOKUP($AG12,Definitions!$V:$W,COLUMNS(Definitions!$V:$W),TRUE),""))</f>
        <v>Moderate</v>
      </c>
      <c r="G12" s="33" t="str">
        <f ca="1">IFERROR(IF(OR($D12="",$F12=""),"",VLOOKUP($D12,Definitions!$AH:$AM,MATCH($F12,Definitions!$AH$3:$AM$3,0),FALSE)),"")</f>
        <v>Very High</v>
      </c>
      <c r="H12" s="23" cm="1">
        <f t="array" ca="1" aca="1" ref="H12">IF(ROW()=ROW($H$2)+1,0,INDEX($H:$H,ROW()-1))+IF($A12="",0,1)</f>
        <v>10</v>
      </c>
      <c r="I12" s="21" cm="1">
        <f t="array" ca="1" aca="1" ref="I12">IF(ROW()=ROW($I$2)+1,1,INDEX($I:$I,ROW()-1)+IF(INDEX($S:$S,ROW()-1),1,0))</f>
        <v>5</v>
      </c>
      <c r="J12" s="21">
        <f t="shared" ca="1" si="0"/>
        <v>2</v>
      </c>
      <c r="K12" s="21" t="str">
        <f t="shared" ca="1" si="40"/>
        <v>AS2,AS3,AS10,</v>
      </c>
      <c r="L12" s="21" t="str" cm="1">
        <f t="array" ca="1" aca="1" ref="L12">IF($P12="","",INDEX('Attack Steps'!$A:$A,$P12))</f>
        <v>AS10</v>
      </c>
      <c r="M12" s="21" t="str" cm="1">
        <f t="array" ca="1" aca="1" ref="M12">IF($P12="","",INDEX('Attack Steps'!$T:$T,$P12))</f>
        <v>DS10,DS14,DS15,</v>
      </c>
      <c r="N12" s="21" t="str" cm="1">
        <f t="array" ca="1" aca="1" ref="N12">_xlfn.LET(_xlpm._dm,SanitizeInput(GetValuesWithFallback(SanitizeInput($AK12),Assumptions!$A:$I,Countermeasures!$A:$I,"",",",FALSE)),IF(_xlpm._dm="","",","&amp;_xlpm._dm))</f>
        <v/>
      </c>
      <c r="O12" s="21" t="str" cm="1">
        <f t="array" ca="1" aca="1" ref="O12">ApplyDamageMitigation($M12,$N12,"")</f>
        <v>DS10,DS14,DS15,</v>
      </c>
      <c r="P12" s="21">
        <f ca="1">IFERROR(MATCH($I12,'Attack Steps'!$V:$V,0),"")</f>
        <v>12</v>
      </c>
      <c r="Q12" s="21" t="str" cm="1">
        <f t="array" ca="1" aca="1" ref="Q12">IF($P12="","","§"&amp;INDEX('Attack Steps'!$S:$S,$P12))</f>
        <v>§AS1,AS3,AS10,§AS2,AS3,AS10,§</v>
      </c>
      <c r="R12" s="21" cm="1">
        <f t="array" ca="1" aca="1" ref="R12">IF($P12="","",INDEX('Attack Steps'!$W:$W,$P12))</f>
        <v>2</v>
      </c>
      <c r="S12" s="21" t="b">
        <f t="shared" ca="1" si="41"/>
        <v>1</v>
      </c>
      <c r="T12" s="21" cm="1">
        <f t="array" ca="1" aca="1" ref="T12">_xlfn.LAMBDA(_xlpm._in,_xlpm._val,_xlpm._range,IF(_xlpm._in="",_xlpm._val,_xlfn.LET(_xlpm._id,LEFT(_xlpm._in,FIND(",",_xlpm._in)-1),CalculateMaxFromList(RemoveFirstElement(_xlpm._in),MAX(_xlpm._val,VLOOKUP(_xlpm._id,_xlpm._range,COLUMNS(_xlpm._range),FALSE)),_xlpm._range))))($M12,0,'Damage Scenarios'!$A:$U)</f>
        <v>5</v>
      </c>
      <c r="U12" s="21" cm="1">
        <f t="array" ca="1" aca="1" ref="U12">CalculateMaxFromList($O12,0,'Damage Scenarios'!$A:$U)</f>
        <v>5</v>
      </c>
      <c r="V12" s="21" t="str">
        <f ca="1">IF($U12=0,"",INDEX(Definitions!$Q:$Q,MATCH($U12,Definitions!$R:$R,0)))</f>
        <v>Critical</v>
      </c>
      <c r="W12" s="21" t="str" cm="1">
        <f t="array" ca="1" aca="1" ref="W12">CalculateMaxAndElements($K12,0,"",'Attack Steps'!$A:X)</f>
        <v>4:AS3,</v>
      </c>
      <c r="X12" s="21" t="str" cm="1">
        <f t="array" ca="1" aca="1" ref="X12">CalculateMaxAndElements($K12,0,"",'Attack Steps'!$A:Y)</f>
        <v>6:AS3,AS10,</v>
      </c>
      <c r="Y12" s="21" t="str" cm="1">
        <f t="array" ca="1" aca="1" ref="Y12">CalculateMaxAndElements($K12,0,"",'Attack Steps'!$A:Z)</f>
        <v>3:AS3,AS10,</v>
      </c>
      <c r="Z12" s="21" t="str" cm="1">
        <f t="array" ca="1" aca="1" ref="Z12">CalculateMaxAndElements($K12,0,"",'Attack Steps'!$A:AA)</f>
        <v>1:AS2,</v>
      </c>
      <c r="AA12" s="21" t="str" cm="1">
        <f t="array" ca="1" aca="1" ref="AA12">CalculateMaxAndElements($K12,0,"",'Attack Steps'!$A:AB)</f>
        <v>0:AS2,AS3,AS10,</v>
      </c>
      <c r="AB12" s="21">
        <f t="shared" ca="1" si="42"/>
        <v>4</v>
      </c>
      <c r="AC12" s="21">
        <f t="shared" ca="1" si="43"/>
        <v>6</v>
      </c>
      <c r="AD12" s="21">
        <f t="shared" ca="1" si="44"/>
        <v>3</v>
      </c>
      <c r="AE12" s="21">
        <f t="shared" ca="1" si="45"/>
        <v>1</v>
      </c>
      <c r="AF12" s="21">
        <f t="shared" ca="1" si="46"/>
        <v>0</v>
      </c>
      <c r="AG12" s="21">
        <f t="shared" ca="1" si="3"/>
        <v>14</v>
      </c>
      <c r="AH12" s="21" t="str" cm="1">
        <f t="array" ca="1" aca="1" ref="AH12">IF(ROW()=ROW($AH$2)+1,"",INDEX($AH:$AH,ROW()-1))&amp;IF($A12="","",$A12&amp;",")</f>
        <v>R1-3,R2-3,R1-4,R2-4,R1-6,R2-6,R1-7,R2-7,R1-3-10,R2-3-10,</v>
      </c>
      <c r="AI12" s="21" t="str">
        <f t="shared" ca="1" si="47"/>
        <v>,AS2,AS3,AS10,</v>
      </c>
      <c r="AJ12" s="21" cm="1">
        <f t="array" ca="1" aca="1" ref="AJ12">IF($G12="",0,SimpleLookup($G12,Definitions!$AE:$AF))</f>
        <v>4</v>
      </c>
      <c r="AK12" s="21" t="str" cm="1">
        <f t="array" ca="1" aca="1" ref="AK12">InverseLookup($A12,Mitigation!$U$2,Mitigation!$J$2,1,Helper!$B$5,",")</f>
        <v/>
      </c>
      <c r="AL12" s="21" t="str" cm="1">
        <f t="array" ca="1" aca="1" ref="AL12">CalculateMaxAndElementsWithFallback(SanitizeInput($AK12),0,"",Countermeasures!$A:Y,Assumptions!$A:Z)</f>
        <v>0:</v>
      </c>
      <c r="AM12" s="21" t="str" cm="1">
        <f t="array" ca="1" aca="1" ref="AM12">CalculateMaxAndElementsWithFallback(SanitizeInput($AK12),0,"",Countermeasures!$A:Z,Assumptions!$A:AA)</f>
        <v>0:</v>
      </c>
      <c r="AN12" s="21" t="str" cm="1">
        <f t="array" ca="1" aca="1" ref="AN12">CalculateMaxAndElementsWithFallback(SanitizeInput($AK12),0,"",Countermeasures!$A:AA,Assumptions!$A:AB)</f>
        <v>0:</v>
      </c>
      <c r="AO12" s="21" t="str" cm="1">
        <f t="array" ca="1" aca="1" ref="AO12">CalculateMaxAndElementsWithFallback(SanitizeInput($AK12),0,"",Countermeasures!$A:AB,Assumptions!$A:AC)</f>
        <v>0:</v>
      </c>
      <c r="AP12" s="21" t="str" cm="1">
        <f t="array" ca="1" aca="1" ref="AP12">CalculateMaxAndElementsWithFallback(SanitizeInput($AK12),0,"",Countermeasures!$A:AC,Assumptions!$A:AD)</f>
        <v>0:</v>
      </c>
      <c r="AQ12" s="21">
        <f t="shared" ca="1" si="48"/>
        <v>0</v>
      </c>
      <c r="AR12" s="21">
        <f t="shared" ca="1" si="49"/>
        <v>0</v>
      </c>
      <c r="AS12" s="21">
        <f t="shared" ca="1" si="50"/>
        <v>0</v>
      </c>
      <c r="AT12" s="21">
        <f t="shared" ca="1" si="51"/>
        <v>0</v>
      </c>
      <c r="AU12" s="21">
        <f t="shared" ca="1" si="52"/>
        <v>0</v>
      </c>
      <c r="AV12" s="21" t="str">
        <f t="shared" ca="1" si="53"/>
        <v>4:AS3,</v>
      </c>
      <c r="AW12" s="21" t="str">
        <f t="shared" ca="1" si="54"/>
        <v>6:AS3,AS10,</v>
      </c>
      <c r="AX12" s="21" t="str">
        <f t="shared" ca="1" si="55"/>
        <v>3:AS3,AS10,</v>
      </c>
      <c r="AY12" s="21" t="str">
        <f t="shared" ca="1" si="56"/>
        <v>1:AS2,</v>
      </c>
      <c r="AZ12" s="21" t="str">
        <f t="shared" ca="1" si="57"/>
        <v>0:AS2,AS3,AS10,</v>
      </c>
      <c r="BA12" s="21">
        <f t="shared" ca="1" si="58"/>
        <v>4</v>
      </c>
      <c r="BB12" s="21">
        <f t="shared" ca="1" si="59"/>
        <v>6</v>
      </c>
      <c r="BC12" s="21">
        <f t="shared" ca="1" si="60"/>
        <v>3</v>
      </c>
      <c r="BD12" s="21">
        <f t="shared" ca="1" si="61"/>
        <v>1</v>
      </c>
      <c r="BE12" s="21">
        <f t="shared" ca="1" si="62"/>
        <v>0</v>
      </c>
      <c r="BF12" s="21">
        <f t="shared" ca="1" si="9"/>
        <v>14</v>
      </c>
      <c r="BG12" s="21" t="str">
        <f ca="1">IFERROR(VLOOKUP($BF12,Definitions!$V:$W,COLUMNS(Definitions!$V:$W),TRUE),"")</f>
        <v>Moderate</v>
      </c>
      <c r="BH12" s="21" t="str">
        <f ca="1">_xlfn.LET(_xlpm._comments,GetValues($K12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2" s="21" t="str" cm="1">
        <f t="array" ca="1" aca="1" ref="BI12">_xlfn.LET(_xlpm._rapRange,Definitions!$W:$W,_xlpm._calculatedRAP,$BG12,_xlpm._inlineRAP,$BH12,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BJ12" s="21" t="str">
        <f ca="1">IFERROR(IF(OR($V12="",$BI12=""),Definitions!$AE$4,VLOOKUP($V12,Definitions!$AH:$AM,MATCH($BI12,Definitions!$AH$3:$AM$3,0),FALSE)),"")</f>
        <v>Very High</v>
      </c>
      <c r="BK12" s="21" cm="1">
        <f t="array" ca="1" aca="1" ref="BK12">IF($BJ12="",0,SimpleLookup($BJ12,Definitions!$AE:$AF))</f>
        <v>4</v>
      </c>
      <c r="BL12" s="21" t="str" cm="1">
        <f t="array" ca="1" aca="1" ref="BL12">IFERROR(SimpleLookup($A12,Tracing!$B:$Z),"")</f>
        <v/>
      </c>
      <c r="BM12" s="21" t="str" cm="1">
        <f t="array" ca="1" aca="1" ref="BM12">_xlfn.LET(_xlpm._dm,SanitizeInput(GetValuesWithFallback(SanitizeInput($BL12),Assumptions!$A:$I,Countermeasures!$A:$I,"",",",FALSE)),IF(_xlpm._dm="","",","&amp;_xlpm._dm))</f>
        <v/>
      </c>
      <c r="BN12" s="21" t="str" cm="1">
        <f t="array" ca="1" aca="1" ref="BN12">ApplyDamageMitigation($M12,$BM12,"")</f>
        <v>DS10,DS14,DS15,</v>
      </c>
      <c r="BO12" s="21" cm="1">
        <f t="array" ca="1" aca="1" ref="BO12">CalculateMaxFromList($BN12,0,'Damage Scenarios'!$A:$U)</f>
        <v>5</v>
      </c>
      <c r="BP12" s="21" t="str">
        <f ca="1">IF($BO12=0,"",INDEX(Definitions!$Q:$Q,MATCH($BO12,Definitions!$R:$R,0)))</f>
        <v>Critical</v>
      </c>
      <c r="BQ12" s="21" t="str" cm="1">
        <f t="array" ca="1" aca="1" ref="BQ12">CalculateMaxAndElementsWithFallback(SanitizeInput($BL12),0,"",Countermeasures!$A:Y,Assumptions!$A:Z)</f>
        <v>0:</v>
      </c>
      <c r="BR12" s="21" t="str" cm="1">
        <f t="array" ca="1" aca="1" ref="BR12">CalculateMaxAndElementsWithFallback(SanitizeInput($BL12),0,"",Countermeasures!$A:Z,Assumptions!$A:AA)</f>
        <v>0:</v>
      </c>
      <c r="BS12" s="21" t="str" cm="1">
        <f t="array" ca="1" aca="1" ref="BS12">CalculateMaxAndElementsWithFallback(SanitizeInput($BL12),0,"",Countermeasures!$A:AA,Assumptions!$A:AB)</f>
        <v>0:</v>
      </c>
      <c r="BT12" s="21" t="str" cm="1">
        <f t="array" ca="1" aca="1" ref="BT12">CalculateMaxAndElementsWithFallback(SanitizeInput($BL12),0,"",Countermeasures!$A:AB,Assumptions!$A:AC)</f>
        <v>0:</v>
      </c>
      <c r="BU12" s="21" t="str" cm="1">
        <f t="array" ca="1" aca="1" ref="BU12">CalculateMaxAndElementsWithFallback(SanitizeInput($BL12),0,"",Countermeasures!$A:AC,Assumptions!$A:AD)</f>
        <v>0:</v>
      </c>
      <c r="BV12" s="21">
        <f t="shared" ca="1" si="25"/>
        <v>0</v>
      </c>
      <c r="BW12" s="21">
        <f t="shared" ca="1" si="26"/>
        <v>0</v>
      </c>
      <c r="BX12" s="21">
        <f t="shared" ca="1" si="27"/>
        <v>0</v>
      </c>
      <c r="BY12" s="21">
        <f t="shared" ca="1" si="28"/>
        <v>0</v>
      </c>
      <c r="BZ12" s="21">
        <f t="shared" ca="1" si="29"/>
        <v>0</v>
      </c>
      <c r="CA12" s="21" t="str">
        <f t="shared" ca="1" si="30"/>
        <v>4:AS3,</v>
      </c>
      <c r="CB12" s="21" t="str">
        <f t="shared" ca="1" si="31"/>
        <v>6:AS3,AS10,</v>
      </c>
      <c r="CC12" s="21" t="str">
        <f t="shared" ca="1" si="32"/>
        <v>3:AS3,AS10,</v>
      </c>
      <c r="CD12" s="21" t="str">
        <f t="shared" ca="1" si="33"/>
        <v>1:AS2,</v>
      </c>
      <c r="CE12" s="21" t="str">
        <f t="shared" ca="1" si="34"/>
        <v>0:AS2,AS3,AS10,</v>
      </c>
      <c r="CF12" s="21">
        <f t="shared" ca="1" si="35"/>
        <v>4</v>
      </c>
      <c r="CG12" s="21">
        <f t="shared" ca="1" si="36"/>
        <v>6</v>
      </c>
      <c r="CH12" s="21">
        <f t="shared" ca="1" si="37"/>
        <v>3</v>
      </c>
      <c r="CI12" s="21">
        <f t="shared" ca="1" si="38"/>
        <v>1</v>
      </c>
      <c r="CJ12" s="21">
        <f t="shared" ca="1" si="39"/>
        <v>0</v>
      </c>
      <c r="CK12" s="21">
        <f t="shared" ca="1" si="23"/>
        <v>14</v>
      </c>
      <c r="CL12" s="21" t="str">
        <f ca="1">IFERROR(VLOOKUP($CK12,Definitions!$V:$W,COLUMNS(Definitions!$V:$W),TRUE),"")</f>
        <v>Moderate</v>
      </c>
      <c r="CM12" s="21" t="str">
        <f ca="1">_xlfn.LET(_xlpm._comments,SimpleLookup($A12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2" s="21" t="str" cm="1">
        <f t="array" ca="1" aca="1" ref="CN12">_xlfn.LET(_xlpm._rapRange,Definitions!$W:$W,_xlpm._calculatedRAP,$CL12,_xlpm._inlineRAP,$CM12,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CO12" s="21" t="str">
        <f ca="1">IFERROR(IF(OR($BP12="",$CN12=""),Definitions!$AE$4,VLOOKUP($BP12,Definitions!$AH:$AM,MATCH($CN12,Definitions!$AH$3:$AM$3,0),FALSE)),"")</f>
        <v>Very High</v>
      </c>
      <c r="CP12" s="21" cm="1">
        <f t="array" ca="1" aca="1" ref="CP12">IF($CO12="",0,SimpleLookup($CO12,Definitions!$AE:$AF))</f>
        <v>4</v>
      </c>
      <c r="CQ12" s="21" t="b">
        <f ca="1">OR(AND($S12,$I12=Helper!$B$7),$I12&gt;Helper!$B$7)</f>
        <v>0</v>
      </c>
      <c r="CR12" s="21" t="str">
        <f t="shared" ca="1" si="24"/>
        <v/>
      </c>
      <c r="CS12" s="21" cm="1">
        <f t="array" ca="1" aca="1" ref="CS12">CreateID($CS$2,$CV:$CV,$CR12&lt;&gt;"")</f>
        <v>0</v>
      </c>
      <c r="CT12" s="21" t="str">
        <f ca="1">IF(IFERROR(MATCH(","&amp;A12&amp;",",'Risk Treatment'!$AT:$AT,0)&gt;0,FALSE),"",$A12)</f>
        <v>R2-3-10</v>
      </c>
      <c r="CU12" s="21" cm="1">
        <f t="array" ca="1" aca="1" ref="CU12">CreateID($CU$2,$CU:$CU,$CT12&lt;&gt;"")</f>
        <v>10</v>
      </c>
    </row>
    <row r="13" spans="1:99" ht="60">
      <c r="A13" s="33" t="str" cm="1">
        <f t="array" ca="1" aca="1" ref="A13">IF($B13="","","R"&amp;RemoveDelimiter(SUBSTITUTE(SUBSTITUTE($K13,"AS",""),",","-"),"-"))</f>
        <v>R1-3-11</v>
      </c>
      <c r="B13" s="33" t="str" cm="1">
        <f t="array" ca="1" aca="1" ref="B13">IF($L13="","",_xlfn.LET(_xlpm._finalAttackStep,$L13,_xlpm._prepAttacks,RemoveFirstElement(_xlpm._finalAttackStep&amp;","&amp;$K13),_xlpm._prepAttackNames,IFERROR(LookupNames(_xlpm._prepAttacks,'Attack Steps'!$A:$B),""),_xlpm._delimiter,REPT(CHAR(150),55),$L13&amp;" "&amp;SimpleLookup($L13,'Attack Steps'!$A:$B)&amp;IF(_xlpm._prepAttackNames="","",CHAR(10)&amp;_xlpm._delimiter&amp;CHAR(10)&amp;_xlpm._prepAttackNames)))</f>
        <v>AS11 Denial of Service on the customer's network
–––––––––––––––––––––––––––––––––––––––––––––––––––––––
AS1 Getting access to a trusted operational environment,
AS3 Compromising the product using a software vulnerability</v>
      </c>
      <c r="C13" s="34" t="str" cm="1">
        <f t="array" ca="1" aca="1" ref="C13">IFERROR(LookupNames($M13,'Damage Scenarios'!$A:$V),"")</f>
        <v>DS14 Critical environmental damage caused by manipulated product [Critical]</v>
      </c>
      <c r="D13" s="33" t="str">
        <f ca="1">IFERROR(IF($T13=0,"",INDEX(Definitions!$Q:$Q,MATCH($T13,Definitions!$R:$R,0))),"")</f>
        <v>Critical</v>
      </c>
      <c r="E13" s="34" t="str" cm="1">
        <f t="array" ca="1" aca="1" ref="E13">IF($A13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13,$A:W,Definitions!$Y:$Y,Definitions!$AB:$AB,1)&amp;CHAR(10)&amp;_xlpm._factorFunction($A13,$A:X,Definitions!$Y:$Y,Definitions!$AB:$AB,2)&amp;CHAR(10)&amp;_xlpm._factorFunction($A13,$A:Y,Definitions!$Y:$Y,Definitions!$AB:$AB,3)&amp;CHAR(10)&amp;_xlpm._factorFunction($A13,$A:Z,Definitions!$Y:$Y,Definitions!$AB:$AB,4)&amp;CHAR(10)&amp;_xlpm._factorFunction($A13,$A:AA,Definitions!$Y:$Y,Definitions!$AB:$AB,5)))</f>
        <v>Elapsed Time [4]: AS3
Expertise [6]: AS3
Knowledge of TOE [3]: AS3
Window of Opportunity [0]: AS1, AS3, AS11
Equipment [0]: AS1, AS3, AS11</v>
      </c>
      <c r="F13" s="33" t="str">
        <f ca="1">IF($A13="","",IFERROR(VLOOKUP($AG13,Definitions!$V:$W,COLUMNS(Definitions!$V:$W),TRUE),""))</f>
        <v>Enhanced-Basic</v>
      </c>
      <c r="G13" s="33" t="str">
        <f ca="1">IFERROR(IF(OR($D13="",$F13=""),"",VLOOKUP($D13,Definitions!$AH:$AM,MATCH($F13,Definitions!$AH$3:$AM$3,0),FALSE)),"")</f>
        <v>Very High</v>
      </c>
      <c r="H13" s="23" cm="1">
        <f t="array" ca="1" aca="1" ref="H13">IF(ROW()=ROW($H$2)+1,0,INDEX($H:$H,ROW()-1))+IF($A13="",0,1)</f>
        <v>11</v>
      </c>
      <c r="I13" s="21" cm="1">
        <f t="array" ca="1" aca="1" ref="I13">IF(ROW()=ROW($I$2)+1,1,INDEX($I:$I,ROW()-1)+IF(INDEX($S:$S,ROW()-1),1,0))</f>
        <v>6</v>
      </c>
      <c r="J13" s="21">
        <f t="shared" ca="1" si="0"/>
        <v>1</v>
      </c>
      <c r="K13" s="21" t="str">
        <f t="shared" ca="1" si="40"/>
        <v>AS1,AS3,AS11,</v>
      </c>
      <c r="L13" s="21" t="str" cm="1">
        <f t="array" ca="1" aca="1" ref="L13">IF($P13="","",INDEX('Attack Steps'!$A:$A,$P13))</f>
        <v>AS11</v>
      </c>
      <c r="M13" s="21" t="str" cm="1">
        <f t="array" ca="1" aca="1" ref="M13">IF($P13="","",INDEX('Attack Steps'!$T:$T,$P13))</f>
        <v>DS14,</v>
      </c>
      <c r="N13" s="21" t="str" cm="1">
        <f t="array" ca="1" aca="1" ref="N13">_xlfn.LET(_xlpm._dm,SanitizeInput(GetValuesWithFallback(SanitizeInput($AK13),Assumptions!$A:$I,Countermeasures!$A:$I,"",",",FALSE)),IF(_xlpm._dm="","",","&amp;_xlpm._dm))</f>
        <v/>
      </c>
      <c r="O13" s="21" t="str" cm="1">
        <f t="array" ca="1" aca="1" ref="O13">ApplyDamageMitigation($M13,$N13,"")</f>
        <v>DS14,</v>
      </c>
      <c r="P13" s="21">
        <f ca="1">IFERROR(MATCH($I13,'Attack Steps'!$V:$V,0),"")</f>
        <v>13</v>
      </c>
      <c r="Q13" s="21" t="str" cm="1">
        <f t="array" ca="1" aca="1" ref="Q13">IF($P13="","","§"&amp;INDEX('Attack Steps'!$S:$S,$P13))</f>
        <v>§AS1,AS3,AS11,§AS2,AS3,AS11,§</v>
      </c>
      <c r="R13" s="21" cm="1">
        <f t="array" ca="1" aca="1" ref="R13">IF($P13="","",INDEX('Attack Steps'!$W:$W,$P13))</f>
        <v>2</v>
      </c>
      <c r="S13" s="21" t="b">
        <f t="shared" ca="1" si="41"/>
        <v>0</v>
      </c>
      <c r="T13" s="21" cm="1">
        <f t="array" ca="1" aca="1" ref="T13">_xlfn.LAMBDA(_xlpm._in,_xlpm._val,_xlpm._range,IF(_xlpm._in="",_xlpm._val,_xlfn.LET(_xlpm._id,LEFT(_xlpm._in,FIND(",",_xlpm._in)-1),CalculateMaxFromList(RemoveFirstElement(_xlpm._in),MAX(_xlpm._val,VLOOKUP(_xlpm._id,_xlpm._range,COLUMNS(_xlpm._range),FALSE)),_xlpm._range))))($M13,0,'Damage Scenarios'!$A:$U)</f>
        <v>5</v>
      </c>
      <c r="U13" s="21" cm="1">
        <f t="array" ca="1" aca="1" ref="U13">CalculateMaxFromList($O13,0,'Damage Scenarios'!$A:$U)</f>
        <v>5</v>
      </c>
      <c r="V13" s="21" t="str">
        <f ca="1">IF($U13=0,"",INDEX(Definitions!$Q:$Q,MATCH($U13,Definitions!$R:$R,0)))</f>
        <v>Critical</v>
      </c>
      <c r="W13" s="21" t="str" cm="1">
        <f t="array" ca="1" aca="1" ref="W13">CalculateMaxAndElements($K13,0,"",'Attack Steps'!$A:X)</f>
        <v>4:AS3,</v>
      </c>
      <c r="X13" s="21" t="str" cm="1">
        <f t="array" ca="1" aca="1" ref="X13">CalculateMaxAndElements($K13,0,"",'Attack Steps'!$A:Y)</f>
        <v>6:AS3,</v>
      </c>
      <c r="Y13" s="21" t="str" cm="1">
        <f t="array" ca="1" aca="1" ref="Y13">CalculateMaxAndElements($K13,0,"",'Attack Steps'!$A:Z)</f>
        <v>3:AS3,</v>
      </c>
      <c r="Z13" s="21" t="str" cm="1">
        <f t="array" ca="1" aca="1" ref="Z13">CalculateMaxAndElements($K13,0,"",'Attack Steps'!$A:AA)</f>
        <v>0:AS1,AS3,AS11,</v>
      </c>
      <c r="AA13" s="21" t="str" cm="1">
        <f t="array" ca="1" aca="1" ref="AA13">CalculateMaxAndElements($K13,0,"",'Attack Steps'!$A:AB)</f>
        <v>0:AS1,AS3,AS11,</v>
      </c>
      <c r="AB13" s="21">
        <f t="shared" ca="1" si="42"/>
        <v>4</v>
      </c>
      <c r="AC13" s="21">
        <f t="shared" ca="1" si="43"/>
        <v>6</v>
      </c>
      <c r="AD13" s="21">
        <f t="shared" ca="1" si="44"/>
        <v>3</v>
      </c>
      <c r="AE13" s="21">
        <f t="shared" ca="1" si="45"/>
        <v>0</v>
      </c>
      <c r="AF13" s="21">
        <f t="shared" ca="1" si="46"/>
        <v>0</v>
      </c>
      <c r="AG13" s="21">
        <f t="shared" ca="1" si="3"/>
        <v>13</v>
      </c>
      <c r="AH13" s="21" t="str" cm="1">
        <f t="array" ca="1" aca="1" ref="AH13">IF(ROW()=ROW($AH$2)+1,"",INDEX($AH:$AH,ROW()-1))&amp;IF($A13="","",$A13&amp;",")</f>
        <v>R1-3,R2-3,R1-4,R2-4,R1-6,R2-6,R1-7,R2-7,R1-3-10,R2-3-10,R1-3-11,</v>
      </c>
      <c r="AI13" s="21" t="str">
        <f t="shared" ca="1" si="47"/>
        <v>,AS1,AS3,AS11,</v>
      </c>
      <c r="AJ13" s="21" cm="1">
        <f t="array" ca="1" aca="1" ref="AJ13">IF($G13="",0,SimpleLookup($G13,Definitions!$AE:$AF))</f>
        <v>4</v>
      </c>
      <c r="AK13" s="21" t="str" cm="1">
        <f t="array" ca="1" aca="1" ref="AK13">InverseLookup($A13,Mitigation!$U$2,Mitigation!$J$2,1,Helper!$B$5,",")</f>
        <v/>
      </c>
      <c r="AL13" s="21" t="str" cm="1">
        <f t="array" ca="1" aca="1" ref="AL13">CalculateMaxAndElementsWithFallback(SanitizeInput($AK13),0,"",Countermeasures!$A:Y,Assumptions!$A:Z)</f>
        <v>0:</v>
      </c>
      <c r="AM13" s="21" t="str" cm="1">
        <f t="array" ca="1" aca="1" ref="AM13">CalculateMaxAndElementsWithFallback(SanitizeInput($AK13),0,"",Countermeasures!$A:Z,Assumptions!$A:AA)</f>
        <v>0:</v>
      </c>
      <c r="AN13" s="21" t="str" cm="1">
        <f t="array" ca="1" aca="1" ref="AN13">CalculateMaxAndElementsWithFallback(SanitizeInput($AK13),0,"",Countermeasures!$A:AA,Assumptions!$A:AB)</f>
        <v>0:</v>
      </c>
      <c r="AO13" s="21" t="str" cm="1">
        <f t="array" ca="1" aca="1" ref="AO13">CalculateMaxAndElementsWithFallback(SanitizeInput($AK13),0,"",Countermeasures!$A:AB,Assumptions!$A:AC)</f>
        <v>0:</v>
      </c>
      <c r="AP13" s="21" t="str" cm="1">
        <f t="array" ca="1" aca="1" ref="AP13">CalculateMaxAndElementsWithFallback(SanitizeInput($AK13),0,"",Countermeasures!$A:AC,Assumptions!$A:AD)</f>
        <v>0:</v>
      </c>
      <c r="AQ13" s="21">
        <f t="shared" ca="1" si="48"/>
        <v>0</v>
      </c>
      <c r="AR13" s="21">
        <f t="shared" ca="1" si="49"/>
        <v>0</v>
      </c>
      <c r="AS13" s="21">
        <f t="shared" ca="1" si="50"/>
        <v>0</v>
      </c>
      <c r="AT13" s="21">
        <f t="shared" ca="1" si="51"/>
        <v>0</v>
      </c>
      <c r="AU13" s="21">
        <f t="shared" ca="1" si="52"/>
        <v>0</v>
      </c>
      <c r="AV13" s="21" t="str">
        <f t="shared" ca="1" si="53"/>
        <v>4:AS3,</v>
      </c>
      <c r="AW13" s="21" t="str">
        <f t="shared" ca="1" si="54"/>
        <v>6:AS3,</v>
      </c>
      <c r="AX13" s="21" t="str">
        <f t="shared" ca="1" si="55"/>
        <v>3:AS3,</v>
      </c>
      <c r="AY13" s="21" t="str">
        <f t="shared" ca="1" si="56"/>
        <v>0:AS1,AS3,AS11,</v>
      </c>
      <c r="AZ13" s="21" t="str">
        <f t="shared" ca="1" si="57"/>
        <v>0:AS1,AS3,AS11,</v>
      </c>
      <c r="BA13" s="21">
        <f t="shared" ca="1" si="58"/>
        <v>4</v>
      </c>
      <c r="BB13" s="21">
        <f t="shared" ca="1" si="59"/>
        <v>6</v>
      </c>
      <c r="BC13" s="21">
        <f t="shared" ca="1" si="60"/>
        <v>3</v>
      </c>
      <c r="BD13" s="21">
        <f t="shared" ca="1" si="61"/>
        <v>0</v>
      </c>
      <c r="BE13" s="21">
        <f t="shared" ca="1" si="62"/>
        <v>0</v>
      </c>
      <c r="BF13" s="21">
        <f t="shared" ca="1" si="9"/>
        <v>13</v>
      </c>
      <c r="BG13" s="21" t="str">
        <f ca="1">IFERROR(VLOOKUP($BF13,Definitions!$V:$W,COLUMNS(Definitions!$V:$W),TRUE),"")</f>
        <v>Enhanced-Basic</v>
      </c>
      <c r="BH13" s="21" t="str">
        <f ca="1">_xlfn.LET(_xlpm._comments,GetValues($K13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3" s="21" t="str" cm="1">
        <f t="array" ca="1" aca="1" ref="BI13">_xlfn.LET(_xlpm._rapRange,Definitions!$W:$W,_xlpm._calculatedRAP,$BG13,_xlpm._inlineRAP,$BH13,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13" s="21" t="str">
        <f ca="1">IFERROR(IF(OR($V13="",$BI13=""),Definitions!$AE$4,VLOOKUP($V13,Definitions!$AH:$AM,MATCH($BI13,Definitions!$AH$3:$AM$3,0),FALSE)),"")</f>
        <v>Very High</v>
      </c>
      <c r="BK13" s="21" cm="1">
        <f t="array" ca="1" aca="1" ref="BK13">IF($BJ13="",0,SimpleLookup($BJ13,Definitions!$AE:$AF))</f>
        <v>4</v>
      </c>
      <c r="BL13" s="21" t="str" cm="1">
        <f t="array" ca="1" aca="1" ref="BL13">IFERROR(SimpleLookup($A13,Tracing!$B:$Z),"")</f>
        <v/>
      </c>
      <c r="BM13" s="21" t="str" cm="1">
        <f t="array" ca="1" aca="1" ref="BM13">_xlfn.LET(_xlpm._dm,SanitizeInput(GetValuesWithFallback(SanitizeInput($BL13),Assumptions!$A:$I,Countermeasures!$A:$I,"",",",FALSE)),IF(_xlpm._dm="","",","&amp;_xlpm._dm))</f>
        <v/>
      </c>
      <c r="BN13" s="21" t="str" cm="1">
        <f t="array" ca="1" aca="1" ref="BN13">ApplyDamageMitigation($M13,$BM13,"")</f>
        <v>DS14,</v>
      </c>
      <c r="BO13" s="21" cm="1">
        <f t="array" ca="1" aca="1" ref="BO13">CalculateMaxFromList($BN13,0,'Damage Scenarios'!$A:$U)</f>
        <v>5</v>
      </c>
      <c r="BP13" s="21" t="str">
        <f ca="1">IF($BO13=0,"",INDEX(Definitions!$Q:$Q,MATCH($BO13,Definitions!$R:$R,0)))</f>
        <v>Critical</v>
      </c>
      <c r="BQ13" s="21" t="str" cm="1">
        <f t="array" ca="1" aca="1" ref="BQ13">CalculateMaxAndElementsWithFallback(SanitizeInput($BL13),0,"",Countermeasures!$A:Y,Assumptions!$A:Z)</f>
        <v>0:</v>
      </c>
      <c r="BR13" s="21" t="str" cm="1">
        <f t="array" ca="1" aca="1" ref="BR13">CalculateMaxAndElementsWithFallback(SanitizeInput($BL13),0,"",Countermeasures!$A:Z,Assumptions!$A:AA)</f>
        <v>0:</v>
      </c>
      <c r="BS13" s="21" t="str" cm="1">
        <f t="array" ca="1" aca="1" ref="BS13">CalculateMaxAndElementsWithFallback(SanitizeInput($BL13),0,"",Countermeasures!$A:AA,Assumptions!$A:AB)</f>
        <v>0:</v>
      </c>
      <c r="BT13" s="21" t="str" cm="1">
        <f t="array" ca="1" aca="1" ref="BT13">CalculateMaxAndElementsWithFallback(SanitizeInput($BL13),0,"",Countermeasures!$A:AB,Assumptions!$A:AC)</f>
        <v>0:</v>
      </c>
      <c r="BU13" s="21" t="str" cm="1">
        <f t="array" ca="1" aca="1" ref="BU13">CalculateMaxAndElementsWithFallback(SanitizeInput($BL13),0,"",Countermeasures!$A:AC,Assumptions!$A:AD)</f>
        <v>0:</v>
      </c>
      <c r="BV13" s="21">
        <f t="shared" ca="1" si="25"/>
        <v>0</v>
      </c>
      <c r="BW13" s="21">
        <f t="shared" ca="1" si="26"/>
        <v>0</v>
      </c>
      <c r="BX13" s="21">
        <f t="shared" ca="1" si="27"/>
        <v>0</v>
      </c>
      <c r="BY13" s="21">
        <f t="shared" ca="1" si="28"/>
        <v>0</v>
      </c>
      <c r="BZ13" s="21">
        <f t="shared" ca="1" si="29"/>
        <v>0</v>
      </c>
      <c r="CA13" s="21" t="str">
        <f t="shared" ca="1" si="30"/>
        <v>4:AS3,</v>
      </c>
      <c r="CB13" s="21" t="str">
        <f t="shared" ca="1" si="31"/>
        <v>6:AS3,</v>
      </c>
      <c r="CC13" s="21" t="str">
        <f t="shared" ca="1" si="32"/>
        <v>3:AS3,</v>
      </c>
      <c r="CD13" s="21" t="str">
        <f t="shared" ca="1" si="33"/>
        <v>0:AS1,AS3,AS11,</v>
      </c>
      <c r="CE13" s="21" t="str">
        <f t="shared" ca="1" si="34"/>
        <v>0:AS1,AS3,AS11,</v>
      </c>
      <c r="CF13" s="21">
        <f t="shared" ca="1" si="35"/>
        <v>4</v>
      </c>
      <c r="CG13" s="21">
        <f t="shared" ca="1" si="36"/>
        <v>6</v>
      </c>
      <c r="CH13" s="21">
        <f t="shared" ca="1" si="37"/>
        <v>3</v>
      </c>
      <c r="CI13" s="21">
        <f t="shared" ca="1" si="38"/>
        <v>0</v>
      </c>
      <c r="CJ13" s="21">
        <f t="shared" ca="1" si="39"/>
        <v>0</v>
      </c>
      <c r="CK13" s="21">
        <f t="shared" ca="1" si="23"/>
        <v>13</v>
      </c>
      <c r="CL13" s="21" t="str">
        <f ca="1">IFERROR(VLOOKUP($CK13,Definitions!$V:$W,COLUMNS(Definitions!$V:$W),TRUE),"")</f>
        <v>Enhanced-Basic</v>
      </c>
      <c r="CM13" s="21" t="str">
        <f ca="1">_xlfn.LET(_xlpm._comments,SimpleLookup($A13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3" s="21" t="str" cm="1">
        <f t="array" ca="1" aca="1" ref="CN13">_xlfn.LET(_xlpm._rapRange,Definitions!$W:$W,_xlpm._calculatedRAP,$CL13,_xlpm._inlineRAP,$CM13,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13" s="21" t="str">
        <f ca="1">IFERROR(IF(OR($BP13="",$CN13=""),Definitions!$AE$4,VLOOKUP($BP13,Definitions!$AH:$AM,MATCH($CN13,Definitions!$AH$3:$AM$3,0),FALSE)),"")</f>
        <v>Very High</v>
      </c>
      <c r="CP13" s="21" cm="1">
        <f t="array" ca="1" aca="1" ref="CP13">IF($CO13="",0,SimpleLookup($CO13,Definitions!$AE:$AF))</f>
        <v>4</v>
      </c>
      <c r="CQ13" s="21" t="b">
        <f ca="1">OR(AND($S13,$I13=Helper!$B$7),$I13&gt;Helper!$B$7)</f>
        <v>0</v>
      </c>
      <c r="CR13" s="21" t="str">
        <f t="shared" ca="1" si="24"/>
        <v/>
      </c>
      <c r="CS13" s="21" cm="1">
        <f t="array" ca="1" aca="1" ref="CS13">CreateID($CS$2,$CV:$CV,$CR13&lt;&gt;"")</f>
        <v>0</v>
      </c>
      <c r="CT13" s="21" t="str">
        <f ca="1">IF(IFERROR(MATCH(","&amp;A13&amp;",",'Risk Treatment'!$AT:$AT,0)&gt;0,FALSE),"",$A13)</f>
        <v>R1-3-11</v>
      </c>
      <c r="CU13" s="21" cm="1">
        <f t="array" ca="1" aca="1" ref="CU13">CreateID($CU$2,$CU:$CU,$CT13&lt;&gt;"")</f>
        <v>11</v>
      </c>
    </row>
    <row r="14" spans="1:99" ht="60">
      <c r="A14" s="33" t="str" cm="1">
        <f t="array" ca="1" aca="1" ref="A14">IF($B14="","","R"&amp;RemoveDelimiter(SUBSTITUTE(SUBSTITUTE($K14,"AS",""),",","-"),"-"))</f>
        <v>R2-3-11</v>
      </c>
      <c r="B14" s="33" t="str" cm="1">
        <f t="array" ca="1" aca="1" ref="B14">IF($L14="","",_xlfn.LET(_xlpm._finalAttackStep,$L14,_xlpm._prepAttacks,RemoveFirstElement(_xlpm._finalAttackStep&amp;","&amp;$K14),_xlpm._prepAttackNames,IFERROR(LookupNames(_xlpm._prepAttacks,'Attack Steps'!$A:$B),""),_xlpm._delimiter,REPT(CHAR(150),55),$L14&amp;" "&amp;SimpleLookup($L14,'Attack Steps'!$A:$B)&amp;IF(_xlpm._prepAttackNames="","",CHAR(10)&amp;_xlpm._delimiter&amp;CHAR(10)&amp;_xlpm._prepAttackNames)))</f>
        <v>AS11 Denial of Service on the customer's network
–––––––––––––––––––––––––––––––––––––––––––––––––––––––
AS2 Getting access to a wireless network,
AS3 Compromising the product using a software vulnerability</v>
      </c>
      <c r="C14" s="34" t="str" cm="1">
        <f t="array" ca="1" aca="1" ref="C14">IFERROR(LookupNames($M14,'Damage Scenarios'!$A:$V),"")</f>
        <v>DS14 Critical environmental damage caused by manipulated product [Critical]</v>
      </c>
      <c r="D14" s="33" t="str">
        <f ca="1">IFERROR(IF($T14=0,"",INDEX(Definitions!$Q:$Q,MATCH($T14,Definitions!$R:$R,0))),"")</f>
        <v>Critical</v>
      </c>
      <c r="E14" s="34" t="str" cm="1">
        <f t="array" ca="1" aca="1" ref="E14">IF($A14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14,$A:W,Definitions!$Y:$Y,Definitions!$AB:$AB,1)&amp;CHAR(10)&amp;_xlpm._factorFunction($A14,$A:X,Definitions!$Y:$Y,Definitions!$AB:$AB,2)&amp;CHAR(10)&amp;_xlpm._factorFunction($A14,$A:Y,Definitions!$Y:$Y,Definitions!$AB:$AB,3)&amp;CHAR(10)&amp;_xlpm._factorFunction($A14,$A:Z,Definitions!$Y:$Y,Definitions!$AB:$AB,4)&amp;CHAR(10)&amp;_xlpm._factorFunction($A14,$A:AA,Definitions!$Y:$Y,Definitions!$AB:$AB,5)))</f>
        <v>Elapsed Time [4]: AS3
Expertise [6]: AS3
Knowledge of TOE [3]: AS3
Window of Opportunity [1]: AS2
Equipment [0]: AS2, AS3, AS11</v>
      </c>
      <c r="F14" s="33" t="str">
        <f ca="1">IF($A14="","",IFERROR(VLOOKUP($AG14,Definitions!$V:$W,COLUMNS(Definitions!$V:$W),TRUE),""))</f>
        <v>Moderate</v>
      </c>
      <c r="G14" s="33" t="str">
        <f ca="1">IFERROR(IF(OR($D14="",$F14=""),"",VLOOKUP($D14,Definitions!$AH:$AM,MATCH($F14,Definitions!$AH$3:$AM$3,0),FALSE)),"")</f>
        <v>Very High</v>
      </c>
      <c r="H14" s="23" cm="1">
        <f t="array" ca="1" aca="1" ref="H14">IF(ROW()=ROW($H$2)+1,0,INDEX($H:$H,ROW()-1))+IF($A14="",0,1)</f>
        <v>12</v>
      </c>
      <c r="I14" s="21" cm="1">
        <f t="array" ca="1" aca="1" ref="I14">IF(ROW()=ROW($I$2)+1,1,INDEX($I:$I,ROW()-1)+IF(INDEX($S:$S,ROW()-1),1,0))</f>
        <v>6</v>
      </c>
      <c r="J14" s="21">
        <f t="shared" ca="1" si="0"/>
        <v>2</v>
      </c>
      <c r="K14" s="21" t="str">
        <f t="shared" ca="1" si="40"/>
        <v>AS2,AS3,AS11,</v>
      </c>
      <c r="L14" s="21" t="str" cm="1">
        <f t="array" ca="1" aca="1" ref="L14">IF($P14="","",INDEX('Attack Steps'!$A:$A,$P14))</f>
        <v>AS11</v>
      </c>
      <c r="M14" s="21" t="str" cm="1">
        <f t="array" ca="1" aca="1" ref="M14">IF($P14="","",INDEX('Attack Steps'!$T:$T,$P14))</f>
        <v>DS14,</v>
      </c>
      <c r="N14" s="21" t="str" cm="1">
        <f t="array" ca="1" aca="1" ref="N14">_xlfn.LET(_xlpm._dm,SanitizeInput(GetValuesWithFallback(SanitizeInput($AK14),Assumptions!$A:$I,Countermeasures!$A:$I,"",",",FALSE)),IF(_xlpm._dm="","",","&amp;_xlpm._dm))</f>
        <v/>
      </c>
      <c r="O14" s="21" t="str" cm="1">
        <f t="array" ca="1" aca="1" ref="O14">ApplyDamageMitigation($M14,$N14,"")</f>
        <v>DS14,</v>
      </c>
      <c r="P14" s="21">
        <f ca="1">IFERROR(MATCH($I14,'Attack Steps'!$V:$V,0),"")</f>
        <v>13</v>
      </c>
      <c r="Q14" s="21" t="str" cm="1">
        <f t="array" ca="1" aca="1" ref="Q14">IF($P14="","","§"&amp;INDEX('Attack Steps'!$S:$S,$P14))</f>
        <v>§AS1,AS3,AS11,§AS2,AS3,AS11,§</v>
      </c>
      <c r="R14" s="21" cm="1">
        <f t="array" ca="1" aca="1" ref="R14">IF($P14="","",INDEX('Attack Steps'!$W:$W,$P14))</f>
        <v>2</v>
      </c>
      <c r="S14" s="21" t="b">
        <f t="shared" ca="1" si="41"/>
        <v>1</v>
      </c>
      <c r="T14" s="21" cm="1">
        <f t="array" ca="1" aca="1" ref="T14">_xlfn.LAMBDA(_xlpm._in,_xlpm._val,_xlpm._range,IF(_xlpm._in="",_xlpm._val,_xlfn.LET(_xlpm._id,LEFT(_xlpm._in,FIND(",",_xlpm._in)-1),CalculateMaxFromList(RemoveFirstElement(_xlpm._in),MAX(_xlpm._val,VLOOKUP(_xlpm._id,_xlpm._range,COLUMNS(_xlpm._range),FALSE)),_xlpm._range))))($M14,0,'Damage Scenarios'!$A:$U)</f>
        <v>5</v>
      </c>
      <c r="U14" s="21" cm="1">
        <f t="array" ca="1" aca="1" ref="U14">CalculateMaxFromList($O14,0,'Damage Scenarios'!$A:$U)</f>
        <v>5</v>
      </c>
      <c r="V14" s="21" t="str">
        <f ca="1">IF($U14=0,"",INDEX(Definitions!$Q:$Q,MATCH($U14,Definitions!$R:$R,0)))</f>
        <v>Critical</v>
      </c>
      <c r="W14" s="21" t="str" cm="1">
        <f t="array" ca="1" aca="1" ref="W14">CalculateMaxAndElements($K14,0,"",'Attack Steps'!$A:X)</f>
        <v>4:AS3,</v>
      </c>
      <c r="X14" s="21" t="str" cm="1">
        <f t="array" ca="1" aca="1" ref="X14">CalculateMaxAndElements($K14,0,"",'Attack Steps'!$A:Y)</f>
        <v>6:AS3,</v>
      </c>
      <c r="Y14" s="21" t="str" cm="1">
        <f t="array" ca="1" aca="1" ref="Y14">CalculateMaxAndElements($K14,0,"",'Attack Steps'!$A:Z)</f>
        <v>3:AS3,</v>
      </c>
      <c r="Z14" s="21" t="str" cm="1">
        <f t="array" ca="1" aca="1" ref="Z14">CalculateMaxAndElements($K14,0,"",'Attack Steps'!$A:AA)</f>
        <v>1:AS2,</v>
      </c>
      <c r="AA14" s="21" t="str" cm="1">
        <f t="array" ca="1" aca="1" ref="AA14">CalculateMaxAndElements($K14,0,"",'Attack Steps'!$A:AB)</f>
        <v>0:AS2,AS3,AS11,</v>
      </c>
      <c r="AB14" s="21">
        <f t="shared" ca="1" si="42"/>
        <v>4</v>
      </c>
      <c r="AC14" s="21">
        <f t="shared" ca="1" si="43"/>
        <v>6</v>
      </c>
      <c r="AD14" s="21">
        <f t="shared" ca="1" si="44"/>
        <v>3</v>
      </c>
      <c r="AE14" s="21">
        <f t="shared" ca="1" si="45"/>
        <v>1</v>
      </c>
      <c r="AF14" s="21">
        <f t="shared" ca="1" si="46"/>
        <v>0</v>
      </c>
      <c r="AG14" s="21">
        <f t="shared" ca="1" si="3"/>
        <v>14</v>
      </c>
      <c r="AH14" s="21" t="str" cm="1">
        <f t="array" ca="1" aca="1" ref="AH14">IF(ROW()=ROW($AH$2)+1,"",INDEX($AH:$AH,ROW()-1))&amp;IF($A14="","",$A14&amp;",")</f>
        <v>R1-3,R2-3,R1-4,R2-4,R1-6,R2-6,R1-7,R2-7,R1-3-10,R2-3-10,R1-3-11,R2-3-11,</v>
      </c>
      <c r="AI14" s="21" t="str">
        <f t="shared" ca="1" si="47"/>
        <v>,AS2,AS3,AS11,</v>
      </c>
      <c r="AJ14" s="21" cm="1">
        <f t="array" ca="1" aca="1" ref="AJ14">IF($G14="",0,SimpleLookup($G14,Definitions!$AE:$AF))</f>
        <v>4</v>
      </c>
      <c r="AK14" s="21" t="str" cm="1">
        <f t="array" ca="1" aca="1" ref="AK14">InverseLookup($A14,Mitigation!$U$2,Mitigation!$J$2,1,Helper!$B$5,",")</f>
        <v/>
      </c>
      <c r="AL14" s="21" t="str" cm="1">
        <f t="array" ca="1" aca="1" ref="AL14">CalculateMaxAndElementsWithFallback(SanitizeInput($AK14),0,"",Countermeasures!$A:Y,Assumptions!$A:Z)</f>
        <v>0:</v>
      </c>
      <c r="AM14" s="21" t="str" cm="1">
        <f t="array" ca="1" aca="1" ref="AM14">CalculateMaxAndElementsWithFallback(SanitizeInput($AK14),0,"",Countermeasures!$A:Z,Assumptions!$A:AA)</f>
        <v>0:</v>
      </c>
      <c r="AN14" s="21" t="str" cm="1">
        <f t="array" ca="1" aca="1" ref="AN14">CalculateMaxAndElementsWithFallback(SanitizeInput($AK14),0,"",Countermeasures!$A:AA,Assumptions!$A:AB)</f>
        <v>0:</v>
      </c>
      <c r="AO14" s="21" t="str" cm="1">
        <f t="array" ca="1" aca="1" ref="AO14">CalculateMaxAndElementsWithFallback(SanitizeInput($AK14),0,"",Countermeasures!$A:AB,Assumptions!$A:AC)</f>
        <v>0:</v>
      </c>
      <c r="AP14" s="21" t="str" cm="1">
        <f t="array" ca="1" aca="1" ref="AP14">CalculateMaxAndElementsWithFallback(SanitizeInput($AK14),0,"",Countermeasures!$A:AC,Assumptions!$A:AD)</f>
        <v>0:</v>
      </c>
      <c r="AQ14" s="21">
        <f t="shared" ca="1" si="48"/>
        <v>0</v>
      </c>
      <c r="AR14" s="21">
        <f t="shared" ca="1" si="49"/>
        <v>0</v>
      </c>
      <c r="AS14" s="21">
        <f t="shared" ca="1" si="50"/>
        <v>0</v>
      </c>
      <c r="AT14" s="21">
        <f t="shared" ca="1" si="51"/>
        <v>0</v>
      </c>
      <c r="AU14" s="21">
        <f t="shared" ca="1" si="52"/>
        <v>0</v>
      </c>
      <c r="AV14" s="21" t="str">
        <f t="shared" ca="1" si="53"/>
        <v>4:AS3,</v>
      </c>
      <c r="AW14" s="21" t="str">
        <f t="shared" ca="1" si="54"/>
        <v>6:AS3,</v>
      </c>
      <c r="AX14" s="21" t="str">
        <f t="shared" ca="1" si="55"/>
        <v>3:AS3,</v>
      </c>
      <c r="AY14" s="21" t="str">
        <f t="shared" ca="1" si="56"/>
        <v>1:AS2,</v>
      </c>
      <c r="AZ14" s="21" t="str">
        <f t="shared" ca="1" si="57"/>
        <v>0:AS2,AS3,AS11,</v>
      </c>
      <c r="BA14" s="21">
        <f t="shared" ca="1" si="58"/>
        <v>4</v>
      </c>
      <c r="BB14" s="21">
        <f t="shared" ca="1" si="59"/>
        <v>6</v>
      </c>
      <c r="BC14" s="21">
        <f t="shared" ca="1" si="60"/>
        <v>3</v>
      </c>
      <c r="BD14" s="21">
        <f t="shared" ca="1" si="61"/>
        <v>1</v>
      </c>
      <c r="BE14" s="21">
        <f t="shared" ca="1" si="62"/>
        <v>0</v>
      </c>
      <c r="BF14" s="21">
        <f t="shared" ca="1" si="9"/>
        <v>14</v>
      </c>
      <c r="BG14" s="21" t="str">
        <f ca="1">IFERROR(VLOOKUP($BF14,Definitions!$V:$W,COLUMNS(Definitions!$V:$W),TRUE),"")</f>
        <v>Moderate</v>
      </c>
      <c r="BH14" s="21" t="str">
        <f ca="1">_xlfn.LET(_xlpm._comments,GetValues($K14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4" s="21" t="str" cm="1">
        <f t="array" ca="1" aca="1" ref="BI14">_xlfn.LET(_xlpm._rapRange,Definitions!$W:$W,_xlpm._calculatedRAP,$BG14,_xlpm._inlineRAP,$BH14,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BJ14" s="21" t="str">
        <f ca="1">IFERROR(IF(OR($V14="",$BI14=""),Definitions!$AE$4,VLOOKUP($V14,Definitions!$AH:$AM,MATCH($BI14,Definitions!$AH$3:$AM$3,0),FALSE)),"")</f>
        <v>Very High</v>
      </c>
      <c r="BK14" s="21" cm="1">
        <f t="array" ca="1" aca="1" ref="BK14">IF($BJ14="",0,SimpleLookup($BJ14,Definitions!$AE:$AF))</f>
        <v>4</v>
      </c>
      <c r="BL14" s="21" t="str" cm="1">
        <f t="array" ca="1" aca="1" ref="BL14">IFERROR(SimpleLookup($A14,Tracing!$B:$Z),"")</f>
        <v/>
      </c>
      <c r="BM14" s="21" t="str" cm="1">
        <f t="array" ca="1" aca="1" ref="BM14">_xlfn.LET(_xlpm._dm,SanitizeInput(GetValuesWithFallback(SanitizeInput($BL14),Assumptions!$A:$I,Countermeasures!$A:$I,"",",",FALSE)),IF(_xlpm._dm="","",","&amp;_xlpm._dm))</f>
        <v/>
      </c>
      <c r="BN14" s="21" t="str" cm="1">
        <f t="array" ca="1" aca="1" ref="BN14">ApplyDamageMitigation($M14,$BM14,"")</f>
        <v>DS14,</v>
      </c>
      <c r="BO14" s="21" cm="1">
        <f t="array" ca="1" aca="1" ref="BO14">CalculateMaxFromList($BN14,0,'Damage Scenarios'!$A:$U)</f>
        <v>5</v>
      </c>
      <c r="BP14" s="21" t="str">
        <f ca="1">IF($BO14=0,"",INDEX(Definitions!$Q:$Q,MATCH($BO14,Definitions!$R:$R,0)))</f>
        <v>Critical</v>
      </c>
      <c r="BQ14" s="21" t="str" cm="1">
        <f t="array" ca="1" aca="1" ref="BQ14">CalculateMaxAndElementsWithFallback(SanitizeInput($BL14),0,"",Countermeasures!$A:Y,Assumptions!$A:Z)</f>
        <v>0:</v>
      </c>
      <c r="BR14" s="21" t="str" cm="1">
        <f t="array" ca="1" aca="1" ref="BR14">CalculateMaxAndElementsWithFallback(SanitizeInput($BL14),0,"",Countermeasures!$A:Z,Assumptions!$A:AA)</f>
        <v>0:</v>
      </c>
      <c r="BS14" s="21" t="str" cm="1">
        <f t="array" ca="1" aca="1" ref="BS14">CalculateMaxAndElementsWithFallback(SanitizeInput($BL14),0,"",Countermeasures!$A:AA,Assumptions!$A:AB)</f>
        <v>0:</v>
      </c>
      <c r="BT14" s="21" t="str" cm="1">
        <f t="array" ca="1" aca="1" ref="BT14">CalculateMaxAndElementsWithFallback(SanitizeInput($BL14),0,"",Countermeasures!$A:AB,Assumptions!$A:AC)</f>
        <v>0:</v>
      </c>
      <c r="BU14" s="21" t="str" cm="1">
        <f t="array" ca="1" aca="1" ref="BU14">CalculateMaxAndElementsWithFallback(SanitizeInput($BL14),0,"",Countermeasures!$A:AC,Assumptions!$A:AD)</f>
        <v>0:</v>
      </c>
      <c r="BV14" s="21">
        <f t="shared" ca="1" si="25"/>
        <v>0</v>
      </c>
      <c r="BW14" s="21">
        <f t="shared" ca="1" si="26"/>
        <v>0</v>
      </c>
      <c r="BX14" s="21">
        <f t="shared" ca="1" si="27"/>
        <v>0</v>
      </c>
      <c r="BY14" s="21">
        <f t="shared" ca="1" si="28"/>
        <v>0</v>
      </c>
      <c r="BZ14" s="21">
        <f t="shared" ca="1" si="29"/>
        <v>0</v>
      </c>
      <c r="CA14" s="21" t="str">
        <f t="shared" ca="1" si="30"/>
        <v>4:AS3,</v>
      </c>
      <c r="CB14" s="21" t="str">
        <f t="shared" ca="1" si="31"/>
        <v>6:AS3,</v>
      </c>
      <c r="CC14" s="21" t="str">
        <f t="shared" ca="1" si="32"/>
        <v>3:AS3,</v>
      </c>
      <c r="CD14" s="21" t="str">
        <f t="shared" ca="1" si="33"/>
        <v>1:AS2,</v>
      </c>
      <c r="CE14" s="21" t="str">
        <f t="shared" ca="1" si="34"/>
        <v>0:AS2,AS3,AS11,</v>
      </c>
      <c r="CF14" s="21">
        <f t="shared" ca="1" si="35"/>
        <v>4</v>
      </c>
      <c r="CG14" s="21">
        <f t="shared" ca="1" si="36"/>
        <v>6</v>
      </c>
      <c r="CH14" s="21">
        <f t="shared" ca="1" si="37"/>
        <v>3</v>
      </c>
      <c r="CI14" s="21">
        <f t="shared" ca="1" si="38"/>
        <v>1</v>
      </c>
      <c r="CJ14" s="21">
        <f t="shared" ca="1" si="39"/>
        <v>0</v>
      </c>
      <c r="CK14" s="21">
        <f t="shared" ca="1" si="23"/>
        <v>14</v>
      </c>
      <c r="CL14" s="21" t="str">
        <f ca="1">IFERROR(VLOOKUP($CK14,Definitions!$V:$W,COLUMNS(Definitions!$V:$W),TRUE),"")</f>
        <v>Moderate</v>
      </c>
      <c r="CM14" s="21" t="str">
        <f ca="1">_xlfn.LET(_xlpm._comments,SimpleLookup($A14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4" s="21" t="str" cm="1">
        <f t="array" ca="1" aca="1" ref="CN14">_xlfn.LET(_xlpm._rapRange,Definitions!$W:$W,_xlpm._calculatedRAP,$CL14,_xlpm._inlineRAP,$CM14,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CO14" s="21" t="str">
        <f ca="1">IFERROR(IF(OR($BP14="",$CN14=""),Definitions!$AE$4,VLOOKUP($BP14,Definitions!$AH:$AM,MATCH($CN14,Definitions!$AH$3:$AM$3,0),FALSE)),"")</f>
        <v>Very High</v>
      </c>
      <c r="CP14" s="21" cm="1">
        <f t="array" ca="1" aca="1" ref="CP14">IF($CO14="",0,SimpleLookup($CO14,Definitions!$AE:$AF))</f>
        <v>4</v>
      </c>
      <c r="CQ14" s="21" t="b">
        <f ca="1">OR(AND($S14,$I14=Helper!$B$7),$I14&gt;Helper!$B$7)</f>
        <v>0</v>
      </c>
      <c r="CR14" s="21" t="str">
        <f t="shared" ca="1" si="24"/>
        <v/>
      </c>
      <c r="CS14" s="21" cm="1">
        <f t="array" ca="1" aca="1" ref="CS14">CreateID($CS$2,$CV:$CV,$CR14&lt;&gt;"")</f>
        <v>0</v>
      </c>
      <c r="CT14" s="21" t="str">
        <f ca="1">IF(IFERROR(MATCH(","&amp;A14&amp;",",'Risk Treatment'!$AT:$AT,0)&gt;0,FALSE),"",$A14)</f>
        <v>R2-3-11</v>
      </c>
      <c r="CU14" s="21" cm="1">
        <f t="array" ca="1" aca="1" ref="CU14">CreateID($CU$2,$CU:$CU,$CT14&lt;&gt;"")</f>
        <v>12</v>
      </c>
    </row>
    <row r="15" spans="1:99" ht="60">
      <c r="A15" s="33" t="str" cm="1">
        <f t="array" ca="1" aca="1" ref="A15">IF($B15="","","R"&amp;RemoveDelimiter(SUBSTITUTE(SUBSTITUTE($K15,"AS",""),",","-"),"-"))</f>
        <v>R1-14</v>
      </c>
      <c r="B15" s="33" t="str" cm="1">
        <f t="array" ca="1" aca="1" ref="B15">IF($L15="","",_xlfn.LET(_xlpm._finalAttackStep,$L15,_xlpm._prepAttacks,RemoveFirstElement(_xlpm._finalAttackStep&amp;","&amp;$K15),_xlpm._prepAttackNames,IFERROR(LookupNames(_xlpm._prepAttacks,'Attack Steps'!$A:$B),""),_xlpm._delimiter,REPT(CHAR(150),55),$L15&amp;" "&amp;SimpleLookup($L15,'Attack Steps'!$A:$B)&amp;IF(_xlpm._prepAttackNames="","",CHAR(10)&amp;_xlpm._delimiter&amp;CHAR(10)&amp;_xlpm._prepAttackNames)))</f>
        <v>AS14 Disrupting the product's communication over the local network
–––––––––––––––––––––––––––––––––––––––––––––––––––––––
AS1 Getting access to a trusted operational environment</v>
      </c>
      <c r="C15" s="34" t="str" cm="1">
        <f t="array" ca="1" aca="1" ref="C15">IFERROR(LookupNames($M15,'Damage Scenarios'!$A:$V),"")</f>
        <v>DS6 Life-threatening injury caused by unavailable product [Critical],
DS7 Critical environmental damage caused by unavailable product [Critical],
DS8 Loss of Critical financial damage caused by unavailable product [Critical]</v>
      </c>
      <c r="D15" s="33" t="str">
        <f ca="1">IFERROR(IF($T15=0,"",INDEX(Definitions!$Q:$Q,MATCH($T15,Definitions!$R:$R,0))),"")</f>
        <v>Critical</v>
      </c>
      <c r="E15" s="34" t="str" cm="1">
        <f t="array" ca="1" aca="1" ref="E15">IF($A15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15,$A:W,Definitions!$Y:$Y,Definitions!$AB:$AB,1)&amp;CHAR(10)&amp;_xlpm._factorFunction($A15,$A:X,Definitions!$Y:$Y,Definitions!$AB:$AB,2)&amp;CHAR(10)&amp;_xlpm._factorFunction($A15,$A:Y,Definitions!$Y:$Y,Definitions!$AB:$AB,3)&amp;CHAR(10)&amp;_xlpm._factorFunction($A15,$A:Z,Definitions!$Y:$Y,Definitions!$AB:$AB,4)&amp;CHAR(10)&amp;_xlpm._factorFunction($A15,$A:AA,Definitions!$Y:$Y,Definitions!$AB:$AB,5)))</f>
        <v>Elapsed Time [0]: AS1, AS14
Expertise [3]: AS14
Knowledge of TOE [0]: AS1, AS14
Window of Opportunity [0]: AS1, AS14
Equipment [0]: AS1, AS14</v>
      </c>
      <c r="F15" s="33" t="str">
        <f ca="1">IF($A15="","",IFERROR(VLOOKUP($AG15,Definitions!$V:$W,COLUMNS(Definitions!$V:$W),TRUE),""))</f>
        <v>Basic</v>
      </c>
      <c r="G15" s="33" t="str">
        <f ca="1">IFERROR(IF(OR($D15="",$F15=""),"",VLOOKUP($D15,Definitions!$AH:$AM,MATCH($F15,Definitions!$AH$3:$AM$3,0),FALSE)),"")</f>
        <v>Very High</v>
      </c>
      <c r="H15" s="23" cm="1">
        <f t="array" ca="1" aca="1" ref="H15">IF(ROW()=ROW($H$2)+1,0,INDEX($H:$H,ROW()-1))+IF($A15="",0,1)</f>
        <v>13</v>
      </c>
      <c r="I15" s="21" cm="1">
        <f t="array" ca="1" aca="1" ref="I15">IF(ROW()=ROW($I$2)+1,1,INDEX($I:$I,ROW()-1)+IF(INDEX($S:$S,ROW()-1),1,0))</f>
        <v>7</v>
      </c>
      <c r="J15" s="21">
        <f t="shared" ca="1" si="0"/>
        <v>1</v>
      </c>
      <c r="K15" s="21" t="str">
        <f t="shared" ca="1" si="40"/>
        <v>AS1,AS14,</v>
      </c>
      <c r="L15" s="21" t="str" cm="1">
        <f t="array" ca="1" aca="1" ref="L15">IF($P15="","",INDEX('Attack Steps'!$A:$A,$P15))</f>
        <v>AS14</v>
      </c>
      <c r="M15" s="21" t="str" cm="1">
        <f t="array" ca="1" aca="1" ref="M15">IF($P15="","",INDEX('Attack Steps'!$T:$T,$P15))</f>
        <v>DS6,DS7,DS8,</v>
      </c>
      <c r="N15" s="21" t="str" cm="1">
        <f t="array" ca="1" aca="1" ref="N15">_xlfn.LET(_xlpm._dm,SanitizeInput(GetValuesWithFallback(SanitizeInput($AK15),Assumptions!$A:$I,Countermeasures!$A:$I,"",",",FALSE)),IF(_xlpm._dm="","",","&amp;_xlpm._dm))</f>
        <v/>
      </c>
      <c r="O15" s="21" t="str" cm="1">
        <f t="array" ca="1" aca="1" ref="O15">ApplyDamageMitigation($M15,$N15,"")</f>
        <v>DS6,DS7,DS8,</v>
      </c>
      <c r="P15" s="21">
        <f ca="1">IFERROR(MATCH($I15,'Attack Steps'!$V:$V,0),"")</f>
        <v>16</v>
      </c>
      <c r="Q15" s="21" t="str" cm="1">
        <f t="array" ca="1" aca="1" ref="Q15">IF($P15="","","§"&amp;INDEX('Attack Steps'!$S:$S,$P15))</f>
        <v>§AS1,AS14,§</v>
      </c>
      <c r="R15" s="21" cm="1">
        <f t="array" ca="1" aca="1" ref="R15">IF($P15="","",INDEX('Attack Steps'!$W:$W,$P15))</f>
        <v>1</v>
      </c>
      <c r="S15" s="21" t="b">
        <f t="shared" ca="1" si="41"/>
        <v>1</v>
      </c>
      <c r="T15" s="21" cm="1">
        <f t="array" ca="1" aca="1" ref="T15">_xlfn.LAMBDA(_xlpm._in,_xlpm._val,_xlpm._range,IF(_xlpm._in="",_xlpm._val,_xlfn.LET(_xlpm._id,LEFT(_xlpm._in,FIND(",",_xlpm._in)-1),CalculateMaxFromList(RemoveFirstElement(_xlpm._in),MAX(_xlpm._val,VLOOKUP(_xlpm._id,_xlpm._range,COLUMNS(_xlpm._range),FALSE)),_xlpm._range))))($M15,0,'Damage Scenarios'!$A:$U)</f>
        <v>5</v>
      </c>
      <c r="U15" s="21" cm="1">
        <f t="array" ca="1" aca="1" ref="U15">CalculateMaxFromList($O15,0,'Damage Scenarios'!$A:$U)</f>
        <v>5</v>
      </c>
      <c r="V15" s="21" t="str">
        <f ca="1">IF($U15=0,"",INDEX(Definitions!$Q:$Q,MATCH($U15,Definitions!$R:$R,0)))</f>
        <v>Critical</v>
      </c>
      <c r="W15" s="21" t="str" cm="1">
        <f t="array" ca="1" aca="1" ref="W15">CalculateMaxAndElements($K15,0,"",'Attack Steps'!$A:X)</f>
        <v>0:AS1,AS14,</v>
      </c>
      <c r="X15" s="21" t="str" cm="1">
        <f t="array" ca="1" aca="1" ref="X15">CalculateMaxAndElements($K15,0,"",'Attack Steps'!$A:Y)</f>
        <v>3:AS14,</v>
      </c>
      <c r="Y15" s="21" t="str" cm="1">
        <f t="array" ca="1" aca="1" ref="Y15">CalculateMaxAndElements($K15,0,"",'Attack Steps'!$A:Z)</f>
        <v>0:AS1,AS14,</v>
      </c>
      <c r="Z15" s="21" t="str" cm="1">
        <f t="array" ca="1" aca="1" ref="Z15">CalculateMaxAndElements($K15,0,"",'Attack Steps'!$A:AA)</f>
        <v>0:AS1,AS14,</v>
      </c>
      <c r="AA15" s="21" t="str" cm="1">
        <f t="array" ca="1" aca="1" ref="AA15">CalculateMaxAndElements($K15,0,"",'Attack Steps'!$A:AB)</f>
        <v>0:AS1,AS14,</v>
      </c>
      <c r="AB15" s="21">
        <f t="shared" ca="1" si="42"/>
        <v>0</v>
      </c>
      <c r="AC15" s="21">
        <f t="shared" ca="1" si="43"/>
        <v>3</v>
      </c>
      <c r="AD15" s="21">
        <f t="shared" ca="1" si="44"/>
        <v>0</v>
      </c>
      <c r="AE15" s="21">
        <f t="shared" ca="1" si="45"/>
        <v>0</v>
      </c>
      <c r="AF15" s="21">
        <f t="shared" ca="1" si="46"/>
        <v>0</v>
      </c>
      <c r="AG15" s="21">
        <f t="shared" ca="1" si="3"/>
        <v>3</v>
      </c>
      <c r="AH15" s="21" t="str" cm="1">
        <f t="array" ca="1" aca="1" ref="AH15">IF(ROW()=ROW($AH$2)+1,"",INDEX($AH:$AH,ROW()-1))&amp;IF($A15="","",$A15&amp;",")</f>
        <v>R1-3,R2-3,R1-4,R2-4,R1-6,R2-6,R1-7,R2-7,R1-3-10,R2-3-10,R1-3-11,R2-3-11,R1-14,</v>
      </c>
      <c r="AI15" s="21" t="str">
        <f t="shared" ca="1" si="47"/>
        <v>,AS1,AS14,</v>
      </c>
      <c r="AJ15" s="21" cm="1">
        <f t="array" ca="1" aca="1" ref="AJ15">IF($G15="",0,SimpleLookup($G15,Definitions!$AE:$AF))</f>
        <v>4</v>
      </c>
      <c r="AK15" s="21" t="str" cm="1">
        <f t="array" ca="1" aca="1" ref="AK15">InverseLookup($A15,Mitigation!$U$2,Mitigation!$J$2,1,Helper!$B$5,",")</f>
        <v/>
      </c>
      <c r="AL15" s="21" t="str" cm="1">
        <f t="array" ca="1" aca="1" ref="AL15">CalculateMaxAndElementsWithFallback(SanitizeInput($AK15),0,"",Countermeasures!$A:Y,Assumptions!$A:Z)</f>
        <v>0:</v>
      </c>
      <c r="AM15" s="21" t="str" cm="1">
        <f t="array" ca="1" aca="1" ref="AM15">CalculateMaxAndElementsWithFallback(SanitizeInput($AK15),0,"",Countermeasures!$A:Z,Assumptions!$A:AA)</f>
        <v>0:</v>
      </c>
      <c r="AN15" s="21" t="str" cm="1">
        <f t="array" ca="1" aca="1" ref="AN15">CalculateMaxAndElementsWithFallback(SanitizeInput($AK15),0,"",Countermeasures!$A:AA,Assumptions!$A:AB)</f>
        <v>0:</v>
      </c>
      <c r="AO15" s="21" t="str" cm="1">
        <f t="array" ca="1" aca="1" ref="AO15">CalculateMaxAndElementsWithFallback(SanitizeInput($AK15),0,"",Countermeasures!$A:AB,Assumptions!$A:AC)</f>
        <v>0:</v>
      </c>
      <c r="AP15" s="21" t="str" cm="1">
        <f t="array" ca="1" aca="1" ref="AP15">CalculateMaxAndElementsWithFallback(SanitizeInput($AK15),0,"",Countermeasures!$A:AC,Assumptions!$A:AD)</f>
        <v>0:</v>
      </c>
      <c r="AQ15" s="21">
        <f t="shared" ca="1" si="48"/>
        <v>0</v>
      </c>
      <c r="AR15" s="21">
        <f t="shared" ca="1" si="49"/>
        <v>0</v>
      </c>
      <c r="AS15" s="21">
        <f t="shared" ca="1" si="50"/>
        <v>0</v>
      </c>
      <c r="AT15" s="21">
        <f t="shared" ca="1" si="51"/>
        <v>0</v>
      </c>
      <c r="AU15" s="21">
        <f t="shared" ca="1" si="52"/>
        <v>0</v>
      </c>
      <c r="AV15" s="21" t="str">
        <f t="shared" ca="1" si="53"/>
        <v>0:AS1,AS14,</v>
      </c>
      <c r="AW15" s="21" t="str">
        <f t="shared" ca="1" si="54"/>
        <v>3:AS14,</v>
      </c>
      <c r="AX15" s="21" t="str">
        <f t="shared" ca="1" si="55"/>
        <v>0:AS1,AS14,</v>
      </c>
      <c r="AY15" s="21" t="str">
        <f t="shared" ca="1" si="56"/>
        <v>0:AS1,AS14,</v>
      </c>
      <c r="AZ15" s="21" t="str">
        <f t="shared" ca="1" si="57"/>
        <v>0:AS1,AS14,</v>
      </c>
      <c r="BA15" s="21">
        <f t="shared" ca="1" si="58"/>
        <v>0</v>
      </c>
      <c r="BB15" s="21">
        <f t="shared" ca="1" si="59"/>
        <v>3</v>
      </c>
      <c r="BC15" s="21">
        <f t="shared" ca="1" si="60"/>
        <v>0</v>
      </c>
      <c r="BD15" s="21">
        <f t="shared" ca="1" si="61"/>
        <v>0</v>
      </c>
      <c r="BE15" s="21">
        <f t="shared" ca="1" si="62"/>
        <v>0</v>
      </c>
      <c r="BF15" s="21">
        <f t="shared" ca="1" si="9"/>
        <v>3</v>
      </c>
      <c r="BG15" s="21" t="str">
        <f ca="1">IFERROR(VLOOKUP($BF15,Definitions!$V:$W,COLUMNS(Definitions!$V:$W),TRUE),"")</f>
        <v>Basic</v>
      </c>
      <c r="BH15" s="21" t="str">
        <f ca="1">_xlfn.LET(_xlpm._comments,GetValues($K15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5" s="21" t="str" cm="1">
        <f t="array" ca="1" aca="1" ref="BI15">_xlfn.LET(_xlpm._rapRange,Definitions!$W:$W,_xlpm._calculatedRAP,$BG15,_xlpm._inlineRAP,$BH15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15" s="21" t="str">
        <f ca="1">IFERROR(IF(OR($V15="",$BI15=""),Definitions!$AE$4,VLOOKUP($V15,Definitions!$AH:$AM,MATCH($BI15,Definitions!$AH$3:$AM$3,0),FALSE)),"")</f>
        <v>Very High</v>
      </c>
      <c r="BK15" s="21" cm="1">
        <f t="array" ca="1" aca="1" ref="BK15">IF($BJ15="",0,SimpleLookup($BJ15,Definitions!$AE:$AF))</f>
        <v>4</v>
      </c>
      <c r="BL15" s="21" t="str" cm="1">
        <f t="array" ca="1" aca="1" ref="BL15">IFERROR(SimpleLookup($A15,Tracing!$B:$Z),"")</f>
        <v/>
      </c>
      <c r="BM15" s="21" t="str" cm="1">
        <f t="array" ca="1" aca="1" ref="BM15">_xlfn.LET(_xlpm._dm,SanitizeInput(GetValuesWithFallback(SanitizeInput($BL15),Assumptions!$A:$I,Countermeasures!$A:$I,"",",",FALSE)),IF(_xlpm._dm="","",","&amp;_xlpm._dm))</f>
        <v/>
      </c>
      <c r="BN15" s="21" t="str" cm="1">
        <f t="array" ca="1" aca="1" ref="BN15">ApplyDamageMitigation($M15,$BM15,"")</f>
        <v>DS6,DS7,DS8,</v>
      </c>
      <c r="BO15" s="21" cm="1">
        <f t="array" ca="1" aca="1" ref="BO15">CalculateMaxFromList($BN15,0,'Damage Scenarios'!$A:$U)</f>
        <v>5</v>
      </c>
      <c r="BP15" s="21" t="str">
        <f ca="1">IF($BO15=0,"",INDEX(Definitions!$Q:$Q,MATCH($BO15,Definitions!$R:$R,0)))</f>
        <v>Critical</v>
      </c>
      <c r="BQ15" s="21" t="str" cm="1">
        <f t="array" ca="1" aca="1" ref="BQ15">CalculateMaxAndElementsWithFallback(SanitizeInput($BL15),0,"",Countermeasures!$A:Y,Assumptions!$A:Z)</f>
        <v>0:</v>
      </c>
      <c r="BR15" s="21" t="str" cm="1">
        <f t="array" ca="1" aca="1" ref="BR15">CalculateMaxAndElementsWithFallback(SanitizeInput($BL15),0,"",Countermeasures!$A:Z,Assumptions!$A:AA)</f>
        <v>0:</v>
      </c>
      <c r="BS15" s="21" t="str" cm="1">
        <f t="array" ca="1" aca="1" ref="BS15">CalculateMaxAndElementsWithFallback(SanitizeInput($BL15),0,"",Countermeasures!$A:AA,Assumptions!$A:AB)</f>
        <v>0:</v>
      </c>
      <c r="BT15" s="21" t="str" cm="1">
        <f t="array" ca="1" aca="1" ref="BT15">CalculateMaxAndElementsWithFallback(SanitizeInput($BL15),0,"",Countermeasures!$A:AB,Assumptions!$A:AC)</f>
        <v>0:</v>
      </c>
      <c r="BU15" s="21" t="str" cm="1">
        <f t="array" ca="1" aca="1" ref="BU15">CalculateMaxAndElementsWithFallback(SanitizeInput($BL15),0,"",Countermeasures!$A:AC,Assumptions!$A:AD)</f>
        <v>0:</v>
      </c>
      <c r="BV15" s="21">
        <f t="shared" ca="1" si="25"/>
        <v>0</v>
      </c>
      <c r="BW15" s="21">
        <f t="shared" ca="1" si="26"/>
        <v>0</v>
      </c>
      <c r="BX15" s="21">
        <f t="shared" ca="1" si="27"/>
        <v>0</v>
      </c>
      <c r="BY15" s="21">
        <f t="shared" ca="1" si="28"/>
        <v>0</v>
      </c>
      <c r="BZ15" s="21">
        <f t="shared" ca="1" si="29"/>
        <v>0</v>
      </c>
      <c r="CA15" s="21" t="str">
        <f t="shared" ca="1" si="30"/>
        <v>0:AS1,AS14,</v>
      </c>
      <c r="CB15" s="21" t="str">
        <f t="shared" ca="1" si="31"/>
        <v>3:AS14,</v>
      </c>
      <c r="CC15" s="21" t="str">
        <f t="shared" ca="1" si="32"/>
        <v>0:AS1,AS14,</v>
      </c>
      <c r="CD15" s="21" t="str">
        <f t="shared" ca="1" si="33"/>
        <v>0:AS1,AS14,</v>
      </c>
      <c r="CE15" s="21" t="str">
        <f t="shared" ca="1" si="34"/>
        <v>0:AS1,AS14,</v>
      </c>
      <c r="CF15" s="21">
        <f t="shared" ca="1" si="35"/>
        <v>0</v>
      </c>
      <c r="CG15" s="21">
        <f t="shared" ca="1" si="36"/>
        <v>3</v>
      </c>
      <c r="CH15" s="21">
        <f t="shared" ca="1" si="37"/>
        <v>0</v>
      </c>
      <c r="CI15" s="21">
        <f t="shared" ca="1" si="38"/>
        <v>0</v>
      </c>
      <c r="CJ15" s="21">
        <f t="shared" ca="1" si="39"/>
        <v>0</v>
      </c>
      <c r="CK15" s="21">
        <f t="shared" ca="1" si="23"/>
        <v>3</v>
      </c>
      <c r="CL15" s="21" t="str">
        <f ca="1">IFERROR(VLOOKUP($CK15,Definitions!$V:$W,COLUMNS(Definitions!$V:$W),TRUE),"")</f>
        <v>Basic</v>
      </c>
      <c r="CM15" s="21" t="str">
        <f ca="1">_xlfn.LET(_xlpm._comments,SimpleLookup($A15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5" s="21" t="str" cm="1">
        <f t="array" ca="1" aca="1" ref="CN15">_xlfn.LET(_xlpm._rapRange,Definitions!$W:$W,_xlpm._calculatedRAP,$CL15,_xlpm._inlineRAP,$CM15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15" s="21" t="str">
        <f ca="1">IFERROR(IF(OR($BP15="",$CN15=""),Definitions!$AE$4,VLOOKUP($BP15,Definitions!$AH:$AM,MATCH($CN15,Definitions!$AH$3:$AM$3,0),FALSE)),"")</f>
        <v>Very High</v>
      </c>
      <c r="CP15" s="21" cm="1">
        <f t="array" ca="1" aca="1" ref="CP15">IF($CO15="",0,SimpleLookup($CO15,Definitions!$AE:$AF))</f>
        <v>4</v>
      </c>
      <c r="CQ15" s="21" t="b">
        <f ca="1">OR(AND($S15,$I15=Helper!$B$7),$I15&gt;Helper!$B$7)</f>
        <v>0</v>
      </c>
      <c r="CR15" s="21" t="str">
        <f t="shared" ca="1" si="24"/>
        <v/>
      </c>
      <c r="CS15" s="21" cm="1">
        <f t="array" ca="1" aca="1" ref="CS15">CreateID($CS$2,$CV:$CV,$CR15&lt;&gt;"")</f>
        <v>0</v>
      </c>
      <c r="CT15" s="21" t="str">
        <f ca="1">IF(IFERROR(MATCH(","&amp;A15&amp;",",'Risk Treatment'!$AT:$AT,0)&gt;0,FALSE),"",$A15)</f>
        <v>R1-14</v>
      </c>
      <c r="CU15" s="21" cm="1">
        <f t="array" ca="1" aca="1" ref="CU15">CreateID($CU$2,$CU:$CU,$CT15&lt;&gt;"")</f>
        <v>13</v>
      </c>
    </row>
    <row r="16" spans="1:99" ht="90.75">
      <c r="A16" s="33" t="str" cm="1">
        <f t="array" ca="1" aca="1" ref="A16">IF($B16="","","R"&amp;RemoveDelimiter(SUBSTITUTE(SUBSTITUTE($K16,"AS",""),",","-"),"-"))</f>
        <v>R1-16</v>
      </c>
      <c r="B16" s="33" t="str" cm="1">
        <f t="array" ca="1" aca="1" ref="B16">IF($L16="","",_xlfn.LET(_xlpm._finalAttackStep,$L16,_xlpm._prepAttacks,RemoveFirstElement(_xlpm._finalAttackStep&amp;","&amp;$K16),_xlpm._prepAttackNames,IFERROR(LookupNames(_xlpm._prepAttacks,'Attack Steps'!$A:$B),""),_xlpm._delimiter,REPT(CHAR(150),55),$L16&amp;" "&amp;SimpleLookup($L16,'Attack Steps'!$A:$B)&amp;IF(_xlpm._prepAttackNames="","",CHAR(10)&amp;_xlpm._delimiter&amp;CHAR(10)&amp;_xlpm._prepAttackNames)))</f>
        <v>AS16 Manipulating the product's configuration via its configuration interface
–––––––––––––––––––––––––––––––––––––––––––––––––––––––
AS1 Getting access to a trusted operational environment</v>
      </c>
      <c r="C16" s="34" t="str" cm="1">
        <f t="array" ca="1" aca="1" ref="C16">IFERROR(LookupNames($M16,'Damage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16" s="33" t="str">
        <f ca="1">IFERROR(IF($T16=0,"",INDEX(Definitions!$Q:$Q,MATCH($T16,Definitions!$R:$R,0))),"")</f>
        <v>Critical</v>
      </c>
      <c r="E16" s="34" t="str" cm="1">
        <f t="array" ca="1" aca="1" ref="E16">IF($A16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16,$A:W,Definitions!$Y:$Y,Definitions!$AB:$AB,1)&amp;CHAR(10)&amp;_xlpm._factorFunction($A16,$A:X,Definitions!$Y:$Y,Definitions!$AB:$AB,2)&amp;CHAR(10)&amp;_xlpm._factorFunction($A16,$A:Y,Definitions!$Y:$Y,Definitions!$AB:$AB,3)&amp;CHAR(10)&amp;_xlpm._factorFunction($A16,$A:Z,Definitions!$Y:$Y,Definitions!$AB:$AB,4)&amp;CHAR(10)&amp;_xlpm._factorFunction($A16,$A:AA,Definitions!$Y:$Y,Definitions!$AB:$AB,5)))</f>
        <v>Elapsed Time [0]: AS1, AS16
Expertise [3]: AS16
Knowledge of TOE [3]: AS16
Window of Opportunity [0]: AS1, AS16
Equipment [0]: AS1, AS16</v>
      </c>
      <c r="F16" s="33" t="str">
        <f ca="1">IF($A16="","",IFERROR(VLOOKUP($AG16,Definitions!$V:$W,COLUMNS(Definitions!$V:$W),TRUE),""))</f>
        <v>Basic</v>
      </c>
      <c r="G16" s="33" t="str">
        <f ca="1">IFERROR(IF(OR($D16="",$F16=""),"",VLOOKUP($D16,Definitions!$AH:$AM,MATCH($F16,Definitions!$AH$3:$AM$3,0),FALSE)),"")</f>
        <v>Very High</v>
      </c>
      <c r="H16" s="23" cm="1">
        <f t="array" ca="1" aca="1" ref="H16">IF(ROW()=ROW($H$2)+1,0,INDEX($H:$H,ROW()-1))+IF($A16="",0,1)</f>
        <v>14</v>
      </c>
      <c r="I16" s="21" cm="1">
        <f t="array" ca="1" aca="1" ref="I16">IF(ROW()=ROW($I$2)+1,1,INDEX($I:$I,ROW()-1)+IF(INDEX($S:$S,ROW()-1),1,0))</f>
        <v>8</v>
      </c>
      <c r="J16" s="21">
        <f t="shared" ca="1" si="0"/>
        <v>1</v>
      </c>
      <c r="K16" s="21" t="str">
        <f t="shared" ca="1" si="40"/>
        <v>AS1,AS16,</v>
      </c>
      <c r="L16" s="21" t="str" cm="1">
        <f t="array" ca="1" aca="1" ref="L16">IF($P16="","",INDEX('Attack Steps'!$A:$A,$P16))</f>
        <v>AS16</v>
      </c>
      <c r="M16" s="21" t="str" cm="1">
        <f t="array" ca="1" aca="1" ref="M16">IF($P16="","",INDEX('Attack Steps'!$T:$T,$P16))</f>
        <v>DS10,DS11,DS12,DS13,DS14,DS15,</v>
      </c>
      <c r="N16" s="21" t="str" cm="1">
        <f t="array" ca="1" aca="1" ref="N16">_xlfn.LET(_xlpm._dm,SanitizeInput(GetValuesWithFallback(SanitizeInput($AK16),Assumptions!$A:$I,Countermeasures!$A:$I,"",",",FALSE)),IF(_xlpm._dm="","",","&amp;_xlpm._dm))</f>
        <v/>
      </c>
      <c r="O16" s="21" t="str" cm="1">
        <f t="array" ca="1" aca="1" ref="O16">ApplyDamageMitigation($M16,$N16,"")</f>
        <v>DS10,DS11,DS12,DS13,DS14,DS15,</v>
      </c>
      <c r="P16" s="21">
        <f ca="1">IFERROR(MATCH($I16,'Attack Steps'!$V:$V,0),"")</f>
        <v>18</v>
      </c>
      <c r="Q16" s="21" t="str" cm="1">
        <f t="array" ca="1" aca="1" ref="Q16">IF($P16="","","§"&amp;INDEX('Attack Steps'!$S:$S,$P16))</f>
        <v>§AS1,AS16,§AS2,AS16,§</v>
      </c>
      <c r="R16" s="21" cm="1">
        <f t="array" ca="1" aca="1" ref="R16">IF($P16="","",INDEX('Attack Steps'!$W:$W,$P16))</f>
        <v>2</v>
      </c>
      <c r="S16" s="21" t="b">
        <f t="shared" ca="1" si="41"/>
        <v>0</v>
      </c>
      <c r="T16" s="21" cm="1">
        <f t="array" ca="1" aca="1" ref="T16">_xlfn.LAMBDA(_xlpm._in,_xlpm._val,_xlpm._range,IF(_xlpm._in="",_xlpm._val,_xlfn.LET(_xlpm._id,LEFT(_xlpm._in,FIND(",",_xlpm._in)-1),CalculateMaxFromList(RemoveFirstElement(_xlpm._in),MAX(_xlpm._val,VLOOKUP(_xlpm._id,_xlpm._range,COLUMNS(_xlpm._range),FALSE)),_xlpm._range))))($M16,0,'Damage Scenarios'!$A:$U)</f>
        <v>5</v>
      </c>
      <c r="U16" s="21" cm="1">
        <f t="array" ca="1" aca="1" ref="U16">CalculateMaxFromList($O16,0,'Damage Scenarios'!$A:$U)</f>
        <v>5</v>
      </c>
      <c r="V16" s="21" t="str">
        <f ca="1">IF($U16=0,"",INDEX(Definitions!$Q:$Q,MATCH($U16,Definitions!$R:$R,0)))</f>
        <v>Critical</v>
      </c>
      <c r="W16" s="21" t="str" cm="1">
        <f t="array" ca="1" aca="1" ref="W16">CalculateMaxAndElements($K16,0,"",'Attack Steps'!$A:X)</f>
        <v>0:AS1,AS16,</v>
      </c>
      <c r="X16" s="21" t="str" cm="1">
        <f t="array" ca="1" aca="1" ref="X16">CalculateMaxAndElements($K16,0,"",'Attack Steps'!$A:Y)</f>
        <v>3:AS16,</v>
      </c>
      <c r="Y16" s="21" t="str" cm="1">
        <f t="array" ca="1" aca="1" ref="Y16">CalculateMaxAndElements($K16,0,"",'Attack Steps'!$A:Z)</f>
        <v>3:AS16,</v>
      </c>
      <c r="Z16" s="21" t="str" cm="1">
        <f t="array" ca="1" aca="1" ref="Z16">CalculateMaxAndElements($K16,0,"",'Attack Steps'!$A:AA)</f>
        <v>0:AS1,AS16,</v>
      </c>
      <c r="AA16" s="21" t="str" cm="1">
        <f t="array" ca="1" aca="1" ref="AA16">CalculateMaxAndElements($K16,0,"",'Attack Steps'!$A:AB)</f>
        <v>0:AS1,AS16,</v>
      </c>
      <c r="AB16" s="21">
        <f t="shared" ca="1" si="42"/>
        <v>0</v>
      </c>
      <c r="AC16" s="21">
        <f t="shared" ca="1" si="43"/>
        <v>3</v>
      </c>
      <c r="AD16" s="21">
        <f t="shared" ca="1" si="44"/>
        <v>3</v>
      </c>
      <c r="AE16" s="21">
        <f t="shared" ca="1" si="45"/>
        <v>0</v>
      </c>
      <c r="AF16" s="21">
        <f t="shared" ca="1" si="46"/>
        <v>0</v>
      </c>
      <c r="AG16" s="21">
        <f t="shared" ca="1" si="3"/>
        <v>6</v>
      </c>
      <c r="AH16" s="21" t="str" cm="1">
        <f t="array" ca="1" aca="1" ref="AH16">IF(ROW()=ROW($AH$2)+1,"",INDEX($AH:$AH,ROW()-1))&amp;IF($A16="","",$A16&amp;",")</f>
        <v>R1-3,R2-3,R1-4,R2-4,R1-6,R2-6,R1-7,R2-7,R1-3-10,R2-3-10,R1-3-11,R2-3-11,R1-14,R1-16,</v>
      </c>
      <c r="AI16" s="21" t="str">
        <f t="shared" ca="1" si="47"/>
        <v>,AS1,AS16,</v>
      </c>
      <c r="AJ16" s="21" cm="1">
        <f t="array" ca="1" aca="1" ref="AJ16">IF($G16="",0,SimpleLookup($G16,Definitions!$AE:$AF))</f>
        <v>4</v>
      </c>
      <c r="AK16" s="21" t="str" cm="1">
        <f t="array" ca="1" aca="1" ref="AK16">InverseLookup($A16,Mitigation!$U$2,Mitigation!$J$2,1,Helper!$B$5,",")</f>
        <v/>
      </c>
      <c r="AL16" s="21" t="str" cm="1">
        <f t="array" ca="1" aca="1" ref="AL16">CalculateMaxAndElementsWithFallback(SanitizeInput($AK16),0,"",Countermeasures!$A:Y,Assumptions!$A:Z)</f>
        <v>0:</v>
      </c>
      <c r="AM16" s="21" t="str" cm="1">
        <f t="array" ca="1" aca="1" ref="AM16">CalculateMaxAndElementsWithFallback(SanitizeInput($AK16),0,"",Countermeasures!$A:Z,Assumptions!$A:AA)</f>
        <v>0:</v>
      </c>
      <c r="AN16" s="21" t="str" cm="1">
        <f t="array" ca="1" aca="1" ref="AN16">CalculateMaxAndElementsWithFallback(SanitizeInput($AK16),0,"",Countermeasures!$A:AA,Assumptions!$A:AB)</f>
        <v>0:</v>
      </c>
      <c r="AO16" s="21" t="str" cm="1">
        <f t="array" ca="1" aca="1" ref="AO16">CalculateMaxAndElementsWithFallback(SanitizeInput($AK16),0,"",Countermeasures!$A:AB,Assumptions!$A:AC)</f>
        <v>0:</v>
      </c>
      <c r="AP16" s="21" t="str" cm="1">
        <f t="array" ca="1" aca="1" ref="AP16">CalculateMaxAndElementsWithFallback(SanitizeInput($AK16),0,"",Countermeasures!$A:AC,Assumptions!$A:AD)</f>
        <v>0:</v>
      </c>
      <c r="AQ16" s="21">
        <f t="shared" ca="1" si="48"/>
        <v>0</v>
      </c>
      <c r="AR16" s="21">
        <f t="shared" ca="1" si="49"/>
        <v>0</v>
      </c>
      <c r="AS16" s="21">
        <f t="shared" ca="1" si="50"/>
        <v>0</v>
      </c>
      <c r="AT16" s="21">
        <f t="shared" ca="1" si="51"/>
        <v>0</v>
      </c>
      <c r="AU16" s="21">
        <f t="shared" ca="1" si="52"/>
        <v>0</v>
      </c>
      <c r="AV16" s="21" t="str">
        <f t="shared" ca="1" si="53"/>
        <v>0:AS1,AS16,</v>
      </c>
      <c r="AW16" s="21" t="str">
        <f t="shared" ca="1" si="54"/>
        <v>3:AS16,</v>
      </c>
      <c r="AX16" s="21" t="str">
        <f t="shared" ca="1" si="55"/>
        <v>3:AS16,</v>
      </c>
      <c r="AY16" s="21" t="str">
        <f t="shared" ca="1" si="56"/>
        <v>0:AS1,AS16,</v>
      </c>
      <c r="AZ16" s="21" t="str">
        <f t="shared" ca="1" si="57"/>
        <v>0:AS1,AS16,</v>
      </c>
      <c r="BA16" s="21">
        <f t="shared" ca="1" si="58"/>
        <v>0</v>
      </c>
      <c r="BB16" s="21">
        <f t="shared" ca="1" si="59"/>
        <v>3</v>
      </c>
      <c r="BC16" s="21">
        <f t="shared" ca="1" si="60"/>
        <v>3</v>
      </c>
      <c r="BD16" s="21">
        <f t="shared" ca="1" si="61"/>
        <v>0</v>
      </c>
      <c r="BE16" s="21">
        <f t="shared" ca="1" si="62"/>
        <v>0</v>
      </c>
      <c r="BF16" s="21">
        <f t="shared" ca="1" si="9"/>
        <v>6</v>
      </c>
      <c r="BG16" s="21" t="str">
        <f ca="1">IFERROR(VLOOKUP($BF16,Definitions!$V:$W,COLUMNS(Definitions!$V:$W),TRUE),"")</f>
        <v>Basic</v>
      </c>
      <c r="BH16" s="21" t="str">
        <f ca="1">_xlfn.LET(_xlpm._comments,GetValues($K16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6" s="21" t="str" cm="1">
        <f t="array" ca="1" aca="1" ref="BI16">_xlfn.LET(_xlpm._rapRange,Definitions!$W:$W,_xlpm._calculatedRAP,$BG16,_xlpm._inlineRAP,$BH16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16" s="21" t="str">
        <f ca="1">IFERROR(IF(OR($V16="",$BI16=""),Definitions!$AE$4,VLOOKUP($V16,Definitions!$AH:$AM,MATCH($BI16,Definitions!$AH$3:$AM$3,0),FALSE)),"")</f>
        <v>Very High</v>
      </c>
      <c r="BK16" s="21" cm="1">
        <f t="array" ca="1" aca="1" ref="BK16">IF($BJ16="",0,SimpleLookup($BJ16,Definitions!$AE:$AF))</f>
        <v>4</v>
      </c>
      <c r="BL16" s="21" t="str" cm="1">
        <f t="array" ca="1" aca="1" ref="BL16">IFERROR(SimpleLookup($A16,Tracing!$B:$Z),"")</f>
        <v/>
      </c>
      <c r="BM16" s="21" t="str" cm="1">
        <f t="array" ca="1" aca="1" ref="BM16">_xlfn.LET(_xlpm._dm,SanitizeInput(GetValuesWithFallback(SanitizeInput($BL16),Assumptions!$A:$I,Countermeasures!$A:$I,"",",",FALSE)),IF(_xlpm._dm="","",","&amp;_xlpm._dm))</f>
        <v/>
      </c>
      <c r="BN16" s="21" t="str" cm="1">
        <f t="array" ca="1" aca="1" ref="BN16">ApplyDamageMitigation($M16,$BM16,"")</f>
        <v>DS10,DS11,DS12,DS13,DS14,DS15,</v>
      </c>
      <c r="BO16" s="21" cm="1">
        <f t="array" ca="1" aca="1" ref="BO16">CalculateMaxFromList($BN16,0,'Damage Scenarios'!$A:$U)</f>
        <v>5</v>
      </c>
      <c r="BP16" s="21" t="str">
        <f ca="1">IF($BO16=0,"",INDEX(Definitions!$Q:$Q,MATCH($BO16,Definitions!$R:$R,0)))</f>
        <v>Critical</v>
      </c>
      <c r="BQ16" s="21" t="str" cm="1">
        <f t="array" ca="1" aca="1" ref="BQ16">CalculateMaxAndElementsWithFallback(SanitizeInput($BL16),0,"",Countermeasures!$A:Y,Assumptions!$A:Z)</f>
        <v>0:</v>
      </c>
      <c r="BR16" s="21" t="str" cm="1">
        <f t="array" ca="1" aca="1" ref="BR16">CalculateMaxAndElementsWithFallback(SanitizeInput($BL16),0,"",Countermeasures!$A:Z,Assumptions!$A:AA)</f>
        <v>0:</v>
      </c>
      <c r="BS16" s="21" t="str" cm="1">
        <f t="array" ca="1" aca="1" ref="BS16">CalculateMaxAndElementsWithFallback(SanitizeInput($BL16),0,"",Countermeasures!$A:AA,Assumptions!$A:AB)</f>
        <v>0:</v>
      </c>
      <c r="BT16" s="21" t="str" cm="1">
        <f t="array" ca="1" aca="1" ref="BT16">CalculateMaxAndElementsWithFallback(SanitizeInput($BL16),0,"",Countermeasures!$A:AB,Assumptions!$A:AC)</f>
        <v>0:</v>
      </c>
      <c r="BU16" s="21" t="str" cm="1">
        <f t="array" ca="1" aca="1" ref="BU16">CalculateMaxAndElementsWithFallback(SanitizeInput($BL16),0,"",Countermeasures!$A:AC,Assumptions!$A:AD)</f>
        <v>0:</v>
      </c>
      <c r="BV16" s="21">
        <f t="shared" ca="1" si="25"/>
        <v>0</v>
      </c>
      <c r="BW16" s="21">
        <f t="shared" ca="1" si="26"/>
        <v>0</v>
      </c>
      <c r="BX16" s="21">
        <f t="shared" ca="1" si="27"/>
        <v>0</v>
      </c>
      <c r="BY16" s="21">
        <f t="shared" ca="1" si="28"/>
        <v>0</v>
      </c>
      <c r="BZ16" s="21">
        <f t="shared" ca="1" si="29"/>
        <v>0</v>
      </c>
      <c r="CA16" s="21" t="str">
        <f t="shared" ca="1" si="30"/>
        <v>0:AS1,AS16,</v>
      </c>
      <c r="CB16" s="21" t="str">
        <f t="shared" ca="1" si="31"/>
        <v>3:AS16,</v>
      </c>
      <c r="CC16" s="21" t="str">
        <f t="shared" ca="1" si="32"/>
        <v>3:AS16,</v>
      </c>
      <c r="CD16" s="21" t="str">
        <f t="shared" ca="1" si="33"/>
        <v>0:AS1,AS16,</v>
      </c>
      <c r="CE16" s="21" t="str">
        <f t="shared" ca="1" si="34"/>
        <v>0:AS1,AS16,</v>
      </c>
      <c r="CF16" s="21">
        <f t="shared" ca="1" si="35"/>
        <v>0</v>
      </c>
      <c r="CG16" s="21">
        <f t="shared" ca="1" si="36"/>
        <v>3</v>
      </c>
      <c r="CH16" s="21">
        <f t="shared" ca="1" si="37"/>
        <v>3</v>
      </c>
      <c r="CI16" s="21">
        <f t="shared" ca="1" si="38"/>
        <v>0</v>
      </c>
      <c r="CJ16" s="21">
        <f t="shared" ca="1" si="39"/>
        <v>0</v>
      </c>
      <c r="CK16" s="21">
        <f t="shared" ca="1" si="23"/>
        <v>6</v>
      </c>
      <c r="CL16" s="21" t="str">
        <f ca="1">IFERROR(VLOOKUP($CK16,Definitions!$V:$W,COLUMNS(Definitions!$V:$W),TRUE),"")</f>
        <v>Basic</v>
      </c>
      <c r="CM16" s="21" t="str">
        <f ca="1">_xlfn.LET(_xlpm._comments,SimpleLookup($A16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6" s="21" t="str" cm="1">
        <f t="array" ca="1" aca="1" ref="CN16">_xlfn.LET(_xlpm._rapRange,Definitions!$W:$W,_xlpm._calculatedRAP,$CL16,_xlpm._inlineRAP,$CM16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16" s="21" t="str">
        <f ca="1">IFERROR(IF(OR($BP16="",$CN16=""),Definitions!$AE$4,VLOOKUP($BP16,Definitions!$AH:$AM,MATCH($CN16,Definitions!$AH$3:$AM$3,0),FALSE)),"")</f>
        <v>Very High</v>
      </c>
      <c r="CP16" s="21" cm="1">
        <f t="array" ca="1" aca="1" ref="CP16">IF($CO16="",0,SimpleLookup($CO16,Definitions!$AE:$AF))</f>
        <v>4</v>
      </c>
      <c r="CQ16" s="21" t="b">
        <f ca="1">OR(AND($S16,$I16=Helper!$B$7),$I16&gt;Helper!$B$7)</f>
        <v>0</v>
      </c>
      <c r="CR16" s="21" t="str">
        <f t="shared" ca="1" si="24"/>
        <v/>
      </c>
      <c r="CS16" s="21" cm="1">
        <f t="array" ca="1" aca="1" ref="CS16">CreateID($CS$2,$CV:$CV,$CR16&lt;&gt;"")</f>
        <v>0</v>
      </c>
      <c r="CT16" s="21" t="str">
        <f ca="1">IF(IFERROR(MATCH(","&amp;A16&amp;",",'Risk Treatment'!$AT:$AT,0)&gt;0,FALSE),"",$A16)</f>
        <v>R1-16</v>
      </c>
      <c r="CU16" s="21" cm="1">
        <f t="array" ca="1" aca="1" ref="CU16">CreateID($CU$2,$CU:$CU,$CT16&lt;&gt;"")</f>
        <v>14</v>
      </c>
    </row>
    <row r="17" spans="1:99" ht="90.75">
      <c r="A17" s="33" t="str" cm="1">
        <f t="array" ca="1" aca="1" ref="A17">IF($B17="","","R"&amp;RemoveDelimiter(SUBSTITUTE(SUBSTITUTE($K17,"AS",""),",","-"),"-"))</f>
        <v>R2-16</v>
      </c>
      <c r="B17" s="33" t="str" cm="1">
        <f t="array" ca="1" aca="1" ref="B17">IF($L17="","",_xlfn.LET(_xlpm._finalAttackStep,$L17,_xlpm._prepAttacks,RemoveFirstElement(_xlpm._finalAttackStep&amp;","&amp;$K17),_xlpm._prepAttackNames,IFERROR(LookupNames(_xlpm._prepAttacks,'Attack Steps'!$A:$B),""),_xlpm._delimiter,REPT(CHAR(150),55),$L17&amp;" "&amp;SimpleLookup($L17,'Attack Steps'!$A:$B)&amp;IF(_xlpm._prepAttackNames="","",CHAR(10)&amp;_xlpm._delimiter&amp;CHAR(10)&amp;_xlpm._prepAttackNames)))</f>
        <v>AS16 Manipulating the product's configuration via its configuration interface
–––––––––––––––––––––––––––––––––––––––––––––––––––––––
AS2 Getting access to a wireless network</v>
      </c>
      <c r="C17" s="34" t="str" cm="1">
        <f t="array" ca="1" aca="1" ref="C17">IFERROR(LookupNames($M17,'Damage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17" s="33" t="str">
        <f ca="1">IFERROR(IF($T17=0,"",INDEX(Definitions!$Q:$Q,MATCH($T17,Definitions!$R:$R,0))),"")</f>
        <v>Critical</v>
      </c>
      <c r="E17" s="34" t="str" cm="1">
        <f t="array" ca="1" aca="1" ref="E17">IF($A17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17,$A:W,Definitions!$Y:$Y,Definitions!$AB:$AB,1)&amp;CHAR(10)&amp;_xlpm._factorFunction($A17,$A:X,Definitions!$Y:$Y,Definitions!$AB:$AB,2)&amp;CHAR(10)&amp;_xlpm._factorFunction($A17,$A:Y,Definitions!$Y:$Y,Definitions!$AB:$AB,3)&amp;CHAR(10)&amp;_xlpm._factorFunction($A17,$A:Z,Definitions!$Y:$Y,Definitions!$AB:$AB,4)&amp;CHAR(10)&amp;_xlpm._factorFunction($A17,$A:AA,Definitions!$Y:$Y,Definitions!$AB:$AB,5)))</f>
        <v>Elapsed Time [0]: AS2, AS16
Expertise [3]: AS2, AS16
Knowledge of TOE [3]: AS16
Window of Opportunity [1]: AS2
Equipment [0]: AS2, AS16</v>
      </c>
      <c r="F17" s="33" t="str">
        <f ca="1">IF($A17="","",IFERROR(VLOOKUP($AG17,Definitions!$V:$W,COLUMNS(Definitions!$V:$W),TRUE),""))</f>
        <v>Basic</v>
      </c>
      <c r="G17" s="33" t="str">
        <f ca="1">IFERROR(IF(OR($D17="",$F17=""),"",VLOOKUP($D17,Definitions!$AH:$AM,MATCH($F17,Definitions!$AH$3:$AM$3,0),FALSE)),"")</f>
        <v>Very High</v>
      </c>
      <c r="H17" s="23" cm="1">
        <f t="array" ca="1" aca="1" ref="H17">IF(ROW()=ROW($H$2)+1,0,INDEX($H:$H,ROW()-1))+IF($A17="",0,1)</f>
        <v>15</v>
      </c>
      <c r="I17" s="21" cm="1">
        <f t="array" ca="1" aca="1" ref="I17">IF(ROW()=ROW($I$2)+1,1,INDEX($I:$I,ROW()-1)+IF(INDEX($S:$S,ROW()-1),1,0))</f>
        <v>8</v>
      </c>
      <c r="J17" s="21">
        <f t="shared" ca="1" si="0"/>
        <v>2</v>
      </c>
      <c r="K17" s="21" t="str">
        <f t="shared" ca="1" si="40"/>
        <v>AS2,AS16,</v>
      </c>
      <c r="L17" s="21" t="str" cm="1">
        <f t="array" ca="1" aca="1" ref="L17">IF($P17="","",INDEX('Attack Steps'!$A:$A,$P17))</f>
        <v>AS16</v>
      </c>
      <c r="M17" s="21" t="str" cm="1">
        <f t="array" ca="1" aca="1" ref="M17">IF($P17="","",INDEX('Attack Steps'!$T:$T,$P17))</f>
        <v>DS10,DS11,DS12,DS13,DS14,DS15,</v>
      </c>
      <c r="N17" s="21" t="str" cm="1">
        <f t="array" ca="1" aca="1" ref="N17">_xlfn.LET(_xlpm._dm,SanitizeInput(GetValuesWithFallback(SanitizeInput($AK17),Assumptions!$A:$I,Countermeasures!$A:$I,"",",",FALSE)),IF(_xlpm._dm="","",","&amp;_xlpm._dm))</f>
        <v/>
      </c>
      <c r="O17" s="21" t="str" cm="1">
        <f t="array" ca="1" aca="1" ref="O17">ApplyDamageMitigation($M17,$N17,"")</f>
        <v>DS10,DS11,DS12,DS13,DS14,DS15,</v>
      </c>
      <c r="P17" s="21">
        <f ca="1">IFERROR(MATCH($I17,'Attack Steps'!$V:$V,0),"")</f>
        <v>18</v>
      </c>
      <c r="Q17" s="21" t="str" cm="1">
        <f t="array" ca="1" aca="1" ref="Q17">IF($P17="","","§"&amp;INDEX('Attack Steps'!$S:$S,$P17))</f>
        <v>§AS1,AS16,§AS2,AS16,§</v>
      </c>
      <c r="R17" s="21" cm="1">
        <f t="array" ca="1" aca="1" ref="R17">IF($P17="","",INDEX('Attack Steps'!$W:$W,$P17))</f>
        <v>2</v>
      </c>
      <c r="S17" s="21" t="b">
        <f t="shared" ca="1" si="41"/>
        <v>1</v>
      </c>
      <c r="T17" s="21" cm="1">
        <f t="array" ca="1" aca="1" ref="T17">_xlfn.LAMBDA(_xlpm._in,_xlpm._val,_xlpm._range,IF(_xlpm._in="",_xlpm._val,_xlfn.LET(_xlpm._id,LEFT(_xlpm._in,FIND(",",_xlpm._in)-1),CalculateMaxFromList(RemoveFirstElement(_xlpm._in),MAX(_xlpm._val,VLOOKUP(_xlpm._id,_xlpm._range,COLUMNS(_xlpm._range),FALSE)),_xlpm._range))))($M17,0,'Damage Scenarios'!$A:$U)</f>
        <v>5</v>
      </c>
      <c r="U17" s="21" cm="1">
        <f t="array" ca="1" aca="1" ref="U17">CalculateMaxFromList($O17,0,'Damage Scenarios'!$A:$U)</f>
        <v>5</v>
      </c>
      <c r="V17" s="21" t="str">
        <f ca="1">IF($U17=0,"",INDEX(Definitions!$Q:$Q,MATCH($U17,Definitions!$R:$R,0)))</f>
        <v>Critical</v>
      </c>
      <c r="W17" s="21" t="str" cm="1">
        <f t="array" ca="1" aca="1" ref="W17">CalculateMaxAndElements($K17,0,"",'Attack Steps'!$A:X)</f>
        <v>0:AS2,AS16,</v>
      </c>
      <c r="X17" s="21" t="str" cm="1">
        <f t="array" ca="1" aca="1" ref="X17">CalculateMaxAndElements($K17,0,"",'Attack Steps'!$A:Y)</f>
        <v>3:AS2,AS16,</v>
      </c>
      <c r="Y17" s="21" t="str" cm="1">
        <f t="array" ca="1" aca="1" ref="Y17">CalculateMaxAndElements($K17,0,"",'Attack Steps'!$A:Z)</f>
        <v>3:AS16,</v>
      </c>
      <c r="Z17" s="21" t="str" cm="1">
        <f t="array" ca="1" aca="1" ref="Z17">CalculateMaxAndElements($K17,0,"",'Attack Steps'!$A:AA)</f>
        <v>1:AS2,</v>
      </c>
      <c r="AA17" s="21" t="str" cm="1">
        <f t="array" ca="1" aca="1" ref="AA17">CalculateMaxAndElements($K17,0,"",'Attack Steps'!$A:AB)</f>
        <v>0:AS2,AS16,</v>
      </c>
      <c r="AB17" s="21">
        <f t="shared" ca="1" si="42"/>
        <v>0</v>
      </c>
      <c r="AC17" s="21">
        <f t="shared" ca="1" si="43"/>
        <v>3</v>
      </c>
      <c r="AD17" s="21">
        <f t="shared" ca="1" si="44"/>
        <v>3</v>
      </c>
      <c r="AE17" s="21">
        <f t="shared" ca="1" si="45"/>
        <v>1</v>
      </c>
      <c r="AF17" s="21">
        <f t="shared" ca="1" si="46"/>
        <v>0</v>
      </c>
      <c r="AG17" s="21">
        <f t="shared" ca="1" si="3"/>
        <v>7</v>
      </c>
      <c r="AH17" s="21" t="str" cm="1">
        <f t="array" ca="1" aca="1" ref="AH17">IF(ROW()=ROW($AH$2)+1,"",INDEX($AH:$AH,ROW()-1))&amp;IF($A17="","",$A17&amp;",")</f>
        <v>R1-3,R2-3,R1-4,R2-4,R1-6,R2-6,R1-7,R2-7,R1-3-10,R2-3-10,R1-3-11,R2-3-11,R1-14,R1-16,R2-16,</v>
      </c>
      <c r="AI17" s="21" t="str">
        <f t="shared" ca="1" si="47"/>
        <v>,AS2,AS16,</v>
      </c>
      <c r="AJ17" s="21" cm="1">
        <f t="array" ca="1" aca="1" ref="AJ17">IF($G17="",0,SimpleLookup($G17,Definitions!$AE:$AF))</f>
        <v>4</v>
      </c>
      <c r="AK17" s="21" t="str" cm="1">
        <f t="array" ca="1" aca="1" ref="AK17">InverseLookup($A17,Mitigation!$U$2,Mitigation!$J$2,1,Helper!$B$5,",")</f>
        <v/>
      </c>
      <c r="AL17" s="21" t="str" cm="1">
        <f t="array" ca="1" aca="1" ref="AL17">CalculateMaxAndElementsWithFallback(SanitizeInput($AK17),0,"",Countermeasures!$A:Y,Assumptions!$A:Z)</f>
        <v>0:</v>
      </c>
      <c r="AM17" s="21" t="str" cm="1">
        <f t="array" ca="1" aca="1" ref="AM17">CalculateMaxAndElementsWithFallback(SanitizeInput($AK17),0,"",Countermeasures!$A:Z,Assumptions!$A:AA)</f>
        <v>0:</v>
      </c>
      <c r="AN17" s="21" t="str" cm="1">
        <f t="array" ca="1" aca="1" ref="AN17">CalculateMaxAndElementsWithFallback(SanitizeInput($AK17),0,"",Countermeasures!$A:AA,Assumptions!$A:AB)</f>
        <v>0:</v>
      </c>
      <c r="AO17" s="21" t="str" cm="1">
        <f t="array" ca="1" aca="1" ref="AO17">CalculateMaxAndElementsWithFallback(SanitizeInput($AK17),0,"",Countermeasures!$A:AB,Assumptions!$A:AC)</f>
        <v>0:</v>
      </c>
      <c r="AP17" s="21" t="str" cm="1">
        <f t="array" ca="1" aca="1" ref="AP17">CalculateMaxAndElementsWithFallback(SanitizeInput($AK17),0,"",Countermeasures!$A:AC,Assumptions!$A:AD)</f>
        <v>0:</v>
      </c>
      <c r="AQ17" s="21">
        <f t="shared" ca="1" si="48"/>
        <v>0</v>
      </c>
      <c r="AR17" s="21">
        <f t="shared" ca="1" si="49"/>
        <v>0</v>
      </c>
      <c r="AS17" s="21">
        <f t="shared" ca="1" si="50"/>
        <v>0</v>
      </c>
      <c r="AT17" s="21">
        <f t="shared" ca="1" si="51"/>
        <v>0</v>
      </c>
      <c r="AU17" s="21">
        <f t="shared" ca="1" si="52"/>
        <v>0</v>
      </c>
      <c r="AV17" s="21" t="str">
        <f t="shared" ca="1" si="53"/>
        <v>0:AS2,AS16,</v>
      </c>
      <c r="AW17" s="21" t="str">
        <f t="shared" ca="1" si="54"/>
        <v>3:AS2,AS16,</v>
      </c>
      <c r="AX17" s="21" t="str">
        <f t="shared" ca="1" si="55"/>
        <v>3:AS16,</v>
      </c>
      <c r="AY17" s="21" t="str">
        <f t="shared" ca="1" si="56"/>
        <v>1:AS2,</v>
      </c>
      <c r="AZ17" s="21" t="str">
        <f t="shared" ca="1" si="57"/>
        <v>0:AS2,AS16,</v>
      </c>
      <c r="BA17" s="21">
        <f t="shared" ca="1" si="58"/>
        <v>0</v>
      </c>
      <c r="BB17" s="21">
        <f t="shared" ca="1" si="59"/>
        <v>3</v>
      </c>
      <c r="BC17" s="21">
        <f t="shared" ca="1" si="60"/>
        <v>3</v>
      </c>
      <c r="BD17" s="21">
        <f t="shared" ca="1" si="61"/>
        <v>1</v>
      </c>
      <c r="BE17" s="21">
        <f t="shared" ca="1" si="62"/>
        <v>0</v>
      </c>
      <c r="BF17" s="21">
        <f t="shared" ca="1" si="9"/>
        <v>7</v>
      </c>
      <c r="BG17" s="21" t="str">
        <f ca="1">IFERROR(VLOOKUP($BF17,Definitions!$V:$W,COLUMNS(Definitions!$V:$W),TRUE),"")</f>
        <v>Basic</v>
      </c>
      <c r="BH17" s="21" t="str">
        <f ca="1">_xlfn.LET(_xlpm._comments,GetValues($K17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7" s="21" t="str" cm="1">
        <f t="array" ca="1" aca="1" ref="BI17">_xlfn.LET(_xlpm._rapRange,Definitions!$W:$W,_xlpm._calculatedRAP,$BG17,_xlpm._inlineRAP,$BH17,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17" s="21" t="str">
        <f ca="1">IFERROR(IF(OR($V17="",$BI17=""),Definitions!$AE$4,VLOOKUP($V17,Definitions!$AH:$AM,MATCH($BI17,Definitions!$AH$3:$AM$3,0),FALSE)),"")</f>
        <v>Very High</v>
      </c>
      <c r="BK17" s="21" cm="1">
        <f t="array" ca="1" aca="1" ref="BK17">IF($BJ17="",0,SimpleLookup($BJ17,Definitions!$AE:$AF))</f>
        <v>4</v>
      </c>
      <c r="BL17" s="21" t="str" cm="1">
        <f t="array" ca="1" aca="1" ref="BL17">IFERROR(SimpleLookup($A17,Tracing!$B:$Z),"")</f>
        <v/>
      </c>
      <c r="BM17" s="21" t="str" cm="1">
        <f t="array" ca="1" aca="1" ref="BM17">_xlfn.LET(_xlpm._dm,SanitizeInput(GetValuesWithFallback(SanitizeInput($BL17),Assumptions!$A:$I,Countermeasures!$A:$I,"",",",FALSE)),IF(_xlpm._dm="","",","&amp;_xlpm._dm))</f>
        <v/>
      </c>
      <c r="BN17" s="21" t="str" cm="1">
        <f t="array" ca="1" aca="1" ref="BN17">ApplyDamageMitigation($M17,$BM17,"")</f>
        <v>DS10,DS11,DS12,DS13,DS14,DS15,</v>
      </c>
      <c r="BO17" s="21" cm="1">
        <f t="array" ca="1" aca="1" ref="BO17">CalculateMaxFromList($BN17,0,'Damage Scenarios'!$A:$U)</f>
        <v>5</v>
      </c>
      <c r="BP17" s="21" t="str">
        <f ca="1">IF($BO17=0,"",INDEX(Definitions!$Q:$Q,MATCH($BO17,Definitions!$R:$R,0)))</f>
        <v>Critical</v>
      </c>
      <c r="BQ17" s="21" t="str" cm="1">
        <f t="array" ca="1" aca="1" ref="BQ17">CalculateMaxAndElementsWithFallback(SanitizeInput($BL17),0,"",Countermeasures!$A:Y,Assumptions!$A:Z)</f>
        <v>0:</v>
      </c>
      <c r="BR17" s="21" t="str" cm="1">
        <f t="array" ca="1" aca="1" ref="BR17">CalculateMaxAndElementsWithFallback(SanitizeInput($BL17),0,"",Countermeasures!$A:Z,Assumptions!$A:AA)</f>
        <v>0:</v>
      </c>
      <c r="BS17" s="21" t="str" cm="1">
        <f t="array" ca="1" aca="1" ref="BS17">CalculateMaxAndElementsWithFallback(SanitizeInput($BL17),0,"",Countermeasures!$A:AA,Assumptions!$A:AB)</f>
        <v>0:</v>
      </c>
      <c r="BT17" s="21" t="str" cm="1">
        <f t="array" ca="1" aca="1" ref="BT17">CalculateMaxAndElementsWithFallback(SanitizeInput($BL17),0,"",Countermeasures!$A:AB,Assumptions!$A:AC)</f>
        <v>0:</v>
      </c>
      <c r="BU17" s="21" t="str" cm="1">
        <f t="array" ca="1" aca="1" ref="BU17">CalculateMaxAndElementsWithFallback(SanitizeInput($BL17),0,"",Countermeasures!$A:AC,Assumptions!$A:AD)</f>
        <v>0:</v>
      </c>
      <c r="BV17" s="21">
        <f t="shared" ca="1" si="25"/>
        <v>0</v>
      </c>
      <c r="BW17" s="21">
        <f t="shared" ca="1" si="26"/>
        <v>0</v>
      </c>
      <c r="BX17" s="21">
        <f t="shared" ca="1" si="27"/>
        <v>0</v>
      </c>
      <c r="BY17" s="21">
        <f t="shared" ca="1" si="28"/>
        <v>0</v>
      </c>
      <c r="BZ17" s="21">
        <f t="shared" ca="1" si="29"/>
        <v>0</v>
      </c>
      <c r="CA17" s="21" t="str">
        <f t="shared" ca="1" si="30"/>
        <v>0:AS2,AS16,</v>
      </c>
      <c r="CB17" s="21" t="str">
        <f t="shared" ca="1" si="31"/>
        <v>3:AS2,AS16,</v>
      </c>
      <c r="CC17" s="21" t="str">
        <f t="shared" ca="1" si="32"/>
        <v>3:AS16,</v>
      </c>
      <c r="CD17" s="21" t="str">
        <f t="shared" ca="1" si="33"/>
        <v>1:AS2,</v>
      </c>
      <c r="CE17" s="21" t="str">
        <f t="shared" ca="1" si="34"/>
        <v>0:AS2,AS16,</v>
      </c>
      <c r="CF17" s="21">
        <f t="shared" ca="1" si="35"/>
        <v>0</v>
      </c>
      <c r="CG17" s="21">
        <f t="shared" ca="1" si="36"/>
        <v>3</v>
      </c>
      <c r="CH17" s="21">
        <f t="shared" ca="1" si="37"/>
        <v>3</v>
      </c>
      <c r="CI17" s="21">
        <f t="shared" ca="1" si="38"/>
        <v>1</v>
      </c>
      <c r="CJ17" s="21">
        <f t="shared" ca="1" si="39"/>
        <v>0</v>
      </c>
      <c r="CK17" s="21">
        <f t="shared" ca="1" si="23"/>
        <v>7</v>
      </c>
      <c r="CL17" s="21" t="str">
        <f ca="1">IFERROR(VLOOKUP($CK17,Definitions!$V:$W,COLUMNS(Definitions!$V:$W),TRUE),"")</f>
        <v>Basic</v>
      </c>
      <c r="CM17" s="21" t="str">
        <f ca="1">_xlfn.LET(_xlpm._comments,SimpleLookup($A17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7" s="21" t="str" cm="1">
        <f t="array" ca="1" aca="1" ref="CN17">_xlfn.LET(_xlpm._rapRange,Definitions!$W:$W,_xlpm._calculatedRAP,$CL17,_xlpm._inlineRAP,$CM17,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17" s="21" t="str">
        <f ca="1">IFERROR(IF(OR($BP17="",$CN17=""),Definitions!$AE$4,VLOOKUP($BP17,Definitions!$AH:$AM,MATCH($CN17,Definitions!$AH$3:$AM$3,0),FALSE)),"")</f>
        <v>Very High</v>
      </c>
      <c r="CP17" s="21" cm="1">
        <f t="array" ca="1" aca="1" ref="CP17">IF($CO17="",0,SimpleLookup($CO17,Definitions!$AE:$AF))</f>
        <v>4</v>
      </c>
      <c r="CQ17" s="21" t="b">
        <f ca="1">OR(AND($S17,$I17=Helper!$B$7),$I17&gt;Helper!$B$7)</f>
        <v>0</v>
      </c>
      <c r="CR17" s="21" t="str">
        <f t="shared" ca="1" si="24"/>
        <v/>
      </c>
      <c r="CS17" s="21" cm="1">
        <f t="array" ca="1" aca="1" ref="CS17">CreateID($CS$2,$CV:$CV,$CR17&lt;&gt;"")</f>
        <v>0</v>
      </c>
      <c r="CT17" s="21" t="str">
        <f ca="1">IF(IFERROR(MATCH(","&amp;A17&amp;",",'Risk Treatment'!$AT:$AT,0)&gt;0,FALSE),"",$A17)</f>
        <v>R2-16</v>
      </c>
      <c r="CU17" s="21" cm="1">
        <f t="array" ca="1" aca="1" ref="CU17">CreateID($CU$2,$CU:$CU,$CT17&lt;&gt;"")</f>
        <v>15</v>
      </c>
    </row>
    <row r="18" spans="1:99" ht="90.75">
      <c r="A18" s="33" t="str" cm="1">
        <f t="array" ca="1" aca="1" ref="A18">IF($B18="","","R"&amp;RemoveDelimiter(SUBSTITUTE(SUBSTITUTE($K18,"AS",""),",","-"),"-"))</f>
        <v>R21-23</v>
      </c>
      <c r="B18" s="33" t="str" cm="1">
        <f t="array" ca="1" aca="1" ref="B18">IF($L18="","",_xlfn.LET(_xlpm._finalAttackStep,$L18,_xlpm._prepAttacks,RemoveFirstElement(_xlpm._finalAttackStep&amp;","&amp;$K18),_xlpm._prepAttackNames,IFERROR(LookupNames(_xlpm._prepAttacks,'Attack Steps'!$A:$B),""),_xlpm._delimiter,REPT(CHAR(150),55),$L18&amp;" "&amp;SimpleLookup($L18,'Attack Steps'!$A:$B)&amp;IF(_xlpm._prepAttackNames="","",CHAR(10)&amp;_xlpm._delimiter&amp;CHAR(10)&amp;_xlpm._prepAttackNames)))</f>
        <v>AS23 Compromising the product with direct access to its persistent memory
–––––––––––––––––––––––––––––––––––––––––––––––––––––––
AS21 Gaining physical access to the product (3rd party)</v>
      </c>
      <c r="C18" s="34" t="str" cm="1">
        <f t="array" ca="1" aca="1" ref="C18">IFERROR(LookupNames($M18,'Damage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18" s="33" t="str">
        <f ca="1">IFERROR(IF($T18=0,"",INDEX(Definitions!$Q:$Q,MATCH($T18,Definitions!$R:$R,0))),"")</f>
        <v>Critical</v>
      </c>
      <c r="E18" s="34" t="str" cm="1">
        <f t="array" ca="1" aca="1" ref="E18">IF($A18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18,$A:W,Definitions!$Y:$Y,Definitions!$AB:$AB,1)&amp;CHAR(10)&amp;_xlpm._factorFunction($A18,$A:X,Definitions!$Y:$Y,Definitions!$AB:$AB,2)&amp;CHAR(10)&amp;_xlpm._factorFunction($A18,$A:Y,Definitions!$Y:$Y,Definitions!$AB:$AB,3)&amp;CHAR(10)&amp;_xlpm._factorFunction($A18,$A:Z,Definitions!$Y:$Y,Definitions!$AB:$AB,4)&amp;CHAR(10)&amp;_xlpm._factorFunction($A18,$A:AA,Definitions!$Y:$Y,Definitions!$AB:$AB,5)))</f>
        <v>Elapsed Time [1]: AS23
Expertise [6]: AS23
Knowledge of TOE [3]: AS23
Window of Opportunity [1]: AS21
Equipment [0]: AS21, AS23</v>
      </c>
      <c r="F18" s="33" t="str">
        <f ca="1">IF($A18="","",IFERROR(VLOOKUP($AG18,Definitions!$V:$W,COLUMNS(Definitions!$V:$W),TRUE),""))</f>
        <v>Enhanced-Basic</v>
      </c>
      <c r="G18" s="33" t="str">
        <f ca="1">IFERROR(IF(OR($D18="",$F18=""),"",VLOOKUP($D18,Definitions!$AH:$AM,MATCH($F18,Definitions!$AH$3:$AM$3,0),FALSE)),"")</f>
        <v>Very High</v>
      </c>
      <c r="H18" s="23" cm="1">
        <f t="array" ca="1" aca="1" ref="H18">IF(ROW()=ROW($H$2)+1,0,INDEX($H:$H,ROW()-1))+IF($A18="",0,1)</f>
        <v>16</v>
      </c>
      <c r="I18" s="21" cm="1">
        <f t="array" ca="1" aca="1" ref="I18">IF(ROW()=ROW($I$2)+1,1,INDEX($I:$I,ROW()-1)+IF(INDEX($S:$S,ROW()-1),1,0))</f>
        <v>9</v>
      </c>
      <c r="J18" s="21">
        <f t="shared" ca="1" si="0"/>
        <v>1</v>
      </c>
      <c r="K18" s="21" t="str">
        <f t="shared" ca="1" si="40"/>
        <v>AS21,AS23,</v>
      </c>
      <c r="L18" s="21" t="str" cm="1">
        <f t="array" ca="1" aca="1" ref="L18">IF($P18="","",INDEX('Attack Steps'!$A:$A,$P18))</f>
        <v>AS23</v>
      </c>
      <c r="M18" s="21" t="str" cm="1">
        <f t="array" ca="1" aca="1" ref="M18">IF($P18="","",INDEX('Attack Steps'!$T:$T,$P18))</f>
        <v>DS10,DS11,DS12,DS13,DS14,DS15,</v>
      </c>
      <c r="N18" s="21" t="str" cm="1">
        <f t="array" ca="1" aca="1" ref="N18">_xlfn.LET(_xlpm._dm,SanitizeInput(GetValuesWithFallback(SanitizeInput($AK18),Assumptions!$A:$I,Countermeasures!$A:$I,"",",",FALSE)),IF(_xlpm._dm="","",","&amp;_xlpm._dm))</f>
        <v/>
      </c>
      <c r="O18" s="21" t="str" cm="1">
        <f t="array" ca="1" aca="1" ref="O18">ApplyDamageMitigation($M18,$N18,"")</f>
        <v>DS10,DS11,DS12,DS13,DS14,DS15,</v>
      </c>
      <c r="P18" s="21">
        <f ca="1">IFERROR(MATCH($I18,'Attack Steps'!$V:$V,0),"")</f>
        <v>25</v>
      </c>
      <c r="Q18" s="21" t="str" cm="1">
        <f t="array" ca="1" aca="1" ref="Q18">IF($P18="","","§"&amp;INDEX('Attack Steps'!$S:$S,$P18))</f>
        <v>§AS21,AS23,§AS22,AS23,§</v>
      </c>
      <c r="R18" s="21" cm="1">
        <f t="array" ca="1" aca="1" ref="R18">IF($P18="","",INDEX('Attack Steps'!$W:$W,$P18))</f>
        <v>2</v>
      </c>
      <c r="S18" s="21" t="b">
        <f t="shared" ca="1" si="41"/>
        <v>0</v>
      </c>
      <c r="T18" s="21" cm="1">
        <f t="array" ca="1" aca="1" ref="T18">_xlfn.LAMBDA(_xlpm._in,_xlpm._val,_xlpm._range,IF(_xlpm._in="",_xlpm._val,_xlfn.LET(_xlpm._id,LEFT(_xlpm._in,FIND(",",_xlpm._in)-1),CalculateMaxFromList(RemoveFirstElement(_xlpm._in),MAX(_xlpm._val,VLOOKUP(_xlpm._id,_xlpm._range,COLUMNS(_xlpm._range),FALSE)),_xlpm._range))))($M18,0,'Damage Scenarios'!$A:$U)</f>
        <v>5</v>
      </c>
      <c r="U18" s="21" cm="1">
        <f t="array" ca="1" aca="1" ref="U18">CalculateMaxFromList($O18,0,'Damage Scenarios'!$A:$U)</f>
        <v>5</v>
      </c>
      <c r="V18" s="21" t="str">
        <f ca="1">IF($U18=0,"",INDEX(Definitions!$Q:$Q,MATCH($U18,Definitions!$R:$R,0)))</f>
        <v>Critical</v>
      </c>
      <c r="W18" s="21" t="str" cm="1">
        <f t="array" ca="1" aca="1" ref="W18">CalculateMaxAndElements($K18,0,"",'Attack Steps'!$A:X)</f>
        <v>1:AS23,</v>
      </c>
      <c r="X18" s="21" t="str" cm="1">
        <f t="array" ca="1" aca="1" ref="X18">CalculateMaxAndElements($K18,0,"",'Attack Steps'!$A:Y)</f>
        <v>6:AS23,</v>
      </c>
      <c r="Y18" s="21" t="str" cm="1">
        <f t="array" ca="1" aca="1" ref="Y18">CalculateMaxAndElements($K18,0,"",'Attack Steps'!$A:Z)</f>
        <v>3:AS23,</v>
      </c>
      <c r="Z18" s="21" t="str" cm="1">
        <f t="array" ca="1" aca="1" ref="Z18">CalculateMaxAndElements($K18,0,"",'Attack Steps'!$A:AA)</f>
        <v>1:AS21,</v>
      </c>
      <c r="AA18" s="21" t="str" cm="1">
        <f t="array" ca="1" aca="1" ref="AA18">CalculateMaxAndElements($K18,0,"",'Attack Steps'!$A:AB)</f>
        <v>0:AS21,AS23,</v>
      </c>
      <c r="AB18" s="21">
        <f t="shared" ca="1" si="42"/>
        <v>1</v>
      </c>
      <c r="AC18" s="21">
        <f t="shared" ca="1" si="43"/>
        <v>6</v>
      </c>
      <c r="AD18" s="21">
        <f t="shared" ca="1" si="44"/>
        <v>3</v>
      </c>
      <c r="AE18" s="21">
        <f t="shared" ca="1" si="45"/>
        <v>1</v>
      </c>
      <c r="AF18" s="21">
        <f t="shared" ca="1" si="46"/>
        <v>0</v>
      </c>
      <c r="AG18" s="21">
        <f t="shared" ca="1" si="3"/>
        <v>11</v>
      </c>
      <c r="AH18" s="21" t="str" cm="1">
        <f t="array" ca="1" aca="1" ref="AH18">IF(ROW()=ROW($AH$2)+1,"",INDEX($AH:$AH,ROW()-1))&amp;IF($A18="","",$A18&amp;",")</f>
        <v>R1-3,R2-3,R1-4,R2-4,R1-6,R2-6,R1-7,R2-7,R1-3-10,R2-3-10,R1-3-11,R2-3-11,R1-14,R1-16,R2-16,R21-23,</v>
      </c>
      <c r="AI18" s="21" t="str">
        <f t="shared" ca="1" si="47"/>
        <v>,AS21,AS23,</v>
      </c>
      <c r="AJ18" s="21" cm="1">
        <f t="array" ca="1" aca="1" ref="AJ18">IF($G18="",0,SimpleLookup($G18,Definitions!$AE:$AF))</f>
        <v>4</v>
      </c>
      <c r="AK18" s="21" t="str" cm="1">
        <f t="array" ca="1" aca="1" ref="AK18">InverseLookup($A18,Mitigation!$U$2,Mitigation!$J$2,1,Helper!$B$5,",")</f>
        <v/>
      </c>
      <c r="AL18" s="21" t="str" cm="1">
        <f t="array" ca="1" aca="1" ref="AL18">CalculateMaxAndElementsWithFallback(SanitizeInput($AK18),0,"",Countermeasures!$A:Y,Assumptions!$A:Z)</f>
        <v>0:</v>
      </c>
      <c r="AM18" s="21" t="str" cm="1">
        <f t="array" ca="1" aca="1" ref="AM18">CalculateMaxAndElementsWithFallback(SanitizeInput($AK18),0,"",Countermeasures!$A:Z,Assumptions!$A:AA)</f>
        <v>0:</v>
      </c>
      <c r="AN18" s="21" t="str" cm="1">
        <f t="array" ca="1" aca="1" ref="AN18">CalculateMaxAndElementsWithFallback(SanitizeInput($AK18),0,"",Countermeasures!$A:AA,Assumptions!$A:AB)</f>
        <v>0:</v>
      </c>
      <c r="AO18" s="21" t="str" cm="1">
        <f t="array" ca="1" aca="1" ref="AO18">CalculateMaxAndElementsWithFallback(SanitizeInput($AK18),0,"",Countermeasures!$A:AB,Assumptions!$A:AC)</f>
        <v>0:</v>
      </c>
      <c r="AP18" s="21" t="str" cm="1">
        <f t="array" ca="1" aca="1" ref="AP18">CalculateMaxAndElementsWithFallback(SanitizeInput($AK18),0,"",Countermeasures!$A:AC,Assumptions!$A:AD)</f>
        <v>0:</v>
      </c>
      <c r="AQ18" s="21">
        <f t="shared" ca="1" si="48"/>
        <v>0</v>
      </c>
      <c r="AR18" s="21">
        <f t="shared" ca="1" si="49"/>
        <v>0</v>
      </c>
      <c r="AS18" s="21">
        <f t="shared" ca="1" si="50"/>
        <v>0</v>
      </c>
      <c r="AT18" s="21">
        <f t="shared" ca="1" si="51"/>
        <v>0</v>
      </c>
      <c r="AU18" s="21">
        <f t="shared" ca="1" si="52"/>
        <v>0</v>
      </c>
      <c r="AV18" s="21" t="str">
        <f t="shared" ca="1" si="53"/>
        <v>1:AS23,</v>
      </c>
      <c r="AW18" s="21" t="str">
        <f t="shared" ca="1" si="54"/>
        <v>6:AS23,</v>
      </c>
      <c r="AX18" s="21" t="str">
        <f t="shared" ca="1" si="55"/>
        <v>3:AS23,</v>
      </c>
      <c r="AY18" s="21" t="str">
        <f t="shared" ca="1" si="56"/>
        <v>1:AS21,</v>
      </c>
      <c r="AZ18" s="21" t="str">
        <f t="shared" ca="1" si="57"/>
        <v>0:AS21,AS23,</v>
      </c>
      <c r="BA18" s="21">
        <f t="shared" ca="1" si="58"/>
        <v>1</v>
      </c>
      <c r="BB18" s="21">
        <f t="shared" ca="1" si="59"/>
        <v>6</v>
      </c>
      <c r="BC18" s="21">
        <f t="shared" ca="1" si="60"/>
        <v>3</v>
      </c>
      <c r="BD18" s="21">
        <f t="shared" ca="1" si="61"/>
        <v>1</v>
      </c>
      <c r="BE18" s="21">
        <f t="shared" ca="1" si="62"/>
        <v>0</v>
      </c>
      <c r="BF18" s="21">
        <f t="shared" ca="1" si="9"/>
        <v>11</v>
      </c>
      <c r="BG18" s="21" t="str">
        <f ca="1">IFERROR(VLOOKUP($BF18,Definitions!$V:$W,COLUMNS(Definitions!$V:$W),TRUE),"")</f>
        <v>Enhanced-Basic</v>
      </c>
      <c r="BH18" s="21" t="str">
        <f ca="1">_xlfn.LET(_xlpm._comments,GetValues($K18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8" s="21" t="str" cm="1">
        <f t="array" ca="1" aca="1" ref="BI18">_xlfn.LET(_xlpm._rapRange,Definitions!$W:$W,_xlpm._calculatedRAP,$BG18,_xlpm._inlineRAP,$BH18,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18" s="21" t="str">
        <f ca="1">IFERROR(IF(OR($V18="",$BI18=""),Definitions!$AE$4,VLOOKUP($V18,Definitions!$AH:$AM,MATCH($BI18,Definitions!$AH$3:$AM$3,0),FALSE)),"")</f>
        <v>Very High</v>
      </c>
      <c r="BK18" s="21" cm="1">
        <f t="array" ca="1" aca="1" ref="BK18">IF($BJ18="",0,SimpleLookup($BJ18,Definitions!$AE:$AF))</f>
        <v>4</v>
      </c>
      <c r="BL18" s="21" t="str" cm="1">
        <f t="array" ca="1" aca="1" ref="BL18">IFERROR(SimpleLookup($A18,Tracing!$B:$Z),"")</f>
        <v/>
      </c>
      <c r="BM18" s="21" t="str" cm="1">
        <f t="array" ca="1" aca="1" ref="BM18">_xlfn.LET(_xlpm._dm,SanitizeInput(GetValuesWithFallback(SanitizeInput($BL18),Assumptions!$A:$I,Countermeasures!$A:$I,"",",",FALSE)),IF(_xlpm._dm="","",","&amp;_xlpm._dm))</f>
        <v/>
      </c>
      <c r="BN18" s="21" t="str" cm="1">
        <f t="array" ca="1" aca="1" ref="BN18">ApplyDamageMitigation($M18,$BM18,"")</f>
        <v>DS10,DS11,DS12,DS13,DS14,DS15,</v>
      </c>
      <c r="BO18" s="21" cm="1">
        <f t="array" ca="1" aca="1" ref="BO18">CalculateMaxFromList($BN18,0,'Damage Scenarios'!$A:$U)</f>
        <v>5</v>
      </c>
      <c r="BP18" s="21" t="str">
        <f ca="1">IF($BO18=0,"",INDEX(Definitions!$Q:$Q,MATCH($BO18,Definitions!$R:$R,0)))</f>
        <v>Critical</v>
      </c>
      <c r="BQ18" s="21" t="str" cm="1">
        <f t="array" ca="1" aca="1" ref="BQ18">CalculateMaxAndElementsWithFallback(SanitizeInput($BL18),0,"",Countermeasures!$A:Y,Assumptions!$A:Z)</f>
        <v>0:</v>
      </c>
      <c r="BR18" s="21" t="str" cm="1">
        <f t="array" ca="1" aca="1" ref="BR18">CalculateMaxAndElementsWithFallback(SanitizeInput($BL18),0,"",Countermeasures!$A:Z,Assumptions!$A:AA)</f>
        <v>0:</v>
      </c>
      <c r="BS18" s="21" t="str" cm="1">
        <f t="array" ca="1" aca="1" ref="BS18">CalculateMaxAndElementsWithFallback(SanitizeInput($BL18),0,"",Countermeasures!$A:AA,Assumptions!$A:AB)</f>
        <v>0:</v>
      </c>
      <c r="BT18" s="21" t="str" cm="1">
        <f t="array" ca="1" aca="1" ref="BT18">CalculateMaxAndElementsWithFallback(SanitizeInput($BL18),0,"",Countermeasures!$A:AB,Assumptions!$A:AC)</f>
        <v>0:</v>
      </c>
      <c r="BU18" s="21" t="str" cm="1">
        <f t="array" ca="1" aca="1" ref="BU18">CalculateMaxAndElementsWithFallback(SanitizeInput($BL18),0,"",Countermeasures!$A:AC,Assumptions!$A:AD)</f>
        <v>0:</v>
      </c>
      <c r="BV18" s="21">
        <f t="shared" ca="1" si="25"/>
        <v>0</v>
      </c>
      <c r="BW18" s="21">
        <f t="shared" ca="1" si="26"/>
        <v>0</v>
      </c>
      <c r="BX18" s="21">
        <f t="shared" ca="1" si="27"/>
        <v>0</v>
      </c>
      <c r="BY18" s="21">
        <f t="shared" ca="1" si="28"/>
        <v>0</v>
      </c>
      <c r="BZ18" s="21">
        <f t="shared" ca="1" si="29"/>
        <v>0</v>
      </c>
      <c r="CA18" s="21" t="str">
        <f t="shared" ca="1" si="30"/>
        <v>1:AS23,</v>
      </c>
      <c r="CB18" s="21" t="str">
        <f t="shared" ca="1" si="31"/>
        <v>6:AS23,</v>
      </c>
      <c r="CC18" s="21" t="str">
        <f t="shared" ca="1" si="32"/>
        <v>3:AS23,</v>
      </c>
      <c r="CD18" s="21" t="str">
        <f t="shared" ca="1" si="33"/>
        <v>1:AS21,</v>
      </c>
      <c r="CE18" s="21" t="str">
        <f t="shared" ca="1" si="34"/>
        <v>0:AS21,AS23,</v>
      </c>
      <c r="CF18" s="21">
        <f t="shared" ca="1" si="35"/>
        <v>1</v>
      </c>
      <c r="CG18" s="21">
        <f t="shared" ca="1" si="36"/>
        <v>6</v>
      </c>
      <c r="CH18" s="21">
        <f t="shared" ca="1" si="37"/>
        <v>3</v>
      </c>
      <c r="CI18" s="21">
        <f t="shared" ca="1" si="38"/>
        <v>1</v>
      </c>
      <c r="CJ18" s="21">
        <f t="shared" ca="1" si="39"/>
        <v>0</v>
      </c>
      <c r="CK18" s="21">
        <f t="shared" ca="1" si="23"/>
        <v>11</v>
      </c>
      <c r="CL18" s="21" t="str">
        <f ca="1">IFERROR(VLOOKUP($CK18,Definitions!$V:$W,COLUMNS(Definitions!$V:$W),TRUE),"")</f>
        <v>Enhanced-Basic</v>
      </c>
      <c r="CM18" s="21" t="str">
        <f ca="1">_xlfn.LET(_xlpm._comments,SimpleLookup($A18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8" s="21" t="str" cm="1">
        <f t="array" ca="1" aca="1" ref="CN18">_xlfn.LET(_xlpm._rapRange,Definitions!$W:$W,_xlpm._calculatedRAP,$CL18,_xlpm._inlineRAP,$CM18,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18" s="21" t="str">
        <f ca="1">IFERROR(IF(OR($BP18="",$CN18=""),Definitions!$AE$4,VLOOKUP($BP18,Definitions!$AH:$AM,MATCH($CN18,Definitions!$AH$3:$AM$3,0),FALSE)),"")</f>
        <v>Very High</v>
      </c>
      <c r="CP18" s="21" cm="1">
        <f t="array" ca="1" aca="1" ref="CP18">IF($CO18="",0,SimpleLookup($CO18,Definitions!$AE:$AF))</f>
        <v>4</v>
      </c>
      <c r="CQ18" s="21" t="b">
        <f ca="1">OR(AND($S18,$I18=Helper!$B$7),$I18&gt;Helper!$B$7)</f>
        <v>0</v>
      </c>
      <c r="CR18" s="21" t="str">
        <f t="shared" ca="1" si="24"/>
        <v/>
      </c>
      <c r="CS18" s="21" cm="1">
        <f t="array" ca="1" aca="1" ref="CS18">CreateID($CS$2,$CV:$CV,$CR18&lt;&gt;"")</f>
        <v>0</v>
      </c>
      <c r="CT18" s="21" t="str">
        <f ca="1">IF(IFERROR(MATCH(","&amp;A18&amp;",",'Risk Treatment'!$AT:$AT,0)&gt;0,FALSE),"",$A18)</f>
        <v>R21-23</v>
      </c>
      <c r="CU18" s="21" cm="1">
        <f t="array" ca="1" aca="1" ref="CU18">CreateID($CU$2,$CU:$CU,$CT18&lt;&gt;"")</f>
        <v>16</v>
      </c>
    </row>
    <row r="19" spans="1:99" ht="90.75">
      <c r="A19" s="33" t="str" cm="1">
        <f t="array" ca="1" aca="1" ref="A19">IF($B19="","","R"&amp;RemoveDelimiter(SUBSTITUTE(SUBSTITUTE($K19,"AS",""),",","-"),"-"))</f>
        <v>R22-23</v>
      </c>
      <c r="B19" s="33" t="str" cm="1">
        <f t="array" ca="1" aca="1" ref="B19">IF($L19="","",_xlfn.LET(_xlpm._finalAttackStep,$L19,_xlpm._prepAttacks,RemoveFirstElement(_xlpm._finalAttackStep&amp;","&amp;$K19),_xlpm._prepAttackNames,IFERROR(LookupNames(_xlpm._prepAttacks,'Attack Steps'!$A:$B),""),_xlpm._delimiter,REPT(CHAR(150),55),$L19&amp;" "&amp;SimpleLookup($L19,'Attack Steps'!$A:$B)&amp;IF(_xlpm._prepAttackNames="","",CHAR(10)&amp;_xlpm._delimiter&amp;CHAR(10)&amp;_xlpm._prepAttackNames)))</f>
        <v>AS23 Compromising the product with direct access to its persistent memory
–––––––––––––––––––––––––––––––––––––––––––––––––––––––
AS22 Gaining physical access to the product (customer)</v>
      </c>
      <c r="C19" s="34" t="str" cm="1">
        <f t="array" ca="1" aca="1" ref="C19">IFERROR(LookupNames($M19,'Damage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19" s="33" t="str">
        <f ca="1">IFERROR(IF($T19=0,"",INDEX(Definitions!$Q:$Q,MATCH($T19,Definitions!$R:$R,0))),"")</f>
        <v>Critical</v>
      </c>
      <c r="E19" s="34" t="str" cm="1">
        <f t="array" ca="1" aca="1" ref="E19">IF($A19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19,$A:W,Definitions!$Y:$Y,Definitions!$AB:$AB,1)&amp;CHAR(10)&amp;_xlpm._factorFunction($A19,$A:X,Definitions!$Y:$Y,Definitions!$AB:$AB,2)&amp;CHAR(10)&amp;_xlpm._factorFunction($A19,$A:Y,Definitions!$Y:$Y,Definitions!$AB:$AB,3)&amp;CHAR(10)&amp;_xlpm._factorFunction($A19,$A:Z,Definitions!$Y:$Y,Definitions!$AB:$AB,4)&amp;CHAR(10)&amp;_xlpm._factorFunction($A19,$A:AA,Definitions!$Y:$Y,Definitions!$AB:$AB,5)))</f>
        <v>Elapsed Time [1]: AS23
Expertise [6]: AS23
Knowledge of TOE [3]: AS23
Window of Opportunity [0]: AS22, AS23
Equipment [0]: AS22, AS23</v>
      </c>
      <c r="F19" s="33" t="str">
        <f ca="1">IF($A19="","",IFERROR(VLOOKUP($AG19,Definitions!$V:$W,COLUMNS(Definitions!$V:$W),TRUE),""))</f>
        <v>Enhanced-Basic</v>
      </c>
      <c r="G19" s="33" t="str">
        <f ca="1">IFERROR(IF(OR($D19="",$F19=""),"",VLOOKUP($D19,Definitions!$AH:$AM,MATCH($F19,Definitions!$AH$3:$AM$3,0),FALSE)),"")</f>
        <v>Very High</v>
      </c>
      <c r="H19" s="23" cm="1">
        <f t="array" ca="1" aca="1" ref="H19">IF(ROW()=ROW($H$2)+1,0,INDEX($H:$H,ROW()-1))+IF($A19="",0,1)</f>
        <v>17</v>
      </c>
      <c r="I19" s="21" cm="1">
        <f t="array" ca="1" aca="1" ref="I19">IF(ROW()=ROW($I$2)+1,1,INDEX($I:$I,ROW()-1)+IF(INDEX($S:$S,ROW()-1),1,0))</f>
        <v>9</v>
      </c>
      <c r="J19" s="21">
        <f t="shared" ca="1" si="0"/>
        <v>2</v>
      </c>
      <c r="K19" s="21" t="str">
        <f t="shared" ca="1" si="40"/>
        <v>AS22,AS23,</v>
      </c>
      <c r="L19" s="21" t="str" cm="1">
        <f t="array" ca="1" aca="1" ref="L19">IF($P19="","",INDEX('Attack Steps'!$A:$A,$P19))</f>
        <v>AS23</v>
      </c>
      <c r="M19" s="21" t="str" cm="1">
        <f t="array" ca="1" aca="1" ref="M19">IF($P19="","",INDEX('Attack Steps'!$T:$T,$P19))</f>
        <v>DS10,DS11,DS12,DS13,DS14,DS15,</v>
      </c>
      <c r="N19" s="21" t="str" cm="1">
        <f t="array" ca="1" aca="1" ref="N19">_xlfn.LET(_xlpm._dm,SanitizeInput(GetValuesWithFallback(SanitizeInput($AK19),Assumptions!$A:$I,Countermeasures!$A:$I,"",",",FALSE)),IF(_xlpm._dm="","",","&amp;_xlpm._dm))</f>
        <v/>
      </c>
      <c r="O19" s="21" t="str" cm="1">
        <f t="array" ca="1" aca="1" ref="O19">ApplyDamageMitigation($M19,$N19,"")</f>
        <v>DS10,DS11,DS12,DS13,DS14,DS15,</v>
      </c>
      <c r="P19" s="21">
        <f ca="1">IFERROR(MATCH($I19,'Attack Steps'!$V:$V,0),"")</f>
        <v>25</v>
      </c>
      <c r="Q19" s="21" t="str" cm="1">
        <f t="array" ca="1" aca="1" ref="Q19">IF($P19="","","§"&amp;INDEX('Attack Steps'!$S:$S,$P19))</f>
        <v>§AS21,AS23,§AS22,AS23,§</v>
      </c>
      <c r="R19" s="21" cm="1">
        <f t="array" ca="1" aca="1" ref="R19">IF($P19="","",INDEX('Attack Steps'!$W:$W,$P19))</f>
        <v>2</v>
      </c>
      <c r="S19" s="21" t="b">
        <f t="shared" ca="1" si="41"/>
        <v>1</v>
      </c>
      <c r="T19" s="21" cm="1">
        <f t="array" ca="1" aca="1" ref="T19">_xlfn.LAMBDA(_xlpm._in,_xlpm._val,_xlpm._range,IF(_xlpm._in="",_xlpm._val,_xlfn.LET(_xlpm._id,LEFT(_xlpm._in,FIND(",",_xlpm._in)-1),CalculateMaxFromList(RemoveFirstElement(_xlpm._in),MAX(_xlpm._val,VLOOKUP(_xlpm._id,_xlpm._range,COLUMNS(_xlpm._range),FALSE)),_xlpm._range))))($M19,0,'Damage Scenarios'!$A:$U)</f>
        <v>5</v>
      </c>
      <c r="U19" s="21" cm="1">
        <f t="array" ca="1" aca="1" ref="U19">CalculateMaxFromList($O19,0,'Damage Scenarios'!$A:$U)</f>
        <v>5</v>
      </c>
      <c r="V19" s="21" t="str">
        <f ca="1">IF($U19=0,"",INDEX(Definitions!$Q:$Q,MATCH($U19,Definitions!$R:$R,0)))</f>
        <v>Critical</v>
      </c>
      <c r="W19" s="21" t="str" cm="1">
        <f t="array" ca="1" aca="1" ref="W19">CalculateMaxAndElements($K19,0,"",'Attack Steps'!$A:X)</f>
        <v>1:AS23,</v>
      </c>
      <c r="X19" s="21" t="str" cm="1">
        <f t="array" ca="1" aca="1" ref="X19">CalculateMaxAndElements($K19,0,"",'Attack Steps'!$A:Y)</f>
        <v>6:AS23,</v>
      </c>
      <c r="Y19" s="21" t="str" cm="1">
        <f t="array" ca="1" aca="1" ref="Y19">CalculateMaxAndElements($K19,0,"",'Attack Steps'!$A:Z)</f>
        <v>3:AS23,</v>
      </c>
      <c r="Z19" s="21" t="str" cm="1">
        <f t="array" ca="1" aca="1" ref="Z19">CalculateMaxAndElements($K19,0,"",'Attack Steps'!$A:AA)</f>
        <v>0:AS22,AS23,</v>
      </c>
      <c r="AA19" s="21" t="str" cm="1">
        <f t="array" ca="1" aca="1" ref="AA19">CalculateMaxAndElements($K19,0,"",'Attack Steps'!$A:AB)</f>
        <v>0:AS22,AS23,</v>
      </c>
      <c r="AB19" s="21">
        <f t="shared" ca="1" si="42"/>
        <v>1</v>
      </c>
      <c r="AC19" s="21">
        <f t="shared" ca="1" si="43"/>
        <v>6</v>
      </c>
      <c r="AD19" s="21">
        <f t="shared" ca="1" si="44"/>
        <v>3</v>
      </c>
      <c r="AE19" s="21">
        <f t="shared" ca="1" si="45"/>
        <v>0</v>
      </c>
      <c r="AF19" s="21">
        <f t="shared" ca="1" si="46"/>
        <v>0</v>
      </c>
      <c r="AG19" s="21">
        <f t="shared" ca="1" si="3"/>
        <v>10</v>
      </c>
      <c r="AH19" s="21" t="str" cm="1">
        <f t="array" ca="1" aca="1" ref="AH19">IF(ROW()=ROW($AH$2)+1,"",INDEX($AH:$AH,ROW()-1))&amp;IF($A19="","",$A19&amp;",")</f>
        <v>R1-3,R2-3,R1-4,R2-4,R1-6,R2-6,R1-7,R2-7,R1-3-10,R2-3-10,R1-3-11,R2-3-11,R1-14,R1-16,R2-16,R21-23,R22-23,</v>
      </c>
      <c r="AI19" s="21" t="str">
        <f t="shared" ca="1" si="47"/>
        <v>,AS22,AS23,</v>
      </c>
      <c r="AJ19" s="21" cm="1">
        <f t="array" ca="1" aca="1" ref="AJ19">IF($G19="",0,SimpleLookup($G19,Definitions!$AE:$AF))</f>
        <v>4</v>
      </c>
      <c r="AK19" s="21" t="str" cm="1">
        <f t="array" ca="1" aca="1" ref="AK19">InverseLookup($A19,Mitigation!$U$2,Mitigation!$J$2,1,Helper!$B$5,",")</f>
        <v/>
      </c>
      <c r="AL19" s="21" t="str" cm="1">
        <f t="array" ca="1" aca="1" ref="AL19">CalculateMaxAndElementsWithFallback(SanitizeInput($AK19),0,"",Countermeasures!$A:Y,Assumptions!$A:Z)</f>
        <v>0:</v>
      </c>
      <c r="AM19" s="21" t="str" cm="1">
        <f t="array" ca="1" aca="1" ref="AM19">CalculateMaxAndElementsWithFallback(SanitizeInput($AK19),0,"",Countermeasures!$A:Z,Assumptions!$A:AA)</f>
        <v>0:</v>
      </c>
      <c r="AN19" s="21" t="str" cm="1">
        <f t="array" ca="1" aca="1" ref="AN19">CalculateMaxAndElementsWithFallback(SanitizeInput($AK19),0,"",Countermeasures!$A:AA,Assumptions!$A:AB)</f>
        <v>0:</v>
      </c>
      <c r="AO19" s="21" t="str" cm="1">
        <f t="array" ca="1" aca="1" ref="AO19">CalculateMaxAndElementsWithFallback(SanitizeInput($AK19),0,"",Countermeasures!$A:AB,Assumptions!$A:AC)</f>
        <v>0:</v>
      </c>
      <c r="AP19" s="21" t="str" cm="1">
        <f t="array" ca="1" aca="1" ref="AP19">CalculateMaxAndElementsWithFallback(SanitizeInput($AK19),0,"",Countermeasures!$A:AC,Assumptions!$A:AD)</f>
        <v>0:</v>
      </c>
      <c r="AQ19" s="21">
        <f t="shared" ca="1" si="48"/>
        <v>0</v>
      </c>
      <c r="AR19" s="21">
        <f t="shared" ca="1" si="49"/>
        <v>0</v>
      </c>
      <c r="AS19" s="21">
        <f t="shared" ca="1" si="50"/>
        <v>0</v>
      </c>
      <c r="AT19" s="21">
        <f t="shared" ca="1" si="51"/>
        <v>0</v>
      </c>
      <c r="AU19" s="21">
        <f t="shared" ca="1" si="52"/>
        <v>0</v>
      </c>
      <c r="AV19" s="21" t="str">
        <f t="shared" ca="1" si="53"/>
        <v>1:AS23,</v>
      </c>
      <c r="AW19" s="21" t="str">
        <f t="shared" ca="1" si="54"/>
        <v>6:AS23,</v>
      </c>
      <c r="AX19" s="21" t="str">
        <f t="shared" ca="1" si="55"/>
        <v>3:AS23,</v>
      </c>
      <c r="AY19" s="21" t="str">
        <f t="shared" ca="1" si="56"/>
        <v>0:AS22,AS23,</v>
      </c>
      <c r="AZ19" s="21" t="str">
        <f t="shared" ca="1" si="57"/>
        <v>0:AS22,AS23,</v>
      </c>
      <c r="BA19" s="21">
        <f t="shared" ca="1" si="58"/>
        <v>1</v>
      </c>
      <c r="BB19" s="21">
        <f t="shared" ca="1" si="59"/>
        <v>6</v>
      </c>
      <c r="BC19" s="21">
        <f t="shared" ca="1" si="60"/>
        <v>3</v>
      </c>
      <c r="BD19" s="21">
        <f t="shared" ca="1" si="61"/>
        <v>0</v>
      </c>
      <c r="BE19" s="21">
        <f t="shared" ca="1" si="62"/>
        <v>0</v>
      </c>
      <c r="BF19" s="21">
        <f t="shared" ca="1" si="9"/>
        <v>10</v>
      </c>
      <c r="BG19" s="21" t="str">
        <f ca="1">IFERROR(VLOOKUP($BF19,Definitions!$V:$W,COLUMNS(Definitions!$V:$W),TRUE),"")</f>
        <v>Enhanced-Basic</v>
      </c>
      <c r="BH19" s="21" t="str">
        <f ca="1">_xlfn.LET(_xlpm._comments,GetValues($K19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19" s="21" t="str" cm="1">
        <f t="array" ca="1" aca="1" ref="BI19">_xlfn.LET(_xlpm._rapRange,Definitions!$W:$W,_xlpm._calculatedRAP,$BG19,_xlpm._inlineRAP,$BH19,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19" s="21" t="str">
        <f ca="1">IFERROR(IF(OR($V19="",$BI19=""),Definitions!$AE$4,VLOOKUP($V19,Definitions!$AH:$AM,MATCH($BI19,Definitions!$AH$3:$AM$3,0),FALSE)),"")</f>
        <v>Very High</v>
      </c>
      <c r="BK19" s="21" cm="1">
        <f t="array" ca="1" aca="1" ref="BK19">IF($BJ19="",0,SimpleLookup($BJ19,Definitions!$AE:$AF))</f>
        <v>4</v>
      </c>
      <c r="BL19" s="21" t="str" cm="1">
        <f t="array" ca="1" aca="1" ref="BL19">IFERROR(SimpleLookup($A19,Tracing!$B:$Z),"")</f>
        <v/>
      </c>
      <c r="BM19" s="21" t="str" cm="1">
        <f t="array" ca="1" aca="1" ref="BM19">_xlfn.LET(_xlpm._dm,SanitizeInput(GetValuesWithFallback(SanitizeInput($BL19),Assumptions!$A:$I,Countermeasures!$A:$I,"",",",FALSE)),IF(_xlpm._dm="","",","&amp;_xlpm._dm))</f>
        <v/>
      </c>
      <c r="BN19" s="21" t="str" cm="1">
        <f t="array" ca="1" aca="1" ref="BN19">ApplyDamageMitigation($M19,$BM19,"")</f>
        <v>DS10,DS11,DS12,DS13,DS14,DS15,</v>
      </c>
      <c r="BO19" s="21" cm="1">
        <f t="array" ca="1" aca="1" ref="BO19">CalculateMaxFromList($BN19,0,'Damage Scenarios'!$A:$U)</f>
        <v>5</v>
      </c>
      <c r="BP19" s="21" t="str">
        <f ca="1">IF($BO19=0,"",INDEX(Definitions!$Q:$Q,MATCH($BO19,Definitions!$R:$R,0)))</f>
        <v>Critical</v>
      </c>
      <c r="BQ19" s="21" t="str" cm="1">
        <f t="array" ca="1" aca="1" ref="BQ19">CalculateMaxAndElementsWithFallback(SanitizeInput($BL19),0,"",Countermeasures!$A:Y,Assumptions!$A:Z)</f>
        <v>0:</v>
      </c>
      <c r="BR19" s="21" t="str" cm="1">
        <f t="array" ca="1" aca="1" ref="BR19">CalculateMaxAndElementsWithFallback(SanitizeInput($BL19),0,"",Countermeasures!$A:Z,Assumptions!$A:AA)</f>
        <v>0:</v>
      </c>
      <c r="BS19" s="21" t="str" cm="1">
        <f t="array" ca="1" aca="1" ref="BS19">CalculateMaxAndElementsWithFallback(SanitizeInput($BL19),0,"",Countermeasures!$A:AA,Assumptions!$A:AB)</f>
        <v>0:</v>
      </c>
      <c r="BT19" s="21" t="str" cm="1">
        <f t="array" ca="1" aca="1" ref="BT19">CalculateMaxAndElementsWithFallback(SanitizeInput($BL19),0,"",Countermeasures!$A:AB,Assumptions!$A:AC)</f>
        <v>0:</v>
      </c>
      <c r="BU19" s="21" t="str" cm="1">
        <f t="array" ca="1" aca="1" ref="BU19">CalculateMaxAndElementsWithFallback(SanitizeInput($BL19),0,"",Countermeasures!$A:AC,Assumptions!$A:AD)</f>
        <v>0:</v>
      </c>
      <c r="BV19" s="21">
        <f t="shared" ca="1" si="25"/>
        <v>0</v>
      </c>
      <c r="BW19" s="21">
        <f t="shared" ca="1" si="26"/>
        <v>0</v>
      </c>
      <c r="BX19" s="21">
        <f t="shared" ca="1" si="27"/>
        <v>0</v>
      </c>
      <c r="BY19" s="21">
        <f t="shared" ca="1" si="28"/>
        <v>0</v>
      </c>
      <c r="BZ19" s="21">
        <f t="shared" ca="1" si="29"/>
        <v>0</v>
      </c>
      <c r="CA19" s="21" t="str">
        <f t="shared" ca="1" si="30"/>
        <v>1:AS23,</v>
      </c>
      <c r="CB19" s="21" t="str">
        <f t="shared" ca="1" si="31"/>
        <v>6:AS23,</v>
      </c>
      <c r="CC19" s="21" t="str">
        <f t="shared" ca="1" si="32"/>
        <v>3:AS23,</v>
      </c>
      <c r="CD19" s="21" t="str">
        <f t="shared" ca="1" si="33"/>
        <v>0:AS22,AS23,</v>
      </c>
      <c r="CE19" s="21" t="str">
        <f t="shared" ca="1" si="34"/>
        <v>0:AS22,AS23,</v>
      </c>
      <c r="CF19" s="21">
        <f t="shared" ca="1" si="35"/>
        <v>1</v>
      </c>
      <c r="CG19" s="21">
        <f t="shared" ca="1" si="36"/>
        <v>6</v>
      </c>
      <c r="CH19" s="21">
        <f t="shared" ca="1" si="37"/>
        <v>3</v>
      </c>
      <c r="CI19" s="21">
        <f t="shared" ca="1" si="38"/>
        <v>0</v>
      </c>
      <c r="CJ19" s="21">
        <f t="shared" ca="1" si="39"/>
        <v>0</v>
      </c>
      <c r="CK19" s="21">
        <f t="shared" ca="1" si="23"/>
        <v>10</v>
      </c>
      <c r="CL19" s="21" t="str">
        <f ca="1">IFERROR(VLOOKUP($CK19,Definitions!$V:$W,COLUMNS(Definitions!$V:$W),TRUE),"")</f>
        <v>Enhanced-Basic</v>
      </c>
      <c r="CM19" s="21" t="str">
        <f ca="1">_xlfn.LET(_xlpm._comments,SimpleLookup($A19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19" s="21" t="str" cm="1">
        <f t="array" ca="1" aca="1" ref="CN19">_xlfn.LET(_xlpm._rapRange,Definitions!$W:$W,_xlpm._calculatedRAP,$CL19,_xlpm._inlineRAP,$CM19,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19" s="21" t="str">
        <f ca="1">IFERROR(IF(OR($BP19="",$CN19=""),Definitions!$AE$4,VLOOKUP($BP19,Definitions!$AH:$AM,MATCH($CN19,Definitions!$AH$3:$AM$3,0),FALSE)),"")</f>
        <v>Very High</v>
      </c>
      <c r="CP19" s="21" cm="1">
        <f t="array" ca="1" aca="1" ref="CP19">IF($CO19="",0,SimpleLookup($CO19,Definitions!$AE:$AF))</f>
        <v>4</v>
      </c>
      <c r="CQ19" s="21" t="b">
        <f ca="1">OR(AND($S19,$I19=Helper!$B$7),$I19&gt;Helper!$B$7)</f>
        <v>0</v>
      </c>
      <c r="CR19" s="21" t="str">
        <f t="shared" ca="1" si="24"/>
        <v/>
      </c>
      <c r="CS19" s="21" cm="1">
        <f t="array" ca="1" aca="1" ref="CS19">CreateID($CS$2,$CV:$CV,$CR19&lt;&gt;"")</f>
        <v>0</v>
      </c>
      <c r="CT19" s="21" t="str">
        <f ca="1">IF(IFERROR(MATCH(","&amp;A19&amp;",",'Risk Treatment'!$AT:$AT,0)&gt;0,FALSE),"",$A19)</f>
        <v>R22-23</v>
      </c>
      <c r="CU19" s="21" cm="1">
        <f t="array" ca="1" aca="1" ref="CU19">CreateID($CU$2,$CU:$CU,$CT19&lt;&gt;"")</f>
        <v>17</v>
      </c>
    </row>
    <row r="20" spans="1:99" ht="90.75">
      <c r="A20" s="33" t="str" cm="1">
        <f t="array" ca="1" aca="1" ref="A20">IF($B20="","","R"&amp;RemoveDelimiter(SUBSTITUTE(SUBSTITUTE($K20,"AS",""),",","-"),"-"))</f>
        <v>R1-29</v>
      </c>
      <c r="B20" s="33" t="str" cm="1">
        <f t="array" ca="1" aca="1" ref="B20">IF($L20="","",_xlfn.LET(_xlpm._finalAttackStep,$L20,_xlpm._prepAttacks,RemoveFirstElement(_xlpm._finalAttackStep&amp;","&amp;$K20),_xlpm._prepAttackNames,IFERROR(LookupNames(_xlpm._prepAttacks,'Attack Steps'!$A:$B),""),_xlpm._delimiter,REPT(CHAR(150),55),$L20&amp;" "&amp;SimpleLookup($L20,'Attack Steps'!$A:$B)&amp;IF(_xlpm._prepAttackNames="","",CHAR(10)&amp;_xlpm._delimiter&amp;CHAR(10)&amp;_xlpm._prepAttackNames)))</f>
        <v>AS29 Brute-forcing the authentication mechanism over IP
–––––––––––––––––––––––––––––––––––––––––––––––––––––––
AS1 Getting access to a trusted operational environment</v>
      </c>
      <c r="C20" s="34" t="str" cm="1">
        <f t="array" ca="1" aca="1" ref="C20">IFERROR(LookupNames($M20,'Damage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20" s="33" t="str">
        <f ca="1">IFERROR(IF($T20=0,"",INDEX(Definitions!$Q:$Q,MATCH($T20,Definitions!$R:$R,0))),"")</f>
        <v>Critical</v>
      </c>
      <c r="E20" s="34" t="str" cm="1">
        <f t="array" ca="1" aca="1" ref="E20">IF($A20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20,$A:W,Definitions!$Y:$Y,Definitions!$AB:$AB,1)&amp;CHAR(10)&amp;_xlpm._factorFunction($A20,$A:X,Definitions!$Y:$Y,Definitions!$AB:$AB,2)&amp;CHAR(10)&amp;_xlpm._factorFunction($A20,$A:Y,Definitions!$Y:$Y,Definitions!$AB:$AB,3)&amp;CHAR(10)&amp;_xlpm._factorFunction($A20,$A:Z,Definitions!$Y:$Y,Definitions!$AB:$AB,4)&amp;CHAR(10)&amp;_xlpm._factorFunction($A20,$A:AA,Definitions!$Y:$Y,Definitions!$AB:$AB,5)))</f>
        <v>Elapsed Time [0]: AS1, AS29
Expertise [0]: AS1, AS29
Knowledge of TOE [0]: AS1, AS29
Window of Opportunity [0]: AS1, AS29
Equipment [0]: AS1, AS29</v>
      </c>
      <c r="F20" s="33" t="str">
        <f ca="1">IF($A20="","",IFERROR(VLOOKUP($AG20,Definitions!$V:$W,COLUMNS(Definitions!$V:$W),TRUE),""))</f>
        <v>Basic</v>
      </c>
      <c r="G20" s="33" t="str">
        <f ca="1">IFERROR(IF(OR($D20="",$F20=""),"",VLOOKUP($D20,Definitions!$AH:$AM,MATCH($F20,Definitions!$AH$3:$AM$3,0),FALSE)),"")</f>
        <v>Very High</v>
      </c>
      <c r="H20" s="23" cm="1">
        <f t="array" ca="1" aca="1" ref="H20">IF(ROW()=ROW($H$2)+1,0,INDEX($H:$H,ROW()-1))+IF($A20="",0,1)</f>
        <v>18</v>
      </c>
      <c r="I20" s="21" cm="1">
        <f t="array" ca="1" aca="1" ref="I20">IF(ROW()=ROW($I$2)+1,1,INDEX($I:$I,ROW()-1)+IF(INDEX($S:$S,ROW()-1),1,0))</f>
        <v>10</v>
      </c>
      <c r="J20" s="21">
        <f t="shared" ca="1" si="0"/>
        <v>1</v>
      </c>
      <c r="K20" s="21" t="str">
        <f t="shared" ca="1" si="40"/>
        <v>AS1,AS29,</v>
      </c>
      <c r="L20" s="21" t="str" cm="1">
        <f t="array" ca="1" aca="1" ref="L20">IF($P20="","",INDEX('Attack Steps'!$A:$A,$P20))</f>
        <v>AS29</v>
      </c>
      <c r="M20" s="21" t="str" cm="1">
        <f t="array" ca="1" aca="1" ref="M20">IF($P20="","",INDEX('Attack Steps'!$T:$T,$P20))</f>
        <v>DS10,DS11,DS12,DS13,DS14,DS15,</v>
      </c>
      <c r="N20" s="21" t="str" cm="1">
        <f t="array" ca="1" aca="1" ref="N20">_xlfn.LET(_xlpm._dm,SanitizeInput(GetValuesWithFallback(SanitizeInput($AK20),Assumptions!$A:$I,Countermeasures!$A:$I,"",",",FALSE)),IF(_xlpm._dm="","",","&amp;_xlpm._dm))</f>
        <v/>
      </c>
      <c r="O20" s="21" t="str" cm="1">
        <f t="array" ca="1" aca="1" ref="O20">ApplyDamageMitigation($M20,$N20,"")</f>
        <v>DS10,DS11,DS12,DS13,DS14,DS15,</v>
      </c>
      <c r="P20" s="21">
        <f ca="1">IFERROR(MATCH($I20,'Attack Steps'!$V:$V,0),"")</f>
        <v>31</v>
      </c>
      <c r="Q20" s="21" t="str" cm="1">
        <f t="array" ca="1" aca="1" ref="Q20">IF($P20="","","§"&amp;INDEX('Attack Steps'!$S:$S,$P20))</f>
        <v>§AS1,AS29,§AS2,AS29,§</v>
      </c>
      <c r="R20" s="21" cm="1">
        <f t="array" ca="1" aca="1" ref="R20">IF($P20="","",INDEX('Attack Steps'!$W:$W,$P20))</f>
        <v>2</v>
      </c>
      <c r="S20" s="21" t="b">
        <f t="shared" ca="1" si="41"/>
        <v>0</v>
      </c>
      <c r="T20" s="21" cm="1">
        <f t="array" ca="1" aca="1" ref="T20">_xlfn.LAMBDA(_xlpm._in,_xlpm._val,_xlpm._range,IF(_xlpm._in="",_xlpm._val,_xlfn.LET(_xlpm._id,LEFT(_xlpm._in,FIND(",",_xlpm._in)-1),CalculateMaxFromList(RemoveFirstElement(_xlpm._in),MAX(_xlpm._val,VLOOKUP(_xlpm._id,_xlpm._range,COLUMNS(_xlpm._range),FALSE)),_xlpm._range))))($M20,0,'Damage Scenarios'!$A:$U)</f>
        <v>5</v>
      </c>
      <c r="U20" s="21" cm="1">
        <f t="array" ca="1" aca="1" ref="U20">CalculateMaxFromList($O20,0,'Damage Scenarios'!$A:$U)</f>
        <v>5</v>
      </c>
      <c r="V20" s="21" t="str">
        <f ca="1">IF($U20=0,"",INDEX(Definitions!$Q:$Q,MATCH($U20,Definitions!$R:$R,0)))</f>
        <v>Critical</v>
      </c>
      <c r="W20" s="21" t="str" cm="1">
        <f t="array" ca="1" aca="1" ref="W20">CalculateMaxAndElements($K20,0,"",'Attack Steps'!$A:X)</f>
        <v>0:AS1,AS29,</v>
      </c>
      <c r="X20" s="21" t="str" cm="1">
        <f t="array" ca="1" aca="1" ref="X20">CalculateMaxAndElements($K20,0,"",'Attack Steps'!$A:Y)</f>
        <v>0:AS1,AS29,</v>
      </c>
      <c r="Y20" s="21" t="str" cm="1">
        <f t="array" ca="1" aca="1" ref="Y20">CalculateMaxAndElements($K20,0,"",'Attack Steps'!$A:Z)</f>
        <v>0:AS1,AS29,</v>
      </c>
      <c r="Z20" s="21" t="str" cm="1">
        <f t="array" ca="1" aca="1" ref="Z20">CalculateMaxAndElements($K20,0,"",'Attack Steps'!$A:AA)</f>
        <v>0:AS1,AS29,</v>
      </c>
      <c r="AA20" s="21" t="str" cm="1">
        <f t="array" ca="1" aca="1" ref="AA20">CalculateMaxAndElements($K20,0,"",'Attack Steps'!$A:AB)</f>
        <v>0:AS1,AS29,</v>
      </c>
      <c r="AB20" s="21">
        <f t="shared" ca="1" si="42"/>
        <v>0</v>
      </c>
      <c r="AC20" s="21">
        <f t="shared" ca="1" si="43"/>
        <v>0</v>
      </c>
      <c r="AD20" s="21">
        <f t="shared" ca="1" si="44"/>
        <v>0</v>
      </c>
      <c r="AE20" s="21">
        <f t="shared" ca="1" si="45"/>
        <v>0</v>
      </c>
      <c r="AF20" s="21">
        <f t="shared" ca="1" si="46"/>
        <v>0</v>
      </c>
      <c r="AG20" s="21">
        <f t="shared" ca="1" si="3"/>
        <v>0</v>
      </c>
      <c r="AH20" s="21" t="str" cm="1">
        <f t="array" ca="1" aca="1" ref="AH20">IF(ROW()=ROW($AH$2)+1,"",INDEX($AH:$AH,ROW()-1))&amp;IF($A20="","",$A20&amp;",")</f>
        <v>R1-3,R2-3,R1-4,R2-4,R1-6,R2-6,R1-7,R2-7,R1-3-10,R2-3-10,R1-3-11,R2-3-11,R1-14,R1-16,R2-16,R21-23,R22-23,R1-29,</v>
      </c>
      <c r="AI20" s="21" t="str">
        <f t="shared" ca="1" si="47"/>
        <v>,AS1,AS29,</v>
      </c>
      <c r="AJ20" s="21" cm="1">
        <f t="array" ca="1" aca="1" ref="AJ20">IF($G20="",0,SimpleLookup($G20,Definitions!$AE:$AF))</f>
        <v>4</v>
      </c>
      <c r="AK20" s="21" t="str" cm="1">
        <f t="array" ca="1" aca="1" ref="AK20">InverseLookup($A20,Mitigation!$U$2,Mitigation!$J$2,1,Helper!$B$5,",")</f>
        <v/>
      </c>
      <c r="AL20" s="21" t="str" cm="1">
        <f t="array" ca="1" aca="1" ref="AL20">CalculateMaxAndElementsWithFallback(SanitizeInput($AK20),0,"",Countermeasures!$A:Y,Assumptions!$A:Z)</f>
        <v>0:</v>
      </c>
      <c r="AM20" s="21" t="str" cm="1">
        <f t="array" ca="1" aca="1" ref="AM20">CalculateMaxAndElementsWithFallback(SanitizeInput($AK20),0,"",Countermeasures!$A:Z,Assumptions!$A:AA)</f>
        <v>0:</v>
      </c>
      <c r="AN20" s="21" t="str" cm="1">
        <f t="array" ca="1" aca="1" ref="AN20">CalculateMaxAndElementsWithFallback(SanitizeInput($AK20),0,"",Countermeasures!$A:AA,Assumptions!$A:AB)</f>
        <v>0:</v>
      </c>
      <c r="AO20" s="21" t="str" cm="1">
        <f t="array" ca="1" aca="1" ref="AO20">CalculateMaxAndElementsWithFallback(SanitizeInput($AK20),0,"",Countermeasures!$A:AB,Assumptions!$A:AC)</f>
        <v>0:</v>
      </c>
      <c r="AP20" s="21" t="str" cm="1">
        <f t="array" ca="1" aca="1" ref="AP20">CalculateMaxAndElementsWithFallback(SanitizeInput($AK20),0,"",Countermeasures!$A:AC,Assumptions!$A:AD)</f>
        <v>0:</v>
      </c>
      <c r="AQ20" s="21">
        <f t="shared" ca="1" si="48"/>
        <v>0</v>
      </c>
      <c r="AR20" s="21">
        <f t="shared" ca="1" si="49"/>
        <v>0</v>
      </c>
      <c r="AS20" s="21">
        <f t="shared" ca="1" si="50"/>
        <v>0</v>
      </c>
      <c r="AT20" s="21">
        <f t="shared" ca="1" si="51"/>
        <v>0</v>
      </c>
      <c r="AU20" s="21">
        <f t="shared" ca="1" si="52"/>
        <v>0</v>
      </c>
      <c r="AV20" s="21" t="str">
        <f t="shared" ca="1" si="53"/>
        <v>0:AS1,AS29,</v>
      </c>
      <c r="AW20" s="21" t="str">
        <f t="shared" ca="1" si="54"/>
        <v>0:AS1,AS29,</v>
      </c>
      <c r="AX20" s="21" t="str">
        <f t="shared" ca="1" si="55"/>
        <v>0:AS1,AS29,</v>
      </c>
      <c r="AY20" s="21" t="str">
        <f t="shared" ca="1" si="56"/>
        <v>0:AS1,AS29,</v>
      </c>
      <c r="AZ20" s="21" t="str">
        <f t="shared" ca="1" si="57"/>
        <v>0:AS1,AS29,</v>
      </c>
      <c r="BA20" s="21">
        <f t="shared" ca="1" si="58"/>
        <v>0</v>
      </c>
      <c r="BB20" s="21">
        <f t="shared" ca="1" si="59"/>
        <v>0</v>
      </c>
      <c r="BC20" s="21">
        <f t="shared" ca="1" si="60"/>
        <v>0</v>
      </c>
      <c r="BD20" s="21">
        <f t="shared" ca="1" si="61"/>
        <v>0</v>
      </c>
      <c r="BE20" s="21">
        <f t="shared" ca="1" si="62"/>
        <v>0</v>
      </c>
      <c r="BF20" s="21">
        <f t="shared" ca="1" si="9"/>
        <v>0</v>
      </c>
      <c r="BG20" s="21" t="str">
        <f ca="1">IFERROR(VLOOKUP($BF20,Definitions!$V:$W,COLUMNS(Definitions!$V:$W),TRUE),"")</f>
        <v>Basic</v>
      </c>
      <c r="BH20" s="21" t="str">
        <f ca="1">_xlfn.LET(_xlpm._comments,GetValues($K20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0" s="21" t="str" cm="1">
        <f t="array" ca="1" aca="1" ref="BI20">_xlfn.LET(_xlpm._rapRange,Definitions!$W:$W,_xlpm._calculatedRAP,$BG20,_xlpm._inlineRAP,$BH20,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20" s="21" t="str">
        <f ca="1">IFERROR(IF(OR($V20="",$BI20=""),Definitions!$AE$4,VLOOKUP($V20,Definitions!$AH:$AM,MATCH($BI20,Definitions!$AH$3:$AM$3,0),FALSE)),"")</f>
        <v>Very High</v>
      </c>
      <c r="BK20" s="21" cm="1">
        <f t="array" ca="1" aca="1" ref="BK20">IF($BJ20="",0,SimpleLookup($BJ20,Definitions!$AE:$AF))</f>
        <v>4</v>
      </c>
      <c r="BL20" s="21" t="str" cm="1">
        <f t="array" ca="1" aca="1" ref="BL20">IFERROR(SimpleLookup($A20,Tracing!$B:$Z),"")</f>
        <v/>
      </c>
      <c r="BM20" s="21" t="str" cm="1">
        <f t="array" ca="1" aca="1" ref="BM20">_xlfn.LET(_xlpm._dm,SanitizeInput(GetValuesWithFallback(SanitizeInput($BL20),Assumptions!$A:$I,Countermeasures!$A:$I,"",",",FALSE)),IF(_xlpm._dm="","",","&amp;_xlpm._dm))</f>
        <v/>
      </c>
      <c r="BN20" s="21" t="str" cm="1">
        <f t="array" ca="1" aca="1" ref="BN20">ApplyDamageMitigation($M20,$BM20,"")</f>
        <v>DS10,DS11,DS12,DS13,DS14,DS15,</v>
      </c>
      <c r="BO20" s="21" cm="1">
        <f t="array" ca="1" aca="1" ref="BO20">CalculateMaxFromList($BN20,0,'Damage Scenarios'!$A:$U)</f>
        <v>5</v>
      </c>
      <c r="BP20" s="21" t="str">
        <f ca="1">IF($BO20=0,"",INDEX(Definitions!$Q:$Q,MATCH($BO20,Definitions!$R:$R,0)))</f>
        <v>Critical</v>
      </c>
      <c r="BQ20" s="21" t="str" cm="1">
        <f t="array" ca="1" aca="1" ref="BQ20">CalculateMaxAndElementsWithFallback(SanitizeInput($BL20),0,"",Countermeasures!$A:Y,Assumptions!$A:Z)</f>
        <v>0:</v>
      </c>
      <c r="BR20" s="21" t="str" cm="1">
        <f t="array" ca="1" aca="1" ref="BR20">CalculateMaxAndElementsWithFallback(SanitizeInput($BL20),0,"",Countermeasures!$A:Z,Assumptions!$A:AA)</f>
        <v>0:</v>
      </c>
      <c r="BS20" s="21" t="str" cm="1">
        <f t="array" ca="1" aca="1" ref="BS20">CalculateMaxAndElementsWithFallback(SanitizeInput($BL20),0,"",Countermeasures!$A:AA,Assumptions!$A:AB)</f>
        <v>0:</v>
      </c>
      <c r="BT20" s="21" t="str" cm="1">
        <f t="array" ca="1" aca="1" ref="BT20">CalculateMaxAndElementsWithFallback(SanitizeInput($BL20),0,"",Countermeasures!$A:AB,Assumptions!$A:AC)</f>
        <v>0:</v>
      </c>
      <c r="BU20" s="21" t="str" cm="1">
        <f t="array" ca="1" aca="1" ref="BU20">CalculateMaxAndElementsWithFallback(SanitizeInput($BL20),0,"",Countermeasures!$A:AC,Assumptions!$A:AD)</f>
        <v>0:</v>
      </c>
      <c r="BV20" s="21">
        <f t="shared" ca="1" si="25"/>
        <v>0</v>
      </c>
      <c r="BW20" s="21">
        <f t="shared" ca="1" si="26"/>
        <v>0</v>
      </c>
      <c r="BX20" s="21">
        <f t="shared" ca="1" si="27"/>
        <v>0</v>
      </c>
      <c r="BY20" s="21">
        <f t="shared" ca="1" si="28"/>
        <v>0</v>
      </c>
      <c r="BZ20" s="21">
        <f t="shared" ca="1" si="29"/>
        <v>0</v>
      </c>
      <c r="CA20" s="21" t="str">
        <f t="shared" ca="1" si="30"/>
        <v>0:AS1,AS29,</v>
      </c>
      <c r="CB20" s="21" t="str">
        <f t="shared" ca="1" si="31"/>
        <v>0:AS1,AS29,</v>
      </c>
      <c r="CC20" s="21" t="str">
        <f t="shared" ca="1" si="32"/>
        <v>0:AS1,AS29,</v>
      </c>
      <c r="CD20" s="21" t="str">
        <f t="shared" ca="1" si="33"/>
        <v>0:AS1,AS29,</v>
      </c>
      <c r="CE20" s="21" t="str">
        <f t="shared" ca="1" si="34"/>
        <v>0:AS1,AS29,</v>
      </c>
      <c r="CF20" s="21">
        <f t="shared" ca="1" si="35"/>
        <v>0</v>
      </c>
      <c r="CG20" s="21">
        <f t="shared" ca="1" si="36"/>
        <v>0</v>
      </c>
      <c r="CH20" s="21">
        <f t="shared" ca="1" si="37"/>
        <v>0</v>
      </c>
      <c r="CI20" s="21">
        <f t="shared" ca="1" si="38"/>
        <v>0</v>
      </c>
      <c r="CJ20" s="21">
        <f t="shared" ca="1" si="39"/>
        <v>0</v>
      </c>
      <c r="CK20" s="21">
        <f t="shared" ca="1" si="23"/>
        <v>0</v>
      </c>
      <c r="CL20" s="21" t="str">
        <f ca="1">IFERROR(VLOOKUP($CK20,Definitions!$V:$W,COLUMNS(Definitions!$V:$W),TRUE),"")</f>
        <v>Basic</v>
      </c>
      <c r="CM20" s="21" t="str">
        <f ca="1">_xlfn.LET(_xlpm._comments,SimpleLookup($A20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0" s="21" t="str" cm="1">
        <f t="array" ca="1" aca="1" ref="CN20">_xlfn.LET(_xlpm._rapRange,Definitions!$W:$W,_xlpm._calculatedRAP,$CL20,_xlpm._inlineRAP,$CM20,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20" s="21" t="str">
        <f ca="1">IFERROR(IF(OR($BP20="",$CN20=""),Definitions!$AE$4,VLOOKUP($BP20,Definitions!$AH:$AM,MATCH($CN20,Definitions!$AH$3:$AM$3,0),FALSE)),"")</f>
        <v>Very High</v>
      </c>
      <c r="CP20" s="21" cm="1">
        <f t="array" ca="1" aca="1" ref="CP20">IF($CO20="",0,SimpleLookup($CO20,Definitions!$AE:$AF))</f>
        <v>4</v>
      </c>
      <c r="CQ20" s="21" t="b">
        <f ca="1">OR(AND($S20,$I20=Helper!$B$7),$I20&gt;Helper!$B$7)</f>
        <v>0</v>
      </c>
      <c r="CR20" s="21" t="str">
        <f t="shared" ca="1" si="24"/>
        <v/>
      </c>
      <c r="CS20" s="21" cm="1">
        <f t="array" ca="1" aca="1" ref="CS20">CreateID($CS$2,$CV:$CV,$CR20&lt;&gt;"")</f>
        <v>0</v>
      </c>
      <c r="CT20" s="21" t="str">
        <f ca="1">IF(IFERROR(MATCH(","&amp;A20&amp;",",'Risk Treatment'!$AT:$AT,0)&gt;0,FALSE),"",$A20)</f>
        <v>R1-29</v>
      </c>
      <c r="CU20" s="21" cm="1">
        <f t="array" ca="1" aca="1" ref="CU20">CreateID($CU$2,$CU:$CU,$CT20&lt;&gt;"")</f>
        <v>18</v>
      </c>
    </row>
    <row r="21" spans="1:99" ht="90.75">
      <c r="A21" s="33" t="str" cm="1">
        <f t="array" ca="1" aca="1" ref="A21">IF($B21="","","R"&amp;RemoveDelimiter(SUBSTITUTE(SUBSTITUTE($K21,"AS",""),",","-"),"-"))</f>
        <v>R2-29</v>
      </c>
      <c r="B21" s="33" t="str" cm="1">
        <f t="array" ca="1" aca="1" ref="B21">IF($L21="","",_xlfn.LET(_xlpm._finalAttackStep,$L21,_xlpm._prepAttacks,RemoveFirstElement(_xlpm._finalAttackStep&amp;","&amp;$K21),_xlpm._prepAttackNames,IFERROR(LookupNames(_xlpm._prepAttacks,'Attack Steps'!$A:$B),""),_xlpm._delimiter,REPT(CHAR(150),55),$L21&amp;" "&amp;SimpleLookup($L21,'Attack Steps'!$A:$B)&amp;IF(_xlpm._prepAttackNames="","",CHAR(10)&amp;_xlpm._delimiter&amp;CHAR(10)&amp;_xlpm._prepAttackNames)))</f>
        <v>AS29 Brute-forcing the authentication mechanism over IP
–––––––––––––––––––––––––––––––––––––––––––––––––––––––
AS2 Getting access to a wireless network</v>
      </c>
      <c r="C21" s="34" t="str" cm="1">
        <f t="array" ca="1" aca="1" ref="C21">IFERROR(LookupNames($M21,'Damage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21" s="33" t="str">
        <f ca="1">IFERROR(IF($T21=0,"",INDEX(Definitions!$Q:$Q,MATCH($T21,Definitions!$R:$R,0))),"")</f>
        <v>Critical</v>
      </c>
      <c r="E21" s="34" t="str" cm="1">
        <f t="array" ca="1" aca="1" ref="E21">IF($A21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21,$A:W,Definitions!$Y:$Y,Definitions!$AB:$AB,1)&amp;CHAR(10)&amp;_xlpm._factorFunction($A21,$A:X,Definitions!$Y:$Y,Definitions!$AB:$AB,2)&amp;CHAR(10)&amp;_xlpm._factorFunction($A21,$A:Y,Definitions!$Y:$Y,Definitions!$AB:$AB,3)&amp;CHAR(10)&amp;_xlpm._factorFunction($A21,$A:Z,Definitions!$Y:$Y,Definitions!$AB:$AB,4)&amp;CHAR(10)&amp;_xlpm._factorFunction($A21,$A:AA,Definitions!$Y:$Y,Definitions!$AB:$AB,5)))</f>
        <v>Elapsed Time [0]: AS2, AS29
Expertise [3]: AS2
Knowledge of TOE [0]: AS2, AS29
Window of Opportunity [1]: AS2
Equipment [0]: AS2, AS29</v>
      </c>
      <c r="F21" s="33" t="str">
        <f ca="1">IF($A21="","",IFERROR(VLOOKUP($AG21,Definitions!$V:$W,COLUMNS(Definitions!$V:$W),TRUE),""))</f>
        <v>Basic</v>
      </c>
      <c r="G21" s="33" t="str">
        <f ca="1">IFERROR(IF(OR($D21="",$F21=""),"",VLOOKUP($D21,Definitions!$AH:$AM,MATCH($F21,Definitions!$AH$3:$AM$3,0),FALSE)),"")</f>
        <v>Very High</v>
      </c>
      <c r="H21" s="23" cm="1">
        <f t="array" ca="1" aca="1" ref="H21">IF(ROW()=ROW($H$2)+1,0,INDEX($H:$H,ROW()-1))+IF($A21="",0,1)</f>
        <v>19</v>
      </c>
      <c r="I21" s="21" cm="1">
        <f t="array" ca="1" aca="1" ref="I21">IF(ROW()=ROW($I$2)+1,1,INDEX($I:$I,ROW()-1)+IF(INDEX($S:$S,ROW()-1),1,0))</f>
        <v>10</v>
      </c>
      <c r="J21" s="21">
        <f t="shared" ca="1" si="0"/>
        <v>2</v>
      </c>
      <c r="K21" s="21" t="str">
        <f t="shared" ca="1" si="40"/>
        <v>AS2,AS29,</v>
      </c>
      <c r="L21" s="21" t="str" cm="1">
        <f t="array" ca="1" aca="1" ref="L21">IF($P21="","",INDEX('Attack Steps'!$A:$A,$P21))</f>
        <v>AS29</v>
      </c>
      <c r="M21" s="21" t="str" cm="1">
        <f t="array" ca="1" aca="1" ref="M21">IF($P21="","",INDEX('Attack Steps'!$T:$T,$P21))</f>
        <v>DS10,DS11,DS12,DS13,DS14,DS15,</v>
      </c>
      <c r="N21" s="21" t="str" cm="1">
        <f t="array" ca="1" aca="1" ref="N21">_xlfn.LET(_xlpm._dm,SanitizeInput(GetValuesWithFallback(SanitizeInput($AK21),Assumptions!$A:$I,Countermeasures!$A:$I,"",",",FALSE)),IF(_xlpm._dm="","",","&amp;_xlpm._dm))</f>
        <v/>
      </c>
      <c r="O21" s="21" t="str" cm="1">
        <f t="array" ca="1" aca="1" ref="O21">ApplyDamageMitigation($M21,$N21,"")</f>
        <v>DS10,DS11,DS12,DS13,DS14,DS15,</v>
      </c>
      <c r="P21" s="21">
        <f ca="1">IFERROR(MATCH($I21,'Attack Steps'!$V:$V,0),"")</f>
        <v>31</v>
      </c>
      <c r="Q21" s="21" t="str" cm="1">
        <f t="array" ca="1" aca="1" ref="Q21">IF($P21="","","§"&amp;INDEX('Attack Steps'!$S:$S,$P21))</f>
        <v>§AS1,AS29,§AS2,AS29,§</v>
      </c>
      <c r="R21" s="21" cm="1">
        <f t="array" ca="1" aca="1" ref="R21">IF($P21="","",INDEX('Attack Steps'!$W:$W,$P21))</f>
        <v>2</v>
      </c>
      <c r="S21" s="21" t="b">
        <f t="shared" ca="1" si="41"/>
        <v>1</v>
      </c>
      <c r="T21" s="21" cm="1">
        <f t="array" ca="1" aca="1" ref="T21">_xlfn.LAMBDA(_xlpm._in,_xlpm._val,_xlpm._range,IF(_xlpm._in="",_xlpm._val,_xlfn.LET(_xlpm._id,LEFT(_xlpm._in,FIND(",",_xlpm._in)-1),CalculateMaxFromList(RemoveFirstElement(_xlpm._in),MAX(_xlpm._val,VLOOKUP(_xlpm._id,_xlpm._range,COLUMNS(_xlpm._range),FALSE)),_xlpm._range))))($M21,0,'Damage Scenarios'!$A:$U)</f>
        <v>5</v>
      </c>
      <c r="U21" s="21" cm="1">
        <f t="array" ca="1" aca="1" ref="U21">CalculateMaxFromList($O21,0,'Damage Scenarios'!$A:$U)</f>
        <v>5</v>
      </c>
      <c r="V21" s="21" t="str">
        <f ca="1">IF($U21=0,"",INDEX(Definitions!$Q:$Q,MATCH($U21,Definitions!$R:$R,0)))</f>
        <v>Critical</v>
      </c>
      <c r="W21" s="21" t="str" cm="1">
        <f t="array" ca="1" aca="1" ref="W21">CalculateMaxAndElements($K21,0,"",'Attack Steps'!$A:X)</f>
        <v>0:AS2,AS29,</v>
      </c>
      <c r="X21" s="21" t="str" cm="1">
        <f t="array" ca="1" aca="1" ref="X21">CalculateMaxAndElements($K21,0,"",'Attack Steps'!$A:Y)</f>
        <v>3:AS2,</v>
      </c>
      <c r="Y21" s="21" t="str" cm="1">
        <f t="array" ca="1" aca="1" ref="Y21">CalculateMaxAndElements($K21,0,"",'Attack Steps'!$A:Z)</f>
        <v>0:AS2,AS29,</v>
      </c>
      <c r="Z21" s="21" t="str" cm="1">
        <f t="array" ca="1" aca="1" ref="Z21">CalculateMaxAndElements($K21,0,"",'Attack Steps'!$A:AA)</f>
        <v>1:AS2,</v>
      </c>
      <c r="AA21" s="21" t="str" cm="1">
        <f t="array" ca="1" aca="1" ref="AA21">CalculateMaxAndElements($K21,0,"",'Attack Steps'!$A:AB)</f>
        <v>0:AS2,AS29,</v>
      </c>
      <c r="AB21" s="21">
        <f t="shared" ca="1" si="42"/>
        <v>0</v>
      </c>
      <c r="AC21" s="21">
        <f t="shared" ca="1" si="43"/>
        <v>3</v>
      </c>
      <c r="AD21" s="21">
        <f t="shared" ca="1" si="44"/>
        <v>0</v>
      </c>
      <c r="AE21" s="21">
        <f t="shared" ca="1" si="45"/>
        <v>1</v>
      </c>
      <c r="AF21" s="21">
        <f t="shared" ca="1" si="46"/>
        <v>0</v>
      </c>
      <c r="AG21" s="21">
        <f t="shared" ca="1" si="3"/>
        <v>4</v>
      </c>
      <c r="AH21" s="21" t="str" cm="1">
        <f t="array" ca="1" aca="1" ref="AH21">IF(ROW()=ROW($AH$2)+1,"",INDEX($AH:$AH,ROW()-1))&amp;IF($A21="","",$A21&amp;",")</f>
        <v>R1-3,R2-3,R1-4,R2-4,R1-6,R2-6,R1-7,R2-7,R1-3-10,R2-3-10,R1-3-11,R2-3-11,R1-14,R1-16,R2-16,R21-23,R22-23,R1-29,R2-29,</v>
      </c>
      <c r="AI21" s="21" t="str">
        <f t="shared" ca="1" si="47"/>
        <v>,AS2,AS29,</v>
      </c>
      <c r="AJ21" s="21" cm="1">
        <f t="array" ca="1" aca="1" ref="AJ21">IF($G21="",0,SimpleLookup($G21,Definitions!$AE:$AF))</f>
        <v>4</v>
      </c>
      <c r="AK21" s="21" t="str" cm="1">
        <f t="array" ca="1" aca="1" ref="AK21">InverseLookup($A21,Mitigation!$U$2,Mitigation!$J$2,1,Helper!$B$5,",")</f>
        <v/>
      </c>
      <c r="AL21" s="21" t="str" cm="1">
        <f t="array" ca="1" aca="1" ref="AL21">CalculateMaxAndElementsWithFallback(SanitizeInput($AK21),0,"",Countermeasures!$A:Y,Assumptions!$A:Z)</f>
        <v>0:</v>
      </c>
      <c r="AM21" s="21" t="str" cm="1">
        <f t="array" ca="1" aca="1" ref="AM21">CalculateMaxAndElementsWithFallback(SanitizeInput($AK21),0,"",Countermeasures!$A:Z,Assumptions!$A:AA)</f>
        <v>0:</v>
      </c>
      <c r="AN21" s="21" t="str" cm="1">
        <f t="array" ca="1" aca="1" ref="AN21">CalculateMaxAndElementsWithFallback(SanitizeInput($AK21),0,"",Countermeasures!$A:AA,Assumptions!$A:AB)</f>
        <v>0:</v>
      </c>
      <c r="AO21" s="21" t="str" cm="1">
        <f t="array" ca="1" aca="1" ref="AO21">CalculateMaxAndElementsWithFallback(SanitizeInput($AK21),0,"",Countermeasures!$A:AB,Assumptions!$A:AC)</f>
        <v>0:</v>
      </c>
      <c r="AP21" s="21" t="str" cm="1">
        <f t="array" ca="1" aca="1" ref="AP21">CalculateMaxAndElementsWithFallback(SanitizeInput($AK21),0,"",Countermeasures!$A:AC,Assumptions!$A:AD)</f>
        <v>0:</v>
      </c>
      <c r="AQ21" s="21">
        <f t="shared" ca="1" si="48"/>
        <v>0</v>
      </c>
      <c r="AR21" s="21">
        <f t="shared" ca="1" si="49"/>
        <v>0</v>
      </c>
      <c r="AS21" s="21">
        <f t="shared" ca="1" si="50"/>
        <v>0</v>
      </c>
      <c r="AT21" s="21">
        <f t="shared" ca="1" si="51"/>
        <v>0</v>
      </c>
      <c r="AU21" s="21">
        <f t="shared" ca="1" si="52"/>
        <v>0</v>
      </c>
      <c r="AV21" s="21" t="str">
        <f t="shared" ca="1" si="53"/>
        <v>0:AS2,AS29,</v>
      </c>
      <c r="AW21" s="21" t="str">
        <f t="shared" ca="1" si="54"/>
        <v>3:AS2,</v>
      </c>
      <c r="AX21" s="21" t="str">
        <f t="shared" ca="1" si="55"/>
        <v>0:AS2,AS29,</v>
      </c>
      <c r="AY21" s="21" t="str">
        <f t="shared" ca="1" si="56"/>
        <v>1:AS2,</v>
      </c>
      <c r="AZ21" s="21" t="str">
        <f t="shared" ca="1" si="57"/>
        <v>0:AS2,AS29,</v>
      </c>
      <c r="BA21" s="21">
        <f t="shared" ca="1" si="58"/>
        <v>0</v>
      </c>
      <c r="BB21" s="21">
        <f t="shared" ca="1" si="59"/>
        <v>3</v>
      </c>
      <c r="BC21" s="21">
        <f t="shared" ca="1" si="60"/>
        <v>0</v>
      </c>
      <c r="BD21" s="21">
        <f t="shared" ca="1" si="61"/>
        <v>1</v>
      </c>
      <c r="BE21" s="21">
        <f t="shared" ca="1" si="62"/>
        <v>0</v>
      </c>
      <c r="BF21" s="21">
        <f t="shared" ca="1" si="9"/>
        <v>4</v>
      </c>
      <c r="BG21" s="21" t="str">
        <f ca="1">IFERROR(VLOOKUP($BF21,Definitions!$V:$W,COLUMNS(Definitions!$V:$W),TRUE),"")</f>
        <v>Basic</v>
      </c>
      <c r="BH21" s="21" t="str">
        <f ca="1">_xlfn.LET(_xlpm._comments,GetValues($K21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1" s="21" t="str" cm="1">
        <f t="array" ca="1" aca="1" ref="BI21">_xlfn.LET(_xlpm._rapRange,Definitions!$W:$W,_xlpm._calculatedRAP,$BG21,_xlpm._inlineRAP,$BH21,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21" s="21" t="str">
        <f ca="1">IFERROR(IF(OR($V21="",$BI21=""),Definitions!$AE$4,VLOOKUP($V21,Definitions!$AH:$AM,MATCH($BI21,Definitions!$AH$3:$AM$3,0),FALSE)),"")</f>
        <v>Very High</v>
      </c>
      <c r="BK21" s="21" cm="1">
        <f t="array" ca="1" aca="1" ref="BK21">IF($BJ21="",0,SimpleLookup($BJ21,Definitions!$AE:$AF))</f>
        <v>4</v>
      </c>
      <c r="BL21" s="21" t="str" cm="1">
        <f t="array" ca="1" aca="1" ref="BL21">IFERROR(SimpleLookup($A21,Tracing!$B:$Z),"")</f>
        <v/>
      </c>
      <c r="BM21" s="21" t="str" cm="1">
        <f t="array" ca="1" aca="1" ref="BM21">_xlfn.LET(_xlpm._dm,SanitizeInput(GetValuesWithFallback(SanitizeInput($BL21),Assumptions!$A:$I,Countermeasures!$A:$I,"",",",FALSE)),IF(_xlpm._dm="","",","&amp;_xlpm._dm))</f>
        <v/>
      </c>
      <c r="BN21" s="21" t="str" cm="1">
        <f t="array" ca="1" aca="1" ref="BN21">ApplyDamageMitigation($M21,$BM21,"")</f>
        <v>DS10,DS11,DS12,DS13,DS14,DS15,</v>
      </c>
      <c r="BO21" s="21" cm="1">
        <f t="array" ca="1" aca="1" ref="BO21">CalculateMaxFromList($BN21,0,'Damage Scenarios'!$A:$U)</f>
        <v>5</v>
      </c>
      <c r="BP21" s="21" t="str">
        <f ca="1">IF($BO21=0,"",INDEX(Definitions!$Q:$Q,MATCH($BO21,Definitions!$R:$R,0)))</f>
        <v>Critical</v>
      </c>
      <c r="BQ21" s="21" t="str" cm="1">
        <f t="array" ca="1" aca="1" ref="BQ21">CalculateMaxAndElementsWithFallback(SanitizeInput($BL21),0,"",Countermeasures!$A:Y,Assumptions!$A:Z)</f>
        <v>0:</v>
      </c>
      <c r="BR21" s="21" t="str" cm="1">
        <f t="array" ca="1" aca="1" ref="BR21">CalculateMaxAndElementsWithFallback(SanitizeInput($BL21),0,"",Countermeasures!$A:Z,Assumptions!$A:AA)</f>
        <v>0:</v>
      </c>
      <c r="BS21" s="21" t="str" cm="1">
        <f t="array" ca="1" aca="1" ref="BS21">CalculateMaxAndElementsWithFallback(SanitizeInput($BL21),0,"",Countermeasures!$A:AA,Assumptions!$A:AB)</f>
        <v>0:</v>
      </c>
      <c r="BT21" s="21" t="str" cm="1">
        <f t="array" ca="1" aca="1" ref="BT21">CalculateMaxAndElementsWithFallback(SanitizeInput($BL21),0,"",Countermeasures!$A:AB,Assumptions!$A:AC)</f>
        <v>0:</v>
      </c>
      <c r="BU21" s="21" t="str" cm="1">
        <f t="array" ca="1" aca="1" ref="BU21">CalculateMaxAndElementsWithFallback(SanitizeInput($BL21),0,"",Countermeasures!$A:AC,Assumptions!$A:AD)</f>
        <v>0:</v>
      </c>
      <c r="BV21" s="21">
        <f t="shared" ca="1" si="25"/>
        <v>0</v>
      </c>
      <c r="BW21" s="21">
        <f t="shared" ca="1" si="26"/>
        <v>0</v>
      </c>
      <c r="BX21" s="21">
        <f t="shared" ca="1" si="27"/>
        <v>0</v>
      </c>
      <c r="BY21" s="21">
        <f t="shared" ca="1" si="28"/>
        <v>0</v>
      </c>
      <c r="BZ21" s="21">
        <f t="shared" ca="1" si="29"/>
        <v>0</v>
      </c>
      <c r="CA21" s="21" t="str">
        <f t="shared" ca="1" si="30"/>
        <v>0:AS2,AS29,</v>
      </c>
      <c r="CB21" s="21" t="str">
        <f t="shared" ca="1" si="31"/>
        <v>3:AS2,</v>
      </c>
      <c r="CC21" s="21" t="str">
        <f t="shared" ca="1" si="32"/>
        <v>0:AS2,AS29,</v>
      </c>
      <c r="CD21" s="21" t="str">
        <f t="shared" ca="1" si="33"/>
        <v>1:AS2,</v>
      </c>
      <c r="CE21" s="21" t="str">
        <f t="shared" ca="1" si="34"/>
        <v>0:AS2,AS29,</v>
      </c>
      <c r="CF21" s="21">
        <f t="shared" ca="1" si="35"/>
        <v>0</v>
      </c>
      <c r="CG21" s="21">
        <f t="shared" ca="1" si="36"/>
        <v>3</v>
      </c>
      <c r="CH21" s="21">
        <f t="shared" ca="1" si="37"/>
        <v>0</v>
      </c>
      <c r="CI21" s="21">
        <f t="shared" ca="1" si="38"/>
        <v>1</v>
      </c>
      <c r="CJ21" s="21">
        <f t="shared" ca="1" si="39"/>
        <v>0</v>
      </c>
      <c r="CK21" s="21">
        <f t="shared" ca="1" si="23"/>
        <v>4</v>
      </c>
      <c r="CL21" s="21" t="str">
        <f ca="1">IFERROR(VLOOKUP($CK21,Definitions!$V:$W,COLUMNS(Definitions!$V:$W),TRUE),"")</f>
        <v>Basic</v>
      </c>
      <c r="CM21" s="21" t="str">
        <f ca="1">_xlfn.LET(_xlpm._comments,SimpleLookup($A21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1" s="21" t="str" cm="1">
        <f t="array" ca="1" aca="1" ref="CN21">_xlfn.LET(_xlpm._rapRange,Definitions!$W:$W,_xlpm._calculatedRAP,$CL21,_xlpm._inlineRAP,$CM21,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21" s="21" t="str">
        <f ca="1">IFERROR(IF(OR($BP21="",$CN21=""),Definitions!$AE$4,VLOOKUP($BP21,Definitions!$AH:$AM,MATCH($CN21,Definitions!$AH$3:$AM$3,0),FALSE)),"")</f>
        <v>Very High</v>
      </c>
      <c r="CP21" s="21" cm="1">
        <f t="array" ca="1" aca="1" ref="CP21">IF($CO21="",0,SimpleLookup($CO21,Definitions!$AE:$AF))</f>
        <v>4</v>
      </c>
      <c r="CQ21" s="21" t="b">
        <f ca="1">OR(AND($S21,$I21=Helper!$B$7),$I21&gt;Helper!$B$7)</f>
        <v>0</v>
      </c>
      <c r="CR21" s="21" t="str">
        <f t="shared" ca="1" si="24"/>
        <v/>
      </c>
      <c r="CS21" s="21" cm="1">
        <f t="array" ca="1" aca="1" ref="CS21">CreateID($CS$2,$CV:$CV,$CR21&lt;&gt;"")</f>
        <v>0</v>
      </c>
      <c r="CT21" s="21" t="str">
        <f ca="1">IF(IFERROR(MATCH(","&amp;A21&amp;",",'Risk Treatment'!$AT:$AT,0)&gt;0,FALSE),"",$A21)</f>
        <v>R2-29</v>
      </c>
      <c r="CU21" s="21" cm="1">
        <f t="array" ca="1" aca="1" ref="CU21">CreateID($CU$2,$CU:$CU,$CT21&lt;&gt;"")</f>
        <v>19</v>
      </c>
    </row>
    <row r="22" spans="1:99" ht="57">
      <c r="A22" s="33" t="str" cm="1">
        <f t="array" ca="1" aca="1" ref="A22">IF($B22="","","R"&amp;RemoveDelimiter(SUBSTITUTE(SUBSTITUTE($K22,"AS",""),",","-"),"-"))</f>
        <v>R31</v>
      </c>
      <c r="B22" s="33" t="str" cm="1">
        <f t="array" ca="1" aca="1" ref="B22">IF($L22="","",_xlfn.LET(_xlpm._finalAttackStep,$L22,_xlpm._prepAttacks,RemoveFirstElement(_xlpm._finalAttackStep&amp;","&amp;$K22),_xlpm._prepAttackNames,IFERROR(LookupNames(_xlpm._prepAttacks,'Attack Steps'!$A:$B),""),_xlpm._delimiter,REPT(CHAR(150),55),$L22&amp;" "&amp;SimpleLookup($L22,'Attack Steps'!$A:$B)&amp;IF(_xlpm._prepAttackNames="","",CHAR(10)&amp;_xlpm._delimiter&amp;CHAR(10)&amp;_xlpm._prepAttackNames)))</f>
        <v>AS31 Attacking a customer network from another customer network via the product's internal gateway</v>
      </c>
      <c r="C22" s="34" t="str" cm="1">
        <f t="array" ca="1" aca="1" ref="C22">IFERROR(LookupNames($M22,'Damage Scenarios'!$A:$V),"")</f>
        <v>DS15 Critical environmental damage caused by attacks on customer's assets by manipulated product [Critical]</v>
      </c>
      <c r="D22" s="33" t="str">
        <f ca="1">IFERROR(IF($T22=0,"",INDEX(Definitions!$Q:$Q,MATCH($T22,Definitions!$R:$R,0))),"")</f>
        <v>Critical</v>
      </c>
      <c r="E22" s="34" t="str" cm="1">
        <f t="array" ca="1" aca="1" ref="E22">IF($A22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22,$A:W,Definitions!$Y:$Y,Definitions!$AB:$AB,1)&amp;CHAR(10)&amp;_xlpm._factorFunction($A22,$A:X,Definitions!$Y:$Y,Definitions!$AB:$AB,2)&amp;CHAR(10)&amp;_xlpm._factorFunction($A22,$A:Y,Definitions!$Y:$Y,Definitions!$AB:$AB,3)&amp;CHAR(10)&amp;_xlpm._factorFunction($A22,$A:Z,Definitions!$Y:$Y,Definitions!$AB:$AB,4)&amp;CHAR(10)&amp;_xlpm._factorFunction($A22,$A:AA,Definitions!$Y:$Y,Definitions!$AB:$AB,5)))</f>
        <v>Elapsed Time [0]: AS31
Expertise [3]: AS31
Knowledge of TOE [3]: AS31
Window of Opportunity [1]: AS31
Equipment [0]: AS31</v>
      </c>
      <c r="F22" s="33" t="str">
        <f ca="1">IF($A22="","",IFERROR(VLOOKUP($AG22,Definitions!$V:$W,COLUMNS(Definitions!$V:$W),TRUE),""))</f>
        <v>Basic</v>
      </c>
      <c r="G22" s="33" t="str">
        <f ca="1">IFERROR(IF(OR($D22="",$F22=""),"",VLOOKUP($D22,Definitions!$AH:$AM,MATCH($F22,Definitions!$AH$3:$AM$3,0),FALSE)),"")</f>
        <v>Very High</v>
      </c>
      <c r="H22" s="23" cm="1">
        <f t="array" ca="1" aca="1" ref="H22">IF(ROW()=ROW($H$2)+1,0,INDEX($H:$H,ROW()-1))+IF($A22="",0,1)</f>
        <v>20</v>
      </c>
      <c r="I22" s="21" cm="1">
        <f t="array" ca="1" aca="1" ref="I22">IF(ROW()=ROW($I$2)+1,1,INDEX($I:$I,ROW()-1)+IF(INDEX($S:$S,ROW()-1),1,0))</f>
        <v>11</v>
      </c>
      <c r="J22" s="21">
        <f t="shared" ca="1" si="0"/>
        <v>1</v>
      </c>
      <c r="K22" s="21" t="str">
        <f t="shared" ca="1" si="40"/>
        <v>AS31,</v>
      </c>
      <c r="L22" s="21" t="str" cm="1">
        <f t="array" ca="1" aca="1" ref="L22">IF($P22="","",INDEX('Attack Steps'!$A:$A,$P22))</f>
        <v>AS31</v>
      </c>
      <c r="M22" s="21" t="str" cm="1">
        <f t="array" ca="1" aca="1" ref="M22">IF($P22="","",INDEX('Attack Steps'!$T:$T,$P22))</f>
        <v>DS15,</v>
      </c>
      <c r="N22" s="21" t="str" cm="1">
        <f t="array" ca="1" aca="1" ref="N22">_xlfn.LET(_xlpm._dm,SanitizeInput(GetValuesWithFallback(SanitizeInput($AK22),Assumptions!$A:$I,Countermeasures!$A:$I,"",",",FALSE)),IF(_xlpm._dm="","",","&amp;_xlpm._dm))</f>
        <v/>
      </c>
      <c r="O22" s="21" t="str" cm="1">
        <f t="array" ca="1" aca="1" ref="O22">ApplyDamageMitigation($M22,$N22,"")</f>
        <v>DS15,</v>
      </c>
      <c r="P22" s="21">
        <f ca="1">IFERROR(MATCH($I22,'Attack Steps'!$V:$V,0),"")</f>
        <v>33</v>
      </c>
      <c r="Q22" s="21" t="str" cm="1">
        <f t="array" ca="1" aca="1" ref="Q22">IF($P22="","","§"&amp;INDEX('Attack Steps'!$S:$S,$P22))</f>
        <v>§AS31,§</v>
      </c>
      <c r="R22" s="21" cm="1">
        <f t="array" ca="1" aca="1" ref="R22">IF($P22="","",INDEX('Attack Steps'!$W:$W,$P22))</f>
        <v>1</v>
      </c>
      <c r="S22" s="21" t="b">
        <f t="shared" ca="1" si="41"/>
        <v>1</v>
      </c>
      <c r="T22" s="21" cm="1">
        <f t="array" ca="1" aca="1" ref="T22">_xlfn.LAMBDA(_xlpm._in,_xlpm._val,_xlpm._range,IF(_xlpm._in="",_xlpm._val,_xlfn.LET(_xlpm._id,LEFT(_xlpm._in,FIND(",",_xlpm._in)-1),CalculateMaxFromList(RemoveFirstElement(_xlpm._in),MAX(_xlpm._val,VLOOKUP(_xlpm._id,_xlpm._range,COLUMNS(_xlpm._range),FALSE)),_xlpm._range))))($M22,0,'Damage Scenarios'!$A:$U)</f>
        <v>5</v>
      </c>
      <c r="U22" s="21" cm="1">
        <f t="array" ca="1" aca="1" ref="U22">CalculateMaxFromList($O22,0,'Damage Scenarios'!$A:$U)</f>
        <v>5</v>
      </c>
      <c r="V22" s="21" t="str">
        <f ca="1">IF($U22=0,"",INDEX(Definitions!$Q:$Q,MATCH($U22,Definitions!$R:$R,0)))</f>
        <v>Critical</v>
      </c>
      <c r="W22" s="21" t="str" cm="1">
        <f t="array" ca="1" aca="1" ref="W22">CalculateMaxAndElements($K22,0,"",'Attack Steps'!$A:X)</f>
        <v>0:AS31,</v>
      </c>
      <c r="X22" s="21" t="str" cm="1">
        <f t="array" ca="1" aca="1" ref="X22">CalculateMaxAndElements($K22,0,"",'Attack Steps'!$A:Y)</f>
        <v>3:AS31,</v>
      </c>
      <c r="Y22" s="21" t="str" cm="1">
        <f t="array" ca="1" aca="1" ref="Y22">CalculateMaxAndElements($K22,0,"",'Attack Steps'!$A:Z)</f>
        <v>3:AS31,</v>
      </c>
      <c r="Z22" s="21" t="str" cm="1">
        <f t="array" ca="1" aca="1" ref="Z22">CalculateMaxAndElements($K22,0,"",'Attack Steps'!$A:AA)</f>
        <v>1:AS31,</v>
      </c>
      <c r="AA22" s="21" t="str" cm="1">
        <f t="array" ca="1" aca="1" ref="AA22">CalculateMaxAndElements($K22,0,"",'Attack Steps'!$A:AB)</f>
        <v>0:AS31,</v>
      </c>
      <c r="AB22" s="21">
        <f t="shared" ca="1" si="42"/>
        <v>0</v>
      </c>
      <c r="AC22" s="21">
        <f t="shared" ca="1" si="43"/>
        <v>3</v>
      </c>
      <c r="AD22" s="21">
        <f t="shared" ca="1" si="44"/>
        <v>3</v>
      </c>
      <c r="AE22" s="21">
        <f t="shared" ca="1" si="45"/>
        <v>1</v>
      </c>
      <c r="AF22" s="21">
        <f t="shared" ca="1" si="46"/>
        <v>0</v>
      </c>
      <c r="AG22" s="21">
        <f t="shared" ca="1" si="3"/>
        <v>7</v>
      </c>
      <c r="AH22" s="21" t="str" cm="1">
        <f t="array" ca="1" aca="1" ref="AH22">IF(ROW()=ROW($AH$2)+1,"",INDEX($AH:$AH,ROW()-1))&amp;IF($A22="","",$A22&amp;",")</f>
        <v>R1-3,R2-3,R1-4,R2-4,R1-6,R2-6,R1-7,R2-7,R1-3-10,R2-3-10,R1-3-11,R2-3-11,R1-14,R1-16,R2-16,R21-23,R22-23,R1-29,R2-29,R31,</v>
      </c>
      <c r="AI22" s="21" t="str">
        <f t="shared" ca="1" si="47"/>
        <v>,AS31,</v>
      </c>
      <c r="AJ22" s="21" cm="1">
        <f t="array" ca="1" aca="1" ref="AJ22">IF($G22="",0,SimpleLookup($G22,Definitions!$AE:$AF))</f>
        <v>4</v>
      </c>
      <c r="AK22" s="21" t="str" cm="1">
        <f t="array" ca="1" aca="1" ref="AK22">InverseLookup($A22,Mitigation!$U$2,Mitigation!$J$2,1,Helper!$B$5,",")</f>
        <v/>
      </c>
      <c r="AL22" s="21" t="str" cm="1">
        <f t="array" ca="1" aca="1" ref="AL22">CalculateMaxAndElementsWithFallback(SanitizeInput($AK22),0,"",Countermeasures!$A:Y,Assumptions!$A:Z)</f>
        <v>0:</v>
      </c>
      <c r="AM22" s="21" t="str" cm="1">
        <f t="array" ca="1" aca="1" ref="AM22">CalculateMaxAndElementsWithFallback(SanitizeInput($AK22),0,"",Countermeasures!$A:Z,Assumptions!$A:AA)</f>
        <v>0:</v>
      </c>
      <c r="AN22" s="21" t="str" cm="1">
        <f t="array" ca="1" aca="1" ref="AN22">CalculateMaxAndElementsWithFallback(SanitizeInput($AK22),0,"",Countermeasures!$A:AA,Assumptions!$A:AB)</f>
        <v>0:</v>
      </c>
      <c r="AO22" s="21" t="str" cm="1">
        <f t="array" ca="1" aca="1" ref="AO22">CalculateMaxAndElementsWithFallback(SanitizeInput($AK22),0,"",Countermeasures!$A:AB,Assumptions!$A:AC)</f>
        <v>0:</v>
      </c>
      <c r="AP22" s="21" t="str" cm="1">
        <f t="array" ca="1" aca="1" ref="AP22">CalculateMaxAndElementsWithFallback(SanitizeInput($AK22),0,"",Countermeasures!$A:AC,Assumptions!$A:AD)</f>
        <v>0:</v>
      </c>
      <c r="AQ22" s="21">
        <f t="shared" ca="1" si="48"/>
        <v>0</v>
      </c>
      <c r="AR22" s="21">
        <f t="shared" ca="1" si="49"/>
        <v>0</v>
      </c>
      <c r="AS22" s="21">
        <f t="shared" ca="1" si="50"/>
        <v>0</v>
      </c>
      <c r="AT22" s="21">
        <f t="shared" ca="1" si="51"/>
        <v>0</v>
      </c>
      <c r="AU22" s="21">
        <f t="shared" ca="1" si="52"/>
        <v>0</v>
      </c>
      <c r="AV22" s="21" t="str">
        <f t="shared" ca="1" si="53"/>
        <v>0:AS31,</v>
      </c>
      <c r="AW22" s="21" t="str">
        <f t="shared" ca="1" si="54"/>
        <v>3:AS31,</v>
      </c>
      <c r="AX22" s="21" t="str">
        <f t="shared" ca="1" si="55"/>
        <v>3:AS31,</v>
      </c>
      <c r="AY22" s="21" t="str">
        <f t="shared" ca="1" si="56"/>
        <v>1:AS31,</v>
      </c>
      <c r="AZ22" s="21" t="str">
        <f t="shared" ca="1" si="57"/>
        <v>0:AS31,</v>
      </c>
      <c r="BA22" s="21">
        <f t="shared" ca="1" si="58"/>
        <v>0</v>
      </c>
      <c r="BB22" s="21">
        <f t="shared" ca="1" si="59"/>
        <v>3</v>
      </c>
      <c r="BC22" s="21">
        <f t="shared" ca="1" si="60"/>
        <v>3</v>
      </c>
      <c r="BD22" s="21">
        <f t="shared" ca="1" si="61"/>
        <v>1</v>
      </c>
      <c r="BE22" s="21">
        <f t="shared" ca="1" si="62"/>
        <v>0</v>
      </c>
      <c r="BF22" s="21">
        <f t="shared" ca="1" si="9"/>
        <v>7</v>
      </c>
      <c r="BG22" s="21" t="str">
        <f ca="1">IFERROR(VLOOKUP($BF22,Definitions!$V:$W,COLUMNS(Definitions!$V:$W),TRUE),"")</f>
        <v>Basic</v>
      </c>
      <c r="BH22" s="21" t="str">
        <f ca="1">_xlfn.LET(_xlpm._comments,GetValues($K22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2" s="21" t="str" cm="1">
        <f t="array" ca="1" aca="1" ref="BI22">_xlfn.LET(_xlpm._rapRange,Definitions!$W:$W,_xlpm._calculatedRAP,$BG22,_xlpm._inlineRAP,$BH22,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22" s="21" t="str">
        <f ca="1">IFERROR(IF(OR($V22="",$BI22=""),Definitions!$AE$4,VLOOKUP($V22,Definitions!$AH:$AM,MATCH($BI22,Definitions!$AH$3:$AM$3,0),FALSE)),"")</f>
        <v>Very High</v>
      </c>
      <c r="BK22" s="21" cm="1">
        <f t="array" ca="1" aca="1" ref="BK22">IF($BJ22="",0,SimpleLookup($BJ22,Definitions!$AE:$AF))</f>
        <v>4</v>
      </c>
      <c r="BL22" s="21" t="str" cm="1">
        <f t="array" ca="1" aca="1" ref="BL22">IFERROR(SimpleLookup($A22,Tracing!$B:$Z),"")</f>
        <v/>
      </c>
      <c r="BM22" s="21" t="str" cm="1">
        <f t="array" ca="1" aca="1" ref="BM22">_xlfn.LET(_xlpm._dm,SanitizeInput(GetValuesWithFallback(SanitizeInput($BL22),Assumptions!$A:$I,Countermeasures!$A:$I,"",",",FALSE)),IF(_xlpm._dm="","",","&amp;_xlpm._dm))</f>
        <v/>
      </c>
      <c r="BN22" s="21" t="str" cm="1">
        <f t="array" ca="1" aca="1" ref="BN22">ApplyDamageMitigation($M22,$BM22,"")</f>
        <v>DS15,</v>
      </c>
      <c r="BO22" s="21" cm="1">
        <f t="array" ca="1" aca="1" ref="BO22">CalculateMaxFromList($BN22,0,'Damage Scenarios'!$A:$U)</f>
        <v>5</v>
      </c>
      <c r="BP22" s="21" t="str">
        <f ca="1">IF($BO22=0,"",INDEX(Definitions!$Q:$Q,MATCH($BO22,Definitions!$R:$R,0)))</f>
        <v>Critical</v>
      </c>
      <c r="BQ22" s="21" t="str" cm="1">
        <f t="array" ca="1" aca="1" ref="BQ22">CalculateMaxAndElementsWithFallback(SanitizeInput($BL22),0,"",Countermeasures!$A:Y,Assumptions!$A:Z)</f>
        <v>0:</v>
      </c>
      <c r="BR22" s="21" t="str" cm="1">
        <f t="array" ca="1" aca="1" ref="BR22">CalculateMaxAndElementsWithFallback(SanitizeInput($BL22),0,"",Countermeasures!$A:Z,Assumptions!$A:AA)</f>
        <v>0:</v>
      </c>
      <c r="BS22" s="21" t="str" cm="1">
        <f t="array" ca="1" aca="1" ref="BS22">CalculateMaxAndElementsWithFallback(SanitizeInput($BL22),0,"",Countermeasures!$A:AA,Assumptions!$A:AB)</f>
        <v>0:</v>
      </c>
      <c r="BT22" s="21" t="str" cm="1">
        <f t="array" ca="1" aca="1" ref="BT22">CalculateMaxAndElementsWithFallback(SanitizeInput($BL22),0,"",Countermeasures!$A:AB,Assumptions!$A:AC)</f>
        <v>0:</v>
      </c>
      <c r="BU22" s="21" t="str" cm="1">
        <f t="array" ca="1" aca="1" ref="BU22">CalculateMaxAndElementsWithFallback(SanitizeInput($BL22),0,"",Countermeasures!$A:AC,Assumptions!$A:AD)</f>
        <v>0:</v>
      </c>
      <c r="BV22" s="21">
        <f t="shared" ca="1" si="25"/>
        <v>0</v>
      </c>
      <c r="BW22" s="21">
        <f t="shared" ca="1" si="26"/>
        <v>0</v>
      </c>
      <c r="BX22" s="21">
        <f t="shared" ca="1" si="27"/>
        <v>0</v>
      </c>
      <c r="BY22" s="21">
        <f t="shared" ca="1" si="28"/>
        <v>0</v>
      </c>
      <c r="BZ22" s="21">
        <f t="shared" ca="1" si="29"/>
        <v>0</v>
      </c>
      <c r="CA22" s="21" t="str">
        <f t="shared" ca="1" si="30"/>
        <v>0:AS31,</v>
      </c>
      <c r="CB22" s="21" t="str">
        <f t="shared" ca="1" si="31"/>
        <v>3:AS31,</v>
      </c>
      <c r="CC22" s="21" t="str">
        <f t="shared" ca="1" si="32"/>
        <v>3:AS31,</v>
      </c>
      <c r="CD22" s="21" t="str">
        <f t="shared" ca="1" si="33"/>
        <v>1:AS31,</v>
      </c>
      <c r="CE22" s="21" t="str">
        <f t="shared" ca="1" si="34"/>
        <v>0:AS31,</v>
      </c>
      <c r="CF22" s="21">
        <f t="shared" ca="1" si="35"/>
        <v>0</v>
      </c>
      <c r="CG22" s="21">
        <f t="shared" ca="1" si="36"/>
        <v>3</v>
      </c>
      <c r="CH22" s="21">
        <f t="shared" ca="1" si="37"/>
        <v>3</v>
      </c>
      <c r="CI22" s="21">
        <f t="shared" ca="1" si="38"/>
        <v>1</v>
      </c>
      <c r="CJ22" s="21">
        <f t="shared" ca="1" si="39"/>
        <v>0</v>
      </c>
      <c r="CK22" s="21">
        <f t="shared" ca="1" si="23"/>
        <v>7</v>
      </c>
      <c r="CL22" s="21" t="str">
        <f ca="1">IFERROR(VLOOKUP($CK22,Definitions!$V:$W,COLUMNS(Definitions!$V:$W),TRUE),"")</f>
        <v>Basic</v>
      </c>
      <c r="CM22" s="21" t="str">
        <f ca="1">_xlfn.LET(_xlpm._comments,SimpleLookup($A22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2" s="21" t="str" cm="1">
        <f t="array" ca="1" aca="1" ref="CN22">_xlfn.LET(_xlpm._rapRange,Definitions!$W:$W,_xlpm._calculatedRAP,$CL22,_xlpm._inlineRAP,$CM22,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22" s="21" t="str">
        <f ca="1">IFERROR(IF(OR($BP22="",$CN22=""),Definitions!$AE$4,VLOOKUP($BP22,Definitions!$AH:$AM,MATCH($CN22,Definitions!$AH$3:$AM$3,0),FALSE)),"")</f>
        <v>Very High</v>
      </c>
      <c r="CP22" s="21" cm="1">
        <f t="array" ca="1" aca="1" ref="CP22">IF($CO22="",0,SimpleLookup($CO22,Definitions!$AE:$AF))</f>
        <v>4</v>
      </c>
      <c r="CQ22" s="21" t="b">
        <f ca="1">OR(AND($S22,$I22=Helper!$B$7),$I22&gt;Helper!$B$7)</f>
        <v>0</v>
      </c>
      <c r="CR22" s="21" t="str">
        <f t="shared" ca="1" si="24"/>
        <v/>
      </c>
      <c r="CS22" s="21" cm="1">
        <f t="array" ca="1" aca="1" ref="CS22">CreateID($CS$2,$CV:$CV,$CR22&lt;&gt;"")</f>
        <v>0</v>
      </c>
      <c r="CT22" s="21" t="str">
        <f ca="1">IF(IFERROR(MATCH(","&amp;A22&amp;",",'Risk Treatment'!$AT:$AT,0)&gt;0,FALSE),"",$A22)</f>
        <v>R31</v>
      </c>
      <c r="CU22" s="21" cm="1">
        <f t="array" ca="1" aca="1" ref="CU22">CreateID($CU$2,$CU:$CU,$CT22&lt;&gt;"")</f>
        <v>20</v>
      </c>
    </row>
    <row r="23" spans="1:99" ht="60">
      <c r="A23" s="33" t="str" cm="1">
        <f t="array" ca="1" aca="1" ref="A23">IF($B23="","","R"&amp;RemoveDelimiter(SUBSTITUTE(SUBSTITUTE($K23,"AS",""),",","-"),"-"))</f>
        <v>R1-3-32</v>
      </c>
      <c r="B23" s="33" t="str" cm="1">
        <f t="array" ca="1" aca="1" ref="B23">IF($L23="","",_xlfn.LET(_xlpm._finalAttackStep,$L23,_xlpm._prepAttacks,RemoveFirstElement(_xlpm._finalAttackStep&amp;","&amp;$K23),_xlpm._prepAttackNames,IFERROR(LookupNames(_xlpm._prepAttacks,'Attack Steps'!$A:$B),""),_xlpm._delimiter,REPT(CHAR(150),55),$L23&amp;" "&amp;SimpleLookup($L23,'Attack Steps'!$A:$B)&amp;IF(_xlpm._prepAttackNames="","",CHAR(10)&amp;_xlpm._delimiter&amp;CHAR(10)&amp;_xlpm._prepAttackNames)))</f>
        <v>AS32 Extracting or misusing acontis techonlogies GmbH IP
–––––––––––––––––––––––––––––––––––––––––––––––––––––––
AS1 Getting access to a trusted operational environment,
AS3 Compromising the product using a software vulnerability</v>
      </c>
      <c r="C23" s="34" t="str" cm="1">
        <f t="array" ca="1" aca="1" ref="C23">IFERROR(LookupNames($M23,'Damage Scenarios'!$A:$V),"")</f>
        <v>DS3 Disclosure of acontis techonlogies GmbH IP (moderately innovative) [Medium],
DS12 IP (highly innovative) disclosed by manipulated product [High]</v>
      </c>
      <c r="D23" s="33" t="str">
        <f ca="1">IFERROR(IF($T23=0,"",INDEX(Definitions!$Q:$Q,MATCH($T23,Definitions!$R:$R,0))),"")</f>
        <v>High</v>
      </c>
      <c r="E23" s="34" t="str" cm="1">
        <f t="array" ca="1" aca="1" ref="E23">IF($A23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23,$A:W,Definitions!$Y:$Y,Definitions!$AB:$AB,1)&amp;CHAR(10)&amp;_xlpm._factorFunction($A23,$A:X,Definitions!$Y:$Y,Definitions!$AB:$AB,2)&amp;CHAR(10)&amp;_xlpm._factorFunction($A23,$A:Y,Definitions!$Y:$Y,Definitions!$AB:$AB,3)&amp;CHAR(10)&amp;_xlpm._factorFunction($A23,$A:Z,Definitions!$Y:$Y,Definitions!$AB:$AB,4)&amp;CHAR(10)&amp;_xlpm._factorFunction($A23,$A:AA,Definitions!$Y:$Y,Definitions!$AB:$AB,5)))</f>
        <v>Elapsed Time [4]: AS3
Expertise [6]: AS3
Knowledge of TOE [3]: AS3
Window of Opportunity [0]: AS1, AS3, AS32
Equipment [0]: AS1, AS3, AS32</v>
      </c>
      <c r="F23" s="33" t="str">
        <f ca="1">IF($A23="","",IFERROR(VLOOKUP($AG23,Definitions!$V:$W,COLUMNS(Definitions!$V:$W),TRUE),""))</f>
        <v>Enhanced-Basic</v>
      </c>
      <c r="G23" s="33" t="str">
        <f ca="1">IFERROR(IF(OR($D23="",$F23=""),"",VLOOKUP($D23,Definitions!$AH:$AM,MATCH($F23,Definitions!$AH$3:$AM$3,0),FALSE)),"")</f>
        <v>Very High</v>
      </c>
      <c r="H23" s="23" cm="1">
        <f t="array" ca="1" aca="1" ref="H23">IF(ROW()=ROW($H$2)+1,0,INDEX($H:$H,ROW()-1))+IF($A23="",0,1)</f>
        <v>21</v>
      </c>
      <c r="I23" s="21" cm="1">
        <f t="array" ca="1" aca="1" ref="I23">IF(ROW()=ROW($I$2)+1,1,INDEX($I:$I,ROW()-1)+IF(INDEX($S:$S,ROW()-1),1,0))</f>
        <v>12</v>
      </c>
      <c r="J23" s="21">
        <f t="shared" ca="1" si="0"/>
        <v>1</v>
      </c>
      <c r="K23" s="21" t="str">
        <f t="shared" ca="1" si="40"/>
        <v>AS1,AS3,AS32,</v>
      </c>
      <c r="L23" s="21" t="str" cm="1">
        <f t="array" ca="1" aca="1" ref="L23">IF($P23="","",INDEX('Attack Steps'!$A:$A,$P23))</f>
        <v>AS32</v>
      </c>
      <c r="M23" s="21" t="str" cm="1">
        <f t="array" ca="1" aca="1" ref="M23">IF($P23="","",INDEX('Attack Steps'!$T:$T,$P23))</f>
        <v>DS3,DS12,</v>
      </c>
      <c r="N23" s="21" t="str" cm="1">
        <f t="array" ca="1" aca="1" ref="N23">_xlfn.LET(_xlpm._dm,SanitizeInput(GetValuesWithFallback(SanitizeInput($AK23),Assumptions!$A:$I,Countermeasures!$A:$I,"",",",FALSE)),IF(_xlpm._dm="","",","&amp;_xlpm._dm))</f>
        <v/>
      </c>
      <c r="O23" s="21" t="str" cm="1">
        <f t="array" ca="1" aca="1" ref="O23">ApplyDamageMitigation($M23,$N23,"")</f>
        <v>DS3,DS12,</v>
      </c>
      <c r="P23" s="21">
        <f ca="1">IFERROR(MATCH($I23,'Attack Steps'!$V:$V,0),"")</f>
        <v>34</v>
      </c>
      <c r="Q23" s="21" t="str" cm="1">
        <f t="array" ca="1" aca="1" ref="Q23">IF($P23="","","§"&amp;INDEX('Attack Steps'!$S:$S,$P23))</f>
        <v>§AS1,AS3,AS32,§AS2,AS3,AS32,§AS1,AS5,AS32,§AS2,AS5,AS32,§AS1,AS7,AS32,§AS2,AS7,AS32,§AS1,AS16,AS32,§AS2,AS16,AS32,§AS21,AS23,AS32,§AS22,AS23,AS32,§AS21,AS24,AS32,§AS22,AS24,AS32,§AS1,AS29,AS32,§AS2,AS29,AS32,§</v>
      </c>
      <c r="R23" s="21" cm="1">
        <f t="array" ca="1" aca="1" ref="R23">IF($P23="","",INDEX('Attack Steps'!$W:$W,$P23))</f>
        <v>14</v>
      </c>
      <c r="S23" s="21" t="b">
        <f t="shared" ca="1" si="41"/>
        <v>0</v>
      </c>
      <c r="T23" s="21" cm="1">
        <f t="array" ca="1" aca="1" ref="T23">_xlfn.LAMBDA(_xlpm._in,_xlpm._val,_xlpm._range,IF(_xlpm._in="",_xlpm._val,_xlfn.LET(_xlpm._id,LEFT(_xlpm._in,FIND(",",_xlpm._in)-1),CalculateMaxFromList(RemoveFirstElement(_xlpm._in),MAX(_xlpm._val,VLOOKUP(_xlpm._id,_xlpm._range,COLUMNS(_xlpm._range),FALSE)),_xlpm._range))))($M23,0,'Damage Scenarios'!$A:$U)</f>
        <v>4</v>
      </c>
      <c r="U23" s="21" cm="1">
        <f t="array" ca="1" aca="1" ref="U23">CalculateMaxFromList($O23,0,'Damage Scenarios'!$A:$U)</f>
        <v>4</v>
      </c>
      <c r="V23" s="21" t="str">
        <f ca="1">IF($U23=0,"",INDEX(Definitions!$Q:$Q,MATCH($U23,Definitions!$R:$R,0)))</f>
        <v>High</v>
      </c>
      <c r="W23" s="21" t="str" cm="1">
        <f t="array" ca="1" aca="1" ref="W23">CalculateMaxAndElements($K23,0,"",'Attack Steps'!$A:X)</f>
        <v>4:AS3,</v>
      </c>
      <c r="X23" s="21" t="str" cm="1">
        <f t="array" ca="1" aca="1" ref="X23">CalculateMaxAndElements($K23,0,"",'Attack Steps'!$A:Y)</f>
        <v>6:AS3,</v>
      </c>
      <c r="Y23" s="21" t="str" cm="1">
        <f t="array" ca="1" aca="1" ref="Y23">CalculateMaxAndElements($K23,0,"",'Attack Steps'!$A:Z)</f>
        <v>3:AS3,</v>
      </c>
      <c r="Z23" s="21" t="str" cm="1">
        <f t="array" ca="1" aca="1" ref="Z23">CalculateMaxAndElements($K23,0,"",'Attack Steps'!$A:AA)</f>
        <v>0:AS1,AS3,AS32,</v>
      </c>
      <c r="AA23" s="21" t="str" cm="1">
        <f t="array" ca="1" aca="1" ref="AA23">CalculateMaxAndElements($K23,0,"",'Attack Steps'!$A:AB)</f>
        <v>0:AS1,AS3,AS32,</v>
      </c>
      <c r="AB23" s="21">
        <f t="shared" ca="1" si="42"/>
        <v>4</v>
      </c>
      <c r="AC23" s="21">
        <f t="shared" ca="1" si="43"/>
        <v>6</v>
      </c>
      <c r="AD23" s="21">
        <f t="shared" ca="1" si="44"/>
        <v>3</v>
      </c>
      <c r="AE23" s="21">
        <f t="shared" ca="1" si="45"/>
        <v>0</v>
      </c>
      <c r="AF23" s="21">
        <f t="shared" ca="1" si="46"/>
        <v>0</v>
      </c>
      <c r="AG23" s="21">
        <f t="shared" ca="1" si="3"/>
        <v>13</v>
      </c>
      <c r="AH23" s="21" t="str" cm="1">
        <f t="array" ca="1" aca="1" ref="AH23">IF(ROW()=ROW($AH$2)+1,"",INDEX($AH:$AH,ROW()-1))&amp;IF($A23="","",$A23&amp;",")</f>
        <v>R1-3,R2-3,R1-4,R2-4,R1-6,R2-6,R1-7,R2-7,R1-3-10,R2-3-10,R1-3-11,R2-3-11,R1-14,R1-16,R2-16,R21-23,R22-23,R1-29,R2-29,R31,R1-3-32,</v>
      </c>
      <c r="AI23" s="21" t="str">
        <f t="shared" ca="1" si="47"/>
        <v>,AS1,AS3,AS32,</v>
      </c>
      <c r="AJ23" s="21" cm="1">
        <f t="array" ca="1" aca="1" ref="AJ23">IF($G23="",0,SimpleLookup($G23,Definitions!$AE:$AF))</f>
        <v>4</v>
      </c>
      <c r="AK23" s="21" t="str" cm="1">
        <f t="array" ca="1" aca="1" ref="AK23">InverseLookup($A23,Mitigation!$U$2,Mitigation!$J$2,1,Helper!$B$5,",")</f>
        <v/>
      </c>
      <c r="AL23" s="21" t="str" cm="1">
        <f t="array" ca="1" aca="1" ref="AL23">CalculateMaxAndElementsWithFallback(SanitizeInput($AK23),0,"",Countermeasures!$A:Y,Assumptions!$A:Z)</f>
        <v>0:</v>
      </c>
      <c r="AM23" s="21" t="str" cm="1">
        <f t="array" ca="1" aca="1" ref="AM23">CalculateMaxAndElementsWithFallback(SanitizeInput($AK23),0,"",Countermeasures!$A:Z,Assumptions!$A:AA)</f>
        <v>0:</v>
      </c>
      <c r="AN23" s="21" t="str" cm="1">
        <f t="array" ca="1" aca="1" ref="AN23">CalculateMaxAndElementsWithFallback(SanitizeInput($AK23),0,"",Countermeasures!$A:AA,Assumptions!$A:AB)</f>
        <v>0:</v>
      </c>
      <c r="AO23" s="21" t="str" cm="1">
        <f t="array" ca="1" aca="1" ref="AO23">CalculateMaxAndElementsWithFallback(SanitizeInput($AK23),0,"",Countermeasures!$A:AB,Assumptions!$A:AC)</f>
        <v>0:</v>
      </c>
      <c r="AP23" s="21" t="str" cm="1">
        <f t="array" ca="1" aca="1" ref="AP23">CalculateMaxAndElementsWithFallback(SanitizeInput($AK23),0,"",Countermeasures!$A:AC,Assumptions!$A:AD)</f>
        <v>0:</v>
      </c>
      <c r="AQ23" s="21">
        <f t="shared" ca="1" si="48"/>
        <v>0</v>
      </c>
      <c r="AR23" s="21">
        <f t="shared" ca="1" si="49"/>
        <v>0</v>
      </c>
      <c r="AS23" s="21">
        <f t="shared" ca="1" si="50"/>
        <v>0</v>
      </c>
      <c r="AT23" s="21">
        <f t="shared" ca="1" si="51"/>
        <v>0</v>
      </c>
      <c r="AU23" s="21">
        <f t="shared" ca="1" si="52"/>
        <v>0</v>
      </c>
      <c r="AV23" s="21" t="str">
        <f t="shared" ca="1" si="53"/>
        <v>4:AS3,</v>
      </c>
      <c r="AW23" s="21" t="str">
        <f t="shared" ca="1" si="54"/>
        <v>6:AS3,</v>
      </c>
      <c r="AX23" s="21" t="str">
        <f t="shared" ca="1" si="55"/>
        <v>3:AS3,</v>
      </c>
      <c r="AY23" s="21" t="str">
        <f t="shared" ca="1" si="56"/>
        <v>0:AS1,AS3,AS32,</v>
      </c>
      <c r="AZ23" s="21" t="str">
        <f t="shared" ca="1" si="57"/>
        <v>0:AS1,AS3,AS32,</v>
      </c>
      <c r="BA23" s="21">
        <f t="shared" ca="1" si="58"/>
        <v>4</v>
      </c>
      <c r="BB23" s="21">
        <f t="shared" ca="1" si="59"/>
        <v>6</v>
      </c>
      <c r="BC23" s="21">
        <f t="shared" ca="1" si="60"/>
        <v>3</v>
      </c>
      <c r="BD23" s="21">
        <f t="shared" ca="1" si="61"/>
        <v>0</v>
      </c>
      <c r="BE23" s="21">
        <f t="shared" ca="1" si="62"/>
        <v>0</v>
      </c>
      <c r="BF23" s="21">
        <f t="shared" ca="1" si="9"/>
        <v>13</v>
      </c>
      <c r="BG23" s="21" t="str">
        <f ca="1">IFERROR(VLOOKUP($BF23,Definitions!$V:$W,COLUMNS(Definitions!$V:$W),TRUE),"")</f>
        <v>Enhanced-Basic</v>
      </c>
      <c r="BH23" s="21" t="str">
        <f ca="1">_xlfn.LET(_xlpm._comments,GetValues($K23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3" s="21" t="str" cm="1">
        <f t="array" ca="1" aca="1" ref="BI23">_xlfn.LET(_xlpm._rapRange,Definitions!$W:$W,_xlpm._calculatedRAP,$BG23,_xlpm._inlineRAP,$BH23,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23" s="21" t="str">
        <f ca="1">IFERROR(IF(OR($V23="",$BI23=""),Definitions!$AE$4,VLOOKUP($V23,Definitions!$AH:$AM,MATCH($BI23,Definitions!$AH$3:$AM$3,0),FALSE)),"")</f>
        <v>Very High</v>
      </c>
      <c r="BK23" s="21" cm="1">
        <f t="array" ca="1" aca="1" ref="BK23">IF($BJ23="",0,SimpleLookup($BJ23,Definitions!$AE:$AF))</f>
        <v>4</v>
      </c>
      <c r="BL23" s="21" t="str" cm="1">
        <f t="array" ca="1" aca="1" ref="BL23">IFERROR(SimpleLookup($A23,Tracing!$B:$Z),"")</f>
        <v/>
      </c>
      <c r="BM23" s="21" t="str" cm="1">
        <f t="array" ca="1" aca="1" ref="BM23">_xlfn.LET(_xlpm._dm,SanitizeInput(GetValuesWithFallback(SanitizeInput($BL23),Assumptions!$A:$I,Countermeasures!$A:$I,"",",",FALSE)),IF(_xlpm._dm="","",","&amp;_xlpm._dm))</f>
        <v/>
      </c>
      <c r="BN23" s="21" t="str" cm="1">
        <f t="array" ca="1" aca="1" ref="BN23">ApplyDamageMitigation($M23,$BM23,"")</f>
        <v>DS3,DS12,</v>
      </c>
      <c r="BO23" s="21" cm="1">
        <f t="array" ca="1" aca="1" ref="BO23">CalculateMaxFromList($BN23,0,'Damage Scenarios'!$A:$U)</f>
        <v>4</v>
      </c>
      <c r="BP23" s="21" t="str">
        <f ca="1">IF($BO23=0,"",INDEX(Definitions!$Q:$Q,MATCH($BO23,Definitions!$R:$R,0)))</f>
        <v>High</v>
      </c>
      <c r="BQ23" s="21" t="str" cm="1">
        <f t="array" ca="1" aca="1" ref="BQ23">CalculateMaxAndElementsWithFallback(SanitizeInput($BL23),0,"",Countermeasures!$A:Y,Assumptions!$A:Z)</f>
        <v>0:</v>
      </c>
      <c r="BR23" s="21" t="str" cm="1">
        <f t="array" ca="1" aca="1" ref="BR23">CalculateMaxAndElementsWithFallback(SanitizeInput($BL23),0,"",Countermeasures!$A:Z,Assumptions!$A:AA)</f>
        <v>0:</v>
      </c>
      <c r="BS23" s="21" t="str" cm="1">
        <f t="array" ca="1" aca="1" ref="BS23">CalculateMaxAndElementsWithFallback(SanitizeInput($BL23),0,"",Countermeasures!$A:AA,Assumptions!$A:AB)</f>
        <v>0:</v>
      </c>
      <c r="BT23" s="21" t="str" cm="1">
        <f t="array" ca="1" aca="1" ref="BT23">CalculateMaxAndElementsWithFallback(SanitizeInput($BL23),0,"",Countermeasures!$A:AB,Assumptions!$A:AC)</f>
        <v>0:</v>
      </c>
      <c r="BU23" s="21" t="str" cm="1">
        <f t="array" ca="1" aca="1" ref="BU23">CalculateMaxAndElementsWithFallback(SanitizeInput($BL23),0,"",Countermeasures!$A:AC,Assumptions!$A:AD)</f>
        <v>0:</v>
      </c>
      <c r="BV23" s="21">
        <f t="shared" ca="1" si="25"/>
        <v>0</v>
      </c>
      <c r="BW23" s="21">
        <f t="shared" ca="1" si="26"/>
        <v>0</v>
      </c>
      <c r="BX23" s="21">
        <f t="shared" ca="1" si="27"/>
        <v>0</v>
      </c>
      <c r="BY23" s="21">
        <f t="shared" ca="1" si="28"/>
        <v>0</v>
      </c>
      <c r="BZ23" s="21">
        <f t="shared" ca="1" si="29"/>
        <v>0</v>
      </c>
      <c r="CA23" s="21" t="str">
        <f t="shared" ca="1" si="30"/>
        <v>4:AS3,</v>
      </c>
      <c r="CB23" s="21" t="str">
        <f t="shared" ca="1" si="31"/>
        <v>6:AS3,</v>
      </c>
      <c r="CC23" s="21" t="str">
        <f t="shared" ca="1" si="32"/>
        <v>3:AS3,</v>
      </c>
      <c r="CD23" s="21" t="str">
        <f t="shared" ca="1" si="33"/>
        <v>0:AS1,AS3,AS32,</v>
      </c>
      <c r="CE23" s="21" t="str">
        <f t="shared" ca="1" si="34"/>
        <v>0:AS1,AS3,AS32,</v>
      </c>
      <c r="CF23" s="21">
        <f t="shared" ca="1" si="35"/>
        <v>4</v>
      </c>
      <c r="CG23" s="21">
        <f t="shared" ca="1" si="36"/>
        <v>6</v>
      </c>
      <c r="CH23" s="21">
        <f t="shared" ca="1" si="37"/>
        <v>3</v>
      </c>
      <c r="CI23" s="21">
        <f t="shared" ca="1" si="38"/>
        <v>0</v>
      </c>
      <c r="CJ23" s="21">
        <f t="shared" ca="1" si="39"/>
        <v>0</v>
      </c>
      <c r="CK23" s="21">
        <f t="shared" ca="1" si="23"/>
        <v>13</v>
      </c>
      <c r="CL23" s="21" t="str">
        <f ca="1">IFERROR(VLOOKUP($CK23,Definitions!$V:$W,COLUMNS(Definitions!$V:$W),TRUE),"")</f>
        <v>Enhanced-Basic</v>
      </c>
      <c r="CM23" s="21" t="str">
        <f ca="1">_xlfn.LET(_xlpm._comments,SimpleLookup($A23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3" s="21" t="str" cm="1">
        <f t="array" ca="1" aca="1" ref="CN23">_xlfn.LET(_xlpm._rapRange,Definitions!$W:$W,_xlpm._calculatedRAP,$CL23,_xlpm._inlineRAP,$CM23,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23" s="21" t="str">
        <f ca="1">IFERROR(IF(OR($BP23="",$CN23=""),Definitions!$AE$4,VLOOKUP($BP23,Definitions!$AH:$AM,MATCH($CN23,Definitions!$AH$3:$AM$3,0),FALSE)),"")</f>
        <v>Very High</v>
      </c>
      <c r="CP23" s="21" cm="1">
        <f t="array" ca="1" aca="1" ref="CP23">IF($CO23="",0,SimpleLookup($CO23,Definitions!$AE:$AF))</f>
        <v>4</v>
      </c>
      <c r="CQ23" s="21" t="b">
        <f ca="1">OR(AND($S23,$I23=Helper!$B$7),$I23&gt;Helper!$B$7)</f>
        <v>0</v>
      </c>
      <c r="CR23" s="21" t="str">
        <f t="shared" ca="1" si="24"/>
        <v/>
      </c>
      <c r="CS23" s="21" cm="1">
        <f t="array" ca="1" aca="1" ref="CS23">CreateID($CS$2,$CV:$CV,$CR23&lt;&gt;"")</f>
        <v>0</v>
      </c>
      <c r="CT23" s="21" t="str">
        <f ca="1">IF(IFERROR(MATCH(","&amp;A23&amp;",",'Risk Treatment'!$AT:$AT,0)&gt;0,FALSE),"",$A23)</f>
        <v>R1-3-32</v>
      </c>
      <c r="CU23" s="21" cm="1">
        <f t="array" ca="1" aca="1" ref="CU23">CreateID($CU$2,$CU:$CU,$CT23&lt;&gt;"")</f>
        <v>21</v>
      </c>
    </row>
    <row r="24" spans="1:99" ht="60">
      <c r="A24" s="33" t="str" cm="1">
        <f t="array" ca="1" aca="1" ref="A24">IF($B24="","","R"&amp;RemoveDelimiter(SUBSTITUTE(SUBSTITUTE($K24,"AS",""),",","-"),"-"))</f>
        <v>R2-3-32</v>
      </c>
      <c r="B24" s="33" t="str" cm="1">
        <f t="array" ca="1" aca="1" ref="B24">IF($L24="","",_xlfn.LET(_xlpm._finalAttackStep,$L24,_xlpm._prepAttacks,RemoveFirstElement(_xlpm._finalAttackStep&amp;","&amp;$K24),_xlpm._prepAttackNames,IFERROR(LookupNames(_xlpm._prepAttacks,'Attack Steps'!$A:$B),""),_xlpm._delimiter,REPT(CHAR(150),55),$L24&amp;" "&amp;SimpleLookup($L24,'Attack Steps'!$A:$B)&amp;IF(_xlpm._prepAttackNames="","",CHAR(10)&amp;_xlpm._delimiter&amp;CHAR(10)&amp;_xlpm._prepAttackNames)))</f>
        <v>AS32 Extracting or misusing acontis techonlogies GmbH IP
–––––––––––––––––––––––––––––––––––––––––––––––––––––––
AS2 Getting access to a wireless network,
AS3 Compromising the product using a software vulnerability</v>
      </c>
      <c r="C24" s="34" t="str" cm="1">
        <f t="array" ca="1" aca="1" ref="C24">IFERROR(LookupNames($M24,'Damage Scenarios'!$A:$V),"")</f>
        <v>DS3 Disclosure of acontis techonlogies GmbH IP (moderately innovative) [Medium],
DS12 IP (highly innovative) disclosed by manipulated product [High]</v>
      </c>
      <c r="D24" s="33" t="str">
        <f ca="1">IFERROR(IF($T24=0,"",INDEX(Definitions!$Q:$Q,MATCH($T24,Definitions!$R:$R,0))),"")</f>
        <v>High</v>
      </c>
      <c r="E24" s="34" t="str" cm="1">
        <f t="array" ca="1" aca="1" ref="E24">IF($A24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24,$A:W,Definitions!$Y:$Y,Definitions!$AB:$AB,1)&amp;CHAR(10)&amp;_xlpm._factorFunction($A24,$A:X,Definitions!$Y:$Y,Definitions!$AB:$AB,2)&amp;CHAR(10)&amp;_xlpm._factorFunction($A24,$A:Y,Definitions!$Y:$Y,Definitions!$AB:$AB,3)&amp;CHAR(10)&amp;_xlpm._factorFunction($A24,$A:Z,Definitions!$Y:$Y,Definitions!$AB:$AB,4)&amp;CHAR(10)&amp;_xlpm._factorFunction($A24,$A:AA,Definitions!$Y:$Y,Definitions!$AB:$AB,5)))</f>
        <v>Elapsed Time [4]: AS3
Expertise [6]: AS3
Knowledge of TOE [3]: AS3
Window of Opportunity [1]: AS2
Equipment [0]: AS2, AS3, AS32</v>
      </c>
      <c r="F24" s="33" t="str">
        <f ca="1">IF($A24="","",IFERROR(VLOOKUP($AG24,Definitions!$V:$W,COLUMNS(Definitions!$V:$W),TRUE),""))</f>
        <v>Moderate</v>
      </c>
      <c r="G24" s="33" t="str">
        <f ca="1">IFERROR(IF(OR($D24="",$F24=""),"",VLOOKUP($D24,Definitions!$AH:$AM,MATCH($F24,Definitions!$AH$3:$AM$3,0),FALSE)),"")</f>
        <v>High</v>
      </c>
      <c r="H24" s="23" cm="1">
        <f t="array" ca="1" aca="1" ref="H24">IF(ROW()=ROW($H$2)+1,0,INDEX($H:$H,ROW()-1))+IF($A24="",0,1)</f>
        <v>22</v>
      </c>
      <c r="I24" s="21" cm="1">
        <f t="array" ca="1" aca="1" ref="I24">IF(ROW()=ROW($I$2)+1,1,INDEX($I:$I,ROW()-1)+IF(INDEX($S:$S,ROW()-1),1,0))</f>
        <v>12</v>
      </c>
      <c r="J24" s="21">
        <f t="shared" ca="1" si="0"/>
        <v>2</v>
      </c>
      <c r="K24" s="21" t="str">
        <f t="shared" ca="1" si="40"/>
        <v>AS2,AS3,AS32,</v>
      </c>
      <c r="L24" s="21" t="str" cm="1">
        <f t="array" ca="1" aca="1" ref="L24">IF($P24="","",INDEX('Attack Steps'!$A:$A,$P24))</f>
        <v>AS32</v>
      </c>
      <c r="M24" s="21" t="str" cm="1">
        <f t="array" ca="1" aca="1" ref="M24">IF($P24="","",INDEX('Attack Steps'!$T:$T,$P24))</f>
        <v>DS3,DS12,</v>
      </c>
      <c r="N24" s="21" t="str" cm="1">
        <f t="array" ca="1" aca="1" ref="N24">_xlfn.LET(_xlpm._dm,SanitizeInput(GetValuesWithFallback(SanitizeInput($AK24),Assumptions!$A:$I,Countermeasures!$A:$I,"",",",FALSE)),IF(_xlpm._dm="","",","&amp;_xlpm._dm))</f>
        <v/>
      </c>
      <c r="O24" s="21" t="str" cm="1">
        <f t="array" ca="1" aca="1" ref="O24">ApplyDamageMitigation($M24,$N24,"")</f>
        <v>DS3,DS12,</v>
      </c>
      <c r="P24" s="21">
        <f ca="1">IFERROR(MATCH($I24,'Attack Steps'!$V:$V,0),"")</f>
        <v>34</v>
      </c>
      <c r="Q24" s="21" t="str" cm="1">
        <f t="array" ca="1" aca="1" ref="Q24">IF($P24="","","§"&amp;INDEX('Attack Steps'!$S:$S,$P24))</f>
        <v>§AS1,AS3,AS32,§AS2,AS3,AS32,§AS1,AS5,AS32,§AS2,AS5,AS32,§AS1,AS7,AS32,§AS2,AS7,AS32,§AS1,AS16,AS32,§AS2,AS16,AS32,§AS21,AS23,AS32,§AS22,AS23,AS32,§AS21,AS24,AS32,§AS22,AS24,AS32,§AS1,AS29,AS32,§AS2,AS29,AS32,§</v>
      </c>
      <c r="R24" s="21" cm="1">
        <f t="array" ca="1" aca="1" ref="R24">IF($P24="","",INDEX('Attack Steps'!$W:$W,$P24))</f>
        <v>14</v>
      </c>
      <c r="S24" s="21" t="b">
        <f t="shared" ca="1" si="41"/>
        <v>0</v>
      </c>
      <c r="T24" s="21" cm="1">
        <f t="array" ca="1" aca="1" ref="T24">_xlfn.LAMBDA(_xlpm._in,_xlpm._val,_xlpm._range,IF(_xlpm._in="",_xlpm._val,_xlfn.LET(_xlpm._id,LEFT(_xlpm._in,FIND(",",_xlpm._in)-1),CalculateMaxFromList(RemoveFirstElement(_xlpm._in),MAX(_xlpm._val,VLOOKUP(_xlpm._id,_xlpm._range,COLUMNS(_xlpm._range),FALSE)),_xlpm._range))))($M24,0,'Damage Scenarios'!$A:$U)</f>
        <v>4</v>
      </c>
      <c r="U24" s="21" cm="1">
        <f t="array" ca="1" aca="1" ref="U24">CalculateMaxFromList($O24,0,'Damage Scenarios'!$A:$U)</f>
        <v>4</v>
      </c>
      <c r="V24" s="21" t="str">
        <f ca="1">IF($U24=0,"",INDEX(Definitions!$Q:$Q,MATCH($U24,Definitions!$R:$R,0)))</f>
        <v>High</v>
      </c>
      <c r="W24" s="21" t="str" cm="1">
        <f t="array" ca="1" aca="1" ref="W24">CalculateMaxAndElements($K24,0,"",'Attack Steps'!$A:X)</f>
        <v>4:AS3,</v>
      </c>
      <c r="X24" s="21" t="str" cm="1">
        <f t="array" ca="1" aca="1" ref="X24">CalculateMaxAndElements($K24,0,"",'Attack Steps'!$A:Y)</f>
        <v>6:AS3,</v>
      </c>
      <c r="Y24" s="21" t="str" cm="1">
        <f t="array" ca="1" aca="1" ref="Y24">CalculateMaxAndElements($K24,0,"",'Attack Steps'!$A:Z)</f>
        <v>3:AS3,</v>
      </c>
      <c r="Z24" s="21" t="str" cm="1">
        <f t="array" ca="1" aca="1" ref="Z24">CalculateMaxAndElements($K24,0,"",'Attack Steps'!$A:AA)</f>
        <v>1:AS2,</v>
      </c>
      <c r="AA24" s="21" t="str" cm="1">
        <f t="array" ca="1" aca="1" ref="AA24">CalculateMaxAndElements($K24,0,"",'Attack Steps'!$A:AB)</f>
        <v>0:AS2,AS3,AS32,</v>
      </c>
      <c r="AB24" s="21">
        <f t="shared" ca="1" si="42"/>
        <v>4</v>
      </c>
      <c r="AC24" s="21">
        <f t="shared" ca="1" si="43"/>
        <v>6</v>
      </c>
      <c r="AD24" s="21">
        <f t="shared" ca="1" si="44"/>
        <v>3</v>
      </c>
      <c r="AE24" s="21">
        <f t="shared" ca="1" si="45"/>
        <v>1</v>
      </c>
      <c r="AF24" s="21">
        <f t="shared" ca="1" si="46"/>
        <v>0</v>
      </c>
      <c r="AG24" s="21">
        <f t="shared" ca="1" si="3"/>
        <v>14</v>
      </c>
      <c r="AH24" s="21" t="str" cm="1">
        <f t="array" ca="1" aca="1" ref="AH24">IF(ROW()=ROW($AH$2)+1,"",INDEX($AH:$AH,ROW()-1))&amp;IF($A24="","",$A24&amp;",")</f>
        <v>R1-3,R2-3,R1-4,R2-4,R1-6,R2-6,R1-7,R2-7,R1-3-10,R2-3-10,R1-3-11,R2-3-11,R1-14,R1-16,R2-16,R21-23,R22-23,R1-29,R2-29,R31,R1-3-32,R2-3-32,</v>
      </c>
      <c r="AI24" s="21" t="str">
        <f t="shared" ca="1" si="47"/>
        <v>,AS2,AS3,AS32,</v>
      </c>
      <c r="AJ24" s="21" cm="1">
        <f t="array" ca="1" aca="1" ref="AJ24">IF($G24="",0,SimpleLookup($G24,Definitions!$AE:$AF))</f>
        <v>3</v>
      </c>
      <c r="AK24" s="21" t="str" cm="1">
        <f t="array" ca="1" aca="1" ref="AK24">InverseLookup($A24,Mitigation!$U$2,Mitigation!$J$2,1,Helper!$B$5,",")</f>
        <v/>
      </c>
      <c r="AL24" s="21" t="str" cm="1">
        <f t="array" ca="1" aca="1" ref="AL24">CalculateMaxAndElementsWithFallback(SanitizeInput($AK24),0,"",Countermeasures!$A:Y,Assumptions!$A:Z)</f>
        <v>0:</v>
      </c>
      <c r="AM24" s="21" t="str" cm="1">
        <f t="array" ca="1" aca="1" ref="AM24">CalculateMaxAndElementsWithFallback(SanitizeInput($AK24),0,"",Countermeasures!$A:Z,Assumptions!$A:AA)</f>
        <v>0:</v>
      </c>
      <c r="AN24" s="21" t="str" cm="1">
        <f t="array" ca="1" aca="1" ref="AN24">CalculateMaxAndElementsWithFallback(SanitizeInput($AK24),0,"",Countermeasures!$A:AA,Assumptions!$A:AB)</f>
        <v>0:</v>
      </c>
      <c r="AO24" s="21" t="str" cm="1">
        <f t="array" ca="1" aca="1" ref="AO24">CalculateMaxAndElementsWithFallback(SanitizeInput($AK24),0,"",Countermeasures!$A:AB,Assumptions!$A:AC)</f>
        <v>0:</v>
      </c>
      <c r="AP24" s="21" t="str" cm="1">
        <f t="array" ca="1" aca="1" ref="AP24">CalculateMaxAndElementsWithFallback(SanitizeInput($AK24),0,"",Countermeasures!$A:AC,Assumptions!$A:AD)</f>
        <v>0:</v>
      </c>
      <c r="AQ24" s="21">
        <f t="shared" ca="1" si="48"/>
        <v>0</v>
      </c>
      <c r="AR24" s="21">
        <f t="shared" ca="1" si="49"/>
        <v>0</v>
      </c>
      <c r="AS24" s="21">
        <f t="shared" ca="1" si="50"/>
        <v>0</v>
      </c>
      <c r="AT24" s="21">
        <f t="shared" ca="1" si="51"/>
        <v>0</v>
      </c>
      <c r="AU24" s="21">
        <f t="shared" ca="1" si="52"/>
        <v>0</v>
      </c>
      <c r="AV24" s="21" t="str">
        <f t="shared" ca="1" si="53"/>
        <v>4:AS3,</v>
      </c>
      <c r="AW24" s="21" t="str">
        <f t="shared" ca="1" si="54"/>
        <v>6:AS3,</v>
      </c>
      <c r="AX24" s="21" t="str">
        <f t="shared" ca="1" si="55"/>
        <v>3:AS3,</v>
      </c>
      <c r="AY24" s="21" t="str">
        <f t="shared" ca="1" si="56"/>
        <v>1:AS2,</v>
      </c>
      <c r="AZ24" s="21" t="str">
        <f t="shared" ca="1" si="57"/>
        <v>0:AS2,AS3,AS32,</v>
      </c>
      <c r="BA24" s="21">
        <f t="shared" ca="1" si="58"/>
        <v>4</v>
      </c>
      <c r="BB24" s="21">
        <f t="shared" ca="1" si="59"/>
        <v>6</v>
      </c>
      <c r="BC24" s="21">
        <f t="shared" ca="1" si="60"/>
        <v>3</v>
      </c>
      <c r="BD24" s="21">
        <f t="shared" ca="1" si="61"/>
        <v>1</v>
      </c>
      <c r="BE24" s="21">
        <f t="shared" ca="1" si="62"/>
        <v>0</v>
      </c>
      <c r="BF24" s="21">
        <f t="shared" ca="1" si="9"/>
        <v>14</v>
      </c>
      <c r="BG24" s="21" t="str">
        <f ca="1">IFERROR(VLOOKUP($BF24,Definitions!$V:$W,COLUMNS(Definitions!$V:$W),TRUE),"")</f>
        <v>Moderate</v>
      </c>
      <c r="BH24" s="21" t="str">
        <f ca="1">_xlfn.LET(_xlpm._comments,GetValues($K24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4" s="21" t="str" cm="1">
        <f t="array" ca="1" aca="1" ref="BI24">_xlfn.LET(_xlpm._rapRange,Definitions!$W:$W,_xlpm._calculatedRAP,$BG24,_xlpm._inlineRAP,$BH24,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BJ24" s="21" t="str">
        <f ca="1">IFERROR(IF(OR($V24="",$BI24=""),Definitions!$AE$4,VLOOKUP($V24,Definitions!$AH:$AM,MATCH($BI24,Definitions!$AH$3:$AM$3,0),FALSE)),"")</f>
        <v>High</v>
      </c>
      <c r="BK24" s="21" cm="1">
        <f t="array" ca="1" aca="1" ref="BK24">IF($BJ24="",0,SimpleLookup($BJ24,Definitions!$AE:$AF))</f>
        <v>3</v>
      </c>
      <c r="BL24" s="21" t="str" cm="1">
        <f t="array" ca="1" aca="1" ref="BL24">IFERROR(SimpleLookup($A24,Tracing!$B:$Z),"")</f>
        <v/>
      </c>
      <c r="BM24" s="21" t="str" cm="1">
        <f t="array" ca="1" aca="1" ref="BM24">_xlfn.LET(_xlpm._dm,SanitizeInput(GetValuesWithFallback(SanitizeInput($BL24),Assumptions!$A:$I,Countermeasures!$A:$I,"",",",FALSE)),IF(_xlpm._dm="","",","&amp;_xlpm._dm))</f>
        <v/>
      </c>
      <c r="BN24" s="21" t="str" cm="1">
        <f t="array" ca="1" aca="1" ref="BN24">ApplyDamageMitigation($M24,$BM24,"")</f>
        <v>DS3,DS12,</v>
      </c>
      <c r="BO24" s="21" cm="1">
        <f t="array" ca="1" aca="1" ref="BO24">CalculateMaxFromList($BN24,0,'Damage Scenarios'!$A:$U)</f>
        <v>4</v>
      </c>
      <c r="BP24" s="21" t="str">
        <f ca="1">IF($BO24=0,"",INDEX(Definitions!$Q:$Q,MATCH($BO24,Definitions!$R:$R,0)))</f>
        <v>High</v>
      </c>
      <c r="BQ24" s="21" t="str" cm="1">
        <f t="array" ca="1" aca="1" ref="BQ24">CalculateMaxAndElementsWithFallback(SanitizeInput($BL24),0,"",Countermeasures!$A:Y,Assumptions!$A:Z)</f>
        <v>0:</v>
      </c>
      <c r="BR24" s="21" t="str" cm="1">
        <f t="array" ca="1" aca="1" ref="BR24">CalculateMaxAndElementsWithFallback(SanitizeInput($BL24),0,"",Countermeasures!$A:Z,Assumptions!$A:AA)</f>
        <v>0:</v>
      </c>
      <c r="BS24" s="21" t="str" cm="1">
        <f t="array" ca="1" aca="1" ref="BS24">CalculateMaxAndElementsWithFallback(SanitizeInput($BL24),0,"",Countermeasures!$A:AA,Assumptions!$A:AB)</f>
        <v>0:</v>
      </c>
      <c r="BT24" s="21" t="str" cm="1">
        <f t="array" ca="1" aca="1" ref="BT24">CalculateMaxAndElementsWithFallback(SanitizeInput($BL24),0,"",Countermeasures!$A:AB,Assumptions!$A:AC)</f>
        <v>0:</v>
      </c>
      <c r="BU24" s="21" t="str" cm="1">
        <f t="array" ca="1" aca="1" ref="BU24">CalculateMaxAndElementsWithFallback(SanitizeInput($BL24),0,"",Countermeasures!$A:AC,Assumptions!$A:AD)</f>
        <v>0:</v>
      </c>
      <c r="BV24" s="21">
        <f t="shared" ca="1" si="25"/>
        <v>0</v>
      </c>
      <c r="BW24" s="21">
        <f t="shared" ca="1" si="26"/>
        <v>0</v>
      </c>
      <c r="BX24" s="21">
        <f t="shared" ca="1" si="27"/>
        <v>0</v>
      </c>
      <c r="BY24" s="21">
        <f t="shared" ca="1" si="28"/>
        <v>0</v>
      </c>
      <c r="BZ24" s="21">
        <f t="shared" ca="1" si="29"/>
        <v>0</v>
      </c>
      <c r="CA24" s="21" t="str">
        <f t="shared" ca="1" si="30"/>
        <v>4:AS3,</v>
      </c>
      <c r="CB24" s="21" t="str">
        <f t="shared" ca="1" si="31"/>
        <v>6:AS3,</v>
      </c>
      <c r="CC24" s="21" t="str">
        <f t="shared" ca="1" si="32"/>
        <v>3:AS3,</v>
      </c>
      <c r="CD24" s="21" t="str">
        <f t="shared" ca="1" si="33"/>
        <v>1:AS2,</v>
      </c>
      <c r="CE24" s="21" t="str">
        <f t="shared" ca="1" si="34"/>
        <v>0:AS2,AS3,AS32,</v>
      </c>
      <c r="CF24" s="21">
        <f t="shared" ca="1" si="35"/>
        <v>4</v>
      </c>
      <c r="CG24" s="21">
        <f t="shared" ca="1" si="36"/>
        <v>6</v>
      </c>
      <c r="CH24" s="21">
        <f t="shared" ca="1" si="37"/>
        <v>3</v>
      </c>
      <c r="CI24" s="21">
        <f t="shared" ca="1" si="38"/>
        <v>1</v>
      </c>
      <c r="CJ24" s="21">
        <f t="shared" ca="1" si="39"/>
        <v>0</v>
      </c>
      <c r="CK24" s="21">
        <f t="shared" ca="1" si="23"/>
        <v>14</v>
      </c>
      <c r="CL24" s="21" t="str">
        <f ca="1">IFERROR(VLOOKUP($CK24,Definitions!$V:$W,COLUMNS(Definitions!$V:$W),TRUE),"")</f>
        <v>Moderate</v>
      </c>
      <c r="CM24" s="21" t="str">
        <f ca="1">_xlfn.LET(_xlpm._comments,SimpleLookup($A24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4" s="21" t="str" cm="1">
        <f t="array" ca="1" aca="1" ref="CN24">_xlfn.LET(_xlpm._rapRange,Definitions!$W:$W,_xlpm._calculatedRAP,$CL24,_xlpm._inlineRAP,$CM24,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CO24" s="21" t="str">
        <f ca="1">IFERROR(IF(OR($BP24="",$CN24=""),Definitions!$AE$4,VLOOKUP($BP24,Definitions!$AH:$AM,MATCH($CN24,Definitions!$AH$3:$AM$3,0),FALSE)),"")</f>
        <v>High</v>
      </c>
      <c r="CP24" s="21" cm="1">
        <f t="array" ca="1" aca="1" ref="CP24">IF($CO24="",0,SimpleLookup($CO24,Definitions!$AE:$AF))</f>
        <v>3</v>
      </c>
      <c r="CQ24" s="21" t="b">
        <f ca="1">OR(AND($S24,$I24=Helper!$B$7),$I24&gt;Helper!$B$7)</f>
        <v>0</v>
      </c>
      <c r="CR24" s="21" t="str">
        <f t="shared" ca="1" si="24"/>
        <v/>
      </c>
      <c r="CS24" s="21" cm="1">
        <f t="array" ca="1" aca="1" ref="CS24">CreateID($CS$2,$CV:$CV,$CR24&lt;&gt;"")</f>
        <v>0</v>
      </c>
      <c r="CT24" s="21" t="str">
        <f ca="1">IF(IFERROR(MATCH(","&amp;A24&amp;",",'Risk Treatment'!$AT:$AT,0)&gt;0,FALSE),"",$A24)</f>
        <v>R2-3-32</v>
      </c>
      <c r="CU24" s="21" cm="1">
        <f t="array" ca="1" aca="1" ref="CU24">CreateID($CU$2,$CU:$CU,$CT24&lt;&gt;"")</f>
        <v>22</v>
      </c>
    </row>
    <row r="25" spans="1:99" ht="60">
      <c r="A25" s="33" t="str" cm="1">
        <f t="array" ca="1" aca="1" ref="A25">IF($B25="","","R"&amp;RemoveDelimiter(SUBSTITUTE(SUBSTITUTE($K25,"AS",""),",","-"),"-"))</f>
        <v>R1-5-32</v>
      </c>
      <c r="B25" s="33" t="str" cm="1">
        <f t="array" ca="1" aca="1" ref="B25">IF($L25="","",_xlfn.LET(_xlpm._finalAttackStep,$L25,_xlpm._prepAttacks,RemoveFirstElement(_xlpm._finalAttackStep&amp;","&amp;$K25),_xlpm._prepAttackNames,IFERROR(LookupNames(_xlpm._prepAttacks,'Attack Steps'!$A:$B),""),_xlpm._delimiter,REPT(CHAR(150),55),$L25&amp;" "&amp;SimpleLookup($L25,'Attack Steps'!$A:$B)&amp;IF(_xlpm._prepAttackNames="","",CHAR(10)&amp;_xlpm._delimiter&amp;CHAR(10)&amp;_xlpm._prepAttackNames)))</f>
        <v>AS32 Extracting or misusing acontis techonlogies GmbH IP
–––––––––––––––––––––––––––––––––––––––––––––––––––––––
AS1 Getting access to a trusted operational environment,
AS5 Eavesdropping on the product's communication</v>
      </c>
      <c r="C25" s="34" t="str" cm="1">
        <f t="array" ca="1" aca="1" ref="C25">IFERROR(LookupNames($M25,'Damage Scenarios'!$A:$V),"")</f>
        <v>DS3 Disclosure of acontis techonlogies GmbH IP (moderately innovative) [Medium],
DS12 IP (highly innovative) disclosed by manipulated product [High]</v>
      </c>
      <c r="D25" s="33" t="str">
        <f ca="1">IFERROR(IF($T25=0,"",INDEX(Definitions!$Q:$Q,MATCH($T25,Definitions!$R:$R,0))),"")</f>
        <v>High</v>
      </c>
      <c r="E25" s="34" t="str" cm="1">
        <f t="array" ca="1" aca="1" ref="E25">IF($A25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25,$A:W,Definitions!$Y:$Y,Definitions!$AB:$AB,1)&amp;CHAR(10)&amp;_xlpm._factorFunction($A25,$A:X,Definitions!$Y:$Y,Definitions!$AB:$AB,2)&amp;CHAR(10)&amp;_xlpm._factorFunction($A25,$A:Y,Definitions!$Y:$Y,Definitions!$AB:$AB,3)&amp;CHAR(10)&amp;_xlpm._factorFunction($A25,$A:Z,Definitions!$Y:$Y,Definitions!$AB:$AB,4)&amp;CHAR(10)&amp;_xlpm._factorFunction($A25,$A:AA,Definitions!$Y:$Y,Definitions!$AB:$AB,5)))</f>
        <v>Elapsed Time [0]: AS1, AS5, AS32
Expertise [3]: AS5
Knowledge of TOE [0]: AS1, AS5, AS32
Window of Opportunity [0]: AS1, AS5, AS32
Equipment [0]: AS1, AS5, AS32</v>
      </c>
      <c r="F25" s="33" t="str">
        <f ca="1">IF($A25="","",IFERROR(VLOOKUP($AG25,Definitions!$V:$W,COLUMNS(Definitions!$V:$W),TRUE),""))</f>
        <v>Basic</v>
      </c>
      <c r="G25" s="33" t="str">
        <f ca="1">IFERROR(IF(OR($D25="",$F25=""),"",VLOOKUP($D25,Definitions!$AH:$AM,MATCH($F25,Definitions!$AH$3:$AM$3,0),FALSE)),"")</f>
        <v>Very High</v>
      </c>
      <c r="H25" s="23" cm="1">
        <f t="array" ca="1" aca="1" ref="H25">IF(ROW()=ROW($H$2)+1,0,INDEX($H:$H,ROW()-1))+IF($A25="",0,1)</f>
        <v>23</v>
      </c>
      <c r="I25" s="21" cm="1">
        <f t="array" ca="1" aca="1" ref="I25">IF(ROW()=ROW($I$2)+1,1,INDEX($I:$I,ROW()-1)+IF(INDEX($S:$S,ROW()-1),1,0))</f>
        <v>12</v>
      </c>
      <c r="J25" s="21">
        <f t="shared" ca="1" si="0"/>
        <v>3</v>
      </c>
      <c r="K25" s="21" t="str">
        <f t="shared" ca="1" si="40"/>
        <v>AS1,AS5,AS32,</v>
      </c>
      <c r="L25" s="21" t="str" cm="1">
        <f t="array" ca="1" aca="1" ref="L25">IF($P25="","",INDEX('Attack Steps'!$A:$A,$P25))</f>
        <v>AS32</v>
      </c>
      <c r="M25" s="21" t="str" cm="1">
        <f t="array" ca="1" aca="1" ref="M25">IF($P25="","",INDEX('Attack Steps'!$T:$T,$P25))</f>
        <v>DS3,DS12,</v>
      </c>
      <c r="N25" s="21" t="str" cm="1">
        <f t="array" ca="1" aca="1" ref="N25">_xlfn.LET(_xlpm._dm,SanitizeInput(GetValuesWithFallback(SanitizeInput($AK25),Assumptions!$A:$I,Countermeasures!$A:$I,"",",",FALSE)),IF(_xlpm._dm="","",","&amp;_xlpm._dm))</f>
        <v/>
      </c>
      <c r="O25" s="21" t="str" cm="1">
        <f t="array" ca="1" aca="1" ref="O25">ApplyDamageMitigation($M25,$N25,"")</f>
        <v>DS3,DS12,</v>
      </c>
      <c r="P25" s="21">
        <f ca="1">IFERROR(MATCH($I25,'Attack Steps'!$V:$V,0),"")</f>
        <v>34</v>
      </c>
      <c r="Q25" s="21" t="str" cm="1">
        <f t="array" ca="1" aca="1" ref="Q25">IF($P25="","","§"&amp;INDEX('Attack Steps'!$S:$S,$P25))</f>
        <v>§AS1,AS3,AS32,§AS2,AS3,AS32,§AS1,AS5,AS32,§AS2,AS5,AS32,§AS1,AS7,AS32,§AS2,AS7,AS32,§AS1,AS16,AS32,§AS2,AS16,AS32,§AS21,AS23,AS32,§AS22,AS23,AS32,§AS21,AS24,AS32,§AS22,AS24,AS32,§AS1,AS29,AS32,§AS2,AS29,AS32,§</v>
      </c>
      <c r="R25" s="21" cm="1">
        <f t="array" ca="1" aca="1" ref="R25">IF($P25="","",INDEX('Attack Steps'!$W:$W,$P25))</f>
        <v>14</v>
      </c>
      <c r="S25" s="21" t="b">
        <f t="shared" ca="1" si="41"/>
        <v>0</v>
      </c>
      <c r="T25" s="21" cm="1">
        <f t="array" ca="1" aca="1" ref="T25">_xlfn.LAMBDA(_xlpm._in,_xlpm._val,_xlpm._range,IF(_xlpm._in="",_xlpm._val,_xlfn.LET(_xlpm._id,LEFT(_xlpm._in,FIND(",",_xlpm._in)-1),CalculateMaxFromList(RemoveFirstElement(_xlpm._in),MAX(_xlpm._val,VLOOKUP(_xlpm._id,_xlpm._range,COLUMNS(_xlpm._range),FALSE)),_xlpm._range))))($M25,0,'Damage Scenarios'!$A:$U)</f>
        <v>4</v>
      </c>
      <c r="U25" s="21" cm="1">
        <f t="array" ca="1" aca="1" ref="U25">CalculateMaxFromList($O25,0,'Damage Scenarios'!$A:$U)</f>
        <v>4</v>
      </c>
      <c r="V25" s="21" t="str">
        <f ca="1">IF($U25=0,"",INDEX(Definitions!$Q:$Q,MATCH($U25,Definitions!$R:$R,0)))</f>
        <v>High</v>
      </c>
      <c r="W25" s="21" t="str" cm="1">
        <f t="array" ca="1" aca="1" ref="W25">CalculateMaxAndElements($K25,0,"",'Attack Steps'!$A:X)</f>
        <v>0:AS1,AS5,AS32,</v>
      </c>
      <c r="X25" s="21" t="str" cm="1">
        <f t="array" ca="1" aca="1" ref="X25">CalculateMaxAndElements($K25,0,"",'Attack Steps'!$A:Y)</f>
        <v>3:AS5,</v>
      </c>
      <c r="Y25" s="21" t="str" cm="1">
        <f t="array" ca="1" aca="1" ref="Y25">CalculateMaxAndElements($K25,0,"",'Attack Steps'!$A:Z)</f>
        <v>0:AS1,AS5,AS32,</v>
      </c>
      <c r="Z25" s="21" t="str" cm="1">
        <f t="array" ca="1" aca="1" ref="Z25">CalculateMaxAndElements($K25,0,"",'Attack Steps'!$A:AA)</f>
        <v>0:AS1,AS5,AS32,</v>
      </c>
      <c r="AA25" s="21" t="str" cm="1">
        <f t="array" ca="1" aca="1" ref="AA25">CalculateMaxAndElements($K25,0,"",'Attack Steps'!$A:AB)</f>
        <v>0:AS1,AS5,AS32,</v>
      </c>
      <c r="AB25" s="21">
        <f t="shared" ca="1" si="42"/>
        <v>0</v>
      </c>
      <c r="AC25" s="21">
        <f t="shared" ca="1" si="43"/>
        <v>3</v>
      </c>
      <c r="AD25" s="21">
        <f t="shared" ca="1" si="44"/>
        <v>0</v>
      </c>
      <c r="AE25" s="21">
        <f t="shared" ca="1" si="45"/>
        <v>0</v>
      </c>
      <c r="AF25" s="21">
        <f t="shared" ca="1" si="46"/>
        <v>0</v>
      </c>
      <c r="AG25" s="21">
        <f t="shared" ca="1" si="3"/>
        <v>3</v>
      </c>
      <c r="AH25" s="21" t="str" cm="1">
        <f t="array" ca="1" aca="1" ref="AH25">IF(ROW()=ROW($AH$2)+1,"",INDEX($AH:$AH,ROW()-1))&amp;IF($A25="","",$A25&amp;",")</f>
        <v>R1-3,R2-3,R1-4,R2-4,R1-6,R2-6,R1-7,R2-7,R1-3-10,R2-3-10,R1-3-11,R2-3-11,R1-14,R1-16,R2-16,R21-23,R22-23,R1-29,R2-29,R31,R1-3-32,R2-3-32,R1-5-32,</v>
      </c>
      <c r="AI25" s="21" t="str">
        <f t="shared" ca="1" si="47"/>
        <v>,AS1,AS5,AS32,</v>
      </c>
      <c r="AJ25" s="21" cm="1">
        <f t="array" ca="1" aca="1" ref="AJ25">IF($G25="",0,SimpleLookup($G25,Definitions!$AE:$AF))</f>
        <v>4</v>
      </c>
      <c r="AK25" s="21" t="str" cm="1">
        <f t="array" ca="1" aca="1" ref="AK25">InverseLookup($A25,Mitigation!$U$2,Mitigation!$J$2,1,Helper!$B$5,",")</f>
        <v/>
      </c>
      <c r="AL25" s="21" t="str" cm="1">
        <f t="array" ca="1" aca="1" ref="AL25">CalculateMaxAndElementsWithFallback(SanitizeInput($AK25),0,"",Countermeasures!$A:Y,Assumptions!$A:Z)</f>
        <v>0:</v>
      </c>
      <c r="AM25" s="21" t="str" cm="1">
        <f t="array" ca="1" aca="1" ref="AM25">CalculateMaxAndElementsWithFallback(SanitizeInput($AK25),0,"",Countermeasures!$A:Z,Assumptions!$A:AA)</f>
        <v>0:</v>
      </c>
      <c r="AN25" s="21" t="str" cm="1">
        <f t="array" ca="1" aca="1" ref="AN25">CalculateMaxAndElementsWithFallback(SanitizeInput($AK25),0,"",Countermeasures!$A:AA,Assumptions!$A:AB)</f>
        <v>0:</v>
      </c>
      <c r="AO25" s="21" t="str" cm="1">
        <f t="array" ca="1" aca="1" ref="AO25">CalculateMaxAndElementsWithFallback(SanitizeInput($AK25),0,"",Countermeasures!$A:AB,Assumptions!$A:AC)</f>
        <v>0:</v>
      </c>
      <c r="AP25" s="21" t="str" cm="1">
        <f t="array" ca="1" aca="1" ref="AP25">CalculateMaxAndElementsWithFallback(SanitizeInput($AK25),0,"",Countermeasures!$A:AC,Assumptions!$A:AD)</f>
        <v>0:</v>
      </c>
      <c r="AQ25" s="21">
        <f t="shared" ca="1" si="48"/>
        <v>0</v>
      </c>
      <c r="AR25" s="21">
        <f t="shared" ca="1" si="49"/>
        <v>0</v>
      </c>
      <c r="AS25" s="21">
        <f t="shared" ca="1" si="50"/>
        <v>0</v>
      </c>
      <c r="AT25" s="21">
        <f t="shared" ca="1" si="51"/>
        <v>0</v>
      </c>
      <c r="AU25" s="21">
        <f t="shared" ca="1" si="52"/>
        <v>0</v>
      </c>
      <c r="AV25" s="21" t="str">
        <f t="shared" ca="1" si="53"/>
        <v>0:AS1,AS5,AS32,</v>
      </c>
      <c r="AW25" s="21" t="str">
        <f t="shared" ca="1" si="54"/>
        <v>3:AS5,</v>
      </c>
      <c r="AX25" s="21" t="str">
        <f t="shared" ca="1" si="55"/>
        <v>0:AS1,AS5,AS32,</v>
      </c>
      <c r="AY25" s="21" t="str">
        <f t="shared" ca="1" si="56"/>
        <v>0:AS1,AS5,AS32,</v>
      </c>
      <c r="AZ25" s="21" t="str">
        <f t="shared" ca="1" si="57"/>
        <v>0:AS1,AS5,AS32,</v>
      </c>
      <c r="BA25" s="21">
        <f t="shared" ca="1" si="58"/>
        <v>0</v>
      </c>
      <c r="BB25" s="21">
        <f t="shared" ca="1" si="59"/>
        <v>3</v>
      </c>
      <c r="BC25" s="21">
        <f t="shared" ca="1" si="60"/>
        <v>0</v>
      </c>
      <c r="BD25" s="21">
        <f t="shared" ca="1" si="61"/>
        <v>0</v>
      </c>
      <c r="BE25" s="21">
        <f t="shared" ca="1" si="62"/>
        <v>0</v>
      </c>
      <c r="BF25" s="21">
        <f t="shared" ca="1" si="9"/>
        <v>3</v>
      </c>
      <c r="BG25" s="21" t="str">
        <f ca="1">IFERROR(VLOOKUP($BF25,Definitions!$V:$W,COLUMNS(Definitions!$V:$W),TRUE),"")</f>
        <v>Basic</v>
      </c>
      <c r="BH25" s="21" t="str">
        <f ca="1">_xlfn.LET(_xlpm._comments,GetValues($K25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5" s="21" t="str" cm="1">
        <f t="array" ca="1" aca="1" ref="BI25">_xlfn.LET(_xlpm._rapRange,Definitions!$W:$W,_xlpm._calculatedRAP,$BG25,_xlpm._inlineRAP,$BH25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25" s="21" t="str">
        <f ca="1">IFERROR(IF(OR($V25="",$BI25=""),Definitions!$AE$4,VLOOKUP($V25,Definitions!$AH:$AM,MATCH($BI25,Definitions!$AH$3:$AM$3,0),FALSE)),"")</f>
        <v>Very High</v>
      </c>
      <c r="BK25" s="21" cm="1">
        <f t="array" ca="1" aca="1" ref="BK25">IF($BJ25="",0,SimpleLookup($BJ25,Definitions!$AE:$AF))</f>
        <v>4</v>
      </c>
      <c r="BL25" s="21" t="str" cm="1">
        <f t="array" ca="1" aca="1" ref="BL25">IFERROR(SimpleLookup($A25,Tracing!$B:$Z),"")</f>
        <v/>
      </c>
      <c r="BM25" s="21" t="str" cm="1">
        <f t="array" ca="1" aca="1" ref="BM25">_xlfn.LET(_xlpm._dm,SanitizeInput(GetValuesWithFallback(SanitizeInput($BL25),Assumptions!$A:$I,Countermeasures!$A:$I,"",",",FALSE)),IF(_xlpm._dm="","",","&amp;_xlpm._dm))</f>
        <v/>
      </c>
      <c r="BN25" s="21" t="str" cm="1">
        <f t="array" ca="1" aca="1" ref="BN25">ApplyDamageMitigation($M25,$BM25,"")</f>
        <v>DS3,DS12,</v>
      </c>
      <c r="BO25" s="21" cm="1">
        <f t="array" ca="1" aca="1" ref="BO25">CalculateMaxFromList($BN25,0,'Damage Scenarios'!$A:$U)</f>
        <v>4</v>
      </c>
      <c r="BP25" s="21" t="str">
        <f ca="1">IF($BO25=0,"",INDEX(Definitions!$Q:$Q,MATCH($BO25,Definitions!$R:$R,0)))</f>
        <v>High</v>
      </c>
      <c r="BQ25" s="21" t="str" cm="1">
        <f t="array" ca="1" aca="1" ref="BQ25">CalculateMaxAndElementsWithFallback(SanitizeInput($BL25),0,"",Countermeasures!$A:Y,Assumptions!$A:Z)</f>
        <v>0:</v>
      </c>
      <c r="BR25" s="21" t="str" cm="1">
        <f t="array" ca="1" aca="1" ref="BR25">CalculateMaxAndElementsWithFallback(SanitizeInput($BL25),0,"",Countermeasures!$A:Z,Assumptions!$A:AA)</f>
        <v>0:</v>
      </c>
      <c r="BS25" s="21" t="str" cm="1">
        <f t="array" ca="1" aca="1" ref="BS25">CalculateMaxAndElementsWithFallback(SanitizeInput($BL25),0,"",Countermeasures!$A:AA,Assumptions!$A:AB)</f>
        <v>0:</v>
      </c>
      <c r="BT25" s="21" t="str" cm="1">
        <f t="array" ca="1" aca="1" ref="BT25">CalculateMaxAndElementsWithFallback(SanitizeInput($BL25),0,"",Countermeasures!$A:AB,Assumptions!$A:AC)</f>
        <v>0:</v>
      </c>
      <c r="BU25" s="21" t="str" cm="1">
        <f t="array" ca="1" aca="1" ref="BU25">CalculateMaxAndElementsWithFallback(SanitizeInput($BL25),0,"",Countermeasures!$A:AC,Assumptions!$A:AD)</f>
        <v>0:</v>
      </c>
      <c r="BV25" s="21">
        <f t="shared" ca="1" si="25"/>
        <v>0</v>
      </c>
      <c r="BW25" s="21">
        <f t="shared" ca="1" si="26"/>
        <v>0</v>
      </c>
      <c r="BX25" s="21">
        <f t="shared" ca="1" si="27"/>
        <v>0</v>
      </c>
      <c r="BY25" s="21">
        <f t="shared" ca="1" si="28"/>
        <v>0</v>
      </c>
      <c r="BZ25" s="21">
        <f t="shared" ca="1" si="29"/>
        <v>0</v>
      </c>
      <c r="CA25" s="21" t="str">
        <f t="shared" ca="1" si="30"/>
        <v>0:AS1,AS5,AS32,</v>
      </c>
      <c r="CB25" s="21" t="str">
        <f t="shared" ca="1" si="31"/>
        <v>3:AS5,</v>
      </c>
      <c r="CC25" s="21" t="str">
        <f t="shared" ca="1" si="32"/>
        <v>0:AS1,AS5,AS32,</v>
      </c>
      <c r="CD25" s="21" t="str">
        <f t="shared" ca="1" si="33"/>
        <v>0:AS1,AS5,AS32,</v>
      </c>
      <c r="CE25" s="21" t="str">
        <f t="shared" ca="1" si="34"/>
        <v>0:AS1,AS5,AS32,</v>
      </c>
      <c r="CF25" s="21">
        <f t="shared" ca="1" si="35"/>
        <v>0</v>
      </c>
      <c r="CG25" s="21">
        <f t="shared" ca="1" si="36"/>
        <v>3</v>
      </c>
      <c r="CH25" s="21">
        <f t="shared" ca="1" si="37"/>
        <v>0</v>
      </c>
      <c r="CI25" s="21">
        <f t="shared" ca="1" si="38"/>
        <v>0</v>
      </c>
      <c r="CJ25" s="21">
        <f t="shared" ca="1" si="39"/>
        <v>0</v>
      </c>
      <c r="CK25" s="21">
        <f t="shared" ca="1" si="23"/>
        <v>3</v>
      </c>
      <c r="CL25" s="21" t="str">
        <f ca="1">IFERROR(VLOOKUP($CK25,Definitions!$V:$W,COLUMNS(Definitions!$V:$W),TRUE),"")</f>
        <v>Basic</v>
      </c>
      <c r="CM25" s="21" t="str">
        <f ca="1">_xlfn.LET(_xlpm._comments,SimpleLookup($A25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5" s="21" t="str" cm="1">
        <f t="array" ca="1" aca="1" ref="CN25">_xlfn.LET(_xlpm._rapRange,Definitions!$W:$W,_xlpm._calculatedRAP,$CL25,_xlpm._inlineRAP,$CM25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25" s="21" t="str">
        <f ca="1">IFERROR(IF(OR($BP25="",$CN25=""),Definitions!$AE$4,VLOOKUP($BP25,Definitions!$AH:$AM,MATCH($CN25,Definitions!$AH$3:$AM$3,0),FALSE)),"")</f>
        <v>Very High</v>
      </c>
      <c r="CP25" s="21" cm="1">
        <f t="array" ca="1" aca="1" ref="CP25">IF($CO25="",0,SimpleLookup($CO25,Definitions!$AE:$AF))</f>
        <v>4</v>
      </c>
      <c r="CQ25" s="21" t="b">
        <f ca="1">OR(AND($S25,$I25=Helper!$B$7),$I25&gt;Helper!$B$7)</f>
        <v>0</v>
      </c>
      <c r="CR25" s="21" t="str">
        <f t="shared" ca="1" si="24"/>
        <v/>
      </c>
      <c r="CS25" s="21" cm="1">
        <f t="array" ca="1" aca="1" ref="CS25">CreateID($CS$2,$CV:$CV,$CR25&lt;&gt;"")</f>
        <v>0</v>
      </c>
      <c r="CT25" s="21" t="str">
        <f ca="1">IF(IFERROR(MATCH(","&amp;A25&amp;",",'Risk Treatment'!$AT:$AT,0)&gt;0,FALSE),"",$A25)</f>
        <v>R1-5-32</v>
      </c>
      <c r="CU25" s="21" cm="1">
        <f t="array" ca="1" aca="1" ref="CU25">CreateID($CU$2,$CU:$CU,$CT25&lt;&gt;"")</f>
        <v>23</v>
      </c>
    </row>
    <row r="26" spans="1:99" ht="60">
      <c r="A26" s="33" t="str" cm="1">
        <f t="array" ca="1" aca="1" ref="A26">IF($B26="","","R"&amp;RemoveDelimiter(SUBSTITUTE(SUBSTITUTE($K26,"AS",""),",","-"),"-"))</f>
        <v>R2-5-32</v>
      </c>
      <c r="B26" s="33" t="str" cm="1">
        <f t="array" ca="1" aca="1" ref="B26">IF($L26="","",_xlfn.LET(_xlpm._finalAttackStep,$L26,_xlpm._prepAttacks,RemoveFirstElement(_xlpm._finalAttackStep&amp;","&amp;$K26),_xlpm._prepAttackNames,IFERROR(LookupNames(_xlpm._prepAttacks,'Attack Steps'!$A:$B),""),_xlpm._delimiter,REPT(CHAR(150),55),$L26&amp;" "&amp;SimpleLookup($L26,'Attack Steps'!$A:$B)&amp;IF(_xlpm._prepAttackNames="","",CHAR(10)&amp;_xlpm._delimiter&amp;CHAR(10)&amp;_xlpm._prepAttackNames)))</f>
        <v>AS32 Extracting or misusing acontis techonlogies GmbH IP
–––––––––––––––––––––––––––––––––––––––––––––––––––––––
AS2 Getting access to a wireless network,
AS5 Eavesdropping on the product's communication</v>
      </c>
      <c r="C26" s="34" t="str" cm="1">
        <f t="array" ca="1" aca="1" ref="C26">IFERROR(LookupNames($M26,'Damage Scenarios'!$A:$V),"")</f>
        <v>DS3 Disclosure of acontis techonlogies GmbH IP (moderately innovative) [Medium],
DS12 IP (highly innovative) disclosed by manipulated product [High]</v>
      </c>
      <c r="D26" s="33" t="str">
        <f ca="1">IFERROR(IF($T26=0,"",INDEX(Definitions!$Q:$Q,MATCH($T26,Definitions!$R:$R,0))),"")</f>
        <v>High</v>
      </c>
      <c r="E26" s="34" t="str" cm="1">
        <f t="array" ca="1" aca="1" ref="E26">IF($A26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26,$A:W,Definitions!$Y:$Y,Definitions!$AB:$AB,1)&amp;CHAR(10)&amp;_xlpm._factorFunction($A26,$A:X,Definitions!$Y:$Y,Definitions!$AB:$AB,2)&amp;CHAR(10)&amp;_xlpm._factorFunction($A26,$A:Y,Definitions!$Y:$Y,Definitions!$AB:$AB,3)&amp;CHAR(10)&amp;_xlpm._factorFunction($A26,$A:Z,Definitions!$Y:$Y,Definitions!$AB:$AB,4)&amp;CHAR(10)&amp;_xlpm._factorFunction($A26,$A:AA,Definitions!$Y:$Y,Definitions!$AB:$AB,5)))</f>
        <v>Elapsed Time [0]: AS2, AS5, AS32
Expertise [3]: AS2, AS5
Knowledge of TOE [0]: AS2, AS5, AS32
Window of Opportunity [1]: AS2
Equipment [0]: AS2, AS5, AS32</v>
      </c>
      <c r="F26" s="33" t="str">
        <f ca="1">IF($A26="","",IFERROR(VLOOKUP($AG26,Definitions!$V:$W,COLUMNS(Definitions!$V:$W),TRUE),""))</f>
        <v>Basic</v>
      </c>
      <c r="G26" s="33" t="str">
        <f ca="1">IFERROR(IF(OR($D26="",$F26=""),"",VLOOKUP($D26,Definitions!$AH:$AM,MATCH($F26,Definitions!$AH$3:$AM$3,0),FALSE)),"")</f>
        <v>Very High</v>
      </c>
      <c r="H26" s="23" cm="1">
        <f t="array" ca="1" aca="1" ref="H26">IF(ROW()=ROW($H$2)+1,0,INDEX($H:$H,ROW()-1))+IF($A26="",0,1)</f>
        <v>24</v>
      </c>
      <c r="I26" s="21" cm="1">
        <f t="array" ca="1" aca="1" ref="I26">IF(ROW()=ROW($I$2)+1,1,INDEX($I:$I,ROW()-1)+IF(INDEX($S:$S,ROW()-1),1,0))</f>
        <v>12</v>
      </c>
      <c r="J26" s="21">
        <f t="shared" ca="1" si="0"/>
        <v>4</v>
      </c>
      <c r="K26" s="21" t="str">
        <f t="shared" ca="1" si="40"/>
        <v>AS2,AS5,AS32,</v>
      </c>
      <c r="L26" s="21" t="str" cm="1">
        <f t="array" ca="1" aca="1" ref="L26">IF($P26="","",INDEX('Attack Steps'!$A:$A,$P26))</f>
        <v>AS32</v>
      </c>
      <c r="M26" s="21" t="str" cm="1">
        <f t="array" ca="1" aca="1" ref="M26">IF($P26="","",INDEX('Attack Steps'!$T:$T,$P26))</f>
        <v>DS3,DS12,</v>
      </c>
      <c r="N26" s="21" t="str" cm="1">
        <f t="array" ca="1" aca="1" ref="N26">_xlfn.LET(_xlpm._dm,SanitizeInput(GetValuesWithFallback(SanitizeInput($AK26),Assumptions!$A:$I,Countermeasures!$A:$I,"",",",FALSE)),IF(_xlpm._dm="","",","&amp;_xlpm._dm))</f>
        <v/>
      </c>
      <c r="O26" s="21" t="str" cm="1">
        <f t="array" ca="1" aca="1" ref="O26">ApplyDamageMitigation($M26,$N26,"")</f>
        <v>DS3,DS12,</v>
      </c>
      <c r="P26" s="21">
        <f ca="1">IFERROR(MATCH($I26,'Attack Steps'!$V:$V,0),"")</f>
        <v>34</v>
      </c>
      <c r="Q26" s="21" t="str" cm="1">
        <f t="array" ca="1" aca="1" ref="Q26">IF($P26="","","§"&amp;INDEX('Attack Steps'!$S:$S,$P26))</f>
        <v>§AS1,AS3,AS32,§AS2,AS3,AS32,§AS1,AS5,AS32,§AS2,AS5,AS32,§AS1,AS7,AS32,§AS2,AS7,AS32,§AS1,AS16,AS32,§AS2,AS16,AS32,§AS21,AS23,AS32,§AS22,AS23,AS32,§AS21,AS24,AS32,§AS22,AS24,AS32,§AS1,AS29,AS32,§AS2,AS29,AS32,§</v>
      </c>
      <c r="R26" s="21" cm="1">
        <f t="array" ca="1" aca="1" ref="R26">IF($P26="","",INDEX('Attack Steps'!$W:$W,$P26))</f>
        <v>14</v>
      </c>
      <c r="S26" s="21" t="b">
        <f t="shared" ca="1" si="41"/>
        <v>0</v>
      </c>
      <c r="T26" s="21" cm="1">
        <f t="array" ca="1" aca="1" ref="T26">_xlfn.LAMBDA(_xlpm._in,_xlpm._val,_xlpm._range,IF(_xlpm._in="",_xlpm._val,_xlfn.LET(_xlpm._id,LEFT(_xlpm._in,FIND(",",_xlpm._in)-1),CalculateMaxFromList(RemoveFirstElement(_xlpm._in),MAX(_xlpm._val,VLOOKUP(_xlpm._id,_xlpm._range,COLUMNS(_xlpm._range),FALSE)),_xlpm._range))))($M26,0,'Damage Scenarios'!$A:$U)</f>
        <v>4</v>
      </c>
      <c r="U26" s="21" cm="1">
        <f t="array" ca="1" aca="1" ref="U26">CalculateMaxFromList($O26,0,'Damage Scenarios'!$A:$U)</f>
        <v>4</v>
      </c>
      <c r="V26" s="21" t="str">
        <f ca="1">IF($U26=0,"",INDEX(Definitions!$Q:$Q,MATCH($U26,Definitions!$R:$R,0)))</f>
        <v>High</v>
      </c>
      <c r="W26" s="21" t="str" cm="1">
        <f t="array" ca="1" aca="1" ref="W26">CalculateMaxAndElements($K26,0,"",'Attack Steps'!$A:X)</f>
        <v>0:AS2,AS5,AS32,</v>
      </c>
      <c r="X26" s="21" t="str" cm="1">
        <f t="array" ca="1" aca="1" ref="X26">CalculateMaxAndElements($K26,0,"",'Attack Steps'!$A:Y)</f>
        <v>3:AS2,AS5,</v>
      </c>
      <c r="Y26" s="21" t="str" cm="1">
        <f t="array" ca="1" aca="1" ref="Y26">CalculateMaxAndElements($K26,0,"",'Attack Steps'!$A:Z)</f>
        <v>0:AS2,AS5,AS32,</v>
      </c>
      <c r="Z26" s="21" t="str" cm="1">
        <f t="array" ca="1" aca="1" ref="Z26">CalculateMaxAndElements($K26,0,"",'Attack Steps'!$A:AA)</f>
        <v>1:AS2,</v>
      </c>
      <c r="AA26" s="21" t="str" cm="1">
        <f t="array" ca="1" aca="1" ref="AA26">CalculateMaxAndElements($K26,0,"",'Attack Steps'!$A:AB)</f>
        <v>0:AS2,AS5,AS32,</v>
      </c>
      <c r="AB26" s="21">
        <f t="shared" ca="1" si="42"/>
        <v>0</v>
      </c>
      <c r="AC26" s="21">
        <f t="shared" ca="1" si="43"/>
        <v>3</v>
      </c>
      <c r="AD26" s="21">
        <f t="shared" ca="1" si="44"/>
        <v>0</v>
      </c>
      <c r="AE26" s="21">
        <f t="shared" ca="1" si="45"/>
        <v>1</v>
      </c>
      <c r="AF26" s="21">
        <f t="shared" ca="1" si="46"/>
        <v>0</v>
      </c>
      <c r="AG26" s="21">
        <f t="shared" ca="1" si="3"/>
        <v>4</v>
      </c>
      <c r="AH26" s="21" t="str" cm="1">
        <f t="array" ca="1" aca="1" ref="AH26">IF(ROW()=ROW($AH$2)+1,"",INDEX($AH:$AH,ROW()-1))&amp;IF($A26="","",$A26&amp;",")</f>
        <v>R1-3,R2-3,R1-4,R2-4,R1-6,R2-6,R1-7,R2-7,R1-3-10,R2-3-10,R1-3-11,R2-3-11,R1-14,R1-16,R2-16,R21-23,R22-23,R1-29,R2-29,R31,R1-3-32,R2-3-32,R1-5-32,R2-5-32,</v>
      </c>
      <c r="AI26" s="21" t="str">
        <f t="shared" ca="1" si="47"/>
        <v>,AS2,AS5,AS32,</v>
      </c>
      <c r="AJ26" s="21" cm="1">
        <f t="array" ca="1" aca="1" ref="AJ26">IF($G26="",0,SimpleLookup($G26,Definitions!$AE:$AF))</f>
        <v>4</v>
      </c>
      <c r="AK26" s="21" t="str" cm="1">
        <f t="array" ca="1" aca="1" ref="AK26">InverseLookup($A26,Mitigation!$U$2,Mitigation!$J$2,1,Helper!$B$5,",")</f>
        <v/>
      </c>
      <c r="AL26" s="21" t="str" cm="1">
        <f t="array" ca="1" aca="1" ref="AL26">CalculateMaxAndElementsWithFallback(SanitizeInput($AK26),0,"",Countermeasures!$A:Y,Assumptions!$A:Z)</f>
        <v>0:</v>
      </c>
      <c r="AM26" s="21" t="str" cm="1">
        <f t="array" ca="1" aca="1" ref="AM26">CalculateMaxAndElementsWithFallback(SanitizeInput($AK26),0,"",Countermeasures!$A:Z,Assumptions!$A:AA)</f>
        <v>0:</v>
      </c>
      <c r="AN26" s="21" t="str" cm="1">
        <f t="array" ca="1" aca="1" ref="AN26">CalculateMaxAndElementsWithFallback(SanitizeInput($AK26),0,"",Countermeasures!$A:AA,Assumptions!$A:AB)</f>
        <v>0:</v>
      </c>
      <c r="AO26" s="21" t="str" cm="1">
        <f t="array" ca="1" aca="1" ref="AO26">CalculateMaxAndElementsWithFallback(SanitizeInput($AK26),0,"",Countermeasures!$A:AB,Assumptions!$A:AC)</f>
        <v>0:</v>
      </c>
      <c r="AP26" s="21" t="str" cm="1">
        <f t="array" ca="1" aca="1" ref="AP26">CalculateMaxAndElementsWithFallback(SanitizeInput($AK26),0,"",Countermeasures!$A:AC,Assumptions!$A:AD)</f>
        <v>0:</v>
      </c>
      <c r="AQ26" s="21">
        <f t="shared" ca="1" si="48"/>
        <v>0</v>
      </c>
      <c r="AR26" s="21">
        <f t="shared" ca="1" si="49"/>
        <v>0</v>
      </c>
      <c r="AS26" s="21">
        <f t="shared" ca="1" si="50"/>
        <v>0</v>
      </c>
      <c r="AT26" s="21">
        <f t="shared" ca="1" si="51"/>
        <v>0</v>
      </c>
      <c r="AU26" s="21">
        <f t="shared" ca="1" si="52"/>
        <v>0</v>
      </c>
      <c r="AV26" s="21" t="str">
        <f t="shared" ca="1" si="53"/>
        <v>0:AS2,AS5,AS32,</v>
      </c>
      <c r="AW26" s="21" t="str">
        <f t="shared" ca="1" si="54"/>
        <v>3:AS2,AS5,</v>
      </c>
      <c r="AX26" s="21" t="str">
        <f t="shared" ca="1" si="55"/>
        <v>0:AS2,AS5,AS32,</v>
      </c>
      <c r="AY26" s="21" t="str">
        <f t="shared" ca="1" si="56"/>
        <v>1:AS2,</v>
      </c>
      <c r="AZ26" s="21" t="str">
        <f t="shared" ca="1" si="57"/>
        <v>0:AS2,AS5,AS32,</v>
      </c>
      <c r="BA26" s="21">
        <f t="shared" ca="1" si="58"/>
        <v>0</v>
      </c>
      <c r="BB26" s="21">
        <f t="shared" ca="1" si="59"/>
        <v>3</v>
      </c>
      <c r="BC26" s="21">
        <f t="shared" ca="1" si="60"/>
        <v>0</v>
      </c>
      <c r="BD26" s="21">
        <f t="shared" ca="1" si="61"/>
        <v>1</v>
      </c>
      <c r="BE26" s="21">
        <f t="shared" ca="1" si="62"/>
        <v>0</v>
      </c>
      <c r="BF26" s="21">
        <f t="shared" ca="1" si="9"/>
        <v>4</v>
      </c>
      <c r="BG26" s="21" t="str">
        <f ca="1">IFERROR(VLOOKUP($BF26,Definitions!$V:$W,COLUMNS(Definitions!$V:$W),TRUE),"")</f>
        <v>Basic</v>
      </c>
      <c r="BH26" s="21" t="str">
        <f ca="1">_xlfn.LET(_xlpm._comments,GetValues($K26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6" s="21" t="str" cm="1">
        <f t="array" ca="1" aca="1" ref="BI26">_xlfn.LET(_xlpm._rapRange,Definitions!$W:$W,_xlpm._calculatedRAP,$BG26,_xlpm._inlineRAP,$BH26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26" s="21" t="str">
        <f ca="1">IFERROR(IF(OR($V26="",$BI26=""),Definitions!$AE$4,VLOOKUP($V26,Definitions!$AH:$AM,MATCH($BI26,Definitions!$AH$3:$AM$3,0),FALSE)),"")</f>
        <v>Very High</v>
      </c>
      <c r="BK26" s="21" cm="1">
        <f t="array" ca="1" aca="1" ref="BK26">IF($BJ26="",0,SimpleLookup($BJ26,Definitions!$AE:$AF))</f>
        <v>4</v>
      </c>
      <c r="BL26" s="21" t="str" cm="1">
        <f t="array" ca="1" aca="1" ref="BL26">IFERROR(SimpleLookup($A26,Tracing!$B:$Z),"")</f>
        <v/>
      </c>
      <c r="BM26" s="21" t="str" cm="1">
        <f t="array" ca="1" aca="1" ref="BM26">_xlfn.LET(_xlpm._dm,SanitizeInput(GetValuesWithFallback(SanitizeInput($BL26),Assumptions!$A:$I,Countermeasures!$A:$I,"",",",FALSE)),IF(_xlpm._dm="","",","&amp;_xlpm._dm))</f>
        <v/>
      </c>
      <c r="BN26" s="21" t="str" cm="1">
        <f t="array" ca="1" aca="1" ref="BN26">ApplyDamageMitigation($M26,$BM26,"")</f>
        <v>DS3,DS12,</v>
      </c>
      <c r="BO26" s="21" cm="1">
        <f t="array" ca="1" aca="1" ref="BO26">CalculateMaxFromList($BN26,0,'Damage Scenarios'!$A:$U)</f>
        <v>4</v>
      </c>
      <c r="BP26" s="21" t="str">
        <f ca="1">IF($BO26=0,"",INDEX(Definitions!$Q:$Q,MATCH($BO26,Definitions!$R:$R,0)))</f>
        <v>High</v>
      </c>
      <c r="BQ26" s="21" t="str" cm="1">
        <f t="array" ca="1" aca="1" ref="BQ26">CalculateMaxAndElementsWithFallback(SanitizeInput($BL26),0,"",Countermeasures!$A:Y,Assumptions!$A:Z)</f>
        <v>0:</v>
      </c>
      <c r="BR26" s="21" t="str" cm="1">
        <f t="array" ca="1" aca="1" ref="BR26">CalculateMaxAndElementsWithFallback(SanitizeInput($BL26),0,"",Countermeasures!$A:Z,Assumptions!$A:AA)</f>
        <v>0:</v>
      </c>
      <c r="BS26" s="21" t="str" cm="1">
        <f t="array" ca="1" aca="1" ref="BS26">CalculateMaxAndElementsWithFallback(SanitizeInput($BL26),0,"",Countermeasures!$A:AA,Assumptions!$A:AB)</f>
        <v>0:</v>
      </c>
      <c r="BT26" s="21" t="str" cm="1">
        <f t="array" ca="1" aca="1" ref="BT26">CalculateMaxAndElementsWithFallback(SanitizeInput($BL26),0,"",Countermeasures!$A:AB,Assumptions!$A:AC)</f>
        <v>0:</v>
      </c>
      <c r="BU26" s="21" t="str" cm="1">
        <f t="array" ca="1" aca="1" ref="BU26">CalculateMaxAndElementsWithFallback(SanitizeInput($BL26),0,"",Countermeasures!$A:AC,Assumptions!$A:AD)</f>
        <v>0:</v>
      </c>
      <c r="BV26" s="21">
        <f t="shared" ca="1" si="25"/>
        <v>0</v>
      </c>
      <c r="BW26" s="21">
        <f t="shared" ca="1" si="26"/>
        <v>0</v>
      </c>
      <c r="BX26" s="21">
        <f t="shared" ca="1" si="27"/>
        <v>0</v>
      </c>
      <c r="BY26" s="21">
        <f t="shared" ca="1" si="28"/>
        <v>0</v>
      </c>
      <c r="BZ26" s="21">
        <f t="shared" ca="1" si="29"/>
        <v>0</v>
      </c>
      <c r="CA26" s="21" t="str">
        <f t="shared" ca="1" si="30"/>
        <v>0:AS2,AS5,AS32,</v>
      </c>
      <c r="CB26" s="21" t="str">
        <f t="shared" ca="1" si="31"/>
        <v>3:AS2,AS5,</v>
      </c>
      <c r="CC26" s="21" t="str">
        <f t="shared" ca="1" si="32"/>
        <v>0:AS2,AS5,AS32,</v>
      </c>
      <c r="CD26" s="21" t="str">
        <f t="shared" ca="1" si="33"/>
        <v>1:AS2,</v>
      </c>
      <c r="CE26" s="21" t="str">
        <f t="shared" ca="1" si="34"/>
        <v>0:AS2,AS5,AS32,</v>
      </c>
      <c r="CF26" s="21">
        <f t="shared" ca="1" si="35"/>
        <v>0</v>
      </c>
      <c r="CG26" s="21">
        <f t="shared" ca="1" si="36"/>
        <v>3</v>
      </c>
      <c r="CH26" s="21">
        <f t="shared" ca="1" si="37"/>
        <v>0</v>
      </c>
      <c r="CI26" s="21">
        <f t="shared" ca="1" si="38"/>
        <v>1</v>
      </c>
      <c r="CJ26" s="21">
        <f t="shared" ca="1" si="39"/>
        <v>0</v>
      </c>
      <c r="CK26" s="21">
        <f t="shared" ca="1" si="23"/>
        <v>4</v>
      </c>
      <c r="CL26" s="21" t="str">
        <f ca="1">IFERROR(VLOOKUP($CK26,Definitions!$V:$W,COLUMNS(Definitions!$V:$W),TRUE),"")</f>
        <v>Basic</v>
      </c>
      <c r="CM26" s="21" t="str">
        <f ca="1">_xlfn.LET(_xlpm._comments,SimpleLookup($A26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6" s="21" t="str" cm="1">
        <f t="array" ca="1" aca="1" ref="CN26">_xlfn.LET(_xlpm._rapRange,Definitions!$W:$W,_xlpm._calculatedRAP,$CL26,_xlpm._inlineRAP,$CM26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26" s="21" t="str">
        <f ca="1">IFERROR(IF(OR($BP26="",$CN26=""),Definitions!$AE$4,VLOOKUP($BP26,Definitions!$AH:$AM,MATCH($CN26,Definitions!$AH$3:$AM$3,0),FALSE)),"")</f>
        <v>Very High</v>
      </c>
      <c r="CP26" s="21" cm="1">
        <f t="array" ca="1" aca="1" ref="CP26">IF($CO26="",0,SimpleLookup($CO26,Definitions!$AE:$AF))</f>
        <v>4</v>
      </c>
      <c r="CQ26" s="21" t="b">
        <f ca="1">OR(AND($S26,$I26=Helper!$B$7),$I26&gt;Helper!$B$7)</f>
        <v>0</v>
      </c>
      <c r="CR26" s="21" t="str">
        <f t="shared" ca="1" si="24"/>
        <v/>
      </c>
      <c r="CS26" s="21" cm="1">
        <f t="array" ca="1" aca="1" ref="CS26">CreateID($CS$2,$CV:$CV,$CR26&lt;&gt;"")</f>
        <v>0</v>
      </c>
      <c r="CT26" s="21" t="str">
        <f ca="1">IF(IFERROR(MATCH(","&amp;A26&amp;",",'Risk Treatment'!$AT:$AT,0)&gt;0,FALSE),"",$A26)</f>
        <v>R2-5-32</v>
      </c>
      <c r="CU26" s="21" cm="1">
        <f t="array" ca="1" aca="1" ref="CU26">CreateID($CU$2,$CU:$CU,$CT26&lt;&gt;"")</f>
        <v>24</v>
      </c>
    </row>
    <row r="27" spans="1:99" ht="75">
      <c r="A27" s="33" t="str" cm="1">
        <f t="array" ca="1" aca="1" ref="A27">IF($B27="","","R"&amp;RemoveDelimiter(SUBSTITUTE(SUBSTITUTE($K27,"AS",""),",","-"),"-"))</f>
        <v>R1-7-32</v>
      </c>
      <c r="B27" s="33" t="str" cm="1">
        <f t="array" ca="1" aca="1" ref="B27">IF($L27="","",_xlfn.LET(_xlpm._finalAttackStep,$L27,_xlpm._prepAttacks,RemoveFirstElement(_xlpm._finalAttackStep&amp;","&amp;$K27),_xlpm._prepAttackNames,IFERROR(LookupNames(_xlpm._prepAttacks,'Attack Steps'!$A:$B),""),_xlpm._delimiter,REPT(CHAR(150),55),$L27&amp;" "&amp;SimpleLookup($L27,'Attack Steps'!$A:$B)&amp;IF(_xlpm._prepAttackNames="","",CHAR(10)&amp;_xlpm._delimiter&amp;CHAR(10)&amp;_xlpm._prepAttackNames)))</f>
        <v>AS32 Extracting or misusing acontis techonlogies GmbH IP
–––––––––––––––––––––––––––––––––––––––––––––––––––––––
AS1 Getting access to a trusted operational environment,
AS7 Spoofing / tampering with the product's incoming communication</v>
      </c>
      <c r="C27" s="34" t="str" cm="1">
        <f t="array" ca="1" aca="1" ref="C27">IFERROR(LookupNames($M27,'Damage Scenarios'!$A:$V),"")</f>
        <v>DS3 Disclosure of acontis techonlogies GmbH IP (moderately innovative) [Medium],
DS12 IP (highly innovative) disclosed by manipulated product [High]</v>
      </c>
      <c r="D27" s="33" t="str">
        <f ca="1">IFERROR(IF($T27=0,"",INDEX(Definitions!$Q:$Q,MATCH($T27,Definitions!$R:$R,0))),"")</f>
        <v>High</v>
      </c>
      <c r="E27" s="34" t="str" cm="1">
        <f t="array" ca="1" aca="1" ref="E27">IF($A27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27,$A:W,Definitions!$Y:$Y,Definitions!$AB:$AB,1)&amp;CHAR(10)&amp;_xlpm._factorFunction($A27,$A:X,Definitions!$Y:$Y,Definitions!$AB:$AB,2)&amp;CHAR(10)&amp;_xlpm._factorFunction($A27,$A:Y,Definitions!$Y:$Y,Definitions!$AB:$AB,3)&amp;CHAR(10)&amp;_xlpm._factorFunction($A27,$A:Z,Definitions!$Y:$Y,Definitions!$AB:$AB,4)&amp;CHAR(10)&amp;_xlpm._factorFunction($A27,$A:AA,Definitions!$Y:$Y,Definitions!$AB:$AB,5)))</f>
        <v>Elapsed Time [1]: AS7
Expertise [6]: AS7
Knowledge of TOE [3]: AS7
Window of Opportunity [0]: AS1, AS7, AS32
Equipment [0]: AS1, AS7, AS32</v>
      </c>
      <c r="F27" s="33" t="str">
        <f ca="1">IF($A27="","",IFERROR(VLOOKUP($AG27,Definitions!$V:$W,COLUMNS(Definitions!$V:$W),TRUE),""))</f>
        <v>Enhanced-Basic</v>
      </c>
      <c r="G27" s="33" t="str">
        <f ca="1">IFERROR(IF(OR($D27="",$F27=""),"",VLOOKUP($D27,Definitions!$AH:$AM,MATCH($F27,Definitions!$AH$3:$AM$3,0),FALSE)),"")</f>
        <v>Very High</v>
      </c>
      <c r="H27" s="23" cm="1">
        <f t="array" ca="1" aca="1" ref="H27">IF(ROW()=ROW($H$2)+1,0,INDEX($H:$H,ROW()-1))+IF($A27="",0,1)</f>
        <v>25</v>
      </c>
      <c r="I27" s="21" cm="1">
        <f t="array" ca="1" aca="1" ref="I27">IF(ROW()=ROW($I$2)+1,1,INDEX($I:$I,ROW()-1)+IF(INDEX($S:$S,ROW()-1),1,0))</f>
        <v>12</v>
      </c>
      <c r="J27" s="21">
        <f t="shared" ca="1" si="0"/>
        <v>5</v>
      </c>
      <c r="K27" s="21" t="str">
        <f t="shared" ca="1" si="40"/>
        <v>AS1,AS7,AS32,</v>
      </c>
      <c r="L27" s="21" t="str" cm="1">
        <f t="array" ca="1" aca="1" ref="L27">IF($P27="","",INDEX('Attack Steps'!$A:$A,$P27))</f>
        <v>AS32</v>
      </c>
      <c r="M27" s="21" t="str" cm="1">
        <f t="array" ca="1" aca="1" ref="M27">IF($P27="","",INDEX('Attack Steps'!$T:$T,$P27))</f>
        <v>DS3,DS12,</v>
      </c>
      <c r="N27" s="21" t="str" cm="1">
        <f t="array" ca="1" aca="1" ref="N27">_xlfn.LET(_xlpm._dm,SanitizeInput(GetValuesWithFallback(SanitizeInput($AK27),Assumptions!$A:$I,Countermeasures!$A:$I,"",",",FALSE)),IF(_xlpm._dm="","",","&amp;_xlpm._dm))</f>
        <v/>
      </c>
      <c r="O27" s="21" t="str" cm="1">
        <f t="array" ca="1" aca="1" ref="O27">ApplyDamageMitigation($M27,$N27,"")</f>
        <v>DS3,DS12,</v>
      </c>
      <c r="P27" s="21">
        <f ca="1">IFERROR(MATCH($I27,'Attack Steps'!$V:$V,0),"")</f>
        <v>34</v>
      </c>
      <c r="Q27" s="21" t="str" cm="1">
        <f t="array" ca="1" aca="1" ref="Q27">IF($P27="","","§"&amp;INDEX('Attack Steps'!$S:$S,$P27))</f>
        <v>§AS1,AS3,AS32,§AS2,AS3,AS32,§AS1,AS5,AS32,§AS2,AS5,AS32,§AS1,AS7,AS32,§AS2,AS7,AS32,§AS1,AS16,AS32,§AS2,AS16,AS32,§AS21,AS23,AS32,§AS22,AS23,AS32,§AS21,AS24,AS32,§AS22,AS24,AS32,§AS1,AS29,AS32,§AS2,AS29,AS32,§</v>
      </c>
      <c r="R27" s="21" cm="1">
        <f t="array" ca="1" aca="1" ref="R27">IF($P27="","",INDEX('Attack Steps'!$W:$W,$P27))</f>
        <v>14</v>
      </c>
      <c r="S27" s="21" t="b">
        <f t="shared" ca="1" si="41"/>
        <v>0</v>
      </c>
      <c r="T27" s="21" cm="1">
        <f t="array" ca="1" aca="1" ref="T27">_xlfn.LAMBDA(_xlpm._in,_xlpm._val,_xlpm._range,IF(_xlpm._in="",_xlpm._val,_xlfn.LET(_xlpm._id,LEFT(_xlpm._in,FIND(",",_xlpm._in)-1),CalculateMaxFromList(RemoveFirstElement(_xlpm._in),MAX(_xlpm._val,VLOOKUP(_xlpm._id,_xlpm._range,COLUMNS(_xlpm._range),FALSE)),_xlpm._range))))($M27,0,'Damage Scenarios'!$A:$U)</f>
        <v>4</v>
      </c>
      <c r="U27" s="21" cm="1">
        <f t="array" ca="1" aca="1" ref="U27">CalculateMaxFromList($O27,0,'Damage Scenarios'!$A:$U)</f>
        <v>4</v>
      </c>
      <c r="V27" s="21" t="str">
        <f ca="1">IF($U27=0,"",INDEX(Definitions!$Q:$Q,MATCH($U27,Definitions!$R:$R,0)))</f>
        <v>High</v>
      </c>
      <c r="W27" s="21" t="str" cm="1">
        <f t="array" ca="1" aca="1" ref="W27">CalculateMaxAndElements($K27,0,"",'Attack Steps'!$A:X)</f>
        <v>1:AS7,</v>
      </c>
      <c r="X27" s="21" t="str" cm="1">
        <f t="array" ca="1" aca="1" ref="X27">CalculateMaxAndElements($K27,0,"",'Attack Steps'!$A:Y)</f>
        <v>6:AS7,</v>
      </c>
      <c r="Y27" s="21" t="str" cm="1">
        <f t="array" ca="1" aca="1" ref="Y27">CalculateMaxAndElements($K27,0,"",'Attack Steps'!$A:Z)</f>
        <v>3:AS7,</v>
      </c>
      <c r="Z27" s="21" t="str" cm="1">
        <f t="array" ca="1" aca="1" ref="Z27">CalculateMaxAndElements($K27,0,"",'Attack Steps'!$A:AA)</f>
        <v>0:AS1,AS7,AS32,</v>
      </c>
      <c r="AA27" s="21" t="str" cm="1">
        <f t="array" ca="1" aca="1" ref="AA27">CalculateMaxAndElements($K27,0,"",'Attack Steps'!$A:AB)</f>
        <v>0:AS1,AS7,AS32,</v>
      </c>
      <c r="AB27" s="21">
        <f t="shared" ca="1" si="42"/>
        <v>1</v>
      </c>
      <c r="AC27" s="21">
        <f t="shared" ca="1" si="43"/>
        <v>6</v>
      </c>
      <c r="AD27" s="21">
        <f t="shared" ca="1" si="44"/>
        <v>3</v>
      </c>
      <c r="AE27" s="21">
        <f t="shared" ca="1" si="45"/>
        <v>0</v>
      </c>
      <c r="AF27" s="21">
        <f t="shared" ca="1" si="46"/>
        <v>0</v>
      </c>
      <c r="AG27" s="21">
        <f t="shared" ca="1" si="3"/>
        <v>10</v>
      </c>
      <c r="AH27" s="21" t="str" cm="1">
        <f t="array" ca="1" aca="1" ref="AH27">IF(ROW()=ROW($AH$2)+1,"",INDEX($AH:$AH,ROW()-1))&amp;IF($A27="","",$A27&amp;",")</f>
        <v>R1-3,R2-3,R1-4,R2-4,R1-6,R2-6,R1-7,R2-7,R1-3-10,R2-3-10,R1-3-11,R2-3-11,R1-14,R1-16,R2-16,R21-23,R22-23,R1-29,R2-29,R31,R1-3-32,R2-3-32,R1-5-32,R2-5-32,R1-7-32,</v>
      </c>
      <c r="AI27" s="21" t="str">
        <f t="shared" ca="1" si="47"/>
        <v>,AS1,AS7,AS32,</v>
      </c>
      <c r="AJ27" s="21" cm="1">
        <f t="array" ca="1" aca="1" ref="AJ27">IF($G27="",0,SimpleLookup($G27,Definitions!$AE:$AF))</f>
        <v>4</v>
      </c>
      <c r="AK27" s="21" t="str" cm="1">
        <f t="array" ca="1" aca="1" ref="AK27">InverseLookup($A27,Mitigation!$U$2,Mitigation!$J$2,1,Helper!$B$5,",")</f>
        <v/>
      </c>
      <c r="AL27" s="21" t="str" cm="1">
        <f t="array" ca="1" aca="1" ref="AL27">CalculateMaxAndElementsWithFallback(SanitizeInput($AK27),0,"",Countermeasures!$A:Y,Assumptions!$A:Z)</f>
        <v>0:</v>
      </c>
      <c r="AM27" s="21" t="str" cm="1">
        <f t="array" ca="1" aca="1" ref="AM27">CalculateMaxAndElementsWithFallback(SanitizeInput($AK27),0,"",Countermeasures!$A:Z,Assumptions!$A:AA)</f>
        <v>0:</v>
      </c>
      <c r="AN27" s="21" t="str" cm="1">
        <f t="array" ca="1" aca="1" ref="AN27">CalculateMaxAndElementsWithFallback(SanitizeInput($AK27),0,"",Countermeasures!$A:AA,Assumptions!$A:AB)</f>
        <v>0:</v>
      </c>
      <c r="AO27" s="21" t="str" cm="1">
        <f t="array" ca="1" aca="1" ref="AO27">CalculateMaxAndElementsWithFallback(SanitizeInput($AK27),0,"",Countermeasures!$A:AB,Assumptions!$A:AC)</f>
        <v>0:</v>
      </c>
      <c r="AP27" s="21" t="str" cm="1">
        <f t="array" ca="1" aca="1" ref="AP27">CalculateMaxAndElementsWithFallback(SanitizeInput($AK27),0,"",Countermeasures!$A:AC,Assumptions!$A:AD)</f>
        <v>0:</v>
      </c>
      <c r="AQ27" s="21">
        <f t="shared" ca="1" si="48"/>
        <v>0</v>
      </c>
      <c r="AR27" s="21">
        <f t="shared" ca="1" si="49"/>
        <v>0</v>
      </c>
      <c r="AS27" s="21">
        <f t="shared" ca="1" si="50"/>
        <v>0</v>
      </c>
      <c r="AT27" s="21">
        <f t="shared" ca="1" si="51"/>
        <v>0</v>
      </c>
      <c r="AU27" s="21">
        <f t="shared" ca="1" si="52"/>
        <v>0</v>
      </c>
      <c r="AV27" s="21" t="str">
        <f t="shared" ca="1" si="53"/>
        <v>1:AS7,</v>
      </c>
      <c r="AW27" s="21" t="str">
        <f t="shared" ca="1" si="54"/>
        <v>6:AS7,</v>
      </c>
      <c r="AX27" s="21" t="str">
        <f t="shared" ca="1" si="55"/>
        <v>3:AS7,</v>
      </c>
      <c r="AY27" s="21" t="str">
        <f t="shared" ca="1" si="56"/>
        <v>0:AS1,AS7,AS32,</v>
      </c>
      <c r="AZ27" s="21" t="str">
        <f t="shared" ca="1" si="57"/>
        <v>0:AS1,AS7,AS32,</v>
      </c>
      <c r="BA27" s="21">
        <f t="shared" ca="1" si="58"/>
        <v>1</v>
      </c>
      <c r="BB27" s="21">
        <f t="shared" ca="1" si="59"/>
        <v>6</v>
      </c>
      <c r="BC27" s="21">
        <f t="shared" ca="1" si="60"/>
        <v>3</v>
      </c>
      <c r="BD27" s="21">
        <f t="shared" ca="1" si="61"/>
        <v>0</v>
      </c>
      <c r="BE27" s="21">
        <f t="shared" ca="1" si="62"/>
        <v>0</v>
      </c>
      <c r="BF27" s="21">
        <f t="shared" ca="1" si="9"/>
        <v>10</v>
      </c>
      <c r="BG27" s="21" t="str">
        <f ca="1">IFERROR(VLOOKUP($BF27,Definitions!$V:$W,COLUMNS(Definitions!$V:$W),TRUE),"")</f>
        <v>Enhanced-Basic</v>
      </c>
      <c r="BH27" s="21" t="str">
        <f ca="1">_xlfn.LET(_xlpm._comments,GetValues($K27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7" s="21" t="str" cm="1">
        <f t="array" ca="1" aca="1" ref="BI27">_xlfn.LET(_xlpm._rapRange,Definitions!$W:$W,_xlpm._calculatedRAP,$BG27,_xlpm._inlineRAP,$BH27,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27" s="21" t="str">
        <f ca="1">IFERROR(IF(OR($V27="",$BI27=""),Definitions!$AE$4,VLOOKUP($V27,Definitions!$AH:$AM,MATCH($BI27,Definitions!$AH$3:$AM$3,0),FALSE)),"")</f>
        <v>Very High</v>
      </c>
      <c r="BK27" s="21" cm="1">
        <f t="array" ca="1" aca="1" ref="BK27">IF($BJ27="",0,SimpleLookup($BJ27,Definitions!$AE:$AF))</f>
        <v>4</v>
      </c>
      <c r="BL27" s="21" t="str" cm="1">
        <f t="array" ca="1" aca="1" ref="BL27">IFERROR(SimpleLookup($A27,Tracing!$B:$Z),"")</f>
        <v/>
      </c>
      <c r="BM27" s="21" t="str" cm="1">
        <f t="array" ca="1" aca="1" ref="BM27">_xlfn.LET(_xlpm._dm,SanitizeInput(GetValuesWithFallback(SanitizeInput($BL27),Assumptions!$A:$I,Countermeasures!$A:$I,"",",",FALSE)),IF(_xlpm._dm="","",","&amp;_xlpm._dm))</f>
        <v/>
      </c>
      <c r="BN27" s="21" t="str" cm="1">
        <f t="array" ca="1" aca="1" ref="BN27">ApplyDamageMitigation($M27,$BM27,"")</f>
        <v>DS3,DS12,</v>
      </c>
      <c r="BO27" s="21" cm="1">
        <f t="array" ca="1" aca="1" ref="BO27">CalculateMaxFromList($BN27,0,'Damage Scenarios'!$A:$U)</f>
        <v>4</v>
      </c>
      <c r="BP27" s="21" t="str">
        <f ca="1">IF($BO27=0,"",INDEX(Definitions!$Q:$Q,MATCH($BO27,Definitions!$R:$R,0)))</f>
        <v>High</v>
      </c>
      <c r="BQ27" s="21" t="str" cm="1">
        <f t="array" ca="1" aca="1" ref="BQ27">CalculateMaxAndElementsWithFallback(SanitizeInput($BL27),0,"",Countermeasures!$A:Y,Assumptions!$A:Z)</f>
        <v>0:</v>
      </c>
      <c r="BR27" s="21" t="str" cm="1">
        <f t="array" ca="1" aca="1" ref="BR27">CalculateMaxAndElementsWithFallback(SanitizeInput($BL27),0,"",Countermeasures!$A:Z,Assumptions!$A:AA)</f>
        <v>0:</v>
      </c>
      <c r="BS27" s="21" t="str" cm="1">
        <f t="array" ca="1" aca="1" ref="BS27">CalculateMaxAndElementsWithFallback(SanitizeInput($BL27),0,"",Countermeasures!$A:AA,Assumptions!$A:AB)</f>
        <v>0:</v>
      </c>
      <c r="BT27" s="21" t="str" cm="1">
        <f t="array" ca="1" aca="1" ref="BT27">CalculateMaxAndElementsWithFallback(SanitizeInput($BL27),0,"",Countermeasures!$A:AB,Assumptions!$A:AC)</f>
        <v>0:</v>
      </c>
      <c r="BU27" s="21" t="str" cm="1">
        <f t="array" ca="1" aca="1" ref="BU27">CalculateMaxAndElementsWithFallback(SanitizeInput($BL27),0,"",Countermeasures!$A:AC,Assumptions!$A:AD)</f>
        <v>0:</v>
      </c>
      <c r="BV27" s="21">
        <f t="shared" ca="1" si="25"/>
        <v>0</v>
      </c>
      <c r="BW27" s="21">
        <f t="shared" ca="1" si="26"/>
        <v>0</v>
      </c>
      <c r="BX27" s="21">
        <f t="shared" ca="1" si="27"/>
        <v>0</v>
      </c>
      <c r="BY27" s="21">
        <f t="shared" ca="1" si="28"/>
        <v>0</v>
      </c>
      <c r="BZ27" s="21">
        <f t="shared" ca="1" si="29"/>
        <v>0</v>
      </c>
      <c r="CA27" s="21" t="str">
        <f t="shared" ca="1" si="30"/>
        <v>1:AS7,</v>
      </c>
      <c r="CB27" s="21" t="str">
        <f t="shared" ca="1" si="31"/>
        <v>6:AS7,</v>
      </c>
      <c r="CC27" s="21" t="str">
        <f t="shared" ca="1" si="32"/>
        <v>3:AS7,</v>
      </c>
      <c r="CD27" s="21" t="str">
        <f t="shared" ca="1" si="33"/>
        <v>0:AS1,AS7,AS32,</v>
      </c>
      <c r="CE27" s="21" t="str">
        <f t="shared" ca="1" si="34"/>
        <v>0:AS1,AS7,AS32,</v>
      </c>
      <c r="CF27" s="21">
        <f t="shared" ca="1" si="35"/>
        <v>1</v>
      </c>
      <c r="CG27" s="21">
        <f t="shared" ca="1" si="36"/>
        <v>6</v>
      </c>
      <c r="CH27" s="21">
        <f t="shared" ca="1" si="37"/>
        <v>3</v>
      </c>
      <c r="CI27" s="21">
        <f t="shared" ca="1" si="38"/>
        <v>0</v>
      </c>
      <c r="CJ27" s="21">
        <f t="shared" ca="1" si="39"/>
        <v>0</v>
      </c>
      <c r="CK27" s="21">
        <f t="shared" ca="1" si="23"/>
        <v>10</v>
      </c>
      <c r="CL27" s="21" t="str">
        <f ca="1">IFERROR(VLOOKUP($CK27,Definitions!$V:$W,COLUMNS(Definitions!$V:$W),TRUE),"")</f>
        <v>Enhanced-Basic</v>
      </c>
      <c r="CM27" s="21" t="str">
        <f ca="1">_xlfn.LET(_xlpm._comments,SimpleLookup($A27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7" s="21" t="str" cm="1">
        <f t="array" ca="1" aca="1" ref="CN27">_xlfn.LET(_xlpm._rapRange,Definitions!$W:$W,_xlpm._calculatedRAP,$CL27,_xlpm._inlineRAP,$CM27,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27" s="21" t="str">
        <f ca="1">IFERROR(IF(OR($BP27="",$CN27=""),Definitions!$AE$4,VLOOKUP($BP27,Definitions!$AH:$AM,MATCH($CN27,Definitions!$AH$3:$AM$3,0),FALSE)),"")</f>
        <v>Very High</v>
      </c>
      <c r="CP27" s="21" cm="1">
        <f t="array" ca="1" aca="1" ref="CP27">IF($CO27="",0,SimpleLookup($CO27,Definitions!$AE:$AF))</f>
        <v>4</v>
      </c>
      <c r="CQ27" s="21" t="b">
        <f ca="1">OR(AND($S27,$I27=Helper!$B$7),$I27&gt;Helper!$B$7)</f>
        <v>0</v>
      </c>
      <c r="CR27" s="21" t="str">
        <f t="shared" ca="1" si="24"/>
        <v/>
      </c>
      <c r="CS27" s="21" cm="1">
        <f t="array" ca="1" aca="1" ref="CS27">CreateID($CS$2,$CV:$CV,$CR27&lt;&gt;"")</f>
        <v>0</v>
      </c>
      <c r="CT27" s="21" t="str">
        <f ca="1">IF(IFERROR(MATCH(","&amp;A27&amp;",",'Risk Treatment'!$AT:$AT,0)&gt;0,FALSE),"",$A27)</f>
        <v>R1-7-32</v>
      </c>
      <c r="CU27" s="21" cm="1">
        <f t="array" ca="1" aca="1" ref="CU27">CreateID($CU$2,$CU:$CU,$CT27&lt;&gt;"")</f>
        <v>25</v>
      </c>
    </row>
    <row r="28" spans="1:99" ht="75">
      <c r="A28" s="33" t="str" cm="1">
        <f t="array" ca="1" aca="1" ref="A28">IF($B28="","","R"&amp;RemoveDelimiter(SUBSTITUTE(SUBSTITUTE($K28,"AS",""),",","-"),"-"))</f>
        <v>R2-7-32</v>
      </c>
      <c r="B28" s="33" t="str" cm="1">
        <f t="array" ca="1" aca="1" ref="B28">IF($L28="","",_xlfn.LET(_xlpm._finalAttackStep,$L28,_xlpm._prepAttacks,RemoveFirstElement(_xlpm._finalAttackStep&amp;","&amp;$K28),_xlpm._prepAttackNames,IFERROR(LookupNames(_xlpm._prepAttacks,'Attack Steps'!$A:$B),""),_xlpm._delimiter,REPT(CHAR(150),55),$L28&amp;" "&amp;SimpleLookup($L28,'Attack Steps'!$A:$B)&amp;IF(_xlpm._prepAttackNames="","",CHAR(10)&amp;_xlpm._delimiter&amp;CHAR(10)&amp;_xlpm._prepAttackNames)))</f>
        <v>AS32 Extracting or misusing acontis techonlogies GmbH IP
–––––––––––––––––––––––––––––––––––––––––––––––––––––––
AS2 Getting access to a wireless network,
AS7 Spoofing / tampering with the product's incoming communication</v>
      </c>
      <c r="C28" s="34" t="str" cm="1">
        <f t="array" ca="1" aca="1" ref="C28">IFERROR(LookupNames($M28,'Damage Scenarios'!$A:$V),"")</f>
        <v>DS3 Disclosure of acontis techonlogies GmbH IP (moderately innovative) [Medium],
DS12 IP (highly innovative) disclosed by manipulated product [High]</v>
      </c>
      <c r="D28" s="33" t="str">
        <f ca="1">IFERROR(IF($T28=0,"",INDEX(Definitions!$Q:$Q,MATCH($T28,Definitions!$R:$R,0))),"")</f>
        <v>High</v>
      </c>
      <c r="E28" s="34" t="str" cm="1">
        <f t="array" ca="1" aca="1" ref="E28">IF($A28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28,$A:W,Definitions!$Y:$Y,Definitions!$AB:$AB,1)&amp;CHAR(10)&amp;_xlpm._factorFunction($A28,$A:X,Definitions!$Y:$Y,Definitions!$AB:$AB,2)&amp;CHAR(10)&amp;_xlpm._factorFunction($A28,$A:Y,Definitions!$Y:$Y,Definitions!$AB:$AB,3)&amp;CHAR(10)&amp;_xlpm._factorFunction($A28,$A:Z,Definitions!$Y:$Y,Definitions!$AB:$AB,4)&amp;CHAR(10)&amp;_xlpm._factorFunction($A28,$A:AA,Definitions!$Y:$Y,Definitions!$AB:$AB,5)))</f>
        <v>Elapsed Time [1]: AS7
Expertise [6]: AS7
Knowledge of TOE [3]: AS7
Window of Opportunity [1]: AS2
Equipment [0]: AS2, AS7, AS32</v>
      </c>
      <c r="F28" s="33" t="str">
        <f ca="1">IF($A28="","",IFERROR(VLOOKUP($AG28,Definitions!$V:$W,COLUMNS(Definitions!$V:$W),TRUE),""))</f>
        <v>Enhanced-Basic</v>
      </c>
      <c r="G28" s="33" t="str">
        <f ca="1">IFERROR(IF(OR($D28="",$F28=""),"",VLOOKUP($D28,Definitions!$AH:$AM,MATCH($F28,Definitions!$AH$3:$AM$3,0),FALSE)),"")</f>
        <v>Very High</v>
      </c>
      <c r="H28" s="23" cm="1">
        <f t="array" ca="1" aca="1" ref="H28">IF(ROW()=ROW($H$2)+1,0,INDEX($H:$H,ROW()-1))+IF($A28="",0,1)</f>
        <v>26</v>
      </c>
      <c r="I28" s="21" cm="1">
        <f t="array" ca="1" aca="1" ref="I28">IF(ROW()=ROW($I$2)+1,1,INDEX($I:$I,ROW()-1)+IF(INDEX($S:$S,ROW()-1),1,0))</f>
        <v>12</v>
      </c>
      <c r="J28" s="21">
        <f t="shared" ca="1" si="0"/>
        <v>6</v>
      </c>
      <c r="K28" s="21" t="str">
        <f t="shared" ca="1" si="40"/>
        <v>AS2,AS7,AS32,</v>
      </c>
      <c r="L28" s="21" t="str" cm="1">
        <f t="array" ca="1" aca="1" ref="L28">IF($P28="","",INDEX('Attack Steps'!$A:$A,$P28))</f>
        <v>AS32</v>
      </c>
      <c r="M28" s="21" t="str" cm="1">
        <f t="array" ca="1" aca="1" ref="M28">IF($P28="","",INDEX('Attack Steps'!$T:$T,$P28))</f>
        <v>DS3,DS12,</v>
      </c>
      <c r="N28" s="21" t="str" cm="1">
        <f t="array" ca="1" aca="1" ref="N28">_xlfn.LET(_xlpm._dm,SanitizeInput(GetValuesWithFallback(SanitizeInput($AK28),Assumptions!$A:$I,Countermeasures!$A:$I,"",",",FALSE)),IF(_xlpm._dm="","",","&amp;_xlpm._dm))</f>
        <v/>
      </c>
      <c r="O28" s="21" t="str" cm="1">
        <f t="array" ca="1" aca="1" ref="O28">ApplyDamageMitigation($M28,$N28,"")</f>
        <v>DS3,DS12,</v>
      </c>
      <c r="P28" s="21">
        <f ca="1">IFERROR(MATCH($I28,'Attack Steps'!$V:$V,0),"")</f>
        <v>34</v>
      </c>
      <c r="Q28" s="21" t="str" cm="1">
        <f t="array" ca="1" aca="1" ref="Q28">IF($P28="","","§"&amp;INDEX('Attack Steps'!$S:$S,$P28))</f>
        <v>§AS1,AS3,AS32,§AS2,AS3,AS32,§AS1,AS5,AS32,§AS2,AS5,AS32,§AS1,AS7,AS32,§AS2,AS7,AS32,§AS1,AS16,AS32,§AS2,AS16,AS32,§AS21,AS23,AS32,§AS22,AS23,AS32,§AS21,AS24,AS32,§AS22,AS24,AS32,§AS1,AS29,AS32,§AS2,AS29,AS32,§</v>
      </c>
      <c r="R28" s="21" cm="1">
        <f t="array" ca="1" aca="1" ref="R28">IF($P28="","",INDEX('Attack Steps'!$W:$W,$P28))</f>
        <v>14</v>
      </c>
      <c r="S28" s="21" t="b">
        <f t="shared" ca="1" si="41"/>
        <v>0</v>
      </c>
      <c r="T28" s="21" cm="1">
        <f t="array" ca="1" aca="1" ref="T28">_xlfn.LAMBDA(_xlpm._in,_xlpm._val,_xlpm._range,IF(_xlpm._in="",_xlpm._val,_xlfn.LET(_xlpm._id,LEFT(_xlpm._in,FIND(",",_xlpm._in)-1),CalculateMaxFromList(RemoveFirstElement(_xlpm._in),MAX(_xlpm._val,VLOOKUP(_xlpm._id,_xlpm._range,COLUMNS(_xlpm._range),FALSE)),_xlpm._range))))($M28,0,'Damage Scenarios'!$A:$U)</f>
        <v>4</v>
      </c>
      <c r="U28" s="21" cm="1">
        <f t="array" ca="1" aca="1" ref="U28">CalculateMaxFromList($O28,0,'Damage Scenarios'!$A:$U)</f>
        <v>4</v>
      </c>
      <c r="V28" s="21" t="str">
        <f ca="1">IF($U28=0,"",INDEX(Definitions!$Q:$Q,MATCH($U28,Definitions!$R:$R,0)))</f>
        <v>High</v>
      </c>
      <c r="W28" s="21" t="str" cm="1">
        <f t="array" ca="1" aca="1" ref="W28">CalculateMaxAndElements($K28,0,"",'Attack Steps'!$A:X)</f>
        <v>1:AS7,</v>
      </c>
      <c r="X28" s="21" t="str" cm="1">
        <f t="array" ca="1" aca="1" ref="X28">CalculateMaxAndElements($K28,0,"",'Attack Steps'!$A:Y)</f>
        <v>6:AS7,</v>
      </c>
      <c r="Y28" s="21" t="str" cm="1">
        <f t="array" ca="1" aca="1" ref="Y28">CalculateMaxAndElements($K28,0,"",'Attack Steps'!$A:Z)</f>
        <v>3:AS7,</v>
      </c>
      <c r="Z28" s="21" t="str" cm="1">
        <f t="array" ca="1" aca="1" ref="Z28">CalculateMaxAndElements($K28,0,"",'Attack Steps'!$A:AA)</f>
        <v>1:AS2,</v>
      </c>
      <c r="AA28" s="21" t="str" cm="1">
        <f t="array" ca="1" aca="1" ref="AA28">CalculateMaxAndElements($K28,0,"",'Attack Steps'!$A:AB)</f>
        <v>0:AS2,AS7,AS32,</v>
      </c>
      <c r="AB28" s="21">
        <f t="shared" ca="1" si="42"/>
        <v>1</v>
      </c>
      <c r="AC28" s="21">
        <f t="shared" ca="1" si="43"/>
        <v>6</v>
      </c>
      <c r="AD28" s="21">
        <f t="shared" ca="1" si="44"/>
        <v>3</v>
      </c>
      <c r="AE28" s="21">
        <f t="shared" ca="1" si="45"/>
        <v>1</v>
      </c>
      <c r="AF28" s="21">
        <f t="shared" ca="1" si="46"/>
        <v>0</v>
      </c>
      <c r="AG28" s="21">
        <f t="shared" ca="1" si="3"/>
        <v>11</v>
      </c>
      <c r="AH28" s="21" t="str" cm="1">
        <f t="array" ca="1" aca="1" ref="AH28">IF(ROW()=ROW($AH$2)+1,"",INDEX($AH:$AH,ROW()-1))&amp;IF($A28="","",$A28&amp;",")</f>
        <v>R1-3,R2-3,R1-4,R2-4,R1-6,R2-6,R1-7,R2-7,R1-3-10,R2-3-10,R1-3-11,R2-3-11,R1-14,R1-16,R2-16,R21-23,R22-23,R1-29,R2-29,R31,R1-3-32,R2-3-32,R1-5-32,R2-5-32,R1-7-32,R2-7-32,</v>
      </c>
      <c r="AI28" s="21" t="str">
        <f t="shared" ca="1" si="47"/>
        <v>,AS2,AS7,AS32,</v>
      </c>
      <c r="AJ28" s="21" cm="1">
        <f t="array" ca="1" aca="1" ref="AJ28">IF($G28="",0,SimpleLookup($G28,Definitions!$AE:$AF))</f>
        <v>4</v>
      </c>
      <c r="AK28" s="21" t="str" cm="1">
        <f t="array" ca="1" aca="1" ref="AK28">InverseLookup($A28,Mitigation!$U$2,Mitigation!$J$2,1,Helper!$B$5,",")</f>
        <v/>
      </c>
      <c r="AL28" s="21" t="str" cm="1">
        <f t="array" ca="1" aca="1" ref="AL28">CalculateMaxAndElementsWithFallback(SanitizeInput($AK28),0,"",Countermeasures!$A:Y,Assumptions!$A:Z)</f>
        <v>0:</v>
      </c>
      <c r="AM28" s="21" t="str" cm="1">
        <f t="array" ca="1" aca="1" ref="AM28">CalculateMaxAndElementsWithFallback(SanitizeInput($AK28),0,"",Countermeasures!$A:Z,Assumptions!$A:AA)</f>
        <v>0:</v>
      </c>
      <c r="AN28" s="21" t="str" cm="1">
        <f t="array" ca="1" aca="1" ref="AN28">CalculateMaxAndElementsWithFallback(SanitizeInput($AK28),0,"",Countermeasures!$A:AA,Assumptions!$A:AB)</f>
        <v>0:</v>
      </c>
      <c r="AO28" s="21" t="str" cm="1">
        <f t="array" ca="1" aca="1" ref="AO28">CalculateMaxAndElementsWithFallback(SanitizeInput($AK28),0,"",Countermeasures!$A:AB,Assumptions!$A:AC)</f>
        <v>0:</v>
      </c>
      <c r="AP28" s="21" t="str" cm="1">
        <f t="array" ca="1" aca="1" ref="AP28">CalculateMaxAndElementsWithFallback(SanitizeInput($AK28),0,"",Countermeasures!$A:AC,Assumptions!$A:AD)</f>
        <v>0:</v>
      </c>
      <c r="AQ28" s="21">
        <f t="shared" ca="1" si="48"/>
        <v>0</v>
      </c>
      <c r="AR28" s="21">
        <f t="shared" ca="1" si="49"/>
        <v>0</v>
      </c>
      <c r="AS28" s="21">
        <f t="shared" ca="1" si="50"/>
        <v>0</v>
      </c>
      <c r="AT28" s="21">
        <f t="shared" ca="1" si="51"/>
        <v>0</v>
      </c>
      <c r="AU28" s="21">
        <f t="shared" ca="1" si="52"/>
        <v>0</v>
      </c>
      <c r="AV28" s="21" t="str">
        <f t="shared" ca="1" si="53"/>
        <v>1:AS7,</v>
      </c>
      <c r="AW28" s="21" t="str">
        <f t="shared" ca="1" si="54"/>
        <v>6:AS7,</v>
      </c>
      <c r="AX28" s="21" t="str">
        <f t="shared" ca="1" si="55"/>
        <v>3:AS7,</v>
      </c>
      <c r="AY28" s="21" t="str">
        <f t="shared" ca="1" si="56"/>
        <v>1:AS2,</v>
      </c>
      <c r="AZ28" s="21" t="str">
        <f t="shared" ca="1" si="57"/>
        <v>0:AS2,AS7,AS32,</v>
      </c>
      <c r="BA28" s="21">
        <f t="shared" ca="1" si="58"/>
        <v>1</v>
      </c>
      <c r="BB28" s="21">
        <f t="shared" ca="1" si="59"/>
        <v>6</v>
      </c>
      <c r="BC28" s="21">
        <f t="shared" ca="1" si="60"/>
        <v>3</v>
      </c>
      <c r="BD28" s="21">
        <f t="shared" ca="1" si="61"/>
        <v>1</v>
      </c>
      <c r="BE28" s="21">
        <f t="shared" ca="1" si="62"/>
        <v>0</v>
      </c>
      <c r="BF28" s="21">
        <f t="shared" ca="1" si="9"/>
        <v>11</v>
      </c>
      <c r="BG28" s="21" t="str">
        <f ca="1">IFERROR(VLOOKUP($BF28,Definitions!$V:$W,COLUMNS(Definitions!$V:$W),TRUE),"")</f>
        <v>Enhanced-Basic</v>
      </c>
      <c r="BH28" s="21" t="str">
        <f ca="1">_xlfn.LET(_xlpm._comments,GetValues($K28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8" s="21" t="str" cm="1">
        <f t="array" ca="1" aca="1" ref="BI28">_xlfn.LET(_xlpm._rapRange,Definitions!$W:$W,_xlpm._calculatedRAP,$BG28,_xlpm._inlineRAP,$BH28,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28" s="21" t="str">
        <f ca="1">IFERROR(IF(OR($V28="",$BI28=""),Definitions!$AE$4,VLOOKUP($V28,Definitions!$AH:$AM,MATCH($BI28,Definitions!$AH$3:$AM$3,0),FALSE)),"")</f>
        <v>Very High</v>
      </c>
      <c r="BK28" s="21" cm="1">
        <f t="array" ca="1" aca="1" ref="BK28">IF($BJ28="",0,SimpleLookup($BJ28,Definitions!$AE:$AF))</f>
        <v>4</v>
      </c>
      <c r="BL28" s="21" t="str" cm="1">
        <f t="array" ca="1" aca="1" ref="BL28">IFERROR(SimpleLookup($A28,Tracing!$B:$Z),"")</f>
        <v/>
      </c>
      <c r="BM28" s="21" t="str" cm="1">
        <f t="array" ca="1" aca="1" ref="BM28">_xlfn.LET(_xlpm._dm,SanitizeInput(GetValuesWithFallback(SanitizeInput($BL28),Assumptions!$A:$I,Countermeasures!$A:$I,"",",",FALSE)),IF(_xlpm._dm="","",","&amp;_xlpm._dm))</f>
        <v/>
      </c>
      <c r="BN28" s="21" t="str" cm="1">
        <f t="array" ca="1" aca="1" ref="BN28">ApplyDamageMitigation($M28,$BM28,"")</f>
        <v>DS3,DS12,</v>
      </c>
      <c r="BO28" s="21" cm="1">
        <f t="array" ca="1" aca="1" ref="BO28">CalculateMaxFromList($BN28,0,'Damage Scenarios'!$A:$U)</f>
        <v>4</v>
      </c>
      <c r="BP28" s="21" t="str">
        <f ca="1">IF($BO28=0,"",INDEX(Definitions!$Q:$Q,MATCH($BO28,Definitions!$R:$R,0)))</f>
        <v>High</v>
      </c>
      <c r="BQ28" s="21" t="str" cm="1">
        <f t="array" ca="1" aca="1" ref="BQ28">CalculateMaxAndElementsWithFallback(SanitizeInput($BL28),0,"",Countermeasures!$A:Y,Assumptions!$A:Z)</f>
        <v>0:</v>
      </c>
      <c r="BR28" s="21" t="str" cm="1">
        <f t="array" ca="1" aca="1" ref="BR28">CalculateMaxAndElementsWithFallback(SanitizeInput($BL28),0,"",Countermeasures!$A:Z,Assumptions!$A:AA)</f>
        <v>0:</v>
      </c>
      <c r="BS28" s="21" t="str" cm="1">
        <f t="array" ca="1" aca="1" ref="BS28">CalculateMaxAndElementsWithFallback(SanitizeInput($BL28),0,"",Countermeasures!$A:AA,Assumptions!$A:AB)</f>
        <v>0:</v>
      </c>
      <c r="BT28" s="21" t="str" cm="1">
        <f t="array" ca="1" aca="1" ref="BT28">CalculateMaxAndElementsWithFallback(SanitizeInput($BL28),0,"",Countermeasures!$A:AB,Assumptions!$A:AC)</f>
        <v>0:</v>
      </c>
      <c r="BU28" s="21" t="str" cm="1">
        <f t="array" ca="1" aca="1" ref="BU28">CalculateMaxAndElementsWithFallback(SanitizeInput($BL28),0,"",Countermeasures!$A:AC,Assumptions!$A:AD)</f>
        <v>0:</v>
      </c>
      <c r="BV28" s="21">
        <f t="shared" ca="1" si="25"/>
        <v>0</v>
      </c>
      <c r="BW28" s="21">
        <f t="shared" ca="1" si="26"/>
        <v>0</v>
      </c>
      <c r="BX28" s="21">
        <f t="shared" ca="1" si="27"/>
        <v>0</v>
      </c>
      <c r="BY28" s="21">
        <f t="shared" ca="1" si="28"/>
        <v>0</v>
      </c>
      <c r="BZ28" s="21">
        <f t="shared" ca="1" si="29"/>
        <v>0</v>
      </c>
      <c r="CA28" s="21" t="str">
        <f t="shared" ca="1" si="30"/>
        <v>1:AS7,</v>
      </c>
      <c r="CB28" s="21" t="str">
        <f t="shared" ca="1" si="31"/>
        <v>6:AS7,</v>
      </c>
      <c r="CC28" s="21" t="str">
        <f t="shared" ca="1" si="32"/>
        <v>3:AS7,</v>
      </c>
      <c r="CD28" s="21" t="str">
        <f t="shared" ca="1" si="33"/>
        <v>1:AS2,</v>
      </c>
      <c r="CE28" s="21" t="str">
        <f t="shared" ca="1" si="34"/>
        <v>0:AS2,AS7,AS32,</v>
      </c>
      <c r="CF28" s="21">
        <f t="shared" ca="1" si="35"/>
        <v>1</v>
      </c>
      <c r="CG28" s="21">
        <f t="shared" ca="1" si="36"/>
        <v>6</v>
      </c>
      <c r="CH28" s="21">
        <f t="shared" ca="1" si="37"/>
        <v>3</v>
      </c>
      <c r="CI28" s="21">
        <f t="shared" ca="1" si="38"/>
        <v>1</v>
      </c>
      <c r="CJ28" s="21">
        <f t="shared" ca="1" si="39"/>
        <v>0</v>
      </c>
      <c r="CK28" s="21">
        <f t="shared" ca="1" si="23"/>
        <v>11</v>
      </c>
      <c r="CL28" s="21" t="str">
        <f ca="1">IFERROR(VLOOKUP($CK28,Definitions!$V:$W,COLUMNS(Definitions!$V:$W),TRUE),"")</f>
        <v>Enhanced-Basic</v>
      </c>
      <c r="CM28" s="21" t="str">
        <f ca="1">_xlfn.LET(_xlpm._comments,SimpleLookup($A28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8" s="21" t="str" cm="1">
        <f t="array" ca="1" aca="1" ref="CN28">_xlfn.LET(_xlpm._rapRange,Definitions!$W:$W,_xlpm._calculatedRAP,$CL28,_xlpm._inlineRAP,$CM28,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28" s="21" t="str">
        <f ca="1">IFERROR(IF(OR($BP28="",$CN28=""),Definitions!$AE$4,VLOOKUP($BP28,Definitions!$AH:$AM,MATCH($CN28,Definitions!$AH$3:$AM$3,0),FALSE)),"")</f>
        <v>Very High</v>
      </c>
      <c r="CP28" s="21" cm="1">
        <f t="array" ca="1" aca="1" ref="CP28">IF($CO28="",0,SimpleLookup($CO28,Definitions!$AE:$AF))</f>
        <v>4</v>
      </c>
      <c r="CQ28" s="21" t="b">
        <f ca="1">OR(AND($S28,$I28=Helper!$B$7),$I28&gt;Helper!$B$7)</f>
        <v>0</v>
      </c>
      <c r="CR28" s="21" t="str">
        <f t="shared" ca="1" si="24"/>
        <v/>
      </c>
      <c r="CS28" s="21" cm="1">
        <f t="array" ca="1" aca="1" ref="CS28">CreateID($CS$2,$CV:$CV,$CR28&lt;&gt;"")</f>
        <v>0</v>
      </c>
      <c r="CT28" s="21" t="str">
        <f ca="1">IF(IFERROR(MATCH(","&amp;A28&amp;",",'Risk Treatment'!$AT:$AT,0)&gt;0,FALSE),"",$A28)</f>
        <v>R2-7-32</v>
      </c>
      <c r="CU28" s="21" cm="1">
        <f t="array" ca="1" aca="1" ref="CU28">CreateID($CU$2,$CU:$CU,$CT28&lt;&gt;"")</f>
        <v>26</v>
      </c>
    </row>
    <row r="29" spans="1:99" ht="75">
      <c r="A29" s="33" t="str" cm="1">
        <f t="array" ca="1" aca="1" ref="A29">IF($B29="","","R"&amp;RemoveDelimiter(SUBSTITUTE(SUBSTITUTE($K29,"AS",""),",","-"),"-"))</f>
        <v>R1-16-32</v>
      </c>
      <c r="B29" s="33" t="str" cm="1">
        <f t="array" ca="1" aca="1" ref="B29">IF($L29="","",_xlfn.LET(_xlpm._finalAttackStep,$L29,_xlpm._prepAttacks,RemoveFirstElement(_xlpm._finalAttackStep&amp;","&amp;$K29),_xlpm._prepAttackNames,IFERROR(LookupNames(_xlpm._prepAttacks,'Attack Steps'!$A:$B),""),_xlpm._delimiter,REPT(CHAR(150),55),$L29&amp;" "&amp;SimpleLookup($L29,'Attack Steps'!$A:$B)&amp;IF(_xlpm._prepAttackNames="","",CHAR(10)&amp;_xlpm._delimiter&amp;CHAR(10)&amp;_xlpm._prepAttackNames)))</f>
        <v>AS32 Extracting or misusing acontis techonlogies GmbH IP
–––––––––––––––––––––––––––––––––––––––––––––––––––––––
AS1 Getting access to a trusted operational environment,
AS16 Manipulating the product's configuration via its configuration interface</v>
      </c>
      <c r="C29" s="34" t="str" cm="1">
        <f t="array" ca="1" aca="1" ref="C29">IFERROR(LookupNames($M29,'Damage Scenarios'!$A:$V),"")</f>
        <v>DS3 Disclosure of acontis techonlogies GmbH IP (moderately innovative) [Medium],
DS12 IP (highly innovative) disclosed by manipulated product [High]</v>
      </c>
      <c r="D29" s="33" t="str">
        <f ca="1">IFERROR(IF($T29=0,"",INDEX(Definitions!$Q:$Q,MATCH($T29,Definitions!$R:$R,0))),"")</f>
        <v>High</v>
      </c>
      <c r="E29" s="34" t="str" cm="1">
        <f t="array" ca="1" aca="1" ref="E29">IF($A29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29,$A:W,Definitions!$Y:$Y,Definitions!$AB:$AB,1)&amp;CHAR(10)&amp;_xlpm._factorFunction($A29,$A:X,Definitions!$Y:$Y,Definitions!$AB:$AB,2)&amp;CHAR(10)&amp;_xlpm._factorFunction($A29,$A:Y,Definitions!$Y:$Y,Definitions!$AB:$AB,3)&amp;CHAR(10)&amp;_xlpm._factorFunction($A29,$A:Z,Definitions!$Y:$Y,Definitions!$AB:$AB,4)&amp;CHAR(10)&amp;_xlpm._factorFunction($A29,$A:AA,Definitions!$Y:$Y,Definitions!$AB:$AB,5)))</f>
        <v>Elapsed Time [0]: AS1, AS16, AS32
Expertise [3]: AS16
Knowledge of TOE [3]: AS16
Window of Opportunity [0]: AS1, AS16, AS32
Equipment [0]: AS1, AS16, AS32</v>
      </c>
      <c r="F29" s="33" t="str">
        <f ca="1">IF($A29="","",IFERROR(VLOOKUP($AG29,Definitions!$V:$W,COLUMNS(Definitions!$V:$W),TRUE),""))</f>
        <v>Basic</v>
      </c>
      <c r="G29" s="33" t="str">
        <f ca="1">IFERROR(IF(OR($D29="",$F29=""),"",VLOOKUP($D29,Definitions!$AH:$AM,MATCH($F29,Definitions!$AH$3:$AM$3,0),FALSE)),"")</f>
        <v>Very High</v>
      </c>
      <c r="H29" s="23" cm="1">
        <f t="array" ca="1" aca="1" ref="H29">IF(ROW()=ROW($H$2)+1,0,INDEX($H:$H,ROW()-1))+IF($A29="",0,1)</f>
        <v>27</v>
      </c>
      <c r="I29" s="21" cm="1">
        <f t="array" ca="1" aca="1" ref="I29">IF(ROW()=ROW($I$2)+1,1,INDEX($I:$I,ROW()-1)+IF(INDEX($S:$S,ROW()-1),1,0))</f>
        <v>12</v>
      </c>
      <c r="J29" s="21">
        <f t="shared" ca="1" si="0"/>
        <v>7</v>
      </c>
      <c r="K29" s="21" t="str">
        <f t="shared" ca="1" si="40"/>
        <v>AS1,AS16,AS32,</v>
      </c>
      <c r="L29" s="21" t="str" cm="1">
        <f t="array" ca="1" aca="1" ref="L29">IF($P29="","",INDEX('Attack Steps'!$A:$A,$P29))</f>
        <v>AS32</v>
      </c>
      <c r="M29" s="21" t="str" cm="1">
        <f t="array" ca="1" aca="1" ref="M29">IF($P29="","",INDEX('Attack Steps'!$T:$T,$P29))</f>
        <v>DS3,DS12,</v>
      </c>
      <c r="N29" s="21" t="str" cm="1">
        <f t="array" ca="1" aca="1" ref="N29">_xlfn.LET(_xlpm._dm,SanitizeInput(GetValuesWithFallback(SanitizeInput($AK29),Assumptions!$A:$I,Countermeasures!$A:$I,"",",",FALSE)),IF(_xlpm._dm="","",","&amp;_xlpm._dm))</f>
        <v/>
      </c>
      <c r="O29" s="21" t="str" cm="1">
        <f t="array" ca="1" aca="1" ref="O29">ApplyDamageMitigation($M29,$N29,"")</f>
        <v>DS3,DS12,</v>
      </c>
      <c r="P29" s="21">
        <f ca="1">IFERROR(MATCH($I29,'Attack Steps'!$V:$V,0),"")</f>
        <v>34</v>
      </c>
      <c r="Q29" s="21" t="str" cm="1">
        <f t="array" ca="1" aca="1" ref="Q29">IF($P29="","","§"&amp;INDEX('Attack Steps'!$S:$S,$P29))</f>
        <v>§AS1,AS3,AS32,§AS2,AS3,AS32,§AS1,AS5,AS32,§AS2,AS5,AS32,§AS1,AS7,AS32,§AS2,AS7,AS32,§AS1,AS16,AS32,§AS2,AS16,AS32,§AS21,AS23,AS32,§AS22,AS23,AS32,§AS21,AS24,AS32,§AS22,AS24,AS32,§AS1,AS29,AS32,§AS2,AS29,AS32,§</v>
      </c>
      <c r="R29" s="21" cm="1">
        <f t="array" ca="1" aca="1" ref="R29">IF($P29="","",INDEX('Attack Steps'!$W:$W,$P29))</f>
        <v>14</v>
      </c>
      <c r="S29" s="21" t="b">
        <f t="shared" ca="1" si="41"/>
        <v>0</v>
      </c>
      <c r="T29" s="21" cm="1">
        <f t="array" ca="1" aca="1" ref="T29">_xlfn.LAMBDA(_xlpm._in,_xlpm._val,_xlpm._range,IF(_xlpm._in="",_xlpm._val,_xlfn.LET(_xlpm._id,LEFT(_xlpm._in,FIND(",",_xlpm._in)-1),CalculateMaxFromList(RemoveFirstElement(_xlpm._in),MAX(_xlpm._val,VLOOKUP(_xlpm._id,_xlpm._range,COLUMNS(_xlpm._range),FALSE)),_xlpm._range))))($M29,0,'Damage Scenarios'!$A:$U)</f>
        <v>4</v>
      </c>
      <c r="U29" s="21" cm="1">
        <f t="array" ca="1" aca="1" ref="U29">CalculateMaxFromList($O29,0,'Damage Scenarios'!$A:$U)</f>
        <v>4</v>
      </c>
      <c r="V29" s="21" t="str">
        <f ca="1">IF($U29=0,"",INDEX(Definitions!$Q:$Q,MATCH($U29,Definitions!$R:$R,0)))</f>
        <v>High</v>
      </c>
      <c r="W29" s="21" t="str" cm="1">
        <f t="array" ca="1" aca="1" ref="W29">CalculateMaxAndElements($K29,0,"",'Attack Steps'!$A:X)</f>
        <v>0:AS1,AS16,AS32,</v>
      </c>
      <c r="X29" s="21" t="str" cm="1">
        <f t="array" ca="1" aca="1" ref="X29">CalculateMaxAndElements($K29,0,"",'Attack Steps'!$A:Y)</f>
        <v>3:AS16,</v>
      </c>
      <c r="Y29" s="21" t="str" cm="1">
        <f t="array" ca="1" aca="1" ref="Y29">CalculateMaxAndElements($K29,0,"",'Attack Steps'!$A:Z)</f>
        <v>3:AS16,</v>
      </c>
      <c r="Z29" s="21" t="str" cm="1">
        <f t="array" ca="1" aca="1" ref="Z29">CalculateMaxAndElements($K29,0,"",'Attack Steps'!$A:AA)</f>
        <v>0:AS1,AS16,AS32,</v>
      </c>
      <c r="AA29" s="21" t="str" cm="1">
        <f t="array" ca="1" aca="1" ref="AA29">CalculateMaxAndElements($K29,0,"",'Attack Steps'!$A:AB)</f>
        <v>0:AS1,AS16,AS32,</v>
      </c>
      <c r="AB29" s="21">
        <f t="shared" ca="1" si="42"/>
        <v>0</v>
      </c>
      <c r="AC29" s="21">
        <f t="shared" ca="1" si="43"/>
        <v>3</v>
      </c>
      <c r="AD29" s="21">
        <f t="shared" ca="1" si="44"/>
        <v>3</v>
      </c>
      <c r="AE29" s="21">
        <f t="shared" ca="1" si="45"/>
        <v>0</v>
      </c>
      <c r="AF29" s="21">
        <f t="shared" ca="1" si="46"/>
        <v>0</v>
      </c>
      <c r="AG29" s="21">
        <f t="shared" ca="1" si="3"/>
        <v>6</v>
      </c>
      <c r="AH29" s="21" t="str" cm="1">
        <f t="array" ca="1" aca="1" ref="AH29">IF(ROW()=ROW($AH$2)+1,"",INDEX($AH:$AH,ROW()-1))&amp;IF($A29="","",$A29&amp;",")</f>
        <v>R1-3,R2-3,R1-4,R2-4,R1-6,R2-6,R1-7,R2-7,R1-3-10,R2-3-10,R1-3-11,R2-3-11,R1-14,R1-16,R2-16,R21-23,R22-23,R1-29,R2-29,R31,R1-3-32,R2-3-32,R1-5-32,R2-5-32,R1-7-32,R2-7-32,R1-16-32,</v>
      </c>
      <c r="AI29" s="21" t="str">
        <f t="shared" ca="1" si="47"/>
        <v>,AS1,AS16,AS32,</v>
      </c>
      <c r="AJ29" s="21" cm="1">
        <f t="array" ca="1" aca="1" ref="AJ29">IF($G29="",0,SimpleLookup($G29,Definitions!$AE:$AF))</f>
        <v>4</v>
      </c>
      <c r="AK29" s="21" t="str" cm="1">
        <f t="array" ca="1" aca="1" ref="AK29">InverseLookup($A29,Mitigation!$U$2,Mitigation!$J$2,1,Helper!$B$5,",")</f>
        <v/>
      </c>
      <c r="AL29" s="21" t="str" cm="1">
        <f t="array" ca="1" aca="1" ref="AL29">CalculateMaxAndElementsWithFallback(SanitizeInput($AK29),0,"",Countermeasures!$A:Y,Assumptions!$A:Z)</f>
        <v>0:</v>
      </c>
      <c r="AM29" s="21" t="str" cm="1">
        <f t="array" ca="1" aca="1" ref="AM29">CalculateMaxAndElementsWithFallback(SanitizeInput($AK29),0,"",Countermeasures!$A:Z,Assumptions!$A:AA)</f>
        <v>0:</v>
      </c>
      <c r="AN29" s="21" t="str" cm="1">
        <f t="array" ca="1" aca="1" ref="AN29">CalculateMaxAndElementsWithFallback(SanitizeInput($AK29),0,"",Countermeasures!$A:AA,Assumptions!$A:AB)</f>
        <v>0:</v>
      </c>
      <c r="AO29" s="21" t="str" cm="1">
        <f t="array" ca="1" aca="1" ref="AO29">CalculateMaxAndElementsWithFallback(SanitizeInput($AK29),0,"",Countermeasures!$A:AB,Assumptions!$A:AC)</f>
        <v>0:</v>
      </c>
      <c r="AP29" s="21" t="str" cm="1">
        <f t="array" ca="1" aca="1" ref="AP29">CalculateMaxAndElementsWithFallback(SanitizeInput($AK29),0,"",Countermeasures!$A:AC,Assumptions!$A:AD)</f>
        <v>0:</v>
      </c>
      <c r="AQ29" s="21">
        <f t="shared" ca="1" si="48"/>
        <v>0</v>
      </c>
      <c r="AR29" s="21">
        <f t="shared" ca="1" si="49"/>
        <v>0</v>
      </c>
      <c r="AS29" s="21">
        <f t="shared" ca="1" si="50"/>
        <v>0</v>
      </c>
      <c r="AT29" s="21">
        <f t="shared" ca="1" si="51"/>
        <v>0</v>
      </c>
      <c r="AU29" s="21">
        <f t="shared" ca="1" si="52"/>
        <v>0</v>
      </c>
      <c r="AV29" s="21" t="str">
        <f t="shared" ca="1" si="53"/>
        <v>0:AS1,AS16,AS32,</v>
      </c>
      <c r="AW29" s="21" t="str">
        <f t="shared" ca="1" si="54"/>
        <v>3:AS16,</v>
      </c>
      <c r="AX29" s="21" t="str">
        <f t="shared" ca="1" si="55"/>
        <v>3:AS16,</v>
      </c>
      <c r="AY29" s="21" t="str">
        <f t="shared" ca="1" si="56"/>
        <v>0:AS1,AS16,AS32,</v>
      </c>
      <c r="AZ29" s="21" t="str">
        <f t="shared" ca="1" si="57"/>
        <v>0:AS1,AS16,AS32,</v>
      </c>
      <c r="BA29" s="21">
        <f t="shared" ca="1" si="58"/>
        <v>0</v>
      </c>
      <c r="BB29" s="21">
        <f t="shared" ca="1" si="59"/>
        <v>3</v>
      </c>
      <c r="BC29" s="21">
        <f t="shared" ca="1" si="60"/>
        <v>3</v>
      </c>
      <c r="BD29" s="21">
        <f t="shared" ca="1" si="61"/>
        <v>0</v>
      </c>
      <c r="BE29" s="21">
        <f t="shared" ca="1" si="62"/>
        <v>0</v>
      </c>
      <c r="BF29" s="21">
        <f t="shared" ca="1" si="9"/>
        <v>6</v>
      </c>
      <c r="BG29" s="21" t="str">
        <f ca="1">IFERROR(VLOOKUP($BF29,Definitions!$V:$W,COLUMNS(Definitions!$V:$W),TRUE),"")</f>
        <v>Basic</v>
      </c>
      <c r="BH29" s="21" t="str">
        <f ca="1">_xlfn.LET(_xlpm._comments,GetValues($K29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29" s="21" t="str" cm="1">
        <f t="array" ca="1" aca="1" ref="BI29">_xlfn.LET(_xlpm._rapRange,Definitions!$W:$W,_xlpm._calculatedRAP,$BG29,_xlpm._inlineRAP,$BH29,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29" s="21" t="str">
        <f ca="1">IFERROR(IF(OR($V29="",$BI29=""),Definitions!$AE$4,VLOOKUP($V29,Definitions!$AH:$AM,MATCH($BI29,Definitions!$AH$3:$AM$3,0),FALSE)),"")</f>
        <v>Very High</v>
      </c>
      <c r="BK29" s="21" cm="1">
        <f t="array" ca="1" aca="1" ref="BK29">IF($BJ29="",0,SimpleLookup($BJ29,Definitions!$AE:$AF))</f>
        <v>4</v>
      </c>
      <c r="BL29" s="21" t="str" cm="1">
        <f t="array" ca="1" aca="1" ref="BL29">IFERROR(SimpleLookup($A29,Tracing!$B:$Z),"")</f>
        <v/>
      </c>
      <c r="BM29" s="21" t="str" cm="1">
        <f t="array" ca="1" aca="1" ref="BM29">_xlfn.LET(_xlpm._dm,SanitizeInput(GetValuesWithFallback(SanitizeInput($BL29),Assumptions!$A:$I,Countermeasures!$A:$I,"",",",FALSE)),IF(_xlpm._dm="","",","&amp;_xlpm._dm))</f>
        <v/>
      </c>
      <c r="BN29" s="21" t="str" cm="1">
        <f t="array" ca="1" aca="1" ref="BN29">ApplyDamageMitigation($M29,$BM29,"")</f>
        <v>DS3,DS12,</v>
      </c>
      <c r="BO29" s="21" cm="1">
        <f t="array" ca="1" aca="1" ref="BO29">CalculateMaxFromList($BN29,0,'Damage Scenarios'!$A:$U)</f>
        <v>4</v>
      </c>
      <c r="BP29" s="21" t="str">
        <f ca="1">IF($BO29=0,"",INDEX(Definitions!$Q:$Q,MATCH($BO29,Definitions!$R:$R,0)))</f>
        <v>High</v>
      </c>
      <c r="BQ29" s="21" t="str" cm="1">
        <f t="array" ca="1" aca="1" ref="BQ29">CalculateMaxAndElementsWithFallback(SanitizeInput($BL29),0,"",Countermeasures!$A:Y,Assumptions!$A:Z)</f>
        <v>0:</v>
      </c>
      <c r="BR29" s="21" t="str" cm="1">
        <f t="array" ca="1" aca="1" ref="BR29">CalculateMaxAndElementsWithFallback(SanitizeInput($BL29),0,"",Countermeasures!$A:Z,Assumptions!$A:AA)</f>
        <v>0:</v>
      </c>
      <c r="BS29" s="21" t="str" cm="1">
        <f t="array" ca="1" aca="1" ref="BS29">CalculateMaxAndElementsWithFallback(SanitizeInput($BL29),0,"",Countermeasures!$A:AA,Assumptions!$A:AB)</f>
        <v>0:</v>
      </c>
      <c r="BT29" s="21" t="str" cm="1">
        <f t="array" ca="1" aca="1" ref="BT29">CalculateMaxAndElementsWithFallback(SanitizeInput($BL29),0,"",Countermeasures!$A:AB,Assumptions!$A:AC)</f>
        <v>0:</v>
      </c>
      <c r="BU29" s="21" t="str" cm="1">
        <f t="array" ca="1" aca="1" ref="BU29">CalculateMaxAndElementsWithFallback(SanitizeInput($BL29),0,"",Countermeasures!$A:AC,Assumptions!$A:AD)</f>
        <v>0:</v>
      </c>
      <c r="BV29" s="21">
        <f t="shared" ca="1" si="25"/>
        <v>0</v>
      </c>
      <c r="BW29" s="21">
        <f t="shared" ca="1" si="26"/>
        <v>0</v>
      </c>
      <c r="BX29" s="21">
        <f t="shared" ca="1" si="27"/>
        <v>0</v>
      </c>
      <c r="BY29" s="21">
        <f t="shared" ca="1" si="28"/>
        <v>0</v>
      </c>
      <c r="BZ29" s="21">
        <f t="shared" ca="1" si="29"/>
        <v>0</v>
      </c>
      <c r="CA29" s="21" t="str">
        <f t="shared" ca="1" si="30"/>
        <v>0:AS1,AS16,AS32,</v>
      </c>
      <c r="CB29" s="21" t="str">
        <f t="shared" ca="1" si="31"/>
        <v>3:AS16,</v>
      </c>
      <c r="CC29" s="21" t="str">
        <f t="shared" ca="1" si="32"/>
        <v>3:AS16,</v>
      </c>
      <c r="CD29" s="21" t="str">
        <f t="shared" ca="1" si="33"/>
        <v>0:AS1,AS16,AS32,</v>
      </c>
      <c r="CE29" s="21" t="str">
        <f t="shared" ca="1" si="34"/>
        <v>0:AS1,AS16,AS32,</v>
      </c>
      <c r="CF29" s="21">
        <f t="shared" ca="1" si="35"/>
        <v>0</v>
      </c>
      <c r="CG29" s="21">
        <f t="shared" ca="1" si="36"/>
        <v>3</v>
      </c>
      <c r="CH29" s="21">
        <f t="shared" ca="1" si="37"/>
        <v>3</v>
      </c>
      <c r="CI29" s="21">
        <f t="shared" ca="1" si="38"/>
        <v>0</v>
      </c>
      <c r="CJ29" s="21">
        <f t="shared" ca="1" si="39"/>
        <v>0</v>
      </c>
      <c r="CK29" s="21">
        <f t="shared" ca="1" si="23"/>
        <v>6</v>
      </c>
      <c r="CL29" s="21" t="str">
        <f ca="1">IFERROR(VLOOKUP($CK29,Definitions!$V:$W,COLUMNS(Definitions!$V:$W),TRUE),"")</f>
        <v>Basic</v>
      </c>
      <c r="CM29" s="21" t="str">
        <f ca="1">_xlfn.LET(_xlpm._comments,SimpleLookup($A29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29" s="21" t="str" cm="1">
        <f t="array" ca="1" aca="1" ref="CN29">_xlfn.LET(_xlpm._rapRange,Definitions!$W:$W,_xlpm._calculatedRAP,$CL29,_xlpm._inlineRAP,$CM29,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29" s="21" t="str">
        <f ca="1">IFERROR(IF(OR($BP29="",$CN29=""),Definitions!$AE$4,VLOOKUP($BP29,Definitions!$AH:$AM,MATCH($CN29,Definitions!$AH$3:$AM$3,0),FALSE)),"")</f>
        <v>Very High</v>
      </c>
      <c r="CP29" s="21" cm="1">
        <f t="array" ca="1" aca="1" ref="CP29">IF($CO29="",0,SimpleLookup($CO29,Definitions!$AE:$AF))</f>
        <v>4</v>
      </c>
      <c r="CQ29" s="21" t="b">
        <f ca="1">OR(AND($S29,$I29=Helper!$B$7),$I29&gt;Helper!$B$7)</f>
        <v>0</v>
      </c>
      <c r="CR29" s="21" t="str">
        <f t="shared" ca="1" si="24"/>
        <v/>
      </c>
      <c r="CS29" s="21" cm="1">
        <f t="array" ca="1" aca="1" ref="CS29">CreateID($CS$2,$CV:$CV,$CR29&lt;&gt;"")</f>
        <v>0</v>
      </c>
      <c r="CT29" s="21" t="str">
        <f ca="1">IF(IFERROR(MATCH(","&amp;A29&amp;",",'Risk Treatment'!$AT:$AT,0)&gt;0,FALSE),"",$A29)</f>
        <v>R1-16-32</v>
      </c>
      <c r="CU29" s="21" cm="1">
        <f t="array" ca="1" aca="1" ref="CU29">CreateID($CU$2,$CU:$CU,$CT29&lt;&gt;"")</f>
        <v>27</v>
      </c>
    </row>
    <row r="30" spans="1:99" ht="75">
      <c r="A30" s="33" t="str" cm="1">
        <f t="array" ca="1" aca="1" ref="A30">IF($B30="","","R"&amp;RemoveDelimiter(SUBSTITUTE(SUBSTITUTE($K30,"AS",""),",","-"),"-"))</f>
        <v>R2-16-32</v>
      </c>
      <c r="B30" s="33" t="str" cm="1">
        <f t="array" ca="1" aca="1" ref="B30">IF($L30="","",_xlfn.LET(_xlpm._finalAttackStep,$L30,_xlpm._prepAttacks,RemoveFirstElement(_xlpm._finalAttackStep&amp;","&amp;$K30),_xlpm._prepAttackNames,IFERROR(LookupNames(_xlpm._prepAttacks,'Attack Steps'!$A:$B),""),_xlpm._delimiter,REPT(CHAR(150),55),$L30&amp;" "&amp;SimpleLookup($L30,'Attack Steps'!$A:$B)&amp;IF(_xlpm._prepAttackNames="","",CHAR(10)&amp;_xlpm._delimiter&amp;CHAR(10)&amp;_xlpm._prepAttackNames)))</f>
        <v>AS32 Extracting or misusing acontis techonlogies GmbH IP
–––––––––––––––––––––––––––––––––––––––––––––––––––––––
AS2 Getting access to a wireless network,
AS16 Manipulating the product's configuration via its configuration interface</v>
      </c>
      <c r="C30" s="34" t="str" cm="1">
        <f t="array" ca="1" aca="1" ref="C30">IFERROR(LookupNames($M30,'Damage Scenarios'!$A:$V),"")</f>
        <v>DS3 Disclosure of acontis techonlogies GmbH IP (moderately innovative) [Medium],
DS12 IP (highly innovative) disclosed by manipulated product [High]</v>
      </c>
      <c r="D30" s="33" t="str">
        <f ca="1">IFERROR(IF($T30=0,"",INDEX(Definitions!$Q:$Q,MATCH($T30,Definitions!$R:$R,0))),"")</f>
        <v>High</v>
      </c>
      <c r="E30" s="34" t="str" cm="1">
        <f t="array" ca="1" aca="1" ref="E30">IF($A30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30,$A:W,Definitions!$Y:$Y,Definitions!$AB:$AB,1)&amp;CHAR(10)&amp;_xlpm._factorFunction($A30,$A:X,Definitions!$Y:$Y,Definitions!$AB:$AB,2)&amp;CHAR(10)&amp;_xlpm._factorFunction($A30,$A:Y,Definitions!$Y:$Y,Definitions!$AB:$AB,3)&amp;CHAR(10)&amp;_xlpm._factorFunction($A30,$A:Z,Definitions!$Y:$Y,Definitions!$AB:$AB,4)&amp;CHAR(10)&amp;_xlpm._factorFunction($A30,$A:AA,Definitions!$Y:$Y,Definitions!$AB:$AB,5)))</f>
        <v>Elapsed Time [0]: AS2, AS16, AS32
Expertise [3]: AS2, AS16
Knowledge of TOE [3]: AS16
Window of Opportunity [1]: AS2
Equipment [0]: AS2, AS16, AS32</v>
      </c>
      <c r="F30" s="33" t="str">
        <f ca="1">IF($A30="","",IFERROR(VLOOKUP($AG30,Definitions!$V:$W,COLUMNS(Definitions!$V:$W),TRUE),""))</f>
        <v>Basic</v>
      </c>
      <c r="G30" s="33" t="str">
        <f ca="1">IFERROR(IF(OR($D30="",$F30=""),"",VLOOKUP($D30,Definitions!$AH:$AM,MATCH($F30,Definitions!$AH$3:$AM$3,0),FALSE)),"")</f>
        <v>Very High</v>
      </c>
      <c r="H30" s="23" cm="1">
        <f t="array" ca="1" aca="1" ref="H30">IF(ROW()=ROW($H$2)+1,0,INDEX($H:$H,ROW()-1))+IF($A30="",0,1)</f>
        <v>28</v>
      </c>
      <c r="I30" s="21" cm="1">
        <f t="array" ca="1" aca="1" ref="I30">IF(ROW()=ROW($I$2)+1,1,INDEX($I:$I,ROW()-1)+IF(INDEX($S:$S,ROW()-1),1,0))</f>
        <v>12</v>
      </c>
      <c r="J30" s="21">
        <f t="shared" ca="1" si="0"/>
        <v>8</v>
      </c>
      <c r="K30" s="21" t="str">
        <f t="shared" ca="1" si="40"/>
        <v>AS2,AS16,AS32,</v>
      </c>
      <c r="L30" s="21" t="str" cm="1">
        <f t="array" ca="1" aca="1" ref="L30">IF($P30="","",INDEX('Attack Steps'!$A:$A,$P30))</f>
        <v>AS32</v>
      </c>
      <c r="M30" s="21" t="str" cm="1">
        <f t="array" ca="1" aca="1" ref="M30">IF($P30="","",INDEX('Attack Steps'!$T:$T,$P30))</f>
        <v>DS3,DS12,</v>
      </c>
      <c r="N30" s="21" t="str" cm="1">
        <f t="array" ca="1" aca="1" ref="N30">_xlfn.LET(_xlpm._dm,SanitizeInput(GetValuesWithFallback(SanitizeInput($AK30),Assumptions!$A:$I,Countermeasures!$A:$I,"",",",FALSE)),IF(_xlpm._dm="","",","&amp;_xlpm._dm))</f>
        <v/>
      </c>
      <c r="O30" s="21" t="str" cm="1">
        <f t="array" ca="1" aca="1" ref="O30">ApplyDamageMitigation($M30,$N30,"")</f>
        <v>DS3,DS12,</v>
      </c>
      <c r="P30" s="21">
        <f ca="1">IFERROR(MATCH($I30,'Attack Steps'!$V:$V,0),"")</f>
        <v>34</v>
      </c>
      <c r="Q30" s="21" t="str" cm="1">
        <f t="array" ca="1" aca="1" ref="Q30">IF($P30="","","§"&amp;INDEX('Attack Steps'!$S:$S,$P30))</f>
        <v>§AS1,AS3,AS32,§AS2,AS3,AS32,§AS1,AS5,AS32,§AS2,AS5,AS32,§AS1,AS7,AS32,§AS2,AS7,AS32,§AS1,AS16,AS32,§AS2,AS16,AS32,§AS21,AS23,AS32,§AS22,AS23,AS32,§AS21,AS24,AS32,§AS22,AS24,AS32,§AS1,AS29,AS32,§AS2,AS29,AS32,§</v>
      </c>
      <c r="R30" s="21" cm="1">
        <f t="array" ca="1" aca="1" ref="R30">IF($P30="","",INDEX('Attack Steps'!$W:$W,$P30))</f>
        <v>14</v>
      </c>
      <c r="S30" s="21" t="b">
        <f t="shared" ca="1" si="41"/>
        <v>0</v>
      </c>
      <c r="T30" s="21" cm="1">
        <f t="array" ca="1" aca="1" ref="T30">_xlfn.LAMBDA(_xlpm._in,_xlpm._val,_xlpm._range,IF(_xlpm._in="",_xlpm._val,_xlfn.LET(_xlpm._id,LEFT(_xlpm._in,FIND(",",_xlpm._in)-1),CalculateMaxFromList(RemoveFirstElement(_xlpm._in),MAX(_xlpm._val,VLOOKUP(_xlpm._id,_xlpm._range,COLUMNS(_xlpm._range),FALSE)),_xlpm._range))))($M30,0,'Damage Scenarios'!$A:$U)</f>
        <v>4</v>
      </c>
      <c r="U30" s="21" cm="1">
        <f t="array" ca="1" aca="1" ref="U30">CalculateMaxFromList($O30,0,'Damage Scenarios'!$A:$U)</f>
        <v>4</v>
      </c>
      <c r="V30" s="21" t="str">
        <f ca="1">IF($U30=0,"",INDEX(Definitions!$Q:$Q,MATCH($U30,Definitions!$R:$R,0)))</f>
        <v>High</v>
      </c>
      <c r="W30" s="21" t="str" cm="1">
        <f t="array" ca="1" aca="1" ref="W30">CalculateMaxAndElements($K30,0,"",'Attack Steps'!$A:X)</f>
        <v>0:AS2,AS16,AS32,</v>
      </c>
      <c r="X30" s="21" t="str" cm="1">
        <f t="array" ca="1" aca="1" ref="X30">CalculateMaxAndElements($K30,0,"",'Attack Steps'!$A:Y)</f>
        <v>3:AS2,AS16,</v>
      </c>
      <c r="Y30" s="21" t="str" cm="1">
        <f t="array" ca="1" aca="1" ref="Y30">CalculateMaxAndElements($K30,0,"",'Attack Steps'!$A:Z)</f>
        <v>3:AS16,</v>
      </c>
      <c r="Z30" s="21" t="str" cm="1">
        <f t="array" ca="1" aca="1" ref="Z30">CalculateMaxAndElements($K30,0,"",'Attack Steps'!$A:AA)</f>
        <v>1:AS2,</v>
      </c>
      <c r="AA30" s="21" t="str" cm="1">
        <f t="array" ca="1" aca="1" ref="AA30">CalculateMaxAndElements($K30,0,"",'Attack Steps'!$A:AB)</f>
        <v>0:AS2,AS16,AS32,</v>
      </c>
      <c r="AB30" s="21">
        <f t="shared" ca="1" si="42"/>
        <v>0</v>
      </c>
      <c r="AC30" s="21">
        <f t="shared" ca="1" si="43"/>
        <v>3</v>
      </c>
      <c r="AD30" s="21">
        <f t="shared" ca="1" si="44"/>
        <v>3</v>
      </c>
      <c r="AE30" s="21">
        <f t="shared" ca="1" si="45"/>
        <v>1</v>
      </c>
      <c r="AF30" s="21">
        <f t="shared" ca="1" si="46"/>
        <v>0</v>
      </c>
      <c r="AG30" s="21">
        <f t="shared" ca="1" si="3"/>
        <v>7</v>
      </c>
      <c r="AH30" s="21" t="str" cm="1">
        <f t="array" ca="1" aca="1" ref="AH30">IF(ROW()=ROW($AH$2)+1,"",INDEX($AH:$AH,ROW()-1))&amp;IF($A30="","",$A30&amp;",")</f>
        <v>R1-3,R2-3,R1-4,R2-4,R1-6,R2-6,R1-7,R2-7,R1-3-10,R2-3-10,R1-3-11,R2-3-11,R1-14,R1-16,R2-16,R21-23,R22-23,R1-29,R2-29,R31,R1-3-32,R2-3-32,R1-5-32,R2-5-32,R1-7-32,R2-7-32,R1-16-32,R2-16-32,</v>
      </c>
      <c r="AI30" s="21" t="str">
        <f t="shared" ca="1" si="47"/>
        <v>,AS2,AS16,AS32,</v>
      </c>
      <c r="AJ30" s="21" cm="1">
        <f t="array" ca="1" aca="1" ref="AJ30">IF($G30="",0,SimpleLookup($G30,Definitions!$AE:$AF))</f>
        <v>4</v>
      </c>
      <c r="AK30" s="21" t="str" cm="1">
        <f t="array" ca="1" aca="1" ref="AK30">InverseLookup($A30,Mitigation!$U$2,Mitigation!$J$2,1,Helper!$B$5,",")</f>
        <v/>
      </c>
      <c r="AL30" s="21" t="str" cm="1">
        <f t="array" ca="1" aca="1" ref="AL30">CalculateMaxAndElementsWithFallback(SanitizeInput($AK30),0,"",Countermeasures!$A:Y,Assumptions!$A:Z)</f>
        <v>0:</v>
      </c>
      <c r="AM30" s="21" t="str" cm="1">
        <f t="array" ca="1" aca="1" ref="AM30">CalculateMaxAndElementsWithFallback(SanitizeInput($AK30),0,"",Countermeasures!$A:Z,Assumptions!$A:AA)</f>
        <v>0:</v>
      </c>
      <c r="AN30" s="21" t="str" cm="1">
        <f t="array" ca="1" aca="1" ref="AN30">CalculateMaxAndElementsWithFallback(SanitizeInput($AK30),0,"",Countermeasures!$A:AA,Assumptions!$A:AB)</f>
        <v>0:</v>
      </c>
      <c r="AO30" s="21" t="str" cm="1">
        <f t="array" ca="1" aca="1" ref="AO30">CalculateMaxAndElementsWithFallback(SanitizeInput($AK30),0,"",Countermeasures!$A:AB,Assumptions!$A:AC)</f>
        <v>0:</v>
      </c>
      <c r="AP30" s="21" t="str" cm="1">
        <f t="array" ca="1" aca="1" ref="AP30">CalculateMaxAndElementsWithFallback(SanitizeInput($AK30),0,"",Countermeasures!$A:AC,Assumptions!$A:AD)</f>
        <v>0:</v>
      </c>
      <c r="AQ30" s="21">
        <f t="shared" ca="1" si="48"/>
        <v>0</v>
      </c>
      <c r="AR30" s="21">
        <f t="shared" ca="1" si="49"/>
        <v>0</v>
      </c>
      <c r="AS30" s="21">
        <f t="shared" ca="1" si="50"/>
        <v>0</v>
      </c>
      <c r="AT30" s="21">
        <f t="shared" ca="1" si="51"/>
        <v>0</v>
      </c>
      <c r="AU30" s="21">
        <f t="shared" ca="1" si="52"/>
        <v>0</v>
      </c>
      <c r="AV30" s="21" t="str">
        <f t="shared" ca="1" si="53"/>
        <v>0:AS2,AS16,AS32,</v>
      </c>
      <c r="AW30" s="21" t="str">
        <f t="shared" ca="1" si="54"/>
        <v>3:AS2,AS16,</v>
      </c>
      <c r="AX30" s="21" t="str">
        <f t="shared" ca="1" si="55"/>
        <v>3:AS16,</v>
      </c>
      <c r="AY30" s="21" t="str">
        <f t="shared" ca="1" si="56"/>
        <v>1:AS2,</v>
      </c>
      <c r="AZ30" s="21" t="str">
        <f t="shared" ca="1" si="57"/>
        <v>0:AS2,AS16,AS32,</v>
      </c>
      <c r="BA30" s="21">
        <f t="shared" ca="1" si="58"/>
        <v>0</v>
      </c>
      <c r="BB30" s="21">
        <f t="shared" ca="1" si="59"/>
        <v>3</v>
      </c>
      <c r="BC30" s="21">
        <f t="shared" ca="1" si="60"/>
        <v>3</v>
      </c>
      <c r="BD30" s="21">
        <f t="shared" ca="1" si="61"/>
        <v>1</v>
      </c>
      <c r="BE30" s="21">
        <f t="shared" ca="1" si="62"/>
        <v>0</v>
      </c>
      <c r="BF30" s="21">
        <f t="shared" ca="1" si="9"/>
        <v>7</v>
      </c>
      <c r="BG30" s="21" t="str">
        <f ca="1">IFERROR(VLOOKUP($BF30,Definitions!$V:$W,COLUMNS(Definitions!$V:$W),TRUE),"")</f>
        <v>Basic</v>
      </c>
      <c r="BH30" s="21" t="str">
        <f ca="1">_xlfn.LET(_xlpm._comments,GetValues($K30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0" s="21" t="str" cm="1">
        <f t="array" ca="1" aca="1" ref="BI30">_xlfn.LET(_xlpm._rapRange,Definitions!$W:$W,_xlpm._calculatedRAP,$BG30,_xlpm._inlineRAP,$BH30,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0" s="21" t="str">
        <f ca="1">IFERROR(IF(OR($V30="",$BI30=""),Definitions!$AE$4,VLOOKUP($V30,Definitions!$AH:$AM,MATCH($BI30,Definitions!$AH$3:$AM$3,0),FALSE)),"")</f>
        <v>Very High</v>
      </c>
      <c r="BK30" s="21" cm="1">
        <f t="array" ca="1" aca="1" ref="BK30">IF($BJ30="",0,SimpleLookup($BJ30,Definitions!$AE:$AF))</f>
        <v>4</v>
      </c>
      <c r="BL30" s="21" t="str" cm="1">
        <f t="array" ca="1" aca="1" ref="BL30">IFERROR(SimpleLookup($A30,Tracing!$B:$Z),"")</f>
        <v/>
      </c>
      <c r="BM30" s="21" t="str" cm="1">
        <f t="array" ca="1" aca="1" ref="BM30">_xlfn.LET(_xlpm._dm,SanitizeInput(GetValuesWithFallback(SanitizeInput($BL30),Assumptions!$A:$I,Countermeasures!$A:$I,"",",",FALSE)),IF(_xlpm._dm="","",","&amp;_xlpm._dm))</f>
        <v/>
      </c>
      <c r="BN30" s="21" t="str" cm="1">
        <f t="array" ca="1" aca="1" ref="BN30">ApplyDamageMitigation($M30,$BM30,"")</f>
        <v>DS3,DS12,</v>
      </c>
      <c r="BO30" s="21" cm="1">
        <f t="array" ca="1" aca="1" ref="BO30">CalculateMaxFromList($BN30,0,'Damage Scenarios'!$A:$U)</f>
        <v>4</v>
      </c>
      <c r="BP30" s="21" t="str">
        <f ca="1">IF($BO30=0,"",INDEX(Definitions!$Q:$Q,MATCH($BO30,Definitions!$R:$R,0)))</f>
        <v>High</v>
      </c>
      <c r="BQ30" s="21" t="str" cm="1">
        <f t="array" ca="1" aca="1" ref="BQ30">CalculateMaxAndElementsWithFallback(SanitizeInput($BL30),0,"",Countermeasures!$A:Y,Assumptions!$A:Z)</f>
        <v>0:</v>
      </c>
      <c r="BR30" s="21" t="str" cm="1">
        <f t="array" ca="1" aca="1" ref="BR30">CalculateMaxAndElementsWithFallback(SanitizeInput($BL30),0,"",Countermeasures!$A:Z,Assumptions!$A:AA)</f>
        <v>0:</v>
      </c>
      <c r="BS30" s="21" t="str" cm="1">
        <f t="array" ca="1" aca="1" ref="BS30">CalculateMaxAndElementsWithFallback(SanitizeInput($BL30),0,"",Countermeasures!$A:AA,Assumptions!$A:AB)</f>
        <v>0:</v>
      </c>
      <c r="BT30" s="21" t="str" cm="1">
        <f t="array" ca="1" aca="1" ref="BT30">CalculateMaxAndElementsWithFallback(SanitizeInput($BL30),0,"",Countermeasures!$A:AB,Assumptions!$A:AC)</f>
        <v>0:</v>
      </c>
      <c r="BU30" s="21" t="str" cm="1">
        <f t="array" ca="1" aca="1" ref="BU30">CalculateMaxAndElementsWithFallback(SanitizeInput($BL30),0,"",Countermeasures!$A:AC,Assumptions!$A:AD)</f>
        <v>0:</v>
      </c>
      <c r="BV30" s="21">
        <f t="shared" ca="1" si="25"/>
        <v>0</v>
      </c>
      <c r="BW30" s="21">
        <f t="shared" ca="1" si="26"/>
        <v>0</v>
      </c>
      <c r="BX30" s="21">
        <f t="shared" ca="1" si="27"/>
        <v>0</v>
      </c>
      <c r="BY30" s="21">
        <f t="shared" ca="1" si="28"/>
        <v>0</v>
      </c>
      <c r="BZ30" s="21">
        <f t="shared" ca="1" si="29"/>
        <v>0</v>
      </c>
      <c r="CA30" s="21" t="str">
        <f t="shared" ca="1" si="30"/>
        <v>0:AS2,AS16,AS32,</v>
      </c>
      <c r="CB30" s="21" t="str">
        <f t="shared" ca="1" si="31"/>
        <v>3:AS2,AS16,</v>
      </c>
      <c r="CC30" s="21" t="str">
        <f t="shared" ca="1" si="32"/>
        <v>3:AS16,</v>
      </c>
      <c r="CD30" s="21" t="str">
        <f t="shared" ca="1" si="33"/>
        <v>1:AS2,</v>
      </c>
      <c r="CE30" s="21" t="str">
        <f t="shared" ca="1" si="34"/>
        <v>0:AS2,AS16,AS32,</v>
      </c>
      <c r="CF30" s="21">
        <f t="shared" ca="1" si="35"/>
        <v>0</v>
      </c>
      <c r="CG30" s="21">
        <f t="shared" ca="1" si="36"/>
        <v>3</v>
      </c>
      <c r="CH30" s="21">
        <f t="shared" ca="1" si="37"/>
        <v>3</v>
      </c>
      <c r="CI30" s="21">
        <f t="shared" ca="1" si="38"/>
        <v>1</v>
      </c>
      <c r="CJ30" s="21">
        <f t="shared" ca="1" si="39"/>
        <v>0</v>
      </c>
      <c r="CK30" s="21">
        <f t="shared" ca="1" si="23"/>
        <v>7</v>
      </c>
      <c r="CL30" s="21" t="str">
        <f ca="1">IFERROR(VLOOKUP($CK30,Definitions!$V:$W,COLUMNS(Definitions!$V:$W),TRUE),"")</f>
        <v>Basic</v>
      </c>
      <c r="CM30" s="21" t="str">
        <f ca="1">_xlfn.LET(_xlpm._comments,SimpleLookup($A30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0" s="21" t="str" cm="1">
        <f t="array" ca="1" aca="1" ref="CN30">_xlfn.LET(_xlpm._rapRange,Definitions!$W:$W,_xlpm._calculatedRAP,$CL30,_xlpm._inlineRAP,$CM30,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0" s="21" t="str">
        <f ca="1">IFERROR(IF(OR($BP30="",$CN30=""),Definitions!$AE$4,VLOOKUP($BP30,Definitions!$AH:$AM,MATCH($CN30,Definitions!$AH$3:$AM$3,0),FALSE)),"")</f>
        <v>Very High</v>
      </c>
      <c r="CP30" s="21" cm="1">
        <f t="array" ca="1" aca="1" ref="CP30">IF($CO30="",0,SimpleLookup($CO30,Definitions!$AE:$AF))</f>
        <v>4</v>
      </c>
      <c r="CQ30" s="21" t="b">
        <f ca="1">OR(AND($S30,$I30=Helper!$B$7),$I30&gt;Helper!$B$7)</f>
        <v>0</v>
      </c>
      <c r="CR30" s="21" t="str">
        <f t="shared" ca="1" si="24"/>
        <v/>
      </c>
      <c r="CS30" s="21" cm="1">
        <f t="array" ca="1" aca="1" ref="CS30">CreateID($CS$2,$CV:$CV,$CR30&lt;&gt;"")</f>
        <v>0</v>
      </c>
      <c r="CT30" s="21" t="str">
        <f ca="1">IF(IFERROR(MATCH(","&amp;A30&amp;",",'Risk Treatment'!$AT:$AT,0)&gt;0,FALSE),"",$A30)</f>
        <v>R2-16-32</v>
      </c>
      <c r="CU30" s="21" cm="1">
        <f t="array" ca="1" aca="1" ref="CU30">CreateID($CU$2,$CU:$CU,$CT30&lt;&gt;"")</f>
        <v>28</v>
      </c>
    </row>
    <row r="31" spans="1:99" ht="75">
      <c r="A31" s="33" t="str" cm="1">
        <f t="array" ca="1" aca="1" ref="A31">IF($B31="","","R"&amp;RemoveDelimiter(SUBSTITUTE(SUBSTITUTE($K31,"AS",""),",","-"),"-"))</f>
        <v>R21-23-32</v>
      </c>
      <c r="B31" s="33" t="str" cm="1">
        <f t="array" ca="1" aca="1" ref="B31">IF($L31="","",_xlfn.LET(_xlpm._finalAttackStep,$L31,_xlpm._prepAttacks,RemoveFirstElement(_xlpm._finalAttackStep&amp;","&amp;$K31),_xlpm._prepAttackNames,IFERROR(LookupNames(_xlpm._prepAttacks,'Attack Steps'!$A:$B),""),_xlpm._delimiter,REPT(CHAR(150),55),$L31&amp;" "&amp;SimpleLookup($L31,'Attack Steps'!$A:$B)&amp;IF(_xlpm._prepAttackNames="","",CHAR(10)&amp;_xlpm._delimiter&amp;CHAR(10)&amp;_xlpm._prepAttackNames)))</f>
        <v>AS32 Extracting or misusing acontis techonlogies GmbH IP
–––––––––––––––––––––––––––––––––––––––––––––––––––––––
AS21 Gaining physical access to the product (3rd party),
AS23 Compromising the product with direct access to its persistent memory</v>
      </c>
      <c r="C31" s="34" t="str" cm="1">
        <f t="array" ca="1" aca="1" ref="C31">IFERROR(LookupNames($M31,'Damage Scenarios'!$A:$V),"")</f>
        <v>DS3 Disclosure of acontis techonlogies GmbH IP (moderately innovative) [Medium],
DS12 IP (highly innovative) disclosed by manipulated product [High]</v>
      </c>
      <c r="D31" s="33" t="str">
        <f ca="1">IFERROR(IF($T31=0,"",INDEX(Definitions!$Q:$Q,MATCH($T31,Definitions!$R:$R,0))),"")</f>
        <v>High</v>
      </c>
      <c r="E31" s="34" t="str" cm="1">
        <f t="array" ca="1" aca="1" ref="E31">IF($A31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31,$A:W,Definitions!$Y:$Y,Definitions!$AB:$AB,1)&amp;CHAR(10)&amp;_xlpm._factorFunction($A31,$A:X,Definitions!$Y:$Y,Definitions!$AB:$AB,2)&amp;CHAR(10)&amp;_xlpm._factorFunction($A31,$A:Y,Definitions!$Y:$Y,Definitions!$AB:$AB,3)&amp;CHAR(10)&amp;_xlpm._factorFunction($A31,$A:Z,Definitions!$Y:$Y,Definitions!$AB:$AB,4)&amp;CHAR(10)&amp;_xlpm._factorFunction($A31,$A:AA,Definitions!$Y:$Y,Definitions!$AB:$AB,5)))</f>
        <v>Elapsed Time [1]: AS23
Expertise [6]: AS23
Knowledge of TOE [3]: AS23
Window of Opportunity [1]: AS21
Equipment [0]: AS21, AS23, AS32</v>
      </c>
      <c r="F31" s="33" t="str">
        <f ca="1">IF($A31="","",IFERROR(VLOOKUP($AG31,Definitions!$V:$W,COLUMNS(Definitions!$V:$W),TRUE),""))</f>
        <v>Enhanced-Basic</v>
      </c>
      <c r="G31" s="33" t="str">
        <f ca="1">IFERROR(IF(OR($D31="",$F31=""),"",VLOOKUP($D31,Definitions!$AH:$AM,MATCH($F31,Definitions!$AH$3:$AM$3,0),FALSE)),"")</f>
        <v>Very High</v>
      </c>
      <c r="H31" s="23" cm="1">
        <f t="array" ca="1" aca="1" ref="H31">IF(ROW()=ROW($H$2)+1,0,INDEX($H:$H,ROW()-1))+IF($A31="",0,1)</f>
        <v>29</v>
      </c>
      <c r="I31" s="21" cm="1">
        <f t="array" ca="1" aca="1" ref="I31">IF(ROW()=ROW($I$2)+1,1,INDEX($I:$I,ROW()-1)+IF(INDEX($S:$S,ROW()-1),1,0))</f>
        <v>12</v>
      </c>
      <c r="J31" s="21">
        <f t="shared" ca="1" si="0"/>
        <v>9</v>
      </c>
      <c r="K31" s="21" t="str">
        <f t="shared" ca="1" si="40"/>
        <v>AS21,AS23,AS32,</v>
      </c>
      <c r="L31" s="21" t="str" cm="1">
        <f t="array" ca="1" aca="1" ref="L31">IF($P31="","",INDEX('Attack Steps'!$A:$A,$P31))</f>
        <v>AS32</v>
      </c>
      <c r="M31" s="21" t="str" cm="1">
        <f t="array" ca="1" aca="1" ref="M31">IF($P31="","",INDEX('Attack Steps'!$T:$T,$P31))</f>
        <v>DS3,DS12,</v>
      </c>
      <c r="N31" s="21" t="str" cm="1">
        <f t="array" ca="1" aca="1" ref="N31">_xlfn.LET(_xlpm._dm,SanitizeInput(GetValuesWithFallback(SanitizeInput($AK31),Assumptions!$A:$I,Countermeasures!$A:$I,"",",",FALSE)),IF(_xlpm._dm="","",","&amp;_xlpm._dm))</f>
        <v/>
      </c>
      <c r="O31" s="21" t="str" cm="1">
        <f t="array" ca="1" aca="1" ref="O31">ApplyDamageMitigation($M31,$N31,"")</f>
        <v>DS3,DS12,</v>
      </c>
      <c r="P31" s="21">
        <f ca="1">IFERROR(MATCH($I31,'Attack Steps'!$V:$V,0),"")</f>
        <v>34</v>
      </c>
      <c r="Q31" s="21" t="str" cm="1">
        <f t="array" ca="1" aca="1" ref="Q31">IF($P31="","","§"&amp;INDEX('Attack Steps'!$S:$S,$P31))</f>
        <v>§AS1,AS3,AS32,§AS2,AS3,AS32,§AS1,AS5,AS32,§AS2,AS5,AS32,§AS1,AS7,AS32,§AS2,AS7,AS32,§AS1,AS16,AS32,§AS2,AS16,AS32,§AS21,AS23,AS32,§AS22,AS23,AS32,§AS21,AS24,AS32,§AS22,AS24,AS32,§AS1,AS29,AS32,§AS2,AS29,AS32,§</v>
      </c>
      <c r="R31" s="21" cm="1">
        <f t="array" ca="1" aca="1" ref="R31">IF($P31="","",INDEX('Attack Steps'!$W:$W,$P31))</f>
        <v>14</v>
      </c>
      <c r="S31" s="21" t="b">
        <f t="shared" ca="1" si="41"/>
        <v>0</v>
      </c>
      <c r="T31" s="21" cm="1">
        <f t="array" ca="1" aca="1" ref="T31">_xlfn.LAMBDA(_xlpm._in,_xlpm._val,_xlpm._range,IF(_xlpm._in="",_xlpm._val,_xlfn.LET(_xlpm._id,LEFT(_xlpm._in,FIND(",",_xlpm._in)-1),CalculateMaxFromList(RemoveFirstElement(_xlpm._in),MAX(_xlpm._val,VLOOKUP(_xlpm._id,_xlpm._range,COLUMNS(_xlpm._range),FALSE)),_xlpm._range))))($M31,0,'Damage Scenarios'!$A:$U)</f>
        <v>4</v>
      </c>
      <c r="U31" s="21" cm="1">
        <f t="array" ca="1" aca="1" ref="U31">CalculateMaxFromList($O31,0,'Damage Scenarios'!$A:$U)</f>
        <v>4</v>
      </c>
      <c r="V31" s="21" t="str">
        <f ca="1">IF($U31=0,"",INDEX(Definitions!$Q:$Q,MATCH($U31,Definitions!$R:$R,0)))</f>
        <v>High</v>
      </c>
      <c r="W31" s="21" t="str" cm="1">
        <f t="array" ca="1" aca="1" ref="W31">CalculateMaxAndElements($K31,0,"",'Attack Steps'!$A:X)</f>
        <v>1:AS23,</v>
      </c>
      <c r="X31" s="21" t="str" cm="1">
        <f t="array" ca="1" aca="1" ref="X31">CalculateMaxAndElements($K31,0,"",'Attack Steps'!$A:Y)</f>
        <v>6:AS23,</v>
      </c>
      <c r="Y31" s="21" t="str" cm="1">
        <f t="array" ca="1" aca="1" ref="Y31">CalculateMaxAndElements($K31,0,"",'Attack Steps'!$A:Z)</f>
        <v>3:AS23,</v>
      </c>
      <c r="Z31" s="21" t="str" cm="1">
        <f t="array" ca="1" aca="1" ref="Z31">CalculateMaxAndElements($K31,0,"",'Attack Steps'!$A:AA)</f>
        <v>1:AS21,</v>
      </c>
      <c r="AA31" s="21" t="str" cm="1">
        <f t="array" ca="1" aca="1" ref="AA31">CalculateMaxAndElements($K31,0,"",'Attack Steps'!$A:AB)</f>
        <v>0:AS21,AS23,AS32,</v>
      </c>
      <c r="AB31" s="21">
        <f t="shared" ca="1" si="42"/>
        <v>1</v>
      </c>
      <c r="AC31" s="21">
        <f t="shared" ca="1" si="43"/>
        <v>6</v>
      </c>
      <c r="AD31" s="21">
        <f t="shared" ca="1" si="44"/>
        <v>3</v>
      </c>
      <c r="AE31" s="21">
        <f t="shared" ca="1" si="45"/>
        <v>1</v>
      </c>
      <c r="AF31" s="21">
        <f t="shared" ca="1" si="46"/>
        <v>0</v>
      </c>
      <c r="AG31" s="21">
        <f t="shared" ca="1" si="3"/>
        <v>11</v>
      </c>
      <c r="AH31" s="21" t="str" cm="1">
        <f t="array" ca="1" aca="1" ref="AH31">IF(ROW()=ROW($AH$2)+1,"",INDEX($AH:$AH,ROW()-1))&amp;IF($A31="","",$A31&amp;",")</f>
        <v>R1-3,R2-3,R1-4,R2-4,R1-6,R2-6,R1-7,R2-7,R1-3-10,R2-3-10,R1-3-11,R2-3-11,R1-14,R1-16,R2-16,R21-23,R22-23,R1-29,R2-29,R31,R1-3-32,R2-3-32,R1-5-32,R2-5-32,R1-7-32,R2-7-32,R1-16-32,R2-16-32,R21-23-32,</v>
      </c>
      <c r="AI31" s="21" t="str">
        <f t="shared" ca="1" si="47"/>
        <v>,AS21,AS23,AS32,</v>
      </c>
      <c r="AJ31" s="21" cm="1">
        <f t="array" ca="1" aca="1" ref="AJ31">IF($G31="",0,SimpleLookup($G31,Definitions!$AE:$AF))</f>
        <v>4</v>
      </c>
      <c r="AK31" s="21" t="str" cm="1">
        <f t="array" ca="1" aca="1" ref="AK31">InverseLookup($A31,Mitigation!$U$2,Mitigation!$J$2,1,Helper!$B$5,",")</f>
        <v/>
      </c>
      <c r="AL31" s="21" t="str" cm="1">
        <f t="array" ca="1" aca="1" ref="AL31">CalculateMaxAndElementsWithFallback(SanitizeInput($AK31),0,"",Countermeasures!$A:Y,Assumptions!$A:Z)</f>
        <v>0:</v>
      </c>
      <c r="AM31" s="21" t="str" cm="1">
        <f t="array" ca="1" aca="1" ref="AM31">CalculateMaxAndElementsWithFallback(SanitizeInput($AK31),0,"",Countermeasures!$A:Z,Assumptions!$A:AA)</f>
        <v>0:</v>
      </c>
      <c r="AN31" s="21" t="str" cm="1">
        <f t="array" ca="1" aca="1" ref="AN31">CalculateMaxAndElementsWithFallback(SanitizeInput($AK31),0,"",Countermeasures!$A:AA,Assumptions!$A:AB)</f>
        <v>0:</v>
      </c>
      <c r="AO31" s="21" t="str" cm="1">
        <f t="array" ca="1" aca="1" ref="AO31">CalculateMaxAndElementsWithFallback(SanitizeInput($AK31),0,"",Countermeasures!$A:AB,Assumptions!$A:AC)</f>
        <v>0:</v>
      </c>
      <c r="AP31" s="21" t="str" cm="1">
        <f t="array" ca="1" aca="1" ref="AP31">CalculateMaxAndElementsWithFallback(SanitizeInput($AK31),0,"",Countermeasures!$A:AC,Assumptions!$A:AD)</f>
        <v>0:</v>
      </c>
      <c r="AQ31" s="21">
        <f t="shared" ca="1" si="48"/>
        <v>0</v>
      </c>
      <c r="AR31" s="21">
        <f t="shared" ca="1" si="49"/>
        <v>0</v>
      </c>
      <c r="AS31" s="21">
        <f t="shared" ca="1" si="50"/>
        <v>0</v>
      </c>
      <c r="AT31" s="21">
        <f t="shared" ca="1" si="51"/>
        <v>0</v>
      </c>
      <c r="AU31" s="21">
        <f t="shared" ca="1" si="52"/>
        <v>0</v>
      </c>
      <c r="AV31" s="21" t="str">
        <f t="shared" ca="1" si="53"/>
        <v>1:AS23,</v>
      </c>
      <c r="AW31" s="21" t="str">
        <f t="shared" ca="1" si="54"/>
        <v>6:AS23,</v>
      </c>
      <c r="AX31" s="21" t="str">
        <f t="shared" ca="1" si="55"/>
        <v>3:AS23,</v>
      </c>
      <c r="AY31" s="21" t="str">
        <f t="shared" ca="1" si="56"/>
        <v>1:AS21,</v>
      </c>
      <c r="AZ31" s="21" t="str">
        <f t="shared" ca="1" si="57"/>
        <v>0:AS21,AS23,AS32,</v>
      </c>
      <c r="BA31" s="21">
        <f t="shared" ca="1" si="58"/>
        <v>1</v>
      </c>
      <c r="BB31" s="21">
        <f t="shared" ca="1" si="59"/>
        <v>6</v>
      </c>
      <c r="BC31" s="21">
        <f t="shared" ca="1" si="60"/>
        <v>3</v>
      </c>
      <c r="BD31" s="21">
        <f t="shared" ca="1" si="61"/>
        <v>1</v>
      </c>
      <c r="BE31" s="21">
        <f t="shared" ca="1" si="62"/>
        <v>0</v>
      </c>
      <c r="BF31" s="21">
        <f t="shared" ca="1" si="9"/>
        <v>11</v>
      </c>
      <c r="BG31" s="21" t="str">
        <f ca="1">IFERROR(VLOOKUP($BF31,Definitions!$V:$W,COLUMNS(Definitions!$V:$W),TRUE),"")</f>
        <v>Enhanced-Basic</v>
      </c>
      <c r="BH31" s="21" t="str">
        <f ca="1">_xlfn.LET(_xlpm._comments,GetValues($K31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1" s="21" t="str" cm="1">
        <f t="array" ca="1" aca="1" ref="BI31">_xlfn.LET(_xlpm._rapRange,Definitions!$W:$W,_xlpm._calculatedRAP,$BG31,_xlpm._inlineRAP,$BH31,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31" s="21" t="str">
        <f ca="1">IFERROR(IF(OR($V31="",$BI31=""),Definitions!$AE$4,VLOOKUP($V31,Definitions!$AH:$AM,MATCH($BI31,Definitions!$AH$3:$AM$3,0),FALSE)),"")</f>
        <v>Very High</v>
      </c>
      <c r="BK31" s="21" cm="1">
        <f t="array" ca="1" aca="1" ref="BK31">IF($BJ31="",0,SimpleLookup($BJ31,Definitions!$AE:$AF))</f>
        <v>4</v>
      </c>
      <c r="BL31" s="21" t="str" cm="1">
        <f t="array" ca="1" aca="1" ref="BL31">IFERROR(SimpleLookup($A31,Tracing!$B:$Z),"")</f>
        <v/>
      </c>
      <c r="BM31" s="21" t="str" cm="1">
        <f t="array" ca="1" aca="1" ref="BM31">_xlfn.LET(_xlpm._dm,SanitizeInput(GetValuesWithFallback(SanitizeInput($BL31),Assumptions!$A:$I,Countermeasures!$A:$I,"",",",FALSE)),IF(_xlpm._dm="","",","&amp;_xlpm._dm))</f>
        <v/>
      </c>
      <c r="BN31" s="21" t="str" cm="1">
        <f t="array" ca="1" aca="1" ref="BN31">ApplyDamageMitigation($M31,$BM31,"")</f>
        <v>DS3,DS12,</v>
      </c>
      <c r="BO31" s="21" cm="1">
        <f t="array" ca="1" aca="1" ref="BO31">CalculateMaxFromList($BN31,0,'Damage Scenarios'!$A:$U)</f>
        <v>4</v>
      </c>
      <c r="BP31" s="21" t="str">
        <f ca="1">IF($BO31=0,"",INDEX(Definitions!$Q:$Q,MATCH($BO31,Definitions!$R:$R,0)))</f>
        <v>High</v>
      </c>
      <c r="BQ31" s="21" t="str" cm="1">
        <f t="array" ca="1" aca="1" ref="BQ31">CalculateMaxAndElementsWithFallback(SanitizeInput($BL31),0,"",Countermeasures!$A:Y,Assumptions!$A:Z)</f>
        <v>0:</v>
      </c>
      <c r="BR31" s="21" t="str" cm="1">
        <f t="array" ca="1" aca="1" ref="BR31">CalculateMaxAndElementsWithFallback(SanitizeInput($BL31),0,"",Countermeasures!$A:Z,Assumptions!$A:AA)</f>
        <v>0:</v>
      </c>
      <c r="BS31" s="21" t="str" cm="1">
        <f t="array" ca="1" aca="1" ref="BS31">CalculateMaxAndElementsWithFallback(SanitizeInput($BL31),0,"",Countermeasures!$A:AA,Assumptions!$A:AB)</f>
        <v>0:</v>
      </c>
      <c r="BT31" s="21" t="str" cm="1">
        <f t="array" ca="1" aca="1" ref="BT31">CalculateMaxAndElementsWithFallback(SanitizeInput($BL31),0,"",Countermeasures!$A:AB,Assumptions!$A:AC)</f>
        <v>0:</v>
      </c>
      <c r="BU31" s="21" t="str" cm="1">
        <f t="array" ca="1" aca="1" ref="BU31">CalculateMaxAndElementsWithFallback(SanitizeInput($BL31),0,"",Countermeasures!$A:AC,Assumptions!$A:AD)</f>
        <v>0:</v>
      </c>
      <c r="BV31" s="21">
        <f t="shared" ca="1" si="25"/>
        <v>0</v>
      </c>
      <c r="BW31" s="21">
        <f t="shared" ca="1" si="26"/>
        <v>0</v>
      </c>
      <c r="BX31" s="21">
        <f t="shared" ca="1" si="27"/>
        <v>0</v>
      </c>
      <c r="BY31" s="21">
        <f t="shared" ca="1" si="28"/>
        <v>0</v>
      </c>
      <c r="BZ31" s="21">
        <f t="shared" ca="1" si="29"/>
        <v>0</v>
      </c>
      <c r="CA31" s="21" t="str">
        <f t="shared" ca="1" si="30"/>
        <v>1:AS23,</v>
      </c>
      <c r="CB31" s="21" t="str">
        <f t="shared" ca="1" si="31"/>
        <v>6:AS23,</v>
      </c>
      <c r="CC31" s="21" t="str">
        <f t="shared" ca="1" si="32"/>
        <v>3:AS23,</v>
      </c>
      <c r="CD31" s="21" t="str">
        <f t="shared" ca="1" si="33"/>
        <v>1:AS21,</v>
      </c>
      <c r="CE31" s="21" t="str">
        <f t="shared" ca="1" si="34"/>
        <v>0:AS21,AS23,AS32,</v>
      </c>
      <c r="CF31" s="21">
        <f t="shared" ca="1" si="35"/>
        <v>1</v>
      </c>
      <c r="CG31" s="21">
        <f t="shared" ca="1" si="36"/>
        <v>6</v>
      </c>
      <c r="CH31" s="21">
        <f t="shared" ca="1" si="37"/>
        <v>3</v>
      </c>
      <c r="CI31" s="21">
        <f t="shared" ca="1" si="38"/>
        <v>1</v>
      </c>
      <c r="CJ31" s="21">
        <f t="shared" ca="1" si="39"/>
        <v>0</v>
      </c>
      <c r="CK31" s="21">
        <f t="shared" ca="1" si="23"/>
        <v>11</v>
      </c>
      <c r="CL31" s="21" t="str">
        <f ca="1">IFERROR(VLOOKUP($CK31,Definitions!$V:$W,COLUMNS(Definitions!$V:$W),TRUE),"")</f>
        <v>Enhanced-Basic</v>
      </c>
      <c r="CM31" s="21" t="str">
        <f ca="1">_xlfn.LET(_xlpm._comments,SimpleLookup($A31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1" s="21" t="str" cm="1">
        <f t="array" ca="1" aca="1" ref="CN31">_xlfn.LET(_xlpm._rapRange,Definitions!$W:$W,_xlpm._calculatedRAP,$CL31,_xlpm._inlineRAP,$CM31,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31" s="21" t="str">
        <f ca="1">IFERROR(IF(OR($BP31="",$CN31=""),Definitions!$AE$4,VLOOKUP($BP31,Definitions!$AH:$AM,MATCH($CN31,Definitions!$AH$3:$AM$3,0),FALSE)),"")</f>
        <v>Very High</v>
      </c>
      <c r="CP31" s="21" cm="1">
        <f t="array" ca="1" aca="1" ref="CP31">IF($CO31="",0,SimpleLookup($CO31,Definitions!$AE:$AF))</f>
        <v>4</v>
      </c>
      <c r="CQ31" s="21" t="b">
        <f ca="1">OR(AND($S31,$I31=Helper!$B$7),$I31&gt;Helper!$B$7)</f>
        <v>0</v>
      </c>
      <c r="CR31" s="21" t="str">
        <f t="shared" ca="1" si="24"/>
        <v/>
      </c>
      <c r="CS31" s="21" cm="1">
        <f t="array" ca="1" aca="1" ref="CS31">CreateID($CS$2,$CV:$CV,$CR31&lt;&gt;"")</f>
        <v>0</v>
      </c>
      <c r="CT31" s="21" t="str">
        <f ca="1">IF(IFERROR(MATCH(","&amp;A31&amp;",",'Risk Treatment'!$AT:$AT,0)&gt;0,FALSE),"",$A31)</f>
        <v>R21-23-32</v>
      </c>
      <c r="CU31" s="21" cm="1">
        <f t="array" ca="1" aca="1" ref="CU31">CreateID($CU$2,$CU:$CU,$CT31&lt;&gt;"")</f>
        <v>29</v>
      </c>
    </row>
    <row r="32" spans="1:99" ht="75">
      <c r="A32" s="33" t="str" cm="1">
        <f t="array" ca="1" aca="1" ref="A32">IF($B32="","","R"&amp;RemoveDelimiter(SUBSTITUTE(SUBSTITUTE($K32,"AS",""),",","-"),"-"))</f>
        <v>R22-23-32</v>
      </c>
      <c r="B32" s="33" t="str" cm="1">
        <f t="array" ca="1" aca="1" ref="B32">IF($L32="","",_xlfn.LET(_xlpm._finalAttackStep,$L32,_xlpm._prepAttacks,RemoveFirstElement(_xlpm._finalAttackStep&amp;","&amp;$K32),_xlpm._prepAttackNames,IFERROR(LookupNames(_xlpm._prepAttacks,'Attack Steps'!$A:$B),""),_xlpm._delimiter,REPT(CHAR(150),55),$L32&amp;" "&amp;SimpleLookup($L32,'Attack Steps'!$A:$B)&amp;IF(_xlpm._prepAttackNames="","",CHAR(10)&amp;_xlpm._delimiter&amp;CHAR(10)&amp;_xlpm._prepAttackNames)))</f>
        <v>AS32 Extracting or misusing acontis techonlogies GmbH IP
–––––––––––––––––––––––––––––––––––––––––––––––––––––––
AS22 Gaining physical access to the product (customer),
AS23 Compromising the product with direct access to its persistent memory</v>
      </c>
      <c r="C32" s="34" t="str" cm="1">
        <f t="array" ca="1" aca="1" ref="C32">IFERROR(LookupNames($M32,'Damage Scenarios'!$A:$V),"")</f>
        <v>DS3 Disclosure of acontis techonlogies GmbH IP (moderately innovative) [Medium],
DS12 IP (highly innovative) disclosed by manipulated product [High]</v>
      </c>
      <c r="D32" s="33" t="str">
        <f ca="1">IFERROR(IF($T32=0,"",INDEX(Definitions!$Q:$Q,MATCH($T32,Definitions!$R:$R,0))),"")</f>
        <v>High</v>
      </c>
      <c r="E32" s="34" t="str" cm="1">
        <f t="array" ca="1" aca="1" ref="E32">IF($A32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32,$A:W,Definitions!$Y:$Y,Definitions!$AB:$AB,1)&amp;CHAR(10)&amp;_xlpm._factorFunction($A32,$A:X,Definitions!$Y:$Y,Definitions!$AB:$AB,2)&amp;CHAR(10)&amp;_xlpm._factorFunction($A32,$A:Y,Definitions!$Y:$Y,Definitions!$AB:$AB,3)&amp;CHAR(10)&amp;_xlpm._factorFunction($A32,$A:Z,Definitions!$Y:$Y,Definitions!$AB:$AB,4)&amp;CHAR(10)&amp;_xlpm._factorFunction($A32,$A:AA,Definitions!$Y:$Y,Definitions!$AB:$AB,5)))</f>
        <v>Elapsed Time [1]: AS23
Expertise [6]: AS23
Knowledge of TOE [3]: AS23
Window of Opportunity [0]: AS22, AS23, AS32
Equipment [0]: AS22, AS23, AS32</v>
      </c>
      <c r="F32" s="33" t="str">
        <f ca="1">IF($A32="","",IFERROR(VLOOKUP($AG32,Definitions!$V:$W,COLUMNS(Definitions!$V:$W),TRUE),""))</f>
        <v>Enhanced-Basic</v>
      </c>
      <c r="G32" s="33" t="str">
        <f ca="1">IFERROR(IF(OR($D32="",$F32=""),"",VLOOKUP($D32,Definitions!$AH:$AM,MATCH($F32,Definitions!$AH$3:$AM$3,0),FALSE)),"")</f>
        <v>Very High</v>
      </c>
      <c r="H32" s="23" cm="1">
        <f t="array" ca="1" aca="1" ref="H32">IF(ROW()=ROW($H$2)+1,0,INDEX($H:$H,ROW()-1))+IF($A32="",0,1)</f>
        <v>30</v>
      </c>
      <c r="I32" s="21" cm="1">
        <f t="array" ca="1" aca="1" ref="I32">IF(ROW()=ROW($I$2)+1,1,INDEX($I:$I,ROW()-1)+IF(INDEX($S:$S,ROW()-1),1,0))</f>
        <v>12</v>
      </c>
      <c r="J32" s="21">
        <f t="shared" ca="1" si="0"/>
        <v>10</v>
      </c>
      <c r="K32" s="21" t="str">
        <f t="shared" ca="1" si="40"/>
        <v>AS22,AS23,AS32,</v>
      </c>
      <c r="L32" s="21" t="str" cm="1">
        <f t="array" ca="1" aca="1" ref="L32">IF($P32="","",INDEX('Attack Steps'!$A:$A,$P32))</f>
        <v>AS32</v>
      </c>
      <c r="M32" s="21" t="str" cm="1">
        <f t="array" ca="1" aca="1" ref="M32">IF($P32="","",INDEX('Attack Steps'!$T:$T,$P32))</f>
        <v>DS3,DS12,</v>
      </c>
      <c r="N32" s="21" t="str" cm="1">
        <f t="array" ca="1" aca="1" ref="N32">_xlfn.LET(_xlpm._dm,SanitizeInput(GetValuesWithFallback(SanitizeInput($AK32),Assumptions!$A:$I,Countermeasures!$A:$I,"",",",FALSE)),IF(_xlpm._dm="","",","&amp;_xlpm._dm))</f>
        <v/>
      </c>
      <c r="O32" s="21" t="str" cm="1">
        <f t="array" ca="1" aca="1" ref="O32">ApplyDamageMitigation($M32,$N32,"")</f>
        <v>DS3,DS12,</v>
      </c>
      <c r="P32" s="21">
        <f ca="1">IFERROR(MATCH($I32,'Attack Steps'!$V:$V,0),"")</f>
        <v>34</v>
      </c>
      <c r="Q32" s="21" t="str" cm="1">
        <f t="array" ca="1" aca="1" ref="Q32">IF($P32="","","§"&amp;INDEX('Attack Steps'!$S:$S,$P32))</f>
        <v>§AS1,AS3,AS32,§AS2,AS3,AS32,§AS1,AS5,AS32,§AS2,AS5,AS32,§AS1,AS7,AS32,§AS2,AS7,AS32,§AS1,AS16,AS32,§AS2,AS16,AS32,§AS21,AS23,AS32,§AS22,AS23,AS32,§AS21,AS24,AS32,§AS22,AS24,AS32,§AS1,AS29,AS32,§AS2,AS29,AS32,§</v>
      </c>
      <c r="R32" s="21" cm="1">
        <f t="array" ca="1" aca="1" ref="R32">IF($P32="","",INDEX('Attack Steps'!$W:$W,$P32))</f>
        <v>14</v>
      </c>
      <c r="S32" s="21" t="b">
        <f t="shared" ca="1" si="41"/>
        <v>0</v>
      </c>
      <c r="T32" s="21" cm="1">
        <f t="array" ca="1" aca="1" ref="T32">_xlfn.LAMBDA(_xlpm._in,_xlpm._val,_xlpm._range,IF(_xlpm._in="",_xlpm._val,_xlfn.LET(_xlpm._id,LEFT(_xlpm._in,FIND(",",_xlpm._in)-1),CalculateMaxFromList(RemoveFirstElement(_xlpm._in),MAX(_xlpm._val,VLOOKUP(_xlpm._id,_xlpm._range,COLUMNS(_xlpm._range),FALSE)),_xlpm._range))))($M32,0,'Damage Scenarios'!$A:$U)</f>
        <v>4</v>
      </c>
      <c r="U32" s="21" cm="1">
        <f t="array" ca="1" aca="1" ref="U32">CalculateMaxFromList($O32,0,'Damage Scenarios'!$A:$U)</f>
        <v>4</v>
      </c>
      <c r="V32" s="21" t="str">
        <f ca="1">IF($U32=0,"",INDEX(Definitions!$Q:$Q,MATCH($U32,Definitions!$R:$R,0)))</f>
        <v>High</v>
      </c>
      <c r="W32" s="21" t="str" cm="1">
        <f t="array" ca="1" aca="1" ref="W32">CalculateMaxAndElements($K32,0,"",'Attack Steps'!$A:X)</f>
        <v>1:AS23,</v>
      </c>
      <c r="X32" s="21" t="str" cm="1">
        <f t="array" ca="1" aca="1" ref="X32">CalculateMaxAndElements($K32,0,"",'Attack Steps'!$A:Y)</f>
        <v>6:AS23,</v>
      </c>
      <c r="Y32" s="21" t="str" cm="1">
        <f t="array" ca="1" aca="1" ref="Y32">CalculateMaxAndElements($K32,0,"",'Attack Steps'!$A:Z)</f>
        <v>3:AS23,</v>
      </c>
      <c r="Z32" s="21" t="str" cm="1">
        <f t="array" ca="1" aca="1" ref="Z32">CalculateMaxAndElements($K32,0,"",'Attack Steps'!$A:AA)</f>
        <v>0:AS22,AS23,AS32,</v>
      </c>
      <c r="AA32" s="21" t="str" cm="1">
        <f t="array" ca="1" aca="1" ref="AA32">CalculateMaxAndElements($K32,0,"",'Attack Steps'!$A:AB)</f>
        <v>0:AS22,AS23,AS32,</v>
      </c>
      <c r="AB32" s="21">
        <f t="shared" ca="1" si="42"/>
        <v>1</v>
      </c>
      <c r="AC32" s="21">
        <f t="shared" ca="1" si="43"/>
        <v>6</v>
      </c>
      <c r="AD32" s="21">
        <f t="shared" ca="1" si="44"/>
        <v>3</v>
      </c>
      <c r="AE32" s="21">
        <f t="shared" ca="1" si="45"/>
        <v>0</v>
      </c>
      <c r="AF32" s="21">
        <f t="shared" ca="1" si="46"/>
        <v>0</v>
      </c>
      <c r="AG32" s="21">
        <f t="shared" ca="1" si="3"/>
        <v>10</v>
      </c>
      <c r="AH32" s="21" t="str" cm="1">
        <f t="array" ca="1" aca="1" ref="AH32">IF(ROW()=ROW($AH$2)+1,"",INDEX($AH:$AH,ROW()-1))&amp;IF($A32="","",$A32&amp;",")</f>
        <v>R1-3,R2-3,R1-4,R2-4,R1-6,R2-6,R1-7,R2-7,R1-3-10,R2-3-10,R1-3-11,R2-3-11,R1-14,R1-16,R2-16,R21-23,R22-23,R1-29,R2-29,R31,R1-3-32,R2-3-32,R1-5-32,R2-5-32,R1-7-32,R2-7-32,R1-16-32,R2-16-32,R21-23-32,R22-23-32,</v>
      </c>
      <c r="AI32" s="21" t="str">
        <f t="shared" ca="1" si="47"/>
        <v>,AS22,AS23,AS32,</v>
      </c>
      <c r="AJ32" s="21" cm="1">
        <f t="array" ca="1" aca="1" ref="AJ32">IF($G32="",0,SimpleLookup($G32,Definitions!$AE:$AF))</f>
        <v>4</v>
      </c>
      <c r="AK32" s="21" t="str" cm="1">
        <f t="array" ca="1" aca="1" ref="AK32">InverseLookup($A32,Mitigation!$U$2,Mitigation!$J$2,1,Helper!$B$5,",")</f>
        <v/>
      </c>
      <c r="AL32" s="21" t="str" cm="1">
        <f t="array" ca="1" aca="1" ref="AL32">CalculateMaxAndElementsWithFallback(SanitizeInput($AK32),0,"",Countermeasures!$A:Y,Assumptions!$A:Z)</f>
        <v>0:</v>
      </c>
      <c r="AM32" s="21" t="str" cm="1">
        <f t="array" ca="1" aca="1" ref="AM32">CalculateMaxAndElementsWithFallback(SanitizeInput($AK32),0,"",Countermeasures!$A:Z,Assumptions!$A:AA)</f>
        <v>0:</v>
      </c>
      <c r="AN32" s="21" t="str" cm="1">
        <f t="array" ca="1" aca="1" ref="AN32">CalculateMaxAndElementsWithFallback(SanitizeInput($AK32),0,"",Countermeasures!$A:AA,Assumptions!$A:AB)</f>
        <v>0:</v>
      </c>
      <c r="AO32" s="21" t="str" cm="1">
        <f t="array" ca="1" aca="1" ref="AO32">CalculateMaxAndElementsWithFallback(SanitizeInput($AK32),0,"",Countermeasures!$A:AB,Assumptions!$A:AC)</f>
        <v>0:</v>
      </c>
      <c r="AP32" s="21" t="str" cm="1">
        <f t="array" ca="1" aca="1" ref="AP32">CalculateMaxAndElementsWithFallback(SanitizeInput($AK32),0,"",Countermeasures!$A:AC,Assumptions!$A:AD)</f>
        <v>0:</v>
      </c>
      <c r="AQ32" s="21">
        <f t="shared" ca="1" si="48"/>
        <v>0</v>
      </c>
      <c r="AR32" s="21">
        <f t="shared" ca="1" si="49"/>
        <v>0</v>
      </c>
      <c r="AS32" s="21">
        <f t="shared" ca="1" si="50"/>
        <v>0</v>
      </c>
      <c r="AT32" s="21">
        <f t="shared" ca="1" si="51"/>
        <v>0</v>
      </c>
      <c r="AU32" s="21">
        <f t="shared" ca="1" si="52"/>
        <v>0</v>
      </c>
      <c r="AV32" s="21" t="str">
        <f t="shared" ca="1" si="53"/>
        <v>1:AS23,</v>
      </c>
      <c r="AW32" s="21" t="str">
        <f t="shared" ca="1" si="54"/>
        <v>6:AS23,</v>
      </c>
      <c r="AX32" s="21" t="str">
        <f t="shared" ca="1" si="55"/>
        <v>3:AS23,</v>
      </c>
      <c r="AY32" s="21" t="str">
        <f t="shared" ca="1" si="56"/>
        <v>0:AS22,AS23,AS32,</v>
      </c>
      <c r="AZ32" s="21" t="str">
        <f t="shared" ca="1" si="57"/>
        <v>0:AS22,AS23,AS32,</v>
      </c>
      <c r="BA32" s="21">
        <f t="shared" ca="1" si="58"/>
        <v>1</v>
      </c>
      <c r="BB32" s="21">
        <f t="shared" ca="1" si="59"/>
        <v>6</v>
      </c>
      <c r="BC32" s="21">
        <f t="shared" ca="1" si="60"/>
        <v>3</v>
      </c>
      <c r="BD32" s="21">
        <f t="shared" ca="1" si="61"/>
        <v>0</v>
      </c>
      <c r="BE32" s="21">
        <f t="shared" ca="1" si="62"/>
        <v>0</v>
      </c>
      <c r="BF32" s="21">
        <f t="shared" ca="1" si="9"/>
        <v>10</v>
      </c>
      <c r="BG32" s="21" t="str">
        <f ca="1">IFERROR(VLOOKUP($BF32,Definitions!$V:$W,COLUMNS(Definitions!$V:$W),TRUE),"")</f>
        <v>Enhanced-Basic</v>
      </c>
      <c r="BH32" s="21" t="str">
        <f ca="1">_xlfn.LET(_xlpm._comments,GetValues($K32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2" s="21" t="str" cm="1">
        <f t="array" ca="1" aca="1" ref="BI32">_xlfn.LET(_xlpm._rapRange,Definitions!$W:$W,_xlpm._calculatedRAP,$BG32,_xlpm._inlineRAP,$BH32,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32" s="21" t="str">
        <f ca="1">IFERROR(IF(OR($V32="",$BI32=""),Definitions!$AE$4,VLOOKUP($V32,Definitions!$AH:$AM,MATCH($BI32,Definitions!$AH$3:$AM$3,0),FALSE)),"")</f>
        <v>Very High</v>
      </c>
      <c r="BK32" s="21" cm="1">
        <f t="array" ca="1" aca="1" ref="BK32">IF($BJ32="",0,SimpleLookup($BJ32,Definitions!$AE:$AF))</f>
        <v>4</v>
      </c>
      <c r="BL32" s="21" t="str" cm="1">
        <f t="array" ca="1" aca="1" ref="BL32">IFERROR(SimpleLookup($A32,Tracing!$B:$Z),"")</f>
        <v/>
      </c>
      <c r="BM32" s="21" t="str" cm="1">
        <f t="array" ca="1" aca="1" ref="BM32">_xlfn.LET(_xlpm._dm,SanitizeInput(GetValuesWithFallback(SanitizeInput($BL32),Assumptions!$A:$I,Countermeasures!$A:$I,"",",",FALSE)),IF(_xlpm._dm="","",","&amp;_xlpm._dm))</f>
        <v/>
      </c>
      <c r="BN32" s="21" t="str" cm="1">
        <f t="array" ca="1" aca="1" ref="BN32">ApplyDamageMitigation($M32,$BM32,"")</f>
        <v>DS3,DS12,</v>
      </c>
      <c r="BO32" s="21" cm="1">
        <f t="array" ca="1" aca="1" ref="BO32">CalculateMaxFromList($BN32,0,'Damage Scenarios'!$A:$U)</f>
        <v>4</v>
      </c>
      <c r="BP32" s="21" t="str">
        <f ca="1">IF($BO32=0,"",INDEX(Definitions!$Q:$Q,MATCH($BO32,Definitions!$R:$R,0)))</f>
        <v>High</v>
      </c>
      <c r="BQ32" s="21" t="str" cm="1">
        <f t="array" ca="1" aca="1" ref="BQ32">CalculateMaxAndElementsWithFallback(SanitizeInput($BL32),0,"",Countermeasures!$A:Y,Assumptions!$A:Z)</f>
        <v>0:</v>
      </c>
      <c r="BR32" s="21" t="str" cm="1">
        <f t="array" ca="1" aca="1" ref="BR32">CalculateMaxAndElementsWithFallback(SanitizeInput($BL32),0,"",Countermeasures!$A:Z,Assumptions!$A:AA)</f>
        <v>0:</v>
      </c>
      <c r="BS32" s="21" t="str" cm="1">
        <f t="array" ca="1" aca="1" ref="BS32">CalculateMaxAndElementsWithFallback(SanitizeInput($BL32),0,"",Countermeasures!$A:AA,Assumptions!$A:AB)</f>
        <v>0:</v>
      </c>
      <c r="BT32" s="21" t="str" cm="1">
        <f t="array" ca="1" aca="1" ref="BT32">CalculateMaxAndElementsWithFallback(SanitizeInput($BL32),0,"",Countermeasures!$A:AB,Assumptions!$A:AC)</f>
        <v>0:</v>
      </c>
      <c r="BU32" s="21" t="str" cm="1">
        <f t="array" ca="1" aca="1" ref="BU32">CalculateMaxAndElementsWithFallback(SanitizeInput($BL32),0,"",Countermeasures!$A:AC,Assumptions!$A:AD)</f>
        <v>0:</v>
      </c>
      <c r="BV32" s="21">
        <f t="shared" ca="1" si="25"/>
        <v>0</v>
      </c>
      <c r="BW32" s="21">
        <f t="shared" ca="1" si="26"/>
        <v>0</v>
      </c>
      <c r="BX32" s="21">
        <f t="shared" ca="1" si="27"/>
        <v>0</v>
      </c>
      <c r="BY32" s="21">
        <f t="shared" ca="1" si="28"/>
        <v>0</v>
      </c>
      <c r="BZ32" s="21">
        <f t="shared" ca="1" si="29"/>
        <v>0</v>
      </c>
      <c r="CA32" s="21" t="str">
        <f t="shared" ca="1" si="30"/>
        <v>1:AS23,</v>
      </c>
      <c r="CB32" s="21" t="str">
        <f t="shared" ca="1" si="31"/>
        <v>6:AS23,</v>
      </c>
      <c r="CC32" s="21" t="str">
        <f t="shared" ca="1" si="32"/>
        <v>3:AS23,</v>
      </c>
      <c r="CD32" s="21" t="str">
        <f t="shared" ca="1" si="33"/>
        <v>0:AS22,AS23,AS32,</v>
      </c>
      <c r="CE32" s="21" t="str">
        <f t="shared" ca="1" si="34"/>
        <v>0:AS22,AS23,AS32,</v>
      </c>
      <c r="CF32" s="21">
        <f t="shared" ca="1" si="35"/>
        <v>1</v>
      </c>
      <c r="CG32" s="21">
        <f t="shared" ca="1" si="36"/>
        <v>6</v>
      </c>
      <c r="CH32" s="21">
        <f t="shared" ca="1" si="37"/>
        <v>3</v>
      </c>
      <c r="CI32" s="21">
        <f t="shared" ca="1" si="38"/>
        <v>0</v>
      </c>
      <c r="CJ32" s="21">
        <f t="shared" ca="1" si="39"/>
        <v>0</v>
      </c>
      <c r="CK32" s="21">
        <f t="shared" ca="1" si="23"/>
        <v>10</v>
      </c>
      <c r="CL32" s="21" t="str">
        <f ca="1">IFERROR(VLOOKUP($CK32,Definitions!$V:$W,COLUMNS(Definitions!$V:$W),TRUE),"")</f>
        <v>Enhanced-Basic</v>
      </c>
      <c r="CM32" s="21" t="str">
        <f ca="1">_xlfn.LET(_xlpm._comments,SimpleLookup($A32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2" s="21" t="str" cm="1">
        <f t="array" ca="1" aca="1" ref="CN32">_xlfn.LET(_xlpm._rapRange,Definitions!$W:$W,_xlpm._calculatedRAP,$CL32,_xlpm._inlineRAP,$CM32,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32" s="21" t="str">
        <f ca="1">IFERROR(IF(OR($BP32="",$CN32=""),Definitions!$AE$4,VLOOKUP($BP32,Definitions!$AH:$AM,MATCH($CN32,Definitions!$AH$3:$AM$3,0),FALSE)),"")</f>
        <v>Very High</v>
      </c>
      <c r="CP32" s="21" cm="1">
        <f t="array" ca="1" aca="1" ref="CP32">IF($CO32="",0,SimpleLookup($CO32,Definitions!$AE:$AF))</f>
        <v>4</v>
      </c>
      <c r="CQ32" s="21" t="b">
        <f ca="1">OR(AND($S32,$I32=Helper!$B$7),$I32&gt;Helper!$B$7)</f>
        <v>0</v>
      </c>
      <c r="CR32" s="21" t="str">
        <f t="shared" ca="1" si="24"/>
        <v/>
      </c>
      <c r="CS32" s="21" cm="1">
        <f t="array" ca="1" aca="1" ref="CS32">CreateID($CS$2,$CV:$CV,$CR32&lt;&gt;"")</f>
        <v>0</v>
      </c>
      <c r="CT32" s="21" t="str">
        <f ca="1">IF(IFERROR(MATCH(","&amp;A32&amp;",",'Risk Treatment'!$AT:$AT,0)&gt;0,FALSE),"",$A32)</f>
        <v>R22-23-32</v>
      </c>
      <c r="CU32" s="21" cm="1">
        <f t="array" ca="1" aca="1" ref="CU32">CreateID($CU$2,$CU:$CU,$CT32&lt;&gt;"")</f>
        <v>30</v>
      </c>
    </row>
    <row r="33" spans="1:99" ht="60">
      <c r="A33" s="33" t="str" cm="1">
        <f t="array" ca="1" aca="1" ref="A33">IF($B33="","","R"&amp;RemoveDelimiter(SUBSTITUTE(SUBSTITUTE($K33,"AS",""),",","-"),"-"))</f>
        <v>R21-24-32</v>
      </c>
      <c r="B33" s="33" t="str" cm="1">
        <f t="array" ca="1" aca="1" ref="B33">IF($L33="","",_xlfn.LET(_xlpm._finalAttackStep,$L33,_xlpm._prepAttacks,RemoveFirstElement(_xlpm._finalAttackStep&amp;","&amp;$K33),_xlpm._prepAttackNames,IFERROR(LookupNames(_xlpm._prepAttacks,'Attack Steps'!$A:$B),""),_xlpm._delimiter,REPT(CHAR(150),55),$L33&amp;" "&amp;SimpleLookup($L33,'Attack Steps'!$A:$B)&amp;IF(_xlpm._prepAttackNames="","",CHAR(10)&amp;_xlpm._delimiter&amp;CHAR(10)&amp;_xlpm._prepAttackNames)))</f>
        <v>AS32 Extracting or misusing acontis techonlogies GmbH IP
–––––––––––––––––––––––––––––––––––––––––––––––––––––––
AS21 Gaining physical access to the product (3rd party),
AS24 Data extraction from the product's persistent memory</v>
      </c>
      <c r="C33" s="34" t="str" cm="1">
        <f t="array" ca="1" aca="1" ref="C33">IFERROR(LookupNames($M33,'Damage Scenarios'!$A:$V),"")</f>
        <v>DS3 Disclosure of acontis techonlogies GmbH IP (moderately innovative) [Medium],
DS12 IP (highly innovative) disclosed by manipulated product [High]</v>
      </c>
      <c r="D33" s="33" t="str">
        <f ca="1">IFERROR(IF($T33=0,"",INDEX(Definitions!$Q:$Q,MATCH($T33,Definitions!$R:$R,0))),"")</f>
        <v>High</v>
      </c>
      <c r="E33" s="34" t="str" cm="1">
        <f t="array" ca="1" aca="1" ref="E33">IF($A33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33,$A:W,Definitions!$Y:$Y,Definitions!$AB:$AB,1)&amp;CHAR(10)&amp;_xlpm._factorFunction($A33,$A:X,Definitions!$Y:$Y,Definitions!$AB:$AB,2)&amp;CHAR(10)&amp;_xlpm._factorFunction($A33,$A:Y,Definitions!$Y:$Y,Definitions!$AB:$AB,3)&amp;CHAR(10)&amp;_xlpm._factorFunction($A33,$A:Z,Definitions!$Y:$Y,Definitions!$AB:$AB,4)&amp;CHAR(10)&amp;_xlpm._factorFunction($A33,$A:AA,Definitions!$Y:$Y,Definitions!$AB:$AB,5)))</f>
        <v>Elapsed Time [0]: AS21, AS24, AS32
Expertise [6]: AS24
Knowledge of TOE [0]: AS21, AS24, AS32
Window of Opportunity [1]: AS21
Equipment [0]: AS21, AS24, AS32</v>
      </c>
      <c r="F33" s="33" t="str">
        <f ca="1">IF($A33="","",IFERROR(VLOOKUP($AG33,Definitions!$V:$W,COLUMNS(Definitions!$V:$W),TRUE),""))</f>
        <v>Basic</v>
      </c>
      <c r="G33" s="33" t="str">
        <f ca="1">IFERROR(IF(OR($D33="",$F33=""),"",VLOOKUP($D33,Definitions!$AH:$AM,MATCH($F33,Definitions!$AH$3:$AM$3,0),FALSE)),"")</f>
        <v>Very High</v>
      </c>
      <c r="H33" s="23" cm="1">
        <f t="array" ca="1" aca="1" ref="H33">IF(ROW()=ROW($H$2)+1,0,INDEX($H:$H,ROW()-1))+IF($A33="",0,1)</f>
        <v>31</v>
      </c>
      <c r="I33" s="21" cm="1">
        <f t="array" ca="1" aca="1" ref="I33">IF(ROW()=ROW($I$2)+1,1,INDEX($I:$I,ROW()-1)+IF(INDEX($S:$S,ROW()-1),1,0))</f>
        <v>12</v>
      </c>
      <c r="J33" s="21">
        <f t="shared" ca="1" si="0"/>
        <v>11</v>
      </c>
      <c r="K33" s="21" t="str">
        <f t="shared" ca="1" si="40"/>
        <v>AS21,AS24,AS32,</v>
      </c>
      <c r="L33" s="21" t="str" cm="1">
        <f t="array" ca="1" aca="1" ref="L33">IF($P33="","",INDEX('Attack Steps'!$A:$A,$P33))</f>
        <v>AS32</v>
      </c>
      <c r="M33" s="21" t="str" cm="1">
        <f t="array" ca="1" aca="1" ref="M33">IF($P33="","",INDEX('Attack Steps'!$T:$T,$P33))</f>
        <v>DS3,DS12,</v>
      </c>
      <c r="N33" s="21" t="str" cm="1">
        <f t="array" ca="1" aca="1" ref="N33">_xlfn.LET(_xlpm._dm,SanitizeInput(GetValuesWithFallback(SanitizeInput($AK33),Assumptions!$A:$I,Countermeasures!$A:$I,"",",",FALSE)),IF(_xlpm._dm="","",","&amp;_xlpm._dm))</f>
        <v/>
      </c>
      <c r="O33" s="21" t="str" cm="1">
        <f t="array" ca="1" aca="1" ref="O33">ApplyDamageMitigation($M33,$N33,"")</f>
        <v>DS3,DS12,</v>
      </c>
      <c r="P33" s="21">
        <f ca="1">IFERROR(MATCH($I33,'Attack Steps'!$V:$V,0),"")</f>
        <v>34</v>
      </c>
      <c r="Q33" s="21" t="str" cm="1">
        <f t="array" ca="1" aca="1" ref="Q33">IF($P33="","","§"&amp;INDEX('Attack Steps'!$S:$S,$P33))</f>
        <v>§AS1,AS3,AS32,§AS2,AS3,AS32,§AS1,AS5,AS32,§AS2,AS5,AS32,§AS1,AS7,AS32,§AS2,AS7,AS32,§AS1,AS16,AS32,§AS2,AS16,AS32,§AS21,AS23,AS32,§AS22,AS23,AS32,§AS21,AS24,AS32,§AS22,AS24,AS32,§AS1,AS29,AS32,§AS2,AS29,AS32,§</v>
      </c>
      <c r="R33" s="21" cm="1">
        <f t="array" ca="1" aca="1" ref="R33">IF($P33="","",INDEX('Attack Steps'!$W:$W,$P33))</f>
        <v>14</v>
      </c>
      <c r="S33" s="21" t="b">
        <f t="shared" ca="1" si="41"/>
        <v>0</v>
      </c>
      <c r="T33" s="21" cm="1">
        <f t="array" ca="1" aca="1" ref="T33">_xlfn.LAMBDA(_xlpm._in,_xlpm._val,_xlpm._range,IF(_xlpm._in="",_xlpm._val,_xlfn.LET(_xlpm._id,LEFT(_xlpm._in,FIND(",",_xlpm._in)-1),CalculateMaxFromList(RemoveFirstElement(_xlpm._in),MAX(_xlpm._val,VLOOKUP(_xlpm._id,_xlpm._range,COLUMNS(_xlpm._range),FALSE)),_xlpm._range))))($M33,0,'Damage Scenarios'!$A:$U)</f>
        <v>4</v>
      </c>
      <c r="U33" s="21" cm="1">
        <f t="array" ca="1" aca="1" ref="U33">CalculateMaxFromList($O33,0,'Damage Scenarios'!$A:$U)</f>
        <v>4</v>
      </c>
      <c r="V33" s="21" t="str">
        <f ca="1">IF($U33=0,"",INDEX(Definitions!$Q:$Q,MATCH($U33,Definitions!$R:$R,0)))</f>
        <v>High</v>
      </c>
      <c r="W33" s="21" t="str" cm="1">
        <f t="array" ca="1" aca="1" ref="W33">CalculateMaxAndElements($K33,0,"",'Attack Steps'!$A:X)</f>
        <v>0:AS21,AS24,AS32,</v>
      </c>
      <c r="X33" s="21" t="str" cm="1">
        <f t="array" ca="1" aca="1" ref="X33">CalculateMaxAndElements($K33,0,"",'Attack Steps'!$A:Y)</f>
        <v>6:AS24,</v>
      </c>
      <c r="Y33" s="21" t="str" cm="1">
        <f t="array" ca="1" aca="1" ref="Y33">CalculateMaxAndElements($K33,0,"",'Attack Steps'!$A:Z)</f>
        <v>0:AS21,AS24,AS32,</v>
      </c>
      <c r="Z33" s="21" t="str" cm="1">
        <f t="array" ca="1" aca="1" ref="Z33">CalculateMaxAndElements($K33,0,"",'Attack Steps'!$A:AA)</f>
        <v>1:AS21,</v>
      </c>
      <c r="AA33" s="21" t="str" cm="1">
        <f t="array" ca="1" aca="1" ref="AA33">CalculateMaxAndElements($K33,0,"",'Attack Steps'!$A:AB)</f>
        <v>0:AS21,AS24,AS32,</v>
      </c>
      <c r="AB33" s="21">
        <f t="shared" ca="1" si="42"/>
        <v>0</v>
      </c>
      <c r="AC33" s="21">
        <f t="shared" ca="1" si="43"/>
        <v>6</v>
      </c>
      <c r="AD33" s="21">
        <f t="shared" ca="1" si="44"/>
        <v>0</v>
      </c>
      <c r="AE33" s="21">
        <f t="shared" ca="1" si="45"/>
        <v>1</v>
      </c>
      <c r="AF33" s="21">
        <f t="shared" ca="1" si="46"/>
        <v>0</v>
      </c>
      <c r="AG33" s="21">
        <f t="shared" ca="1" si="3"/>
        <v>7</v>
      </c>
      <c r="AH33" s="21" t="str" cm="1">
        <f t="array" ca="1" aca="1" ref="AH33">IF(ROW()=ROW($AH$2)+1,"",INDEX($AH:$AH,ROW()-1))&amp;IF($A33="","",$A33&amp;",")</f>
        <v>R1-3,R2-3,R1-4,R2-4,R1-6,R2-6,R1-7,R2-7,R1-3-10,R2-3-10,R1-3-11,R2-3-11,R1-14,R1-16,R2-16,R21-23,R22-23,R1-29,R2-29,R31,R1-3-32,R2-3-32,R1-5-32,R2-5-32,R1-7-32,R2-7-32,R1-16-32,R2-16-32,R21-23-32,R22-23-32,R21-24-32,</v>
      </c>
      <c r="AI33" s="21" t="str">
        <f t="shared" ca="1" si="47"/>
        <v>,AS21,AS24,AS32,</v>
      </c>
      <c r="AJ33" s="21" cm="1">
        <f t="array" ca="1" aca="1" ref="AJ33">IF($G33="",0,SimpleLookup($G33,Definitions!$AE:$AF))</f>
        <v>4</v>
      </c>
      <c r="AK33" s="21" t="str" cm="1">
        <f t="array" ca="1" aca="1" ref="AK33">InverseLookup($A33,Mitigation!$U$2,Mitigation!$J$2,1,Helper!$B$5,",")</f>
        <v/>
      </c>
      <c r="AL33" s="21" t="str" cm="1">
        <f t="array" ca="1" aca="1" ref="AL33">CalculateMaxAndElementsWithFallback(SanitizeInput($AK33),0,"",Countermeasures!$A:Y,Assumptions!$A:Z)</f>
        <v>0:</v>
      </c>
      <c r="AM33" s="21" t="str" cm="1">
        <f t="array" ca="1" aca="1" ref="AM33">CalculateMaxAndElementsWithFallback(SanitizeInput($AK33),0,"",Countermeasures!$A:Z,Assumptions!$A:AA)</f>
        <v>0:</v>
      </c>
      <c r="AN33" s="21" t="str" cm="1">
        <f t="array" ca="1" aca="1" ref="AN33">CalculateMaxAndElementsWithFallback(SanitizeInput($AK33),0,"",Countermeasures!$A:AA,Assumptions!$A:AB)</f>
        <v>0:</v>
      </c>
      <c r="AO33" s="21" t="str" cm="1">
        <f t="array" ca="1" aca="1" ref="AO33">CalculateMaxAndElementsWithFallback(SanitizeInput($AK33),0,"",Countermeasures!$A:AB,Assumptions!$A:AC)</f>
        <v>0:</v>
      </c>
      <c r="AP33" s="21" t="str" cm="1">
        <f t="array" ca="1" aca="1" ref="AP33">CalculateMaxAndElementsWithFallback(SanitizeInput($AK33),0,"",Countermeasures!$A:AC,Assumptions!$A:AD)</f>
        <v>0:</v>
      </c>
      <c r="AQ33" s="21">
        <f t="shared" ca="1" si="48"/>
        <v>0</v>
      </c>
      <c r="AR33" s="21">
        <f t="shared" ca="1" si="49"/>
        <v>0</v>
      </c>
      <c r="AS33" s="21">
        <f t="shared" ca="1" si="50"/>
        <v>0</v>
      </c>
      <c r="AT33" s="21">
        <f t="shared" ca="1" si="51"/>
        <v>0</v>
      </c>
      <c r="AU33" s="21">
        <f t="shared" ca="1" si="52"/>
        <v>0</v>
      </c>
      <c r="AV33" s="21" t="str">
        <f t="shared" ca="1" si="53"/>
        <v>0:AS21,AS24,AS32,</v>
      </c>
      <c r="AW33" s="21" t="str">
        <f t="shared" ca="1" si="54"/>
        <v>6:AS24,</v>
      </c>
      <c r="AX33" s="21" t="str">
        <f t="shared" ca="1" si="55"/>
        <v>0:AS21,AS24,AS32,</v>
      </c>
      <c r="AY33" s="21" t="str">
        <f t="shared" ca="1" si="56"/>
        <v>1:AS21,</v>
      </c>
      <c r="AZ33" s="21" t="str">
        <f t="shared" ca="1" si="57"/>
        <v>0:AS21,AS24,AS32,</v>
      </c>
      <c r="BA33" s="21">
        <f t="shared" ca="1" si="58"/>
        <v>0</v>
      </c>
      <c r="BB33" s="21">
        <f t="shared" ca="1" si="59"/>
        <v>6</v>
      </c>
      <c r="BC33" s="21">
        <f t="shared" ca="1" si="60"/>
        <v>0</v>
      </c>
      <c r="BD33" s="21">
        <f t="shared" ca="1" si="61"/>
        <v>1</v>
      </c>
      <c r="BE33" s="21">
        <f t="shared" ca="1" si="62"/>
        <v>0</v>
      </c>
      <c r="BF33" s="21">
        <f t="shared" ca="1" si="9"/>
        <v>7</v>
      </c>
      <c r="BG33" s="21" t="str">
        <f ca="1">IFERROR(VLOOKUP($BF33,Definitions!$V:$W,COLUMNS(Definitions!$V:$W),TRUE),"")</f>
        <v>Basic</v>
      </c>
      <c r="BH33" s="21" t="str">
        <f ca="1">_xlfn.LET(_xlpm._comments,GetValues($K33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3" s="21" t="str" cm="1">
        <f t="array" ca="1" aca="1" ref="BI33">_xlfn.LET(_xlpm._rapRange,Definitions!$W:$W,_xlpm._calculatedRAP,$BG33,_xlpm._inlineRAP,$BH33,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3" s="21" t="str">
        <f ca="1">IFERROR(IF(OR($V33="",$BI33=""),Definitions!$AE$4,VLOOKUP($V33,Definitions!$AH:$AM,MATCH($BI33,Definitions!$AH$3:$AM$3,0),FALSE)),"")</f>
        <v>Very High</v>
      </c>
      <c r="BK33" s="21" cm="1">
        <f t="array" ca="1" aca="1" ref="BK33">IF($BJ33="",0,SimpleLookup($BJ33,Definitions!$AE:$AF))</f>
        <v>4</v>
      </c>
      <c r="BL33" s="21" t="str" cm="1">
        <f t="array" ca="1" aca="1" ref="BL33">IFERROR(SimpleLookup($A33,Tracing!$B:$Z),"")</f>
        <v/>
      </c>
      <c r="BM33" s="21" t="str" cm="1">
        <f t="array" ca="1" aca="1" ref="BM33">_xlfn.LET(_xlpm._dm,SanitizeInput(GetValuesWithFallback(SanitizeInput($BL33),Assumptions!$A:$I,Countermeasures!$A:$I,"",",",FALSE)),IF(_xlpm._dm="","",","&amp;_xlpm._dm))</f>
        <v/>
      </c>
      <c r="BN33" s="21" t="str" cm="1">
        <f t="array" ca="1" aca="1" ref="BN33">ApplyDamageMitigation($M33,$BM33,"")</f>
        <v>DS3,DS12,</v>
      </c>
      <c r="BO33" s="21" cm="1">
        <f t="array" ca="1" aca="1" ref="BO33">CalculateMaxFromList($BN33,0,'Damage Scenarios'!$A:$U)</f>
        <v>4</v>
      </c>
      <c r="BP33" s="21" t="str">
        <f ca="1">IF($BO33=0,"",INDEX(Definitions!$Q:$Q,MATCH($BO33,Definitions!$R:$R,0)))</f>
        <v>High</v>
      </c>
      <c r="BQ33" s="21" t="str" cm="1">
        <f t="array" ca="1" aca="1" ref="BQ33">CalculateMaxAndElementsWithFallback(SanitizeInput($BL33),0,"",Countermeasures!$A:Y,Assumptions!$A:Z)</f>
        <v>0:</v>
      </c>
      <c r="BR33" s="21" t="str" cm="1">
        <f t="array" ca="1" aca="1" ref="BR33">CalculateMaxAndElementsWithFallback(SanitizeInput($BL33),0,"",Countermeasures!$A:Z,Assumptions!$A:AA)</f>
        <v>0:</v>
      </c>
      <c r="BS33" s="21" t="str" cm="1">
        <f t="array" ca="1" aca="1" ref="BS33">CalculateMaxAndElementsWithFallback(SanitizeInput($BL33),0,"",Countermeasures!$A:AA,Assumptions!$A:AB)</f>
        <v>0:</v>
      </c>
      <c r="BT33" s="21" t="str" cm="1">
        <f t="array" ca="1" aca="1" ref="BT33">CalculateMaxAndElementsWithFallback(SanitizeInput($BL33),0,"",Countermeasures!$A:AB,Assumptions!$A:AC)</f>
        <v>0:</v>
      </c>
      <c r="BU33" s="21" t="str" cm="1">
        <f t="array" ca="1" aca="1" ref="BU33">CalculateMaxAndElementsWithFallback(SanitizeInput($BL33),0,"",Countermeasures!$A:AC,Assumptions!$A:AD)</f>
        <v>0:</v>
      </c>
      <c r="BV33" s="21">
        <f t="shared" ca="1" si="25"/>
        <v>0</v>
      </c>
      <c r="BW33" s="21">
        <f t="shared" ca="1" si="26"/>
        <v>0</v>
      </c>
      <c r="BX33" s="21">
        <f t="shared" ca="1" si="27"/>
        <v>0</v>
      </c>
      <c r="BY33" s="21">
        <f t="shared" ca="1" si="28"/>
        <v>0</v>
      </c>
      <c r="BZ33" s="21">
        <f t="shared" ca="1" si="29"/>
        <v>0</v>
      </c>
      <c r="CA33" s="21" t="str">
        <f t="shared" ca="1" si="30"/>
        <v>0:AS21,AS24,AS32,</v>
      </c>
      <c r="CB33" s="21" t="str">
        <f t="shared" ca="1" si="31"/>
        <v>6:AS24,</v>
      </c>
      <c r="CC33" s="21" t="str">
        <f t="shared" ca="1" si="32"/>
        <v>0:AS21,AS24,AS32,</v>
      </c>
      <c r="CD33" s="21" t="str">
        <f t="shared" ca="1" si="33"/>
        <v>1:AS21,</v>
      </c>
      <c r="CE33" s="21" t="str">
        <f t="shared" ca="1" si="34"/>
        <v>0:AS21,AS24,AS32,</v>
      </c>
      <c r="CF33" s="21">
        <f t="shared" ca="1" si="35"/>
        <v>0</v>
      </c>
      <c r="CG33" s="21">
        <f t="shared" ca="1" si="36"/>
        <v>6</v>
      </c>
      <c r="CH33" s="21">
        <f t="shared" ca="1" si="37"/>
        <v>0</v>
      </c>
      <c r="CI33" s="21">
        <f t="shared" ca="1" si="38"/>
        <v>1</v>
      </c>
      <c r="CJ33" s="21">
        <f t="shared" ca="1" si="39"/>
        <v>0</v>
      </c>
      <c r="CK33" s="21">
        <f t="shared" ca="1" si="23"/>
        <v>7</v>
      </c>
      <c r="CL33" s="21" t="str">
        <f ca="1">IFERROR(VLOOKUP($CK33,Definitions!$V:$W,COLUMNS(Definitions!$V:$W),TRUE),"")</f>
        <v>Basic</v>
      </c>
      <c r="CM33" s="21" t="str">
        <f ca="1">_xlfn.LET(_xlpm._comments,SimpleLookup($A33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3" s="21" t="str" cm="1">
        <f t="array" ca="1" aca="1" ref="CN33">_xlfn.LET(_xlpm._rapRange,Definitions!$W:$W,_xlpm._calculatedRAP,$CL33,_xlpm._inlineRAP,$CM33,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3" s="21" t="str">
        <f ca="1">IFERROR(IF(OR($BP33="",$CN33=""),Definitions!$AE$4,VLOOKUP($BP33,Definitions!$AH:$AM,MATCH($CN33,Definitions!$AH$3:$AM$3,0),FALSE)),"")</f>
        <v>Very High</v>
      </c>
      <c r="CP33" s="21" cm="1">
        <f t="array" ca="1" aca="1" ref="CP33">IF($CO33="",0,SimpleLookup($CO33,Definitions!$AE:$AF))</f>
        <v>4</v>
      </c>
      <c r="CQ33" s="21" t="b">
        <f ca="1">OR(AND($S33,$I33=Helper!$B$7),$I33&gt;Helper!$B$7)</f>
        <v>0</v>
      </c>
      <c r="CR33" s="21" t="str">
        <f t="shared" ca="1" si="24"/>
        <v/>
      </c>
      <c r="CS33" s="21" cm="1">
        <f t="array" ca="1" aca="1" ref="CS33">CreateID($CS$2,$CV:$CV,$CR33&lt;&gt;"")</f>
        <v>0</v>
      </c>
      <c r="CT33" s="21" t="str">
        <f ca="1">IF(IFERROR(MATCH(","&amp;A33&amp;",",'Risk Treatment'!$AT:$AT,0)&gt;0,FALSE),"",$A33)</f>
        <v>R21-24-32</v>
      </c>
      <c r="CU33" s="21" cm="1">
        <f t="array" ca="1" aca="1" ref="CU33">CreateID($CU$2,$CU:$CU,$CT33&lt;&gt;"")</f>
        <v>31</v>
      </c>
    </row>
    <row r="34" spans="1:99" ht="60">
      <c r="A34" s="33" t="str" cm="1">
        <f t="array" ca="1" aca="1" ref="A34">IF($B34="","","R"&amp;RemoveDelimiter(SUBSTITUTE(SUBSTITUTE($K34,"AS",""),",","-"),"-"))</f>
        <v>R22-24-32</v>
      </c>
      <c r="B34" s="33" t="str" cm="1">
        <f t="array" ca="1" aca="1" ref="B34">IF($L34="","",_xlfn.LET(_xlpm._finalAttackStep,$L34,_xlpm._prepAttacks,RemoveFirstElement(_xlpm._finalAttackStep&amp;","&amp;$K34),_xlpm._prepAttackNames,IFERROR(LookupNames(_xlpm._prepAttacks,'Attack Steps'!$A:$B),""),_xlpm._delimiter,REPT(CHAR(150),55),$L34&amp;" "&amp;SimpleLookup($L34,'Attack Steps'!$A:$B)&amp;IF(_xlpm._prepAttackNames="","",CHAR(10)&amp;_xlpm._delimiter&amp;CHAR(10)&amp;_xlpm._prepAttackNames)))</f>
        <v>AS32 Extracting or misusing acontis techonlogies GmbH IP
–––––––––––––––––––––––––––––––––––––––––––––––––––––––
AS22 Gaining physical access to the product (customer),
AS24 Data extraction from the product's persistent memory</v>
      </c>
      <c r="C34" s="34" t="str" cm="1">
        <f t="array" ca="1" aca="1" ref="C34">IFERROR(LookupNames($M34,'Damage Scenarios'!$A:$V),"")</f>
        <v>DS3 Disclosure of acontis techonlogies GmbH IP (moderately innovative) [Medium],
DS12 IP (highly innovative) disclosed by manipulated product [High]</v>
      </c>
      <c r="D34" s="33" t="str">
        <f ca="1">IFERROR(IF($T34=0,"",INDEX(Definitions!$Q:$Q,MATCH($T34,Definitions!$R:$R,0))),"")</f>
        <v>High</v>
      </c>
      <c r="E34" s="34" t="str" cm="1">
        <f t="array" ca="1" aca="1" ref="E34">IF($A34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34,$A:W,Definitions!$Y:$Y,Definitions!$AB:$AB,1)&amp;CHAR(10)&amp;_xlpm._factorFunction($A34,$A:X,Definitions!$Y:$Y,Definitions!$AB:$AB,2)&amp;CHAR(10)&amp;_xlpm._factorFunction($A34,$A:Y,Definitions!$Y:$Y,Definitions!$AB:$AB,3)&amp;CHAR(10)&amp;_xlpm._factorFunction($A34,$A:Z,Definitions!$Y:$Y,Definitions!$AB:$AB,4)&amp;CHAR(10)&amp;_xlpm._factorFunction($A34,$A:AA,Definitions!$Y:$Y,Definitions!$AB:$AB,5)))</f>
        <v>Elapsed Time [0]: AS22, AS24, AS32
Expertise [6]: AS24
Knowledge of TOE [0]: AS22, AS24, AS32
Window of Opportunity [0]: AS22, AS24, AS32
Equipment [0]: AS22, AS24, AS32</v>
      </c>
      <c r="F34" s="33" t="str">
        <f ca="1">IF($A34="","",IFERROR(VLOOKUP($AG34,Definitions!$V:$W,COLUMNS(Definitions!$V:$W),TRUE),""))</f>
        <v>Basic</v>
      </c>
      <c r="G34" s="33" t="str">
        <f ca="1">IFERROR(IF(OR($D34="",$F34=""),"",VLOOKUP($D34,Definitions!$AH:$AM,MATCH($F34,Definitions!$AH$3:$AM$3,0),FALSE)),"")</f>
        <v>Very High</v>
      </c>
      <c r="H34" s="23" cm="1">
        <f t="array" ca="1" aca="1" ref="H34">IF(ROW()=ROW($H$2)+1,0,INDEX($H:$H,ROW()-1))+IF($A34="",0,1)</f>
        <v>32</v>
      </c>
      <c r="I34" s="21" cm="1">
        <f t="array" ca="1" aca="1" ref="I34">IF(ROW()=ROW($I$2)+1,1,INDEX($I:$I,ROW()-1)+IF(INDEX($S:$S,ROW()-1),1,0))</f>
        <v>12</v>
      </c>
      <c r="J34" s="21">
        <f t="shared" ca="1" si="0"/>
        <v>12</v>
      </c>
      <c r="K34" s="21" t="str">
        <f t="shared" ca="1" si="40"/>
        <v>AS22,AS24,AS32,</v>
      </c>
      <c r="L34" s="21" t="str" cm="1">
        <f t="array" ca="1" aca="1" ref="L34">IF($P34="","",INDEX('Attack Steps'!$A:$A,$P34))</f>
        <v>AS32</v>
      </c>
      <c r="M34" s="21" t="str" cm="1">
        <f t="array" ca="1" aca="1" ref="M34">IF($P34="","",INDEX('Attack Steps'!$T:$T,$P34))</f>
        <v>DS3,DS12,</v>
      </c>
      <c r="N34" s="21" t="str" cm="1">
        <f t="array" ca="1" aca="1" ref="N34">_xlfn.LET(_xlpm._dm,SanitizeInput(GetValuesWithFallback(SanitizeInput($AK34),Assumptions!$A:$I,Countermeasures!$A:$I,"",",",FALSE)),IF(_xlpm._dm="","",","&amp;_xlpm._dm))</f>
        <v/>
      </c>
      <c r="O34" s="21" t="str" cm="1">
        <f t="array" ca="1" aca="1" ref="O34">ApplyDamageMitigation($M34,$N34,"")</f>
        <v>DS3,DS12,</v>
      </c>
      <c r="P34" s="21">
        <f ca="1">IFERROR(MATCH($I34,'Attack Steps'!$V:$V,0),"")</f>
        <v>34</v>
      </c>
      <c r="Q34" s="21" t="str" cm="1">
        <f t="array" ca="1" aca="1" ref="Q34">IF($P34="","","§"&amp;INDEX('Attack Steps'!$S:$S,$P34))</f>
        <v>§AS1,AS3,AS32,§AS2,AS3,AS32,§AS1,AS5,AS32,§AS2,AS5,AS32,§AS1,AS7,AS32,§AS2,AS7,AS32,§AS1,AS16,AS32,§AS2,AS16,AS32,§AS21,AS23,AS32,§AS22,AS23,AS32,§AS21,AS24,AS32,§AS22,AS24,AS32,§AS1,AS29,AS32,§AS2,AS29,AS32,§</v>
      </c>
      <c r="R34" s="21" cm="1">
        <f t="array" ca="1" aca="1" ref="R34">IF($P34="","",INDEX('Attack Steps'!$W:$W,$P34))</f>
        <v>14</v>
      </c>
      <c r="S34" s="21" t="b">
        <f t="shared" ca="1" si="41"/>
        <v>0</v>
      </c>
      <c r="T34" s="21" cm="1">
        <f t="array" ca="1" aca="1" ref="T34">_xlfn.LAMBDA(_xlpm._in,_xlpm._val,_xlpm._range,IF(_xlpm._in="",_xlpm._val,_xlfn.LET(_xlpm._id,LEFT(_xlpm._in,FIND(",",_xlpm._in)-1),CalculateMaxFromList(RemoveFirstElement(_xlpm._in),MAX(_xlpm._val,VLOOKUP(_xlpm._id,_xlpm._range,COLUMNS(_xlpm._range),FALSE)),_xlpm._range))))($M34,0,'Damage Scenarios'!$A:$U)</f>
        <v>4</v>
      </c>
      <c r="U34" s="21" cm="1">
        <f t="array" ca="1" aca="1" ref="U34">CalculateMaxFromList($O34,0,'Damage Scenarios'!$A:$U)</f>
        <v>4</v>
      </c>
      <c r="V34" s="21" t="str">
        <f ca="1">IF($U34=0,"",INDEX(Definitions!$Q:$Q,MATCH($U34,Definitions!$R:$R,0)))</f>
        <v>High</v>
      </c>
      <c r="W34" s="21" t="str" cm="1">
        <f t="array" ca="1" aca="1" ref="W34">CalculateMaxAndElements($K34,0,"",'Attack Steps'!$A:X)</f>
        <v>0:AS22,AS24,AS32,</v>
      </c>
      <c r="X34" s="21" t="str" cm="1">
        <f t="array" ca="1" aca="1" ref="X34">CalculateMaxAndElements($K34,0,"",'Attack Steps'!$A:Y)</f>
        <v>6:AS24,</v>
      </c>
      <c r="Y34" s="21" t="str" cm="1">
        <f t="array" ca="1" aca="1" ref="Y34">CalculateMaxAndElements($K34,0,"",'Attack Steps'!$A:Z)</f>
        <v>0:AS22,AS24,AS32,</v>
      </c>
      <c r="Z34" s="21" t="str" cm="1">
        <f t="array" ca="1" aca="1" ref="Z34">CalculateMaxAndElements($K34,0,"",'Attack Steps'!$A:AA)</f>
        <v>0:AS22,AS24,AS32,</v>
      </c>
      <c r="AA34" s="21" t="str" cm="1">
        <f t="array" ca="1" aca="1" ref="AA34">CalculateMaxAndElements($K34,0,"",'Attack Steps'!$A:AB)</f>
        <v>0:AS22,AS24,AS32,</v>
      </c>
      <c r="AB34" s="21">
        <f t="shared" ca="1" si="42"/>
        <v>0</v>
      </c>
      <c r="AC34" s="21">
        <f t="shared" ca="1" si="43"/>
        <v>6</v>
      </c>
      <c r="AD34" s="21">
        <f t="shared" ca="1" si="44"/>
        <v>0</v>
      </c>
      <c r="AE34" s="21">
        <f t="shared" ca="1" si="45"/>
        <v>0</v>
      </c>
      <c r="AF34" s="21">
        <f t="shared" ca="1" si="46"/>
        <v>0</v>
      </c>
      <c r="AG34" s="21">
        <f t="shared" ca="1" si="3"/>
        <v>6</v>
      </c>
      <c r="AH34" s="21" t="str" cm="1">
        <f t="array" ca="1" aca="1" ref="AH34">IF(ROW()=ROW($AH$2)+1,"",INDEX($AH:$AH,ROW()-1))&amp;IF($A34="","",$A34&amp;",")</f>
        <v>R1-3,R2-3,R1-4,R2-4,R1-6,R2-6,R1-7,R2-7,R1-3-10,R2-3-10,R1-3-11,R2-3-11,R1-14,R1-16,R2-16,R21-23,R22-23,R1-29,R2-29,R31,R1-3-32,R2-3-32,R1-5-32,R2-5-32,R1-7-32,R2-7-32,R1-16-32,R2-16-32,R21-23-32,R22-23-32,R21-24-32,R22-24-32,</v>
      </c>
      <c r="AI34" s="21" t="str">
        <f t="shared" ca="1" si="47"/>
        <v>,AS22,AS24,AS32,</v>
      </c>
      <c r="AJ34" s="21" cm="1">
        <f t="array" ca="1" aca="1" ref="AJ34">IF($G34="",0,SimpleLookup($G34,Definitions!$AE:$AF))</f>
        <v>4</v>
      </c>
      <c r="AK34" s="21" t="str" cm="1">
        <f t="array" ca="1" aca="1" ref="AK34">InverseLookup($A34,Mitigation!$U$2,Mitigation!$J$2,1,Helper!$B$5,",")</f>
        <v/>
      </c>
      <c r="AL34" s="21" t="str" cm="1">
        <f t="array" ca="1" aca="1" ref="AL34">CalculateMaxAndElementsWithFallback(SanitizeInput($AK34),0,"",Countermeasures!$A:Y,Assumptions!$A:Z)</f>
        <v>0:</v>
      </c>
      <c r="AM34" s="21" t="str" cm="1">
        <f t="array" ca="1" aca="1" ref="AM34">CalculateMaxAndElementsWithFallback(SanitizeInput($AK34),0,"",Countermeasures!$A:Z,Assumptions!$A:AA)</f>
        <v>0:</v>
      </c>
      <c r="AN34" s="21" t="str" cm="1">
        <f t="array" ca="1" aca="1" ref="AN34">CalculateMaxAndElementsWithFallback(SanitizeInput($AK34),0,"",Countermeasures!$A:AA,Assumptions!$A:AB)</f>
        <v>0:</v>
      </c>
      <c r="AO34" s="21" t="str" cm="1">
        <f t="array" ca="1" aca="1" ref="AO34">CalculateMaxAndElementsWithFallback(SanitizeInput($AK34),0,"",Countermeasures!$A:AB,Assumptions!$A:AC)</f>
        <v>0:</v>
      </c>
      <c r="AP34" s="21" t="str" cm="1">
        <f t="array" ca="1" aca="1" ref="AP34">CalculateMaxAndElementsWithFallback(SanitizeInput($AK34),0,"",Countermeasures!$A:AC,Assumptions!$A:AD)</f>
        <v>0:</v>
      </c>
      <c r="AQ34" s="21">
        <f t="shared" ca="1" si="48"/>
        <v>0</v>
      </c>
      <c r="AR34" s="21">
        <f t="shared" ca="1" si="49"/>
        <v>0</v>
      </c>
      <c r="AS34" s="21">
        <f t="shared" ca="1" si="50"/>
        <v>0</v>
      </c>
      <c r="AT34" s="21">
        <f t="shared" ca="1" si="51"/>
        <v>0</v>
      </c>
      <c r="AU34" s="21">
        <f t="shared" ca="1" si="52"/>
        <v>0</v>
      </c>
      <c r="AV34" s="21" t="str">
        <f t="shared" ca="1" si="53"/>
        <v>0:AS22,AS24,AS32,</v>
      </c>
      <c r="AW34" s="21" t="str">
        <f t="shared" ca="1" si="54"/>
        <v>6:AS24,</v>
      </c>
      <c r="AX34" s="21" t="str">
        <f t="shared" ca="1" si="55"/>
        <v>0:AS22,AS24,AS32,</v>
      </c>
      <c r="AY34" s="21" t="str">
        <f t="shared" ca="1" si="56"/>
        <v>0:AS22,AS24,AS32,</v>
      </c>
      <c r="AZ34" s="21" t="str">
        <f t="shared" ca="1" si="57"/>
        <v>0:AS22,AS24,AS32,</v>
      </c>
      <c r="BA34" s="21">
        <f t="shared" ca="1" si="58"/>
        <v>0</v>
      </c>
      <c r="BB34" s="21">
        <f t="shared" ca="1" si="59"/>
        <v>6</v>
      </c>
      <c r="BC34" s="21">
        <f t="shared" ca="1" si="60"/>
        <v>0</v>
      </c>
      <c r="BD34" s="21">
        <f t="shared" ca="1" si="61"/>
        <v>0</v>
      </c>
      <c r="BE34" s="21">
        <f t="shared" ca="1" si="62"/>
        <v>0</v>
      </c>
      <c r="BF34" s="21">
        <f t="shared" ca="1" si="9"/>
        <v>6</v>
      </c>
      <c r="BG34" s="21" t="str">
        <f ca="1">IFERROR(VLOOKUP($BF34,Definitions!$V:$W,COLUMNS(Definitions!$V:$W),TRUE),"")</f>
        <v>Basic</v>
      </c>
      <c r="BH34" s="21" t="str">
        <f ca="1">_xlfn.LET(_xlpm._comments,GetValues($K34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4" s="21" t="str" cm="1">
        <f t="array" ca="1" aca="1" ref="BI34">_xlfn.LET(_xlpm._rapRange,Definitions!$W:$W,_xlpm._calculatedRAP,$BG34,_xlpm._inlineRAP,$BH34,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4" s="21" t="str">
        <f ca="1">IFERROR(IF(OR($V34="",$BI34=""),Definitions!$AE$4,VLOOKUP($V34,Definitions!$AH:$AM,MATCH($BI34,Definitions!$AH$3:$AM$3,0),FALSE)),"")</f>
        <v>Very High</v>
      </c>
      <c r="BK34" s="21" cm="1">
        <f t="array" ca="1" aca="1" ref="BK34">IF($BJ34="",0,SimpleLookup($BJ34,Definitions!$AE:$AF))</f>
        <v>4</v>
      </c>
      <c r="BL34" s="21" t="str" cm="1">
        <f t="array" ca="1" aca="1" ref="BL34">IFERROR(SimpleLookup($A34,Tracing!$B:$Z),"")</f>
        <v/>
      </c>
      <c r="BM34" s="21" t="str" cm="1">
        <f t="array" ca="1" aca="1" ref="BM34">_xlfn.LET(_xlpm._dm,SanitizeInput(GetValuesWithFallback(SanitizeInput($BL34),Assumptions!$A:$I,Countermeasures!$A:$I,"",",",FALSE)),IF(_xlpm._dm="","",","&amp;_xlpm._dm))</f>
        <v/>
      </c>
      <c r="BN34" s="21" t="str" cm="1">
        <f t="array" ca="1" aca="1" ref="BN34">ApplyDamageMitigation($M34,$BM34,"")</f>
        <v>DS3,DS12,</v>
      </c>
      <c r="BO34" s="21" cm="1">
        <f t="array" ca="1" aca="1" ref="BO34">CalculateMaxFromList($BN34,0,'Damage Scenarios'!$A:$U)</f>
        <v>4</v>
      </c>
      <c r="BP34" s="21" t="str">
        <f ca="1">IF($BO34=0,"",INDEX(Definitions!$Q:$Q,MATCH($BO34,Definitions!$R:$R,0)))</f>
        <v>High</v>
      </c>
      <c r="BQ34" s="21" t="str" cm="1">
        <f t="array" ca="1" aca="1" ref="BQ34">CalculateMaxAndElementsWithFallback(SanitizeInput($BL34),0,"",Countermeasures!$A:Y,Assumptions!$A:Z)</f>
        <v>0:</v>
      </c>
      <c r="BR34" s="21" t="str" cm="1">
        <f t="array" ca="1" aca="1" ref="BR34">CalculateMaxAndElementsWithFallback(SanitizeInput($BL34),0,"",Countermeasures!$A:Z,Assumptions!$A:AA)</f>
        <v>0:</v>
      </c>
      <c r="BS34" s="21" t="str" cm="1">
        <f t="array" ca="1" aca="1" ref="BS34">CalculateMaxAndElementsWithFallback(SanitizeInput($BL34),0,"",Countermeasures!$A:AA,Assumptions!$A:AB)</f>
        <v>0:</v>
      </c>
      <c r="BT34" s="21" t="str" cm="1">
        <f t="array" ca="1" aca="1" ref="BT34">CalculateMaxAndElementsWithFallback(SanitizeInput($BL34),0,"",Countermeasures!$A:AB,Assumptions!$A:AC)</f>
        <v>0:</v>
      </c>
      <c r="BU34" s="21" t="str" cm="1">
        <f t="array" ca="1" aca="1" ref="BU34">CalculateMaxAndElementsWithFallback(SanitizeInput($BL34),0,"",Countermeasures!$A:AC,Assumptions!$A:AD)</f>
        <v>0:</v>
      </c>
      <c r="BV34" s="21">
        <f t="shared" ca="1" si="25"/>
        <v>0</v>
      </c>
      <c r="BW34" s="21">
        <f t="shared" ca="1" si="26"/>
        <v>0</v>
      </c>
      <c r="BX34" s="21">
        <f t="shared" ca="1" si="27"/>
        <v>0</v>
      </c>
      <c r="BY34" s="21">
        <f t="shared" ca="1" si="28"/>
        <v>0</v>
      </c>
      <c r="BZ34" s="21">
        <f t="shared" ca="1" si="29"/>
        <v>0</v>
      </c>
      <c r="CA34" s="21" t="str">
        <f t="shared" ca="1" si="30"/>
        <v>0:AS22,AS24,AS32,</v>
      </c>
      <c r="CB34" s="21" t="str">
        <f t="shared" ca="1" si="31"/>
        <v>6:AS24,</v>
      </c>
      <c r="CC34" s="21" t="str">
        <f t="shared" ca="1" si="32"/>
        <v>0:AS22,AS24,AS32,</v>
      </c>
      <c r="CD34" s="21" t="str">
        <f t="shared" ca="1" si="33"/>
        <v>0:AS22,AS24,AS32,</v>
      </c>
      <c r="CE34" s="21" t="str">
        <f t="shared" ca="1" si="34"/>
        <v>0:AS22,AS24,AS32,</v>
      </c>
      <c r="CF34" s="21">
        <f t="shared" ca="1" si="35"/>
        <v>0</v>
      </c>
      <c r="CG34" s="21">
        <f t="shared" ca="1" si="36"/>
        <v>6</v>
      </c>
      <c r="CH34" s="21">
        <f t="shared" ca="1" si="37"/>
        <v>0</v>
      </c>
      <c r="CI34" s="21">
        <f t="shared" ca="1" si="38"/>
        <v>0</v>
      </c>
      <c r="CJ34" s="21">
        <f t="shared" ca="1" si="39"/>
        <v>0</v>
      </c>
      <c r="CK34" s="21">
        <f t="shared" ca="1" si="23"/>
        <v>6</v>
      </c>
      <c r="CL34" s="21" t="str">
        <f ca="1">IFERROR(VLOOKUP($CK34,Definitions!$V:$W,COLUMNS(Definitions!$V:$W),TRUE),"")</f>
        <v>Basic</v>
      </c>
      <c r="CM34" s="21" t="str">
        <f ca="1">_xlfn.LET(_xlpm._comments,SimpleLookup($A34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4" s="21" t="str" cm="1">
        <f t="array" ca="1" aca="1" ref="CN34">_xlfn.LET(_xlpm._rapRange,Definitions!$W:$W,_xlpm._calculatedRAP,$CL34,_xlpm._inlineRAP,$CM34,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4" s="21" t="str">
        <f ca="1">IFERROR(IF(OR($BP34="",$CN34=""),Definitions!$AE$4,VLOOKUP($BP34,Definitions!$AH:$AM,MATCH($CN34,Definitions!$AH$3:$AM$3,0),FALSE)),"")</f>
        <v>Very High</v>
      </c>
      <c r="CP34" s="21" cm="1">
        <f t="array" ca="1" aca="1" ref="CP34">IF($CO34="",0,SimpleLookup($CO34,Definitions!$AE:$AF))</f>
        <v>4</v>
      </c>
      <c r="CQ34" s="21" t="b">
        <f ca="1">OR(AND($S34,$I34=Helper!$B$7),$I34&gt;Helper!$B$7)</f>
        <v>0</v>
      </c>
      <c r="CR34" s="21" t="str">
        <f t="shared" ca="1" si="24"/>
        <v/>
      </c>
      <c r="CS34" s="21" cm="1">
        <f t="array" ca="1" aca="1" ref="CS34">CreateID($CS$2,$CV:$CV,$CR34&lt;&gt;"")</f>
        <v>0</v>
      </c>
      <c r="CT34" s="21" t="str">
        <f ca="1">IF(IFERROR(MATCH(","&amp;A34&amp;",",'Risk Treatment'!$AT:$AT,0)&gt;0,FALSE),"",$A34)</f>
        <v>R22-24-32</v>
      </c>
      <c r="CU34" s="21" cm="1">
        <f t="array" ca="1" aca="1" ref="CU34">CreateID($CU$2,$CU:$CU,$CT34&lt;&gt;"")</f>
        <v>32</v>
      </c>
    </row>
    <row r="35" spans="1:99" ht="60">
      <c r="A35" s="33" t="str" cm="1">
        <f t="array" ca="1" aca="1" ref="A35">IF($B35="","","R"&amp;RemoveDelimiter(SUBSTITUTE(SUBSTITUTE($K35,"AS",""),",","-"),"-"))</f>
        <v>R1-29-32</v>
      </c>
      <c r="B35" s="33" t="str" cm="1">
        <f t="array" ca="1" aca="1" ref="B35">IF($L35="","",_xlfn.LET(_xlpm._finalAttackStep,$L35,_xlpm._prepAttacks,RemoveFirstElement(_xlpm._finalAttackStep&amp;","&amp;$K35),_xlpm._prepAttackNames,IFERROR(LookupNames(_xlpm._prepAttacks,'Attack Steps'!$A:$B),""),_xlpm._delimiter,REPT(CHAR(150),55),$L35&amp;" "&amp;SimpleLookup($L35,'Attack Steps'!$A:$B)&amp;IF(_xlpm._prepAttackNames="","",CHAR(10)&amp;_xlpm._delimiter&amp;CHAR(10)&amp;_xlpm._prepAttackNames)))</f>
        <v>AS32 Extracting or misusing acontis techonlogies GmbH IP
–––––––––––––––––––––––––––––––––––––––––––––––––––––––
AS1 Getting access to a trusted operational environment,
AS29 Brute-forcing the authentication mechanism over IP</v>
      </c>
      <c r="C35" s="34" t="str" cm="1">
        <f t="array" ca="1" aca="1" ref="C35">IFERROR(LookupNames($M35,'Damage Scenarios'!$A:$V),"")</f>
        <v>DS3 Disclosure of acontis techonlogies GmbH IP (moderately innovative) [Medium],
DS12 IP (highly innovative) disclosed by manipulated product [High]</v>
      </c>
      <c r="D35" s="33" t="str">
        <f ca="1">IFERROR(IF($T35=0,"",INDEX(Definitions!$Q:$Q,MATCH($T35,Definitions!$R:$R,0))),"")</f>
        <v>High</v>
      </c>
      <c r="E35" s="34" t="str" cm="1">
        <f t="array" ca="1" aca="1" ref="E35">IF($A35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35,$A:W,Definitions!$Y:$Y,Definitions!$AB:$AB,1)&amp;CHAR(10)&amp;_xlpm._factorFunction($A35,$A:X,Definitions!$Y:$Y,Definitions!$AB:$AB,2)&amp;CHAR(10)&amp;_xlpm._factorFunction($A35,$A:Y,Definitions!$Y:$Y,Definitions!$AB:$AB,3)&amp;CHAR(10)&amp;_xlpm._factorFunction($A35,$A:Z,Definitions!$Y:$Y,Definitions!$AB:$AB,4)&amp;CHAR(10)&amp;_xlpm._factorFunction($A35,$A:AA,Definitions!$Y:$Y,Definitions!$AB:$AB,5)))</f>
        <v>Elapsed Time [0]: AS1, AS29, AS32
Expertise [0]: AS1, AS29, AS32
Knowledge of TOE [0]: AS1, AS29, AS32
Window of Opportunity [0]: AS1, AS29, AS32
Equipment [0]: AS1, AS29, AS32</v>
      </c>
      <c r="F35" s="33" t="str">
        <f ca="1">IF($A35="","",IFERROR(VLOOKUP($AG35,Definitions!$V:$W,COLUMNS(Definitions!$V:$W),TRUE),""))</f>
        <v>Basic</v>
      </c>
      <c r="G35" s="33" t="str">
        <f ca="1">IFERROR(IF(OR($D35="",$F35=""),"",VLOOKUP($D35,Definitions!$AH:$AM,MATCH($F35,Definitions!$AH$3:$AM$3,0),FALSE)),"")</f>
        <v>Very High</v>
      </c>
      <c r="H35" s="23" cm="1">
        <f t="array" ca="1" aca="1" ref="H35">IF(ROW()=ROW($H$2)+1,0,INDEX($H:$H,ROW()-1))+IF($A35="",0,1)</f>
        <v>33</v>
      </c>
      <c r="I35" s="21" cm="1">
        <f t="array" ca="1" aca="1" ref="I35">IF(ROW()=ROW($I$2)+1,1,INDEX($I:$I,ROW()-1)+IF(INDEX($S:$S,ROW()-1),1,0))</f>
        <v>12</v>
      </c>
      <c r="J35" s="21">
        <f ca="1" t="shared" si="63" ref="J35:J66">COUNTIF(OFFSET($I$2,1,0,ROW()-ROW($I$2),1),$I35)</f>
        <v>13</v>
      </c>
      <c r="K35" s="21" t="str">
        <f t="shared" ca="1" si="40"/>
        <v>AS1,AS29,AS32,</v>
      </c>
      <c r="L35" s="21" t="str" cm="1">
        <f t="array" ca="1" aca="1" ref="L35">IF($P35="","",INDEX('Attack Steps'!$A:$A,$P35))</f>
        <v>AS32</v>
      </c>
      <c r="M35" s="21" t="str" cm="1">
        <f t="array" ca="1" aca="1" ref="M35">IF($P35="","",INDEX('Attack Steps'!$T:$T,$P35))</f>
        <v>DS3,DS12,</v>
      </c>
      <c r="N35" s="21" t="str" cm="1">
        <f t="array" ca="1" aca="1" ref="N35">_xlfn.LET(_xlpm._dm,SanitizeInput(GetValuesWithFallback(SanitizeInput($AK35),Assumptions!$A:$I,Countermeasures!$A:$I,"",",",FALSE)),IF(_xlpm._dm="","",","&amp;_xlpm._dm))</f>
        <v/>
      </c>
      <c r="O35" s="21" t="str" cm="1">
        <f t="array" ca="1" aca="1" ref="O35">ApplyDamageMitigation($M35,$N35,"")</f>
        <v>DS3,DS12,</v>
      </c>
      <c r="P35" s="21">
        <f ca="1">IFERROR(MATCH($I35,'Attack Steps'!$V:$V,0),"")</f>
        <v>34</v>
      </c>
      <c r="Q35" s="21" t="str" cm="1">
        <f t="array" ca="1" aca="1" ref="Q35">IF($P35="","","§"&amp;INDEX('Attack Steps'!$S:$S,$P35))</f>
        <v>§AS1,AS3,AS32,§AS2,AS3,AS32,§AS1,AS5,AS32,§AS2,AS5,AS32,§AS1,AS7,AS32,§AS2,AS7,AS32,§AS1,AS16,AS32,§AS2,AS16,AS32,§AS21,AS23,AS32,§AS22,AS23,AS32,§AS21,AS24,AS32,§AS22,AS24,AS32,§AS1,AS29,AS32,§AS2,AS29,AS32,§</v>
      </c>
      <c r="R35" s="21" cm="1">
        <f t="array" ca="1" aca="1" ref="R35">IF($P35="","",INDEX('Attack Steps'!$W:$W,$P35))</f>
        <v>14</v>
      </c>
      <c r="S35" s="21" t="b">
        <f t="shared" ca="1" si="41"/>
        <v>0</v>
      </c>
      <c r="T35" s="21" cm="1">
        <f t="array" ca="1" aca="1" ref="T35">_xlfn.LAMBDA(_xlpm._in,_xlpm._val,_xlpm._range,IF(_xlpm._in="",_xlpm._val,_xlfn.LET(_xlpm._id,LEFT(_xlpm._in,FIND(",",_xlpm._in)-1),CalculateMaxFromList(RemoveFirstElement(_xlpm._in),MAX(_xlpm._val,VLOOKUP(_xlpm._id,_xlpm._range,COLUMNS(_xlpm._range),FALSE)),_xlpm._range))))($M35,0,'Damage Scenarios'!$A:$U)</f>
        <v>4</v>
      </c>
      <c r="U35" s="21" cm="1">
        <f t="array" ca="1" aca="1" ref="U35">CalculateMaxFromList($O35,0,'Damage Scenarios'!$A:$U)</f>
        <v>4</v>
      </c>
      <c r="V35" s="21" t="str">
        <f ca="1">IF($U35=0,"",INDEX(Definitions!$Q:$Q,MATCH($U35,Definitions!$R:$R,0)))</f>
        <v>High</v>
      </c>
      <c r="W35" s="21" t="str" cm="1">
        <f t="array" ca="1" aca="1" ref="W35">CalculateMaxAndElements($K35,0,"",'Attack Steps'!$A:X)</f>
        <v>0:AS1,AS29,AS32,</v>
      </c>
      <c r="X35" s="21" t="str" cm="1">
        <f t="array" ca="1" aca="1" ref="X35">CalculateMaxAndElements($K35,0,"",'Attack Steps'!$A:Y)</f>
        <v>0:AS1,AS29,AS32,</v>
      </c>
      <c r="Y35" s="21" t="str" cm="1">
        <f t="array" ca="1" aca="1" ref="Y35">CalculateMaxAndElements($K35,0,"",'Attack Steps'!$A:Z)</f>
        <v>0:AS1,AS29,AS32,</v>
      </c>
      <c r="Z35" s="21" t="str" cm="1">
        <f t="array" ca="1" aca="1" ref="Z35">CalculateMaxAndElements($K35,0,"",'Attack Steps'!$A:AA)</f>
        <v>0:AS1,AS29,AS32,</v>
      </c>
      <c r="AA35" s="21" t="str" cm="1">
        <f t="array" ca="1" aca="1" ref="AA35">CalculateMaxAndElements($K35,0,"",'Attack Steps'!$A:AB)</f>
        <v>0:AS1,AS29,AS32,</v>
      </c>
      <c r="AB35" s="21">
        <f t="shared" ca="1" si="42"/>
        <v>0</v>
      </c>
      <c r="AC35" s="21">
        <f t="shared" ca="1" si="43"/>
        <v>0</v>
      </c>
      <c r="AD35" s="21">
        <f t="shared" ca="1" si="44"/>
        <v>0</v>
      </c>
      <c r="AE35" s="21">
        <f t="shared" ca="1" si="45"/>
        <v>0</v>
      </c>
      <c r="AF35" s="21">
        <f t="shared" ca="1" si="46"/>
        <v>0</v>
      </c>
      <c r="AG35" s="21">
        <f ca="1" t="shared" si="64" ref="AG35:AG66">SUM(OFFSET($AB35,0,0,1,COLUMNS($AB:$AF)))</f>
        <v>0</v>
      </c>
      <c r="AH35" s="21" t="str" cm="1">
        <f t="array" ca="1" aca="1" ref="AH35">IF(ROW()=ROW($AH$2)+1,"",INDEX($AH:$AH,ROW()-1))&amp;IF($A35="","",$A35&amp;",")</f>
        <v>R1-3,R2-3,R1-4,R2-4,R1-6,R2-6,R1-7,R2-7,R1-3-10,R2-3-10,R1-3-11,R2-3-11,R1-14,R1-16,R2-16,R21-23,R22-23,R1-29,R2-29,R31,R1-3-32,R2-3-32,R1-5-32,R2-5-32,R1-7-32,R2-7-32,R1-16-32,R2-16-32,R21-23-32,R22-23-32,R21-24-32,R22-24-32,R1-29-32,</v>
      </c>
      <c r="AI35" s="21" t="str">
        <f t="shared" ca="1" si="47"/>
        <v>,AS1,AS29,AS32,</v>
      </c>
      <c r="AJ35" s="21" cm="1">
        <f t="array" ca="1" aca="1" ref="AJ35">IF($G35="",0,SimpleLookup($G35,Definitions!$AE:$AF))</f>
        <v>4</v>
      </c>
      <c r="AK35" s="21" t="str" cm="1">
        <f t="array" ca="1" aca="1" ref="AK35">InverseLookup($A35,Mitigation!$U$2,Mitigation!$J$2,1,Helper!$B$5,",")</f>
        <v/>
      </c>
      <c r="AL35" s="21" t="str" cm="1">
        <f t="array" ca="1" aca="1" ref="AL35">CalculateMaxAndElementsWithFallback(SanitizeInput($AK35),0,"",Countermeasures!$A:Y,Assumptions!$A:Z)</f>
        <v>0:</v>
      </c>
      <c r="AM35" s="21" t="str" cm="1">
        <f t="array" ca="1" aca="1" ref="AM35">CalculateMaxAndElementsWithFallback(SanitizeInput($AK35),0,"",Countermeasures!$A:Z,Assumptions!$A:AA)</f>
        <v>0:</v>
      </c>
      <c r="AN35" s="21" t="str" cm="1">
        <f t="array" ca="1" aca="1" ref="AN35">CalculateMaxAndElementsWithFallback(SanitizeInput($AK35),0,"",Countermeasures!$A:AA,Assumptions!$A:AB)</f>
        <v>0:</v>
      </c>
      <c r="AO35" s="21" t="str" cm="1">
        <f t="array" ca="1" aca="1" ref="AO35">CalculateMaxAndElementsWithFallback(SanitizeInput($AK35),0,"",Countermeasures!$A:AB,Assumptions!$A:AC)</f>
        <v>0:</v>
      </c>
      <c r="AP35" s="21" t="str" cm="1">
        <f t="array" ca="1" aca="1" ref="AP35">CalculateMaxAndElementsWithFallback(SanitizeInput($AK35),0,"",Countermeasures!$A:AC,Assumptions!$A:AD)</f>
        <v>0:</v>
      </c>
      <c r="AQ35" s="21">
        <f t="shared" ca="1" si="48"/>
        <v>0</v>
      </c>
      <c r="AR35" s="21">
        <f t="shared" ca="1" si="49"/>
        <v>0</v>
      </c>
      <c r="AS35" s="21">
        <f t="shared" ca="1" si="50"/>
        <v>0</v>
      </c>
      <c r="AT35" s="21">
        <f t="shared" ca="1" si="51"/>
        <v>0</v>
      </c>
      <c r="AU35" s="21">
        <f t="shared" ca="1" si="52"/>
        <v>0</v>
      </c>
      <c r="AV35" s="21" t="str">
        <f t="shared" ca="1" si="53"/>
        <v>0:AS1,AS29,AS32,</v>
      </c>
      <c r="AW35" s="21" t="str">
        <f t="shared" ca="1" si="54"/>
        <v>0:AS1,AS29,AS32,</v>
      </c>
      <c r="AX35" s="21" t="str">
        <f t="shared" ca="1" si="55"/>
        <v>0:AS1,AS29,AS32,</v>
      </c>
      <c r="AY35" s="21" t="str">
        <f t="shared" ca="1" si="56"/>
        <v>0:AS1,AS29,AS32,</v>
      </c>
      <c r="AZ35" s="21" t="str">
        <f t="shared" ca="1" si="57"/>
        <v>0:AS1,AS29,AS32,</v>
      </c>
      <c r="BA35" s="21">
        <f t="shared" ca="1" si="58"/>
        <v>0</v>
      </c>
      <c r="BB35" s="21">
        <f t="shared" ca="1" si="59"/>
        <v>0</v>
      </c>
      <c r="BC35" s="21">
        <f t="shared" ca="1" si="60"/>
        <v>0</v>
      </c>
      <c r="BD35" s="21">
        <f t="shared" ca="1" si="61"/>
        <v>0</v>
      </c>
      <c r="BE35" s="21">
        <f t="shared" ca="1" si="62"/>
        <v>0</v>
      </c>
      <c r="BF35" s="21">
        <f ca="1" t="shared" si="65" ref="BF35:BF66">SUM(OFFSET($BA35,0,0,1,COLUMNS($BA:$BE)))</f>
        <v>0</v>
      </c>
      <c r="BG35" s="21" t="str">
        <f ca="1">IFERROR(VLOOKUP($BF35,Definitions!$V:$W,COLUMNS(Definitions!$V:$W),TRUE),"")</f>
        <v>Basic</v>
      </c>
      <c r="BH35" s="21" t="str">
        <f ca="1">_xlfn.LET(_xlpm._comments,GetValues($K35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5" s="21" t="str" cm="1">
        <f t="array" ca="1" aca="1" ref="BI35">_xlfn.LET(_xlpm._rapRange,Definitions!$W:$W,_xlpm._calculatedRAP,$BG35,_xlpm._inlineRAP,$BH35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5" s="21" t="str">
        <f ca="1">IFERROR(IF(OR($V35="",$BI35=""),Definitions!$AE$4,VLOOKUP($V35,Definitions!$AH:$AM,MATCH($BI35,Definitions!$AH$3:$AM$3,0),FALSE)),"")</f>
        <v>Very High</v>
      </c>
      <c r="BK35" s="21" cm="1">
        <f t="array" ca="1" aca="1" ref="BK35">IF($BJ35="",0,SimpleLookup($BJ35,Definitions!$AE:$AF))</f>
        <v>4</v>
      </c>
      <c r="BL35" s="21" t="str" cm="1">
        <f t="array" ca="1" aca="1" ref="BL35">IFERROR(SimpleLookup($A35,Tracing!$B:$Z),"")</f>
        <v/>
      </c>
      <c r="BM35" s="21" t="str" cm="1">
        <f t="array" ca="1" aca="1" ref="BM35">_xlfn.LET(_xlpm._dm,SanitizeInput(GetValuesWithFallback(SanitizeInput($BL35),Assumptions!$A:$I,Countermeasures!$A:$I,"",",",FALSE)),IF(_xlpm._dm="","",","&amp;_xlpm._dm))</f>
        <v/>
      </c>
      <c r="BN35" s="21" t="str" cm="1">
        <f t="array" ca="1" aca="1" ref="BN35">ApplyDamageMitigation($M35,$BM35,"")</f>
        <v>DS3,DS12,</v>
      </c>
      <c r="BO35" s="21" cm="1">
        <f t="array" ca="1" aca="1" ref="BO35">CalculateMaxFromList($BN35,0,'Damage Scenarios'!$A:$U)</f>
        <v>4</v>
      </c>
      <c r="BP35" s="21" t="str">
        <f ca="1">IF($BO35=0,"",INDEX(Definitions!$Q:$Q,MATCH($BO35,Definitions!$R:$R,0)))</f>
        <v>High</v>
      </c>
      <c r="BQ35" s="21" t="str" cm="1">
        <f t="array" ca="1" aca="1" ref="BQ35">CalculateMaxAndElementsWithFallback(SanitizeInput($BL35),0,"",Countermeasures!$A:Y,Assumptions!$A:Z)</f>
        <v>0:</v>
      </c>
      <c r="BR35" s="21" t="str" cm="1">
        <f t="array" ca="1" aca="1" ref="BR35">CalculateMaxAndElementsWithFallback(SanitizeInput($BL35),0,"",Countermeasures!$A:Z,Assumptions!$A:AA)</f>
        <v>0:</v>
      </c>
      <c r="BS35" s="21" t="str" cm="1">
        <f t="array" ca="1" aca="1" ref="BS35">CalculateMaxAndElementsWithFallback(SanitizeInput($BL35),0,"",Countermeasures!$A:AA,Assumptions!$A:AB)</f>
        <v>0:</v>
      </c>
      <c r="BT35" s="21" t="str" cm="1">
        <f t="array" ca="1" aca="1" ref="BT35">CalculateMaxAndElementsWithFallback(SanitizeInput($BL35),0,"",Countermeasures!$A:AB,Assumptions!$A:AC)</f>
        <v>0:</v>
      </c>
      <c r="BU35" s="21" t="str" cm="1">
        <f t="array" ca="1" aca="1" ref="BU35">CalculateMaxAndElementsWithFallback(SanitizeInput($BL35),0,"",Countermeasures!$A:AC,Assumptions!$A:AD)</f>
        <v>0:</v>
      </c>
      <c r="BV35" s="21">
        <f t="shared" ca="1" si="25"/>
        <v>0</v>
      </c>
      <c r="BW35" s="21">
        <f t="shared" ca="1" si="26"/>
        <v>0</v>
      </c>
      <c r="BX35" s="21">
        <f t="shared" ca="1" si="27"/>
        <v>0</v>
      </c>
      <c r="BY35" s="21">
        <f t="shared" ca="1" si="28"/>
        <v>0</v>
      </c>
      <c r="BZ35" s="21">
        <f t="shared" ca="1" si="29"/>
        <v>0</v>
      </c>
      <c r="CA35" s="21" t="str">
        <f t="shared" ca="1" si="30"/>
        <v>0:AS1,AS29,AS32,</v>
      </c>
      <c r="CB35" s="21" t="str">
        <f t="shared" ca="1" si="31"/>
        <v>0:AS1,AS29,AS32,</v>
      </c>
      <c r="CC35" s="21" t="str">
        <f t="shared" ca="1" si="32"/>
        <v>0:AS1,AS29,AS32,</v>
      </c>
      <c r="CD35" s="21" t="str">
        <f t="shared" ca="1" si="33"/>
        <v>0:AS1,AS29,AS32,</v>
      </c>
      <c r="CE35" s="21" t="str">
        <f t="shared" ca="1" si="34"/>
        <v>0:AS1,AS29,AS32,</v>
      </c>
      <c r="CF35" s="21">
        <f t="shared" ca="1" si="35"/>
        <v>0</v>
      </c>
      <c r="CG35" s="21">
        <f t="shared" ca="1" si="36"/>
        <v>0</v>
      </c>
      <c r="CH35" s="21">
        <f t="shared" ca="1" si="37"/>
        <v>0</v>
      </c>
      <c r="CI35" s="21">
        <f t="shared" ca="1" si="38"/>
        <v>0</v>
      </c>
      <c r="CJ35" s="21">
        <f t="shared" ca="1" si="39"/>
        <v>0</v>
      </c>
      <c r="CK35" s="21">
        <f ca="1" t="shared" si="66" ref="CK35:CK66">SUM(OFFSET($CF35,0,0,1,COLUMNS($CF:$CJ)))</f>
        <v>0</v>
      </c>
      <c r="CL35" s="21" t="str">
        <f ca="1">IFERROR(VLOOKUP($CK35,Definitions!$V:$W,COLUMNS(Definitions!$V:$W),TRUE),"")</f>
        <v>Basic</v>
      </c>
      <c r="CM35" s="21" t="str">
        <f ca="1">_xlfn.LET(_xlpm._comments,SimpleLookup($A35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5" s="21" t="str" cm="1">
        <f t="array" ca="1" aca="1" ref="CN35">_xlfn.LET(_xlpm._rapRange,Definitions!$W:$W,_xlpm._calculatedRAP,$CL35,_xlpm._inlineRAP,$CM35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5" s="21" t="str">
        <f ca="1">IFERROR(IF(OR($BP35="",$CN35=""),Definitions!$AE$4,VLOOKUP($BP35,Definitions!$AH:$AM,MATCH($CN35,Definitions!$AH$3:$AM$3,0),FALSE)),"")</f>
        <v>Very High</v>
      </c>
      <c r="CP35" s="21" cm="1">
        <f t="array" ca="1" aca="1" ref="CP35">IF($CO35="",0,SimpleLookup($CO35,Definitions!$AE:$AF))</f>
        <v>4</v>
      </c>
      <c r="CQ35" s="21" t="b">
        <f ca="1">OR(AND($S35,$I35=Helper!$B$7),$I35&gt;Helper!$B$7)</f>
        <v>0</v>
      </c>
      <c r="CR35" s="21" t="str">
        <f ca="1" t="shared" si="67" ref="CR35:CR68">IF(NOT(OR($CQ35,AND(NOT($CQ35),OFFSET($CQ35,1,0)&lt;&gt;""))),"Please enlarge the table!","")</f>
        <v/>
      </c>
      <c r="CS35" s="21" cm="1">
        <f t="array" ca="1" aca="1" ref="CS35">CreateID($CS$2,$CV:$CV,$CR35&lt;&gt;"")</f>
        <v>0</v>
      </c>
      <c r="CT35" s="21" t="str">
        <f ca="1">IF(IFERROR(MATCH(","&amp;A35&amp;",",'Risk Treatment'!$AT:$AT,0)&gt;0,FALSE),"",$A35)</f>
        <v>R1-29-32</v>
      </c>
      <c r="CU35" s="21" cm="1">
        <f t="array" ca="1" aca="1" ref="CU35">CreateID($CU$2,$CU:$CU,$CT35&lt;&gt;"")</f>
        <v>33</v>
      </c>
    </row>
    <row r="36" spans="1:99" ht="60">
      <c r="A36" s="33" t="str" cm="1">
        <f t="array" ca="1" aca="1" ref="A36">IF($B36="","","R"&amp;RemoveDelimiter(SUBSTITUTE(SUBSTITUTE($K36,"AS",""),",","-"),"-"))</f>
        <v>R2-29-32</v>
      </c>
      <c r="B36" s="33" t="str" cm="1">
        <f t="array" ca="1" aca="1" ref="B36">IF($L36="","",_xlfn.LET(_xlpm._finalAttackStep,$L36,_xlpm._prepAttacks,RemoveFirstElement(_xlpm._finalAttackStep&amp;","&amp;$K36),_xlpm._prepAttackNames,IFERROR(LookupNames(_xlpm._prepAttacks,'Attack Steps'!$A:$B),""),_xlpm._delimiter,REPT(CHAR(150),55),$L36&amp;" "&amp;SimpleLookup($L36,'Attack Steps'!$A:$B)&amp;IF(_xlpm._prepAttackNames="","",CHAR(10)&amp;_xlpm._delimiter&amp;CHAR(10)&amp;_xlpm._prepAttackNames)))</f>
        <v>AS32 Extracting or misusing acontis techonlogies GmbH IP
–––––––––––––––––––––––––––––––––––––––––––––––––––––––
AS2 Getting access to a wireless network,
AS29 Brute-forcing the authentication mechanism over IP</v>
      </c>
      <c r="C36" s="34" t="str" cm="1">
        <f t="array" ca="1" aca="1" ref="C36">IFERROR(LookupNames($M36,'Damage Scenarios'!$A:$V),"")</f>
        <v>DS3 Disclosure of acontis techonlogies GmbH IP (moderately innovative) [Medium],
DS12 IP (highly innovative) disclosed by manipulated product [High]</v>
      </c>
      <c r="D36" s="33" t="str">
        <f ca="1">IFERROR(IF($T36=0,"",INDEX(Definitions!$Q:$Q,MATCH($T36,Definitions!$R:$R,0))),"")</f>
        <v>High</v>
      </c>
      <c r="E36" s="34" t="str" cm="1">
        <f t="array" ca="1" aca="1" ref="E36">IF($A36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36,$A:W,Definitions!$Y:$Y,Definitions!$AB:$AB,1)&amp;CHAR(10)&amp;_xlpm._factorFunction($A36,$A:X,Definitions!$Y:$Y,Definitions!$AB:$AB,2)&amp;CHAR(10)&amp;_xlpm._factorFunction($A36,$A:Y,Definitions!$Y:$Y,Definitions!$AB:$AB,3)&amp;CHAR(10)&amp;_xlpm._factorFunction($A36,$A:Z,Definitions!$Y:$Y,Definitions!$AB:$AB,4)&amp;CHAR(10)&amp;_xlpm._factorFunction($A36,$A:AA,Definitions!$Y:$Y,Definitions!$AB:$AB,5)))</f>
        <v>Elapsed Time [0]: AS2, AS29, AS32
Expertise [3]: AS2
Knowledge of TOE [0]: AS2, AS29, AS32
Window of Opportunity [1]: AS2
Equipment [0]: AS2, AS29, AS32</v>
      </c>
      <c r="F36" s="33" t="str">
        <f ca="1">IF($A36="","",IFERROR(VLOOKUP($AG36,Definitions!$V:$W,COLUMNS(Definitions!$V:$W),TRUE),""))</f>
        <v>Basic</v>
      </c>
      <c r="G36" s="33" t="str">
        <f ca="1">IFERROR(IF(OR($D36="",$F36=""),"",VLOOKUP($D36,Definitions!$AH:$AM,MATCH($F36,Definitions!$AH$3:$AM$3,0),FALSE)),"")</f>
        <v>Very High</v>
      </c>
      <c r="H36" s="23" cm="1">
        <f t="array" ca="1" aca="1" ref="H36">IF(ROW()=ROW($H$2)+1,0,INDEX($H:$H,ROW()-1))+IF($A36="",0,1)</f>
        <v>34</v>
      </c>
      <c r="I36" s="21" cm="1">
        <f t="array" ca="1" aca="1" ref="I36">IF(ROW()=ROW($I$2)+1,1,INDEX($I:$I,ROW()-1)+IF(INDEX($S:$S,ROW()-1),1,0))</f>
        <v>12</v>
      </c>
      <c r="J36" s="21">
        <f t="shared" ca="1" si="63"/>
        <v>14</v>
      </c>
      <c r="K36" s="21" t="str">
        <f t="shared" ca="1" si="40"/>
        <v>AS2,AS29,AS32,</v>
      </c>
      <c r="L36" s="21" t="str" cm="1">
        <f t="array" ca="1" aca="1" ref="L36">IF($P36="","",INDEX('Attack Steps'!$A:$A,$P36))</f>
        <v>AS32</v>
      </c>
      <c r="M36" s="21" t="str" cm="1">
        <f t="array" ca="1" aca="1" ref="M36">IF($P36="","",INDEX('Attack Steps'!$T:$T,$P36))</f>
        <v>DS3,DS12,</v>
      </c>
      <c r="N36" s="21" t="str" cm="1">
        <f t="array" ca="1" aca="1" ref="N36">_xlfn.LET(_xlpm._dm,SanitizeInput(GetValuesWithFallback(SanitizeInput($AK36),Assumptions!$A:$I,Countermeasures!$A:$I,"",",",FALSE)),IF(_xlpm._dm="","",","&amp;_xlpm._dm))</f>
        <v/>
      </c>
      <c r="O36" s="21" t="str" cm="1">
        <f t="array" ca="1" aca="1" ref="O36">ApplyDamageMitigation($M36,$N36,"")</f>
        <v>DS3,DS12,</v>
      </c>
      <c r="P36" s="21">
        <f ca="1">IFERROR(MATCH($I36,'Attack Steps'!$V:$V,0),"")</f>
        <v>34</v>
      </c>
      <c r="Q36" s="21" t="str" cm="1">
        <f t="array" ca="1" aca="1" ref="Q36">IF($P36="","","§"&amp;INDEX('Attack Steps'!$S:$S,$P36))</f>
        <v>§AS1,AS3,AS32,§AS2,AS3,AS32,§AS1,AS5,AS32,§AS2,AS5,AS32,§AS1,AS7,AS32,§AS2,AS7,AS32,§AS1,AS16,AS32,§AS2,AS16,AS32,§AS21,AS23,AS32,§AS22,AS23,AS32,§AS21,AS24,AS32,§AS22,AS24,AS32,§AS1,AS29,AS32,§AS2,AS29,AS32,§</v>
      </c>
      <c r="R36" s="21" cm="1">
        <f t="array" ca="1" aca="1" ref="R36">IF($P36="","",INDEX('Attack Steps'!$W:$W,$P36))</f>
        <v>14</v>
      </c>
      <c r="S36" s="21" t="b">
        <f t="shared" ca="1" si="41"/>
        <v>1</v>
      </c>
      <c r="T36" s="21" cm="1">
        <f t="array" ca="1" aca="1" ref="T36">_xlfn.LAMBDA(_xlpm._in,_xlpm._val,_xlpm._range,IF(_xlpm._in="",_xlpm._val,_xlfn.LET(_xlpm._id,LEFT(_xlpm._in,FIND(",",_xlpm._in)-1),CalculateMaxFromList(RemoveFirstElement(_xlpm._in),MAX(_xlpm._val,VLOOKUP(_xlpm._id,_xlpm._range,COLUMNS(_xlpm._range),FALSE)),_xlpm._range))))($M36,0,'Damage Scenarios'!$A:$U)</f>
        <v>4</v>
      </c>
      <c r="U36" s="21" cm="1">
        <f t="array" ca="1" aca="1" ref="U36">CalculateMaxFromList($O36,0,'Damage Scenarios'!$A:$U)</f>
        <v>4</v>
      </c>
      <c r="V36" s="21" t="str">
        <f ca="1">IF($U36=0,"",INDEX(Definitions!$Q:$Q,MATCH($U36,Definitions!$R:$R,0)))</f>
        <v>High</v>
      </c>
      <c r="W36" s="21" t="str" cm="1">
        <f t="array" ca="1" aca="1" ref="W36">CalculateMaxAndElements($K36,0,"",'Attack Steps'!$A:X)</f>
        <v>0:AS2,AS29,AS32,</v>
      </c>
      <c r="X36" s="21" t="str" cm="1">
        <f t="array" ca="1" aca="1" ref="X36">CalculateMaxAndElements($K36,0,"",'Attack Steps'!$A:Y)</f>
        <v>3:AS2,</v>
      </c>
      <c r="Y36" s="21" t="str" cm="1">
        <f t="array" ca="1" aca="1" ref="Y36">CalculateMaxAndElements($K36,0,"",'Attack Steps'!$A:Z)</f>
        <v>0:AS2,AS29,AS32,</v>
      </c>
      <c r="Z36" s="21" t="str" cm="1">
        <f t="array" ca="1" aca="1" ref="Z36">CalculateMaxAndElements($K36,0,"",'Attack Steps'!$A:AA)</f>
        <v>1:AS2,</v>
      </c>
      <c r="AA36" s="21" t="str" cm="1">
        <f t="array" ca="1" aca="1" ref="AA36">CalculateMaxAndElements($K36,0,"",'Attack Steps'!$A:AB)</f>
        <v>0:AS2,AS29,AS32,</v>
      </c>
      <c r="AB36" s="21">
        <f t="shared" ca="1" si="42"/>
        <v>0</v>
      </c>
      <c r="AC36" s="21">
        <f t="shared" ca="1" si="43"/>
        <v>3</v>
      </c>
      <c r="AD36" s="21">
        <f t="shared" ca="1" si="44"/>
        <v>0</v>
      </c>
      <c r="AE36" s="21">
        <f t="shared" ca="1" si="45"/>
        <v>1</v>
      </c>
      <c r="AF36" s="21">
        <f t="shared" ca="1" si="46"/>
        <v>0</v>
      </c>
      <c r="AG36" s="21">
        <f t="shared" ca="1" si="64"/>
        <v>4</v>
      </c>
      <c r="AH36" s="21" t="str" cm="1">
        <f t="array" ca="1" aca="1" ref="AH36">IF(ROW()=ROW($AH$2)+1,"",INDEX($AH:$AH,ROW()-1))&amp;IF($A36="","",$A36&amp;",")</f>
        <v>R1-3,R2-3,R1-4,R2-4,R1-6,R2-6,R1-7,R2-7,R1-3-10,R2-3-10,R1-3-11,R2-3-11,R1-14,R1-16,R2-16,R21-23,R22-23,R1-29,R2-29,R31,R1-3-32,R2-3-32,R1-5-32,R2-5-32,R1-7-32,R2-7-32,R1-16-32,R2-16-32,R21-23-32,R22-23-32,R21-24-32,R22-24-32,R1-29-32,R2-29-32,</v>
      </c>
      <c r="AI36" s="21" t="str">
        <f t="shared" ca="1" si="47"/>
        <v>,AS2,AS29,AS32,</v>
      </c>
      <c r="AJ36" s="21" cm="1">
        <f t="array" ca="1" aca="1" ref="AJ36">IF($G36="",0,SimpleLookup($G36,Definitions!$AE:$AF))</f>
        <v>4</v>
      </c>
      <c r="AK36" s="21" t="str" cm="1">
        <f t="array" ca="1" aca="1" ref="AK36">InverseLookup($A36,Mitigation!$U$2,Mitigation!$J$2,1,Helper!$B$5,",")</f>
        <v/>
      </c>
      <c r="AL36" s="21" t="str" cm="1">
        <f t="array" ca="1" aca="1" ref="AL36">CalculateMaxAndElementsWithFallback(SanitizeInput($AK36),0,"",Countermeasures!$A:Y,Assumptions!$A:Z)</f>
        <v>0:</v>
      </c>
      <c r="AM36" s="21" t="str" cm="1">
        <f t="array" ca="1" aca="1" ref="AM36">CalculateMaxAndElementsWithFallback(SanitizeInput($AK36),0,"",Countermeasures!$A:Z,Assumptions!$A:AA)</f>
        <v>0:</v>
      </c>
      <c r="AN36" s="21" t="str" cm="1">
        <f t="array" ca="1" aca="1" ref="AN36">CalculateMaxAndElementsWithFallback(SanitizeInput($AK36),0,"",Countermeasures!$A:AA,Assumptions!$A:AB)</f>
        <v>0:</v>
      </c>
      <c r="AO36" s="21" t="str" cm="1">
        <f t="array" ca="1" aca="1" ref="AO36">CalculateMaxAndElementsWithFallback(SanitizeInput($AK36),0,"",Countermeasures!$A:AB,Assumptions!$A:AC)</f>
        <v>0:</v>
      </c>
      <c r="AP36" s="21" t="str" cm="1">
        <f t="array" ca="1" aca="1" ref="AP36">CalculateMaxAndElementsWithFallback(SanitizeInput($AK36),0,"",Countermeasures!$A:AC,Assumptions!$A:AD)</f>
        <v>0:</v>
      </c>
      <c r="AQ36" s="21">
        <f t="shared" ca="1" si="48"/>
        <v>0</v>
      </c>
      <c r="AR36" s="21">
        <f t="shared" ca="1" si="49"/>
        <v>0</v>
      </c>
      <c r="AS36" s="21">
        <f t="shared" ca="1" si="50"/>
        <v>0</v>
      </c>
      <c r="AT36" s="21">
        <f t="shared" ca="1" si="51"/>
        <v>0</v>
      </c>
      <c r="AU36" s="21">
        <f t="shared" ca="1" si="52"/>
        <v>0</v>
      </c>
      <c r="AV36" s="21" t="str">
        <f t="shared" ca="1" si="53"/>
        <v>0:AS2,AS29,AS32,</v>
      </c>
      <c r="AW36" s="21" t="str">
        <f t="shared" ca="1" si="54"/>
        <v>3:AS2,</v>
      </c>
      <c r="AX36" s="21" t="str">
        <f t="shared" ca="1" si="55"/>
        <v>0:AS2,AS29,AS32,</v>
      </c>
      <c r="AY36" s="21" t="str">
        <f t="shared" ca="1" si="56"/>
        <v>1:AS2,</v>
      </c>
      <c r="AZ36" s="21" t="str">
        <f t="shared" ca="1" si="57"/>
        <v>0:AS2,AS29,AS32,</v>
      </c>
      <c r="BA36" s="21">
        <f t="shared" ca="1" si="58"/>
        <v>0</v>
      </c>
      <c r="BB36" s="21">
        <f t="shared" ca="1" si="59"/>
        <v>3</v>
      </c>
      <c r="BC36" s="21">
        <f t="shared" ca="1" si="60"/>
        <v>0</v>
      </c>
      <c r="BD36" s="21">
        <f t="shared" ca="1" si="61"/>
        <v>1</v>
      </c>
      <c r="BE36" s="21">
        <f t="shared" ca="1" si="62"/>
        <v>0</v>
      </c>
      <c r="BF36" s="21">
        <f t="shared" ca="1" si="65"/>
        <v>4</v>
      </c>
      <c r="BG36" s="21" t="str">
        <f ca="1">IFERROR(VLOOKUP($BF36,Definitions!$V:$W,COLUMNS(Definitions!$V:$W),TRUE),"")</f>
        <v>Basic</v>
      </c>
      <c r="BH36" s="21" t="str">
        <f ca="1">_xlfn.LET(_xlpm._comments,GetValues($K36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6" s="21" t="str" cm="1">
        <f t="array" ca="1" aca="1" ref="BI36">_xlfn.LET(_xlpm._rapRange,Definitions!$W:$W,_xlpm._calculatedRAP,$BG36,_xlpm._inlineRAP,$BH36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6" s="21" t="str">
        <f ca="1">IFERROR(IF(OR($V36="",$BI36=""),Definitions!$AE$4,VLOOKUP($V36,Definitions!$AH:$AM,MATCH($BI36,Definitions!$AH$3:$AM$3,0),FALSE)),"")</f>
        <v>Very High</v>
      </c>
      <c r="BK36" s="21" cm="1">
        <f t="array" ca="1" aca="1" ref="BK36">IF($BJ36="",0,SimpleLookup($BJ36,Definitions!$AE:$AF))</f>
        <v>4</v>
      </c>
      <c r="BL36" s="21" t="str" cm="1">
        <f t="array" ca="1" aca="1" ref="BL36">IFERROR(SimpleLookup($A36,Tracing!$B:$Z),"")</f>
        <v/>
      </c>
      <c r="BM36" s="21" t="str" cm="1">
        <f t="array" ca="1" aca="1" ref="BM36">_xlfn.LET(_xlpm._dm,SanitizeInput(GetValuesWithFallback(SanitizeInput($BL36),Assumptions!$A:$I,Countermeasures!$A:$I,"",",",FALSE)),IF(_xlpm._dm="","",","&amp;_xlpm._dm))</f>
        <v/>
      </c>
      <c r="BN36" s="21" t="str" cm="1">
        <f t="array" ca="1" aca="1" ref="BN36">ApplyDamageMitigation($M36,$BM36,"")</f>
        <v>DS3,DS12,</v>
      </c>
      <c r="BO36" s="21" cm="1">
        <f t="array" ca="1" aca="1" ref="BO36">CalculateMaxFromList($BN36,0,'Damage Scenarios'!$A:$U)</f>
        <v>4</v>
      </c>
      <c r="BP36" s="21" t="str">
        <f ca="1">IF($BO36=0,"",INDEX(Definitions!$Q:$Q,MATCH($BO36,Definitions!$R:$R,0)))</f>
        <v>High</v>
      </c>
      <c r="BQ36" s="21" t="str" cm="1">
        <f t="array" ca="1" aca="1" ref="BQ36">CalculateMaxAndElementsWithFallback(SanitizeInput($BL36),0,"",Countermeasures!$A:Y,Assumptions!$A:Z)</f>
        <v>0:</v>
      </c>
      <c r="BR36" s="21" t="str" cm="1">
        <f t="array" ca="1" aca="1" ref="BR36">CalculateMaxAndElementsWithFallback(SanitizeInput($BL36),0,"",Countermeasures!$A:Z,Assumptions!$A:AA)</f>
        <v>0:</v>
      </c>
      <c r="BS36" s="21" t="str" cm="1">
        <f t="array" ca="1" aca="1" ref="BS36">CalculateMaxAndElementsWithFallback(SanitizeInput($BL36),0,"",Countermeasures!$A:AA,Assumptions!$A:AB)</f>
        <v>0:</v>
      </c>
      <c r="BT36" s="21" t="str" cm="1">
        <f t="array" ca="1" aca="1" ref="BT36">CalculateMaxAndElementsWithFallback(SanitizeInput($BL36),0,"",Countermeasures!$A:AB,Assumptions!$A:AC)</f>
        <v>0:</v>
      </c>
      <c r="BU36" s="21" t="str" cm="1">
        <f t="array" ca="1" aca="1" ref="BU36">CalculateMaxAndElementsWithFallback(SanitizeInput($BL36),0,"",Countermeasures!$A:AC,Assumptions!$A:AD)</f>
        <v>0:</v>
      </c>
      <c r="BV36" s="21">
        <f t="shared" ca="1" si="25"/>
        <v>0</v>
      </c>
      <c r="BW36" s="21">
        <f t="shared" ca="1" si="26"/>
        <v>0</v>
      </c>
      <c r="BX36" s="21">
        <f t="shared" ca="1" si="27"/>
        <v>0</v>
      </c>
      <c r="BY36" s="21">
        <f t="shared" ca="1" si="28"/>
        <v>0</v>
      </c>
      <c r="BZ36" s="21">
        <f t="shared" ca="1" si="29"/>
        <v>0</v>
      </c>
      <c r="CA36" s="21" t="str">
        <f t="shared" ca="1" si="30"/>
        <v>0:AS2,AS29,AS32,</v>
      </c>
      <c r="CB36" s="21" t="str">
        <f t="shared" ca="1" si="31"/>
        <v>3:AS2,</v>
      </c>
      <c r="CC36" s="21" t="str">
        <f t="shared" ca="1" si="32"/>
        <v>0:AS2,AS29,AS32,</v>
      </c>
      <c r="CD36" s="21" t="str">
        <f t="shared" ca="1" si="33"/>
        <v>1:AS2,</v>
      </c>
      <c r="CE36" s="21" t="str">
        <f t="shared" ca="1" si="34"/>
        <v>0:AS2,AS29,AS32,</v>
      </c>
      <c r="CF36" s="21">
        <f t="shared" ca="1" si="35"/>
        <v>0</v>
      </c>
      <c r="CG36" s="21">
        <f t="shared" ca="1" si="36"/>
        <v>3</v>
      </c>
      <c r="CH36" s="21">
        <f t="shared" ca="1" si="37"/>
        <v>0</v>
      </c>
      <c r="CI36" s="21">
        <f t="shared" ca="1" si="38"/>
        <v>1</v>
      </c>
      <c r="CJ36" s="21">
        <f t="shared" ca="1" si="39"/>
        <v>0</v>
      </c>
      <c r="CK36" s="21">
        <f t="shared" ca="1" si="66"/>
        <v>4</v>
      </c>
      <c r="CL36" s="21" t="str">
        <f ca="1">IFERROR(VLOOKUP($CK36,Definitions!$V:$W,COLUMNS(Definitions!$V:$W),TRUE),"")</f>
        <v>Basic</v>
      </c>
      <c r="CM36" s="21" t="str">
        <f ca="1">_xlfn.LET(_xlpm._comments,SimpleLookup($A36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6" s="21" t="str" cm="1">
        <f t="array" ca="1" aca="1" ref="CN36">_xlfn.LET(_xlpm._rapRange,Definitions!$W:$W,_xlpm._calculatedRAP,$CL36,_xlpm._inlineRAP,$CM36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6" s="21" t="str">
        <f ca="1">IFERROR(IF(OR($BP36="",$CN36=""),Definitions!$AE$4,VLOOKUP($BP36,Definitions!$AH:$AM,MATCH($CN36,Definitions!$AH$3:$AM$3,0),FALSE)),"")</f>
        <v>Very High</v>
      </c>
      <c r="CP36" s="21" cm="1">
        <f t="array" ca="1" aca="1" ref="CP36">IF($CO36="",0,SimpleLookup($CO36,Definitions!$AE:$AF))</f>
        <v>4</v>
      </c>
      <c r="CQ36" s="21" t="b">
        <f ca="1">OR(AND($S36,$I36=Helper!$B$7),$I36&gt;Helper!$B$7)</f>
        <v>0</v>
      </c>
      <c r="CR36" s="21" t="str">
        <f t="shared" ca="1" si="67"/>
        <v/>
      </c>
      <c r="CS36" s="21" cm="1">
        <f t="array" ca="1" aca="1" ref="CS36">CreateID($CS$2,$CV:$CV,$CR36&lt;&gt;"")</f>
        <v>0</v>
      </c>
      <c r="CT36" s="21" t="str">
        <f ca="1">IF(IFERROR(MATCH(","&amp;A36&amp;",",'Risk Treatment'!$AT:$AT,0)&gt;0,FALSE),"",$A36)</f>
        <v>R2-29-32</v>
      </c>
      <c r="CU36" s="21" cm="1">
        <f t="array" ca="1" aca="1" ref="CU36">CreateID($CU$2,$CU:$CU,$CT36&lt;&gt;"")</f>
        <v>34</v>
      </c>
    </row>
    <row r="37" spans="1:99" ht="90.75">
      <c r="A37" s="33" t="str" cm="1">
        <f t="array" ca="1" aca="1" ref="A37">IF($B37="","","R"&amp;RemoveDelimiter(SUBSTITUTE(SUBSTITUTE($K37,"AS",""),",","-"),"-"))</f>
        <v>R37</v>
      </c>
      <c r="B37" s="33" t="str" cm="1">
        <f t="array" ca="1" aca="1" ref="B37">IF($L37="","",_xlfn.LET(_xlpm._finalAttackStep,$L37,_xlpm._prepAttacks,RemoveFirstElement(_xlpm._finalAttackStep&amp;","&amp;$K37),_xlpm._prepAttackNames,IFERROR(LookupNames(_xlpm._prepAttacks,'Attack Steps'!$A:$B),""),_xlpm._delimiter,REPT(CHAR(150),55),$L37&amp;" "&amp;SimpleLookup($L37,'Attack Steps'!$A:$B)&amp;IF(_xlpm._prepAttackNames="","",CHAR(10)&amp;_xlpm._delimiter&amp;CHAR(10)&amp;_xlpm._prepAttackNames)))</f>
        <v>AS37 The product is manipulated during production and consequently behaves maliciously</v>
      </c>
      <c r="C37" s="34" t="str" cm="1">
        <f t="array" ca="1" aca="1" ref="C37">IFERROR(LookupNames($M37,'Damage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37" s="33" t="str">
        <f ca="1">IFERROR(IF($T37=0,"",INDEX(Definitions!$Q:$Q,MATCH($T37,Definitions!$R:$R,0))),"")</f>
        <v>Critical</v>
      </c>
      <c r="E37" s="34" t="str" cm="1">
        <f t="array" ca="1" aca="1" ref="E37">IF($A37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37,$A:W,Definitions!$Y:$Y,Definitions!$AB:$AB,1)&amp;CHAR(10)&amp;_xlpm._factorFunction($A37,$A:X,Definitions!$Y:$Y,Definitions!$AB:$AB,2)&amp;CHAR(10)&amp;_xlpm._factorFunction($A37,$A:Y,Definitions!$Y:$Y,Definitions!$AB:$AB,3)&amp;CHAR(10)&amp;_xlpm._factorFunction($A37,$A:Z,Definitions!$Y:$Y,Definitions!$AB:$AB,4)&amp;CHAR(10)&amp;_xlpm._factorFunction($A37,$A:AA,Definitions!$Y:$Y,Definitions!$AB:$AB,5)))</f>
        <v>Elapsed Time [0]: AS37
Expertise [0]: AS37
Knowledge of TOE [0]: AS37
Window of Opportunity [0]: AS37
Equipment [0]: AS37</v>
      </c>
      <c r="F37" s="33" t="str">
        <f ca="1">IF($A37="","",IFERROR(VLOOKUP($AG37,Definitions!$V:$W,COLUMNS(Definitions!$V:$W),TRUE),""))</f>
        <v>Basic</v>
      </c>
      <c r="G37" s="33" t="str">
        <f ca="1">IFERROR(IF(OR($D37="",$F37=""),"",VLOOKUP($D37,Definitions!$AH:$AM,MATCH($F37,Definitions!$AH$3:$AM$3,0),FALSE)),"")</f>
        <v>Very High</v>
      </c>
      <c r="H37" s="23" cm="1">
        <f t="array" ca="1" aca="1" ref="H37">IF(ROW()=ROW($H$2)+1,0,INDEX($H:$H,ROW()-1))+IF($A37="",0,1)</f>
        <v>35</v>
      </c>
      <c r="I37" s="21" cm="1">
        <f t="array" ca="1" aca="1" ref="I37">IF(ROW()=ROW($I$2)+1,1,INDEX($I:$I,ROW()-1)+IF(INDEX($S:$S,ROW()-1),1,0))</f>
        <v>13</v>
      </c>
      <c r="J37" s="21">
        <f t="shared" ca="1" si="63"/>
        <v>1</v>
      </c>
      <c r="K37" s="21" t="str">
        <f ca="1" t="shared" si="68" ref="K37:K68">IF($Q37="","",_xlfn.LET(_xlpm._aps,$Q37,_xlpm._firstPos,FIND("$",SUBSTITUTE(_xlpm._aps,"§","$",$J37))+1,_xlpm._lastPos,FIND("$",SUBSTITUTE(_xlpm._aps,"§","$",$J37+1)),MID(_xlpm._aps,_xlpm._firstPos,_xlpm._lastPos-_xlpm._firstPos)))</f>
        <v>AS37,</v>
      </c>
      <c r="L37" s="21" t="str" cm="1">
        <f t="array" ca="1" aca="1" ref="L37">IF($P37="","",INDEX('Attack Steps'!$A:$A,$P37))</f>
        <v>AS37</v>
      </c>
      <c r="M37" s="21" t="str" cm="1">
        <f t="array" ca="1" aca="1" ref="M37">IF($P37="","",INDEX('Attack Steps'!$T:$T,$P37))</f>
        <v>DS10,DS11,DS12,DS13,DS14,DS15,</v>
      </c>
      <c r="N37" s="21" t="str" cm="1">
        <f t="array" ca="1" aca="1" ref="N37">_xlfn.LET(_xlpm._dm,SanitizeInput(GetValuesWithFallback(SanitizeInput($AK37),Assumptions!$A:$I,Countermeasures!$A:$I,"",",",FALSE)),IF(_xlpm._dm="","",","&amp;_xlpm._dm))</f>
        <v/>
      </c>
      <c r="O37" s="21" t="str" cm="1">
        <f t="array" ca="1" aca="1" ref="O37">ApplyDamageMitigation($M37,$N37,"")</f>
        <v>DS10,DS11,DS12,DS13,DS14,DS15,</v>
      </c>
      <c r="P37" s="21">
        <f ca="1">IFERROR(MATCH($I37,'Attack Steps'!$V:$V,0),"")</f>
        <v>39</v>
      </c>
      <c r="Q37" s="21" t="str" cm="1">
        <f t="array" ca="1" aca="1" ref="Q37">IF($P37="","","§"&amp;INDEX('Attack Steps'!$S:$S,$P37))</f>
        <v>§AS37,§</v>
      </c>
      <c r="R37" s="21" cm="1">
        <f t="array" ca="1" aca="1" ref="R37">IF($P37="","",INDEX('Attack Steps'!$W:$W,$P37))</f>
        <v>1</v>
      </c>
      <c r="S37" s="21" t="b">
        <f ca="1" t="shared" si="69" ref="S37:S68">$J37=$R37</f>
        <v>1</v>
      </c>
      <c r="T37" s="21" cm="1">
        <f t="array" ca="1" aca="1" ref="T37">_xlfn.LAMBDA(_xlpm._in,_xlpm._val,_xlpm._range,IF(_xlpm._in="",_xlpm._val,_xlfn.LET(_xlpm._id,LEFT(_xlpm._in,FIND(",",_xlpm._in)-1),CalculateMaxFromList(RemoveFirstElement(_xlpm._in),MAX(_xlpm._val,VLOOKUP(_xlpm._id,_xlpm._range,COLUMNS(_xlpm._range),FALSE)),_xlpm._range))))($M37,0,'Damage Scenarios'!$A:$U)</f>
        <v>5</v>
      </c>
      <c r="U37" s="21" cm="1">
        <f t="array" ca="1" aca="1" ref="U37">CalculateMaxFromList($O37,0,'Damage Scenarios'!$A:$U)</f>
        <v>5</v>
      </c>
      <c r="V37" s="21" t="str">
        <f ca="1">IF($U37=0,"",INDEX(Definitions!$Q:$Q,MATCH($U37,Definitions!$R:$R,0)))</f>
        <v>Critical</v>
      </c>
      <c r="W37" s="21" t="str" cm="1">
        <f t="array" ca="1" aca="1" ref="W37">CalculateMaxAndElements($K37,0,"",'Attack Steps'!$A:X)</f>
        <v>0:AS37,</v>
      </c>
      <c r="X37" s="21" t="str" cm="1">
        <f t="array" ca="1" aca="1" ref="X37">CalculateMaxAndElements($K37,0,"",'Attack Steps'!$A:Y)</f>
        <v>0:AS37,</v>
      </c>
      <c r="Y37" s="21" t="str" cm="1">
        <f t="array" ca="1" aca="1" ref="Y37">CalculateMaxAndElements($K37,0,"",'Attack Steps'!$A:Z)</f>
        <v>0:AS37,</v>
      </c>
      <c r="Z37" s="21" t="str" cm="1">
        <f t="array" ca="1" aca="1" ref="Z37">CalculateMaxAndElements($K37,0,"",'Attack Steps'!$A:AA)</f>
        <v>0:AS37,</v>
      </c>
      <c r="AA37" s="21" t="str" cm="1">
        <f t="array" ca="1" aca="1" ref="AA37">CalculateMaxAndElements($K37,0,"",'Attack Steps'!$A:AB)</f>
        <v>0:AS37,</v>
      </c>
      <c r="AB37" s="21">
        <f ca="1" t="shared" si="70" ref="AB37:AB68">IF(W37="","",VALUE(LEFT(W37,FIND(":",W37)-1)))</f>
        <v>0</v>
      </c>
      <c r="AC37" s="21">
        <f ca="1" t="shared" si="71" ref="AC37:AC68">IF(X37="","",VALUE(LEFT(X37,FIND(":",X37)-1)))</f>
        <v>0</v>
      </c>
      <c r="AD37" s="21">
        <f ca="1" t="shared" si="72" ref="AD37:AD68">IF(Y37="","",VALUE(LEFT(Y37,FIND(":",Y37)-1)))</f>
        <v>0</v>
      </c>
      <c r="AE37" s="21">
        <f ca="1" t="shared" si="73" ref="AE37:AE68">IF(Z37="","",VALUE(LEFT(Z37,FIND(":",Z37)-1)))</f>
        <v>0</v>
      </c>
      <c r="AF37" s="21">
        <f ca="1" t="shared" si="74" ref="AF37:AF68">IF(AA37="","",VALUE(LEFT(AA37,FIND(":",AA37)-1)))</f>
        <v>0</v>
      </c>
      <c r="AG37" s="21">
        <f t="shared" ca="1" si="64"/>
        <v>0</v>
      </c>
      <c r="AH37" s="21" t="str" cm="1">
        <f t="array" ca="1" aca="1" ref="AH37">IF(ROW()=ROW($AH$2)+1,"",INDEX($AH:$AH,ROW()-1))&amp;IF($A37="","",$A37&amp;",")</f>
        <v>R1-3,R2-3,R1-4,R2-4,R1-6,R2-6,R1-7,R2-7,R1-3-10,R2-3-10,R1-3-11,R2-3-11,R1-14,R1-16,R2-16,R21-23,R22-23,R1-29,R2-29,R31,R1-3-32,R2-3-32,R1-5-32,R2-5-32,R1-7-32,R2-7-32,R1-16-32,R2-16-32,R21-23-32,R22-23-32,R21-24-32,R22-24-32,R1-29-32,R2-29-32,R37,</v>
      </c>
      <c r="AI37" s="21" t="str">
        <f ca="1" t="shared" si="75" ref="AI37:AI68">IF($K37="","",","&amp;$K37)</f>
        <v>,AS37,</v>
      </c>
      <c r="AJ37" s="21" cm="1">
        <f t="array" ca="1" aca="1" ref="AJ37">IF($G37="",0,SimpleLookup($G37,Definitions!$AE:$AF))</f>
        <v>4</v>
      </c>
      <c r="AK37" s="21" t="str" cm="1">
        <f t="array" ca="1" aca="1" ref="AK37">InverseLookup($A37,Mitigation!$U$2,Mitigation!$J$2,1,Helper!$B$5,",")</f>
        <v/>
      </c>
      <c r="AL37" s="21" t="str" cm="1">
        <f t="array" ca="1" aca="1" ref="AL37">CalculateMaxAndElementsWithFallback(SanitizeInput($AK37),0,"",Countermeasures!$A:Y,Assumptions!$A:Z)</f>
        <v>0:</v>
      </c>
      <c r="AM37" s="21" t="str" cm="1">
        <f t="array" ca="1" aca="1" ref="AM37">CalculateMaxAndElementsWithFallback(SanitizeInput($AK37),0,"",Countermeasures!$A:Z,Assumptions!$A:AA)</f>
        <v>0:</v>
      </c>
      <c r="AN37" s="21" t="str" cm="1">
        <f t="array" ca="1" aca="1" ref="AN37">CalculateMaxAndElementsWithFallback(SanitizeInput($AK37),0,"",Countermeasures!$A:AA,Assumptions!$A:AB)</f>
        <v>0:</v>
      </c>
      <c r="AO37" s="21" t="str" cm="1">
        <f t="array" ca="1" aca="1" ref="AO37">CalculateMaxAndElementsWithFallback(SanitizeInput($AK37),0,"",Countermeasures!$A:AB,Assumptions!$A:AC)</f>
        <v>0:</v>
      </c>
      <c r="AP37" s="21" t="str" cm="1">
        <f t="array" ca="1" aca="1" ref="AP37">CalculateMaxAndElementsWithFallback(SanitizeInput($AK37),0,"",Countermeasures!$A:AC,Assumptions!$A:AD)</f>
        <v>0:</v>
      </c>
      <c r="AQ37" s="21">
        <f ca="1" t="shared" si="76" ref="AQ37:AQ68">IF(AL37="","",VALUE(LEFT(AL37,FIND(":",AL37)-1)))</f>
        <v>0</v>
      </c>
      <c r="AR37" s="21">
        <f ca="1" t="shared" si="77" ref="AR37:AR68">IF(AM37="","",VALUE(LEFT(AM37,FIND(":",AM37)-1)))</f>
        <v>0</v>
      </c>
      <c r="AS37" s="21">
        <f ca="1" t="shared" si="78" ref="AS37:AS68">IF(AN37="","",VALUE(LEFT(AN37,FIND(":",AN37)-1)))</f>
        <v>0</v>
      </c>
      <c r="AT37" s="21">
        <f ca="1" t="shared" si="79" ref="AT37:AT68">IF(AO37="","",VALUE(LEFT(AO37,FIND(":",AO37)-1)))</f>
        <v>0</v>
      </c>
      <c r="AU37" s="21">
        <f ca="1" t="shared" si="80" ref="AU37:AU68">IF(AP37="","",VALUE(LEFT(AP37,FIND(":",AP37)-1)))</f>
        <v>0</v>
      </c>
      <c r="AV37" s="21" t="str">
        <f ca="1" t="shared" si="81" ref="AV37:AV68">IF(AB37=AQ37,W37&amp;RIGHT(AL37,LEN(AL37)-FIND(":",AL37)),IF(AB37&gt;AQ37,W37,AL37))</f>
        <v>0:AS37,</v>
      </c>
      <c r="AW37" s="21" t="str">
        <f ca="1" t="shared" si="82" ref="AW37:AW68">IF(AC37=AR37,X37&amp;RIGHT(AM37,LEN(AM37)-FIND(":",AM37)),IF(AC37&gt;AR37,X37,AM37))</f>
        <v>0:AS37,</v>
      </c>
      <c r="AX37" s="21" t="str">
        <f ca="1" t="shared" si="83" ref="AX37:AX68">IF(AD37=AS37,Y37&amp;RIGHT(AN37,LEN(AN37)-FIND(":",AN37)),IF(AD37&gt;AS37,Y37,AN37))</f>
        <v>0:AS37,</v>
      </c>
      <c r="AY37" s="21" t="str">
        <f ca="1" t="shared" si="84" ref="AY37:AY68">IF(AE37=AT37,Z37&amp;RIGHT(AO37,LEN(AO37)-FIND(":",AO37)),IF(AE37&gt;AT37,Z37,AO37))</f>
        <v>0:AS37,</v>
      </c>
      <c r="AZ37" s="21" t="str">
        <f ca="1" t="shared" si="85" ref="AZ37:AZ68">IF(AF37=AU37,AA37&amp;RIGHT(AP37,LEN(AP37)-FIND(":",AP37)),IF(AF37&gt;AU37,AA37,AP37))</f>
        <v>0:AS37,</v>
      </c>
      <c r="BA37" s="21">
        <f ca="1" t="shared" si="86" ref="BA37:BA68">MAX(AB37,AQ37)</f>
        <v>0</v>
      </c>
      <c r="BB37" s="21">
        <f ca="1" t="shared" si="87" ref="BB37:BB68">MAX(AC37,AR37)</f>
        <v>0</v>
      </c>
      <c r="BC37" s="21">
        <f ca="1" t="shared" si="88" ref="BC37:BC68">MAX(AD37,AS37)</f>
        <v>0</v>
      </c>
      <c r="BD37" s="21">
        <f ca="1" t="shared" si="89" ref="BD37:BD68">MAX(AE37,AT37)</f>
        <v>0</v>
      </c>
      <c r="BE37" s="21">
        <f ca="1" t="shared" si="90" ref="BE37:BE68">MAX(AF37,AU37)</f>
        <v>0</v>
      </c>
      <c r="BF37" s="21">
        <f t="shared" ca="1" si="65"/>
        <v>0</v>
      </c>
      <c r="BG37" s="21" t="str">
        <f ca="1">IFERROR(VLOOKUP($BF37,Definitions!$V:$W,COLUMNS(Definitions!$V:$W),TRUE),"")</f>
        <v>Basic</v>
      </c>
      <c r="BH37" s="21" t="str">
        <f ca="1">_xlfn.LET(_xlpm._comments,GetValues($K37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7" s="21" t="str" cm="1">
        <f t="array" ca="1" aca="1" ref="BI37">_xlfn.LET(_xlpm._rapRange,Definitions!$W:$W,_xlpm._calculatedRAP,$BG37,_xlpm._inlineRAP,$BH37,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7" s="21" t="str">
        <f ca="1">IFERROR(IF(OR($V37="",$BI37=""),Definitions!$AE$4,VLOOKUP($V37,Definitions!$AH:$AM,MATCH($BI37,Definitions!$AH$3:$AM$3,0),FALSE)),"")</f>
        <v>Very High</v>
      </c>
      <c r="BK37" s="21" cm="1">
        <f t="array" ca="1" aca="1" ref="BK37">IF($BJ37="",0,SimpleLookup($BJ37,Definitions!$AE:$AF))</f>
        <v>4</v>
      </c>
      <c r="BL37" s="21" t="str" cm="1">
        <f t="array" ca="1" aca="1" ref="BL37">IFERROR(SimpleLookup($A37,Tracing!$B:$Z),"")</f>
        <v/>
      </c>
      <c r="BM37" s="21" t="str" cm="1">
        <f t="array" ca="1" aca="1" ref="BM37">_xlfn.LET(_xlpm._dm,SanitizeInput(GetValuesWithFallback(SanitizeInput($BL37),Assumptions!$A:$I,Countermeasures!$A:$I,"",",",FALSE)),IF(_xlpm._dm="","",","&amp;_xlpm._dm))</f>
        <v/>
      </c>
      <c r="BN37" s="21" t="str" cm="1">
        <f t="array" ca="1" aca="1" ref="BN37">ApplyDamageMitigation($M37,$BM37,"")</f>
        <v>DS10,DS11,DS12,DS13,DS14,DS15,</v>
      </c>
      <c r="BO37" s="21" cm="1">
        <f t="array" ca="1" aca="1" ref="BO37">CalculateMaxFromList($BN37,0,'Damage Scenarios'!$A:$U)</f>
        <v>5</v>
      </c>
      <c r="BP37" s="21" t="str">
        <f ca="1">IF($BO37=0,"",INDEX(Definitions!$Q:$Q,MATCH($BO37,Definitions!$R:$R,0)))</f>
        <v>Critical</v>
      </c>
      <c r="BQ37" s="21" t="str" cm="1">
        <f t="array" ca="1" aca="1" ref="BQ37">CalculateMaxAndElementsWithFallback(SanitizeInput($BL37),0,"",Countermeasures!$A:Y,Assumptions!$A:Z)</f>
        <v>0:</v>
      </c>
      <c r="BR37" s="21" t="str" cm="1">
        <f t="array" ca="1" aca="1" ref="BR37">CalculateMaxAndElementsWithFallback(SanitizeInput($BL37),0,"",Countermeasures!$A:Z,Assumptions!$A:AA)</f>
        <v>0:</v>
      </c>
      <c r="BS37" s="21" t="str" cm="1">
        <f t="array" ca="1" aca="1" ref="BS37">CalculateMaxAndElementsWithFallback(SanitizeInput($BL37),0,"",Countermeasures!$A:AA,Assumptions!$A:AB)</f>
        <v>0:</v>
      </c>
      <c r="BT37" s="21" t="str" cm="1">
        <f t="array" ca="1" aca="1" ref="BT37">CalculateMaxAndElementsWithFallback(SanitizeInput($BL37),0,"",Countermeasures!$A:AB,Assumptions!$A:AC)</f>
        <v>0:</v>
      </c>
      <c r="BU37" s="21" t="str" cm="1">
        <f t="array" ca="1" aca="1" ref="BU37">CalculateMaxAndElementsWithFallback(SanitizeInput($BL37),0,"",Countermeasures!$A:AC,Assumptions!$A:AD)</f>
        <v>0:</v>
      </c>
      <c r="BV37" s="21">
        <f t="shared" ca="1" si="25"/>
        <v>0</v>
      </c>
      <c r="BW37" s="21">
        <f t="shared" ca="1" si="26"/>
        <v>0</v>
      </c>
      <c r="BX37" s="21">
        <f t="shared" ca="1" si="27"/>
        <v>0</v>
      </c>
      <c r="BY37" s="21">
        <f t="shared" ca="1" si="28"/>
        <v>0</v>
      </c>
      <c r="BZ37" s="21">
        <f t="shared" ca="1" si="29"/>
        <v>0</v>
      </c>
      <c r="CA37" s="21" t="str">
        <f t="shared" ca="1" si="30"/>
        <v>0:AS37,</v>
      </c>
      <c r="CB37" s="21" t="str">
        <f t="shared" ca="1" si="31"/>
        <v>0:AS37,</v>
      </c>
      <c r="CC37" s="21" t="str">
        <f t="shared" ca="1" si="32"/>
        <v>0:AS37,</v>
      </c>
      <c r="CD37" s="21" t="str">
        <f t="shared" ca="1" si="33"/>
        <v>0:AS37,</v>
      </c>
      <c r="CE37" s="21" t="str">
        <f t="shared" ca="1" si="34"/>
        <v>0:AS37,</v>
      </c>
      <c r="CF37" s="21">
        <f t="shared" ca="1" si="35"/>
        <v>0</v>
      </c>
      <c r="CG37" s="21">
        <f t="shared" ca="1" si="36"/>
        <v>0</v>
      </c>
      <c r="CH37" s="21">
        <f t="shared" ca="1" si="37"/>
        <v>0</v>
      </c>
      <c r="CI37" s="21">
        <f t="shared" ca="1" si="38"/>
        <v>0</v>
      </c>
      <c r="CJ37" s="21">
        <f t="shared" ca="1" si="39"/>
        <v>0</v>
      </c>
      <c r="CK37" s="21">
        <f t="shared" ca="1" si="66"/>
        <v>0</v>
      </c>
      <c r="CL37" s="21" t="str">
        <f ca="1">IFERROR(VLOOKUP($CK37,Definitions!$V:$W,COLUMNS(Definitions!$V:$W),TRUE),"")</f>
        <v>Basic</v>
      </c>
      <c r="CM37" s="21" t="str">
        <f ca="1">_xlfn.LET(_xlpm._comments,SimpleLookup($A37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7" s="21" t="str" cm="1">
        <f t="array" ca="1" aca="1" ref="CN37">_xlfn.LET(_xlpm._rapRange,Definitions!$W:$W,_xlpm._calculatedRAP,$CL37,_xlpm._inlineRAP,$CM37,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7" s="21" t="str">
        <f ca="1">IFERROR(IF(OR($BP37="",$CN37=""),Definitions!$AE$4,VLOOKUP($BP37,Definitions!$AH:$AM,MATCH($CN37,Definitions!$AH$3:$AM$3,0),FALSE)),"")</f>
        <v>Very High</v>
      </c>
      <c r="CP37" s="21" cm="1">
        <f t="array" ca="1" aca="1" ref="CP37">IF($CO37="",0,SimpleLookup($CO37,Definitions!$AE:$AF))</f>
        <v>4</v>
      </c>
      <c r="CQ37" s="21" t="b">
        <f ca="1">OR(AND($S37,$I37=Helper!$B$7),$I37&gt;Helper!$B$7)</f>
        <v>0</v>
      </c>
      <c r="CR37" s="21" t="str">
        <f t="shared" ca="1" si="67"/>
        <v/>
      </c>
      <c r="CS37" s="21" cm="1">
        <f t="array" ca="1" aca="1" ref="CS37">CreateID($CS$2,$CV:$CV,$CR37&lt;&gt;"")</f>
        <v>0</v>
      </c>
      <c r="CT37" s="21" t="str">
        <f ca="1">IF(IFERROR(MATCH(","&amp;A37&amp;",",'Risk Treatment'!$AT:$AT,0)&gt;0,FALSE),"",$A37)</f>
        <v>R37</v>
      </c>
      <c r="CU37" s="21" cm="1">
        <f t="array" ca="1" aca="1" ref="CU37">CreateID($CU$2,$CU:$CU,$CT37&lt;&gt;"")</f>
        <v>35</v>
      </c>
    </row>
    <row r="38" spans="1:99" ht="90.75">
      <c r="A38" s="33" t="str" cm="1">
        <f t="array" ca="1" aca="1" ref="A38">IF($B38="","","R"&amp;RemoveDelimiter(SUBSTITUTE(SUBSTITUTE($K38,"AS",""),",","-"),"-"))</f>
        <v>R38</v>
      </c>
      <c r="B38" s="33" t="str" cm="1">
        <f t="array" ca="1" aca="1" ref="B38">IF($L38="","",_xlfn.LET(_xlpm._finalAttackStep,$L38,_xlpm._prepAttacks,RemoveFirstElement(_xlpm._finalAttackStep&amp;","&amp;$K38),_xlpm._prepAttackNames,IFERROR(LookupNames(_xlpm._prepAttacks,'Attack Steps'!$A:$B),""),_xlpm._delimiter,REPT(CHAR(150),55),$L38&amp;" "&amp;SimpleLookup($L38,'Attack Steps'!$A:$B)&amp;IF(_xlpm._prepAttackNames="","",CHAR(10)&amp;_xlpm._delimiter&amp;CHAR(10)&amp;_xlpm._prepAttackNames)))</f>
        <v>AS38 Manipulated parts from the supply chain are integrated into the product, leading to the product behaving maliciously</v>
      </c>
      <c r="C38" s="34" t="str" cm="1">
        <f t="array" ca="1" aca="1" ref="C38">IFERROR(LookupNames($M38,'Damage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38" s="33" t="str">
        <f ca="1">IFERROR(IF($T38=0,"",INDEX(Definitions!$Q:$Q,MATCH($T38,Definitions!$R:$R,0))),"")</f>
        <v>Critical</v>
      </c>
      <c r="E38" s="34" t="str" cm="1">
        <f t="array" ca="1" aca="1" ref="E38">IF($A38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38,$A:W,Definitions!$Y:$Y,Definitions!$AB:$AB,1)&amp;CHAR(10)&amp;_xlpm._factorFunction($A38,$A:X,Definitions!$Y:$Y,Definitions!$AB:$AB,2)&amp;CHAR(10)&amp;_xlpm._factorFunction($A38,$A:Y,Definitions!$Y:$Y,Definitions!$AB:$AB,3)&amp;CHAR(10)&amp;_xlpm._factorFunction($A38,$A:Z,Definitions!$Y:$Y,Definitions!$AB:$AB,4)&amp;CHAR(10)&amp;_xlpm._factorFunction($A38,$A:AA,Definitions!$Y:$Y,Definitions!$AB:$AB,5)))</f>
        <v>Elapsed Time [0]: AS38
Expertise [0]: AS38
Knowledge of TOE [0]: AS38
Window of Opportunity [0]: AS38
Equipment [0]: AS38</v>
      </c>
      <c r="F38" s="33" t="str">
        <f ca="1">IF($A38="","",IFERROR(VLOOKUP($AG38,Definitions!$V:$W,COLUMNS(Definitions!$V:$W),TRUE),""))</f>
        <v>Basic</v>
      </c>
      <c r="G38" s="33" t="str">
        <f ca="1">IFERROR(IF(OR($D38="",$F38=""),"",VLOOKUP($D38,Definitions!$AH:$AM,MATCH($F38,Definitions!$AH$3:$AM$3,0),FALSE)),"")</f>
        <v>Very High</v>
      </c>
      <c r="H38" s="23" cm="1">
        <f t="array" ca="1" aca="1" ref="H38">IF(ROW()=ROW($H$2)+1,0,INDEX($H:$H,ROW()-1))+IF($A38="",0,1)</f>
        <v>36</v>
      </c>
      <c r="I38" s="21" cm="1">
        <f t="array" ca="1" aca="1" ref="I38">IF(ROW()=ROW($I$2)+1,1,INDEX($I:$I,ROW()-1)+IF(INDEX($S:$S,ROW()-1),1,0))</f>
        <v>14</v>
      </c>
      <c r="J38" s="21">
        <f t="shared" ca="1" si="63"/>
        <v>1</v>
      </c>
      <c r="K38" s="21" t="str">
        <f t="shared" ca="1" si="68"/>
        <v>AS38,</v>
      </c>
      <c r="L38" s="21" t="str" cm="1">
        <f t="array" ca="1" aca="1" ref="L38">IF($P38="","",INDEX('Attack Steps'!$A:$A,$P38))</f>
        <v>AS38</v>
      </c>
      <c r="M38" s="21" t="str" cm="1">
        <f t="array" ca="1" aca="1" ref="M38">IF($P38="","",INDEX('Attack Steps'!$T:$T,$P38))</f>
        <v>DS10,DS11,DS12,DS13,DS14,DS15,</v>
      </c>
      <c r="N38" s="21" t="str" cm="1">
        <f t="array" ca="1" aca="1" ref="N38">_xlfn.LET(_xlpm._dm,SanitizeInput(GetValuesWithFallback(SanitizeInput($AK38),Assumptions!$A:$I,Countermeasures!$A:$I,"",",",FALSE)),IF(_xlpm._dm="","",","&amp;_xlpm._dm))</f>
        <v/>
      </c>
      <c r="O38" s="21" t="str" cm="1">
        <f t="array" ca="1" aca="1" ref="O38">ApplyDamageMitigation($M38,$N38,"")</f>
        <v>DS10,DS11,DS12,DS13,DS14,DS15,</v>
      </c>
      <c r="P38" s="21">
        <f ca="1">IFERROR(MATCH($I38,'Attack Steps'!$V:$V,0),"")</f>
        <v>40</v>
      </c>
      <c r="Q38" s="21" t="str" cm="1">
        <f t="array" ca="1" aca="1" ref="Q38">IF($P38="","","§"&amp;INDEX('Attack Steps'!$S:$S,$P38))</f>
        <v>§AS38,§</v>
      </c>
      <c r="R38" s="21" cm="1">
        <f t="array" ca="1" aca="1" ref="R38">IF($P38="","",INDEX('Attack Steps'!$W:$W,$P38))</f>
        <v>1</v>
      </c>
      <c r="S38" s="21" t="b">
        <f t="shared" ca="1" si="69"/>
        <v>1</v>
      </c>
      <c r="T38" s="21" cm="1">
        <f t="array" ca="1" aca="1" ref="T38">_xlfn.LAMBDA(_xlpm._in,_xlpm._val,_xlpm._range,IF(_xlpm._in="",_xlpm._val,_xlfn.LET(_xlpm._id,LEFT(_xlpm._in,FIND(",",_xlpm._in)-1),CalculateMaxFromList(RemoveFirstElement(_xlpm._in),MAX(_xlpm._val,VLOOKUP(_xlpm._id,_xlpm._range,COLUMNS(_xlpm._range),FALSE)),_xlpm._range))))($M38,0,'Damage Scenarios'!$A:$U)</f>
        <v>5</v>
      </c>
      <c r="U38" s="21" cm="1">
        <f t="array" ca="1" aca="1" ref="U38">CalculateMaxFromList($O38,0,'Damage Scenarios'!$A:$U)</f>
        <v>5</v>
      </c>
      <c r="V38" s="21" t="str">
        <f ca="1">IF($U38=0,"",INDEX(Definitions!$Q:$Q,MATCH($U38,Definitions!$R:$R,0)))</f>
        <v>Critical</v>
      </c>
      <c r="W38" s="21" t="str" cm="1">
        <f t="array" ca="1" aca="1" ref="W38">CalculateMaxAndElements($K38,0,"",'Attack Steps'!$A:X)</f>
        <v>0:AS38,</v>
      </c>
      <c r="X38" s="21" t="str" cm="1">
        <f t="array" ca="1" aca="1" ref="X38">CalculateMaxAndElements($K38,0,"",'Attack Steps'!$A:Y)</f>
        <v>0:AS38,</v>
      </c>
      <c r="Y38" s="21" t="str" cm="1">
        <f t="array" ca="1" aca="1" ref="Y38">CalculateMaxAndElements($K38,0,"",'Attack Steps'!$A:Z)</f>
        <v>0:AS38,</v>
      </c>
      <c r="Z38" s="21" t="str" cm="1">
        <f t="array" ca="1" aca="1" ref="Z38">CalculateMaxAndElements($K38,0,"",'Attack Steps'!$A:AA)</f>
        <v>0:AS38,</v>
      </c>
      <c r="AA38" s="21" t="str" cm="1">
        <f t="array" ca="1" aca="1" ref="AA38">CalculateMaxAndElements($K38,0,"",'Attack Steps'!$A:AB)</f>
        <v>0:AS38,</v>
      </c>
      <c r="AB38" s="21">
        <f t="shared" ca="1" si="70"/>
        <v>0</v>
      </c>
      <c r="AC38" s="21">
        <f t="shared" ca="1" si="71"/>
        <v>0</v>
      </c>
      <c r="AD38" s="21">
        <f t="shared" ca="1" si="72"/>
        <v>0</v>
      </c>
      <c r="AE38" s="21">
        <f t="shared" ca="1" si="73"/>
        <v>0</v>
      </c>
      <c r="AF38" s="21">
        <f t="shared" ca="1" si="74"/>
        <v>0</v>
      </c>
      <c r="AG38" s="21">
        <f t="shared" ca="1" si="64"/>
        <v>0</v>
      </c>
      <c r="AH38" s="21" t="str" cm="1">
        <f t="array" ca="1" aca="1" ref="AH38">IF(ROW()=ROW($AH$2)+1,"",INDEX($AH:$AH,ROW()-1))&amp;IF($A38="","",$A38&amp;",")</f>
        <v>R1-3,R2-3,R1-4,R2-4,R1-6,R2-6,R1-7,R2-7,R1-3-10,R2-3-10,R1-3-11,R2-3-11,R1-14,R1-16,R2-16,R21-23,R22-23,R1-29,R2-29,R31,R1-3-32,R2-3-32,R1-5-32,R2-5-32,R1-7-32,R2-7-32,R1-16-32,R2-16-32,R21-23-32,R22-23-32,R21-24-32,R22-24-32,R1-29-32,R2-29-32,R37,R38,</v>
      </c>
      <c r="AI38" s="21" t="str">
        <f t="shared" ca="1" si="75"/>
        <v>,AS38,</v>
      </c>
      <c r="AJ38" s="21" cm="1">
        <f t="array" ca="1" aca="1" ref="AJ38">IF($G38="",0,SimpleLookup($G38,Definitions!$AE:$AF))</f>
        <v>4</v>
      </c>
      <c r="AK38" s="21" t="str" cm="1">
        <f t="array" ca="1" aca="1" ref="AK38">InverseLookup($A38,Mitigation!$U$2,Mitigation!$J$2,1,Helper!$B$5,",")</f>
        <v/>
      </c>
      <c r="AL38" s="21" t="str" cm="1">
        <f t="array" ca="1" aca="1" ref="AL38">CalculateMaxAndElementsWithFallback(SanitizeInput($AK38),0,"",Countermeasures!$A:Y,Assumptions!$A:Z)</f>
        <v>0:</v>
      </c>
      <c r="AM38" s="21" t="str" cm="1">
        <f t="array" ca="1" aca="1" ref="AM38">CalculateMaxAndElementsWithFallback(SanitizeInput($AK38),0,"",Countermeasures!$A:Z,Assumptions!$A:AA)</f>
        <v>0:</v>
      </c>
      <c r="AN38" s="21" t="str" cm="1">
        <f t="array" ca="1" aca="1" ref="AN38">CalculateMaxAndElementsWithFallback(SanitizeInput($AK38),0,"",Countermeasures!$A:AA,Assumptions!$A:AB)</f>
        <v>0:</v>
      </c>
      <c r="AO38" s="21" t="str" cm="1">
        <f t="array" ca="1" aca="1" ref="AO38">CalculateMaxAndElementsWithFallback(SanitizeInput($AK38),0,"",Countermeasures!$A:AB,Assumptions!$A:AC)</f>
        <v>0:</v>
      </c>
      <c r="AP38" s="21" t="str" cm="1">
        <f t="array" ca="1" aca="1" ref="AP38">CalculateMaxAndElementsWithFallback(SanitizeInput($AK38),0,"",Countermeasures!$A:AC,Assumptions!$A:AD)</f>
        <v>0:</v>
      </c>
      <c r="AQ38" s="21">
        <f t="shared" ca="1" si="76"/>
        <v>0</v>
      </c>
      <c r="AR38" s="21">
        <f t="shared" ca="1" si="77"/>
        <v>0</v>
      </c>
      <c r="AS38" s="21">
        <f t="shared" ca="1" si="78"/>
        <v>0</v>
      </c>
      <c r="AT38" s="21">
        <f t="shared" ca="1" si="79"/>
        <v>0</v>
      </c>
      <c r="AU38" s="21">
        <f t="shared" ca="1" si="80"/>
        <v>0</v>
      </c>
      <c r="AV38" s="21" t="str">
        <f t="shared" ca="1" si="81"/>
        <v>0:AS38,</v>
      </c>
      <c r="AW38" s="21" t="str">
        <f t="shared" ca="1" si="82"/>
        <v>0:AS38,</v>
      </c>
      <c r="AX38" s="21" t="str">
        <f t="shared" ca="1" si="83"/>
        <v>0:AS38,</v>
      </c>
      <c r="AY38" s="21" t="str">
        <f t="shared" ca="1" si="84"/>
        <v>0:AS38,</v>
      </c>
      <c r="AZ38" s="21" t="str">
        <f t="shared" ca="1" si="85"/>
        <v>0:AS38,</v>
      </c>
      <c r="BA38" s="21">
        <f t="shared" ca="1" si="86"/>
        <v>0</v>
      </c>
      <c r="BB38" s="21">
        <f t="shared" ca="1" si="87"/>
        <v>0</v>
      </c>
      <c r="BC38" s="21">
        <f t="shared" ca="1" si="88"/>
        <v>0</v>
      </c>
      <c r="BD38" s="21">
        <f t="shared" ca="1" si="89"/>
        <v>0</v>
      </c>
      <c r="BE38" s="21">
        <f t="shared" ca="1" si="90"/>
        <v>0</v>
      </c>
      <c r="BF38" s="21">
        <f t="shared" ca="1" si="65"/>
        <v>0</v>
      </c>
      <c r="BG38" s="21" t="str">
        <f ca="1">IFERROR(VLOOKUP($BF38,Definitions!$V:$W,COLUMNS(Definitions!$V:$W),TRUE),"")</f>
        <v>Basic</v>
      </c>
      <c r="BH38" s="21" t="str">
        <f ca="1">_xlfn.LET(_xlpm._comments,GetValues($K38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8" s="21" t="str" cm="1">
        <f t="array" ca="1" aca="1" ref="BI38">_xlfn.LET(_xlpm._rapRange,Definitions!$W:$W,_xlpm._calculatedRAP,$BG38,_xlpm._inlineRAP,$BH38,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38" s="21" t="str">
        <f ca="1">IFERROR(IF(OR($V38="",$BI38=""),Definitions!$AE$4,VLOOKUP($V38,Definitions!$AH:$AM,MATCH($BI38,Definitions!$AH$3:$AM$3,0),FALSE)),"")</f>
        <v>Very High</v>
      </c>
      <c r="BK38" s="21" cm="1">
        <f t="array" ca="1" aca="1" ref="BK38">IF($BJ38="",0,SimpleLookup($BJ38,Definitions!$AE:$AF))</f>
        <v>4</v>
      </c>
      <c r="BL38" s="21" t="str" cm="1">
        <f t="array" ca="1" aca="1" ref="BL38">IFERROR(SimpleLookup($A38,Tracing!$B:$Z),"")</f>
        <v/>
      </c>
      <c r="BM38" s="21" t="str" cm="1">
        <f t="array" ca="1" aca="1" ref="BM38">_xlfn.LET(_xlpm._dm,SanitizeInput(GetValuesWithFallback(SanitizeInput($BL38),Assumptions!$A:$I,Countermeasures!$A:$I,"",",",FALSE)),IF(_xlpm._dm="","",","&amp;_xlpm._dm))</f>
        <v/>
      </c>
      <c r="BN38" s="21" t="str" cm="1">
        <f t="array" ca="1" aca="1" ref="BN38">ApplyDamageMitigation($M38,$BM38,"")</f>
        <v>DS10,DS11,DS12,DS13,DS14,DS15,</v>
      </c>
      <c r="BO38" s="21" cm="1">
        <f t="array" ca="1" aca="1" ref="BO38">CalculateMaxFromList($BN38,0,'Damage Scenarios'!$A:$U)</f>
        <v>5</v>
      </c>
      <c r="BP38" s="21" t="str">
        <f ca="1">IF($BO38=0,"",INDEX(Definitions!$Q:$Q,MATCH($BO38,Definitions!$R:$R,0)))</f>
        <v>Critical</v>
      </c>
      <c r="BQ38" s="21" t="str" cm="1">
        <f t="array" ca="1" aca="1" ref="BQ38">CalculateMaxAndElementsWithFallback(SanitizeInput($BL38),0,"",Countermeasures!$A:Y,Assumptions!$A:Z)</f>
        <v>0:</v>
      </c>
      <c r="BR38" s="21" t="str" cm="1">
        <f t="array" ca="1" aca="1" ref="BR38">CalculateMaxAndElementsWithFallback(SanitizeInput($BL38),0,"",Countermeasures!$A:Z,Assumptions!$A:AA)</f>
        <v>0:</v>
      </c>
      <c r="BS38" s="21" t="str" cm="1">
        <f t="array" ca="1" aca="1" ref="BS38">CalculateMaxAndElementsWithFallback(SanitizeInput($BL38),0,"",Countermeasures!$A:AA,Assumptions!$A:AB)</f>
        <v>0:</v>
      </c>
      <c r="BT38" s="21" t="str" cm="1">
        <f t="array" ca="1" aca="1" ref="BT38">CalculateMaxAndElementsWithFallback(SanitizeInput($BL38),0,"",Countermeasures!$A:AB,Assumptions!$A:AC)</f>
        <v>0:</v>
      </c>
      <c r="BU38" s="21" t="str" cm="1">
        <f t="array" ca="1" aca="1" ref="BU38">CalculateMaxAndElementsWithFallback(SanitizeInput($BL38),0,"",Countermeasures!$A:AC,Assumptions!$A:AD)</f>
        <v>0:</v>
      </c>
      <c r="BV38" s="21">
        <f t="shared" ca="1" si="25"/>
        <v>0</v>
      </c>
      <c r="BW38" s="21">
        <f t="shared" ca="1" si="26"/>
        <v>0</v>
      </c>
      <c r="BX38" s="21">
        <f t="shared" ca="1" si="27"/>
        <v>0</v>
      </c>
      <c r="BY38" s="21">
        <f t="shared" ca="1" si="28"/>
        <v>0</v>
      </c>
      <c r="BZ38" s="21">
        <f t="shared" ca="1" si="29"/>
        <v>0</v>
      </c>
      <c r="CA38" s="21" t="str">
        <f t="shared" ca="1" si="30"/>
        <v>0:AS38,</v>
      </c>
      <c r="CB38" s="21" t="str">
        <f t="shared" ca="1" si="31"/>
        <v>0:AS38,</v>
      </c>
      <c r="CC38" s="21" t="str">
        <f t="shared" ca="1" si="32"/>
        <v>0:AS38,</v>
      </c>
      <c r="CD38" s="21" t="str">
        <f t="shared" ca="1" si="33"/>
        <v>0:AS38,</v>
      </c>
      <c r="CE38" s="21" t="str">
        <f t="shared" ca="1" si="34"/>
        <v>0:AS38,</v>
      </c>
      <c r="CF38" s="21">
        <f t="shared" ca="1" si="35"/>
        <v>0</v>
      </c>
      <c r="CG38" s="21">
        <f t="shared" ca="1" si="36"/>
        <v>0</v>
      </c>
      <c r="CH38" s="21">
        <f t="shared" ca="1" si="37"/>
        <v>0</v>
      </c>
      <c r="CI38" s="21">
        <f t="shared" ca="1" si="38"/>
        <v>0</v>
      </c>
      <c r="CJ38" s="21">
        <f t="shared" ca="1" si="39"/>
        <v>0</v>
      </c>
      <c r="CK38" s="21">
        <f t="shared" ca="1" si="66"/>
        <v>0</v>
      </c>
      <c r="CL38" s="21" t="str">
        <f ca="1">IFERROR(VLOOKUP($CK38,Definitions!$V:$W,COLUMNS(Definitions!$V:$W),TRUE),"")</f>
        <v>Basic</v>
      </c>
      <c r="CM38" s="21" t="str">
        <f ca="1">_xlfn.LET(_xlpm._comments,SimpleLookup($A38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8" s="21" t="str" cm="1">
        <f t="array" ca="1" aca="1" ref="CN38">_xlfn.LET(_xlpm._rapRange,Definitions!$W:$W,_xlpm._calculatedRAP,$CL38,_xlpm._inlineRAP,$CM38,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38" s="21" t="str">
        <f ca="1">IFERROR(IF(OR($BP38="",$CN38=""),Definitions!$AE$4,VLOOKUP($BP38,Definitions!$AH:$AM,MATCH($CN38,Definitions!$AH$3:$AM$3,0),FALSE)),"")</f>
        <v>Very High</v>
      </c>
      <c r="CP38" s="21" cm="1">
        <f t="array" ca="1" aca="1" ref="CP38">IF($CO38="",0,SimpleLookup($CO38,Definitions!$AE:$AF))</f>
        <v>4</v>
      </c>
      <c r="CQ38" s="21" t="b">
        <f ca="1">OR(AND($S38,$I38=Helper!$B$7),$I38&gt;Helper!$B$7)</f>
        <v>0</v>
      </c>
      <c r="CR38" s="21" t="str">
        <f t="shared" ca="1" si="67"/>
        <v/>
      </c>
      <c r="CS38" s="21" cm="1">
        <f t="array" ca="1" aca="1" ref="CS38">CreateID($CS$2,$CV:$CV,$CR38&lt;&gt;"")</f>
        <v>0</v>
      </c>
      <c r="CT38" s="21" t="str">
        <f ca="1">IF(IFERROR(MATCH(","&amp;A38&amp;",",'Risk Treatment'!$AT:$AT,0)&gt;0,FALSE),"",$A38)</f>
        <v>R38</v>
      </c>
      <c r="CU38" s="21" cm="1">
        <f t="array" ca="1" aca="1" ref="CU38">CreateID($CU$2,$CU:$CU,$CT38&lt;&gt;"")</f>
        <v>36</v>
      </c>
    </row>
    <row r="39" spans="1:99" ht="90.75">
      <c r="A39" s="33" t="str" cm="1">
        <f t="array" ca="1" aca="1" ref="A39">IF($B39="","","R"&amp;RemoveDelimiter(SUBSTITUTE(SUBSTITUTE($K39,"AS",""),",","-"),"-"))</f>
        <v>R1-40</v>
      </c>
      <c r="B39" s="33" t="str" cm="1">
        <f t="array" ca="1" aca="1" ref="B39">IF($L39="","",_xlfn.LET(_xlpm._finalAttackStep,$L39,_xlpm._prepAttacks,RemoveFirstElement(_xlpm._finalAttackStep&amp;","&amp;$K39),_xlpm._prepAttackNames,IFERROR(LookupNames(_xlpm._prepAttacks,'Attack Steps'!$A:$B),""),_xlpm._delimiter,REPT(CHAR(150),55),$L39&amp;" "&amp;SimpleLookup($L39,'Attack Steps'!$A:$B)&amp;IF(_xlpm._prepAttackNames="","",CHAR(10)&amp;_xlpm._delimiter&amp;CHAR(10)&amp;_xlpm._prepAttackNames)))</f>
        <v>AS40 Abusing the lack of a software update functionality to exploit an unpatched vulnerability
–––––––––––––––––––––––––––––––––––––––––––––––––––––––
AS1 Getting access to a trusted operational environment</v>
      </c>
      <c r="C39" s="34" t="str" cm="1">
        <f t="array" ca="1" aca="1" ref="C39">IFERROR(LookupNames($M39,'Damage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39" s="33" t="str">
        <f ca="1">IFERROR(IF($T39=0,"",INDEX(Definitions!$Q:$Q,MATCH($T39,Definitions!$R:$R,0))),"")</f>
        <v>Critical</v>
      </c>
      <c r="E39" s="34" t="str" cm="1">
        <f t="array" ca="1" aca="1" ref="E39">IF($A39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39,$A:W,Definitions!$Y:$Y,Definitions!$AB:$AB,1)&amp;CHAR(10)&amp;_xlpm._factorFunction($A39,$A:X,Definitions!$Y:$Y,Definitions!$AB:$AB,2)&amp;CHAR(10)&amp;_xlpm._factorFunction($A39,$A:Y,Definitions!$Y:$Y,Definitions!$AB:$AB,3)&amp;CHAR(10)&amp;_xlpm._factorFunction($A39,$A:Z,Definitions!$Y:$Y,Definitions!$AB:$AB,4)&amp;CHAR(10)&amp;_xlpm._factorFunction($A39,$A:AA,Definitions!$Y:$Y,Definitions!$AB:$AB,5)))</f>
        <v>Elapsed Time [4]: AS40
Expertise [6]: AS40
Knowledge of TOE [3]: AS40
Window of Opportunity [0]: AS1, AS40
Equipment [0]: AS1, AS40</v>
      </c>
      <c r="F39" s="33" t="str">
        <f ca="1">IF($A39="","",IFERROR(VLOOKUP($AG39,Definitions!$V:$W,COLUMNS(Definitions!$V:$W),TRUE),""))</f>
        <v>Enhanced-Basic</v>
      </c>
      <c r="G39" s="33" t="str">
        <f ca="1">IFERROR(IF(OR($D39="",$F39=""),"",VLOOKUP($D39,Definitions!$AH:$AM,MATCH($F39,Definitions!$AH$3:$AM$3,0),FALSE)),"")</f>
        <v>Very High</v>
      </c>
      <c r="H39" s="23" cm="1">
        <f t="array" ca="1" aca="1" ref="H39">IF(ROW()=ROW($H$2)+1,0,INDEX($H:$H,ROW()-1))+IF($A39="",0,1)</f>
        <v>37</v>
      </c>
      <c r="I39" s="21" cm="1">
        <f t="array" ca="1" aca="1" ref="I39">IF(ROW()=ROW($I$2)+1,1,INDEX($I:$I,ROW()-1)+IF(INDEX($S:$S,ROW()-1),1,0))</f>
        <v>15</v>
      </c>
      <c r="J39" s="21">
        <f t="shared" ca="1" si="63"/>
        <v>1</v>
      </c>
      <c r="K39" s="21" t="str">
        <f t="shared" ca="1" si="68"/>
        <v>AS1,AS40,</v>
      </c>
      <c r="L39" s="21" t="str" cm="1">
        <f t="array" ca="1" aca="1" ref="L39">IF($P39="","",INDEX('Attack Steps'!$A:$A,$P39))</f>
        <v>AS40</v>
      </c>
      <c r="M39" s="21" t="str" cm="1">
        <f t="array" ca="1" aca="1" ref="M39">IF($P39="","",INDEX('Attack Steps'!$T:$T,$P39))</f>
        <v>DS10,DS11,DS12,DS13,DS14,DS15,</v>
      </c>
      <c r="N39" s="21" t="str" cm="1">
        <f t="array" ca="1" aca="1" ref="N39">_xlfn.LET(_xlpm._dm,SanitizeInput(GetValuesWithFallback(SanitizeInput($AK39),Assumptions!$A:$I,Countermeasures!$A:$I,"",",",FALSE)),IF(_xlpm._dm="","",","&amp;_xlpm._dm))</f>
        <v/>
      </c>
      <c r="O39" s="21" t="str" cm="1">
        <f t="array" ca="1" aca="1" ref="O39">ApplyDamageMitigation($M39,$N39,"")</f>
        <v>DS10,DS11,DS12,DS13,DS14,DS15,</v>
      </c>
      <c r="P39" s="21">
        <f ca="1">IFERROR(MATCH($I39,'Attack Steps'!$V:$V,0),"")</f>
        <v>42</v>
      </c>
      <c r="Q39" s="21" t="str" cm="1">
        <f t="array" ca="1" aca="1" ref="Q39">IF($P39="","","§"&amp;INDEX('Attack Steps'!$S:$S,$P39))</f>
        <v>§AS1,AS40,§AS2,AS40,§</v>
      </c>
      <c r="R39" s="21" cm="1">
        <f t="array" ca="1" aca="1" ref="R39">IF($P39="","",INDEX('Attack Steps'!$W:$W,$P39))</f>
        <v>2</v>
      </c>
      <c r="S39" s="21" t="b">
        <f t="shared" ca="1" si="69"/>
        <v>0</v>
      </c>
      <c r="T39" s="21" cm="1">
        <f t="array" ca="1" aca="1" ref="T39">_xlfn.LAMBDA(_xlpm._in,_xlpm._val,_xlpm._range,IF(_xlpm._in="",_xlpm._val,_xlfn.LET(_xlpm._id,LEFT(_xlpm._in,FIND(",",_xlpm._in)-1),CalculateMaxFromList(RemoveFirstElement(_xlpm._in),MAX(_xlpm._val,VLOOKUP(_xlpm._id,_xlpm._range,COLUMNS(_xlpm._range),FALSE)),_xlpm._range))))($M39,0,'Damage Scenarios'!$A:$U)</f>
        <v>5</v>
      </c>
      <c r="U39" s="21" cm="1">
        <f t="array" ca="1" aca="1" ref="U39">CalculateMaxFromList($O39,0,'Damage Scenarios'!$A:$U)</f>
        <v>5</v>
      </c>
      <c r="V39" s="21" t="str">
        <f ca="1">IF($U39=0,"",INDEX(Definitions!$Q:$Q,MATCH($U39,Definitions!$R:$R,0)))</f>
        <v>Critical</v>
      </c>
      <c r="W39" s="21" t="str" cm="1">
        <f t="array" ca="1" aca="1" ref="W39">CalculateMaxAndElements($K39,0,"",'Attack Steps'!$A:X)</f>
        <v>4:AS40,</v>
      </c>
      <c r="X39" s="21" t="str" cm="1">
        <f t="array" ca="1" aca="1" ref="X39">CalculateMaxAndElements($K39,0,"",'Attack Steps'!$A:Y)</f>
        <v>6:AS40,</v>
      </c>
      <c r="Y39" s="21" t="str" cm="1">
        <f t="array" ca="1" aca="1" ref="Y39">CalculateMaxAndElements($K39,0,"",'Attack Steps'!$A:Z)</f>
        <v>3:AS40,</v>
      </c>
      <c r="Z39" s="21" t="str" cm="1">
        <f t="array" ca="1" aca="1" ref="Z39">CalculateMaxAndElements($K39,0,"",'Attack Steps'!$A:AA)</f>
        <v>0:AS1,AS40,</v>
      </c>
      <c r="AA39" s="21" t="str" cm="1">
        <f t="array" ca="1" aca="1" ref="AA39">CalculateMaxAndElements($K39,0,"",'Attack Steps'!$A:AB)</f>
        <v>0:AS1,AS40,</v>
      </c>
      <c r="AB39" s="21">
        <f t="shared" ca="1" si="70"/>
        <v>4</v>
      </c>
      <c r="AC39" s="21">
        <f t="shared" ca="1" si="71"/>
        <v>6</v>
      </c>
      <c r="AD39" s="21">
        <f t="shared" ca="1" si="72"/>
        <v>3</v>
      </c>
      <c r="AE39" s="21">
        <f t="shared" ca="1" si="73"/>
        <v>0</v>
      </c>
      <c r="AF39" s="21">
        <f t="shared" ca="1" si="74"/>
        <v>0</v>
      </c>
      <c r="AG39" s="21">
        <f t="shared" ca="1" si="64"/>
        <v>13</v>
      </c>
      <c r="AH39" s="21" t="str" cm="1">
        <f t="array" ca="1" aca="1" ref="AH39">IF(ROW()=ROW($AH$2)+1,"",INDEX($AH:$AH,ROW()-1))&amp;IF($A39="","",$A39&amp;",")</f>
        <v>R1-3,R2-3,R1-4,R2-4,R1-6,R2-6,R1-7,R2-7,R1-3-10,R2-3-10,R1-3-11,R2-3-11,R1-14,R1-16,R2-16,R21-23,R22-23,R1-29,R2-29,R31,R1-3-32,R2-3-32,R1-5-32,R2-5-32,R1-7-32,R2-7-32,R1-16-32,R2-16-32,R21-23-32,R22-23-32,R21-24-32,R22-24-32,R1-29-32,R2-29-32,R37,R38,R1-40,</v>
      </c>
      <c r="AI39" s="21" t="str">
        <f t="shared" ca="1" si="75"/>
        <v>,AS1,AS40,</v>
      </c>
      <c r="AJ39" s="21" cm="1">
        <f t="array" ca="1" aca="1" ref="AJ39">IF($G39="",0,SimpleLookup($G39,Definitions!$AE:$AF))</f>
        <v>4</v>
      </c>
      <c r="AK39" s="21" t="str" cm="1">
        <f t="array" ca="1" aca="1" ref="AK39">InverseLookup($A39,Mitigation!$U$2,Mitigation!$J$2,1,Helper!$B$5,",")</f>
        <v/>
      </c>
      <c r="AL39" s="21" t="str" cm="1">
        <f t="array" ca="1" aca="1" ref="AL39">CalculateMaxAndElementsWithFallback(SanitizeInput($AK39),0,"",Countermeasures!$A:Y,Assumptions!$A:Z)</f>
        <v>0:</v>
      </c>
      <c r="AM39" s="21" t="str" cm="1">
        <f t="array" ca="1" aca="1" ref="AM39">CalculateMaxAndElementsWithFallback(SanitizeInput($AK39),0,"",Countermeasures!$A:Z,Assumptions!$A:AA)</f>
        <v>0:</v>
      </c>
      <c r="AN39" s="21" t="str" cm="1">
        <f t="array" ca="1" aca="1" ref="AN39">CalculateMaxAndElementsWithFallback(SanitizeInput($AK39),0,"",Countermeasures!$A:AA,Assumptions!$A:AB)</f>
        <v>0:</v>
      </c>
      <c r="AO39" s="21" t="str" cm="1">
        <f t="array" ca="1" aca="1" ref="AO39">CalculateMaxAndElementsWithFallback(SanitizeInput($AK39),0,"",Countermeasures!$A:AB,Assumptions!$A:AC)</f>
        <v>0:</v>
      </c>
      <c r="AP39" s="21" t="str" cm="1">
        <f t="array" ca="1" aca="1" ref="AP39">CalculateMaxAndElementsWithFallback(SanitizeInput($AK39),0,"",Countermeasures!$A:AC,Assumptions!$A:AD)</f>
        <v>0:</v>
      </c>
      <c r="AQ39" s="21">
        <f t="shared" ca="1" si="76"/>
        <v>0</v>
      </c>
      <c r="AR39" s="21">
        <f t="shared" ca="1" si="77"/>
        <v>0</v>
      </c>
      <c r="AS39" s="21">
        <f t="shared" ca="1" si="78"/>
        <v>0</v>
      </c>
      <c r="AT39" s="21">
        <f t="shared" ca="1" si="79"/>
        <v>0</v>
      </c>
      <c r="AU39" s="21">
        <f t="shared" ca="1" si="80"/>
        <v>0</v>
      </c>
      <c r="AV39" s="21" t="str">
        <f t="shared" ca="1" si="81"/>
        <v>4:AS40,</v>
      </c>
      <c r="AW39" s="21" t="str">
        <f t="shared" ca="1" si="82"/>
        <v>6:AS40,</v>
      </c>
      <c r="AX39" s="21" t="str">
        <f t="shared" ca="1" si="83"/>
        <v>3:AS40,</v>
      </c>
      <c r="AY39" s="21" t="str">
        <f t="shared" ca="1" si="84"/>
        <v>0:AS1,AS40,</v>
      </c>
      <c r="AZ39" s="21" t="str">
        <f t="shared" ca="1" si="85"/>
        <v>0:AS1,AS40,</v>
      </c>
      <c r="BA39" s="21">
        <f t="shared" ca="1" si="86"/>
        <v>4</v>
      </c>
      <c r="BB39" s="21">
        <f t="shared" ca="1" si="87"/>
        <v>6</v>
      </c>
      <c r="BC39" s="21">
        <f t="shared" ca="1" si="88"/>
        <v>3</v>
      </c>
      <c r="BD39" s="21">
        <f t="shared" ca="1" si="89"/>
        <v>0</v>
      </c>
      <c r="BE39" s="21">
        <f t="shared" ca="1" si="90"/>
        <v>0</v>
      </c>
      <c r="BF39" s="21">
        <f t="shared" ca="1" si="65"/>
        <v>13</v>
      </c>
      <c r="BG39" s="21" t="str">
        <f ca="1">IFERROR(VLOOKUP($BF39,Definitions!$V:$W,COLUMNS(Definitions!$V:$W),TRUE),"")</f>
        <v>Enhanced-Basic</v>
      </c>
      <c r="BH39" s="21" t="str">
        <f ca="1">_xlfn.LET(_xlpm._comments,GetValues($K39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39" s="21" t="str" cm="1">
        <f t="array" ca="1" aca="1" ref="BI39">_xlfn.LET(_xlpm._rapRange,Definitions!$W:$W,_xlpm._calculatedRAP,$BG39,_xlpm._inlineRAP,$BH39,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BJ39" s="21" t="str">
        <f ca="1">IFERROR(IF(OR($V39="",$BI39=""),Definitions!$AE$4,VLOOKUP($V39,Definitions!$AH:$AM,MATCH($BI39,Definitions!$AH$3:$AM$3,0),FALSE)),"")</f>
        <v>Very High</v>
      </c>
      <c r="BK39" s="21" cm="1">
        <f t="array" ca="1" aca="1" ref="BK39">IF($BJ39="",0,SimpleLookup($BJ39,Definitions!$AE:$AF))</f>
        <v>4</v>
      </c>
      <c r="BL39" s="21" t="str" cm="1">
        <f t="array" ca="1" aca="1" ref="BL39">IFERROR(SimpleLookup($A39,Tracing!$B:$Z),"")</f>
        <v/>
      </c>
      <c r="BM39" s="21" t="str" cm="1">
        <f t="array" ca="1" aca="1" ref="BM39">_xlfn.LET(_xlpm._dm,SanitizeInput(GetValuesWithFallback(SanitizeInput($BL39),Assumptions!$A:$I,Countermeasures!$A:$I,"",",",FALSE)),IF(_xlpm._dm="","",","&amp;_xlpm._dm))</f>
        <v/>
      </c>
      <c r="BN39" s="21" t="str" cm="1">
        <f t="array" ca="1" aca="1" ref="BN39">ApplyDamageMitigation($M39,$BM39,"")</f>
        <v>DS10,DS11,DS12,DS13,DS14,DS15,</v>
      </c>
      <c r="BO39" s="21" cm="1">
        <f t="array" ca="1" aca="1" ref="BO39">CalculateMaxFromList($BN39,0,'Damage Scenarios'!$A:$U)</f>
        <v>5</v>
      </c>
      <c r="BP39" s="21" t="str">
        <f ca="1">IF($BO39=0,"",INDEX(Definitions!$Q:$Q,MATCH($BO39,Definitions!$R:$R,0)))</f>
        <v>Critical</v>
      </c>
      <c r="BQ39" s="21" t="str" cm="1">
        <f t="array" ca="1" aca="1" ref="BQ39">CalculateMaxAndElementsWithFallback(SanitizeInput($BL39),0,"",Countermeasures!$A:Y,Assumptions!$A:Z)</f>
        <v>0:</v>
      </c>
      <c r="BR39" s="21" t="str" cm="1">
        <f t="array" ca="1" aca="1" ref="BR39">CalculateMaxAndElementsWithFallback(SanitizeInput($BL39),0,"",Countermeasures!$A:Z,Assumptions!$A:AA)</f>
        <v>0:</v>
      </c>
      <c r="BS39" s="21" t="str" cm="1">
        <f t="array" ca="1" aca="1" ref="BS39">CalculateMaxAndElementsWithFallback(SanitizeInput($BL39),0,"",Countermeasures!$A:AA,Assumptions!$A:AB)</f>
        <v>0:</v>
      </c>
      <c r="BT39" s="21" t="str" cm="1">
        <f t="array" ca="1" aca="1" ref="BT39">CalculateMaxAndElementsWithFallback(SanitizeInput($BL39),0,"",Countermeasures!$A:AB,Assumptions!$A:AC)</f>
        <v>0:</v>
      </c>
      <c r="BU39" s="21" t="str" cm="1">
        <f t="array" ca="1" aca="1" ref="BU39">CalculateMaxAndElementsWithFallback(SanitizeInput($BL39),0,"",Countermeasures!$A:AC,Assumptions!$A:AD)</f>
        <v>0:</v>
      </c>
      <c r="BV39" s="21">
        <f t="shared" ca="1" si="25"/>
        <v>0</v>
      </c>
      <c r="BW39" s="21">
        <f t="shared" ca="1" si="26"/>
        <v>0</v>
      </c>
      <c r="BX39" s="21">
        <f t="shared" ca="1" si="27"/>
        <v>0</v>
      </c>
      <c r="BY39" s="21">
        <f t="shared" ca="1" si="28"/>
        <v>0</v>
      </c>
      <c r="BZ39" s="21">
        <f t="shared" ca="1" si="29"/>
        <v>0</v>
      </c>
      <c r="CA39" s="21" t="str">
        <f t="shared" ca="1" si="30"/>
        <v>4:AS40,</v>
      </c>
      <c r="CB39" s="21" t="str">
        <f t="shared" ca="1" si="31"/>
        <v>6:AS40,</v>
      </c>
      <c r="CC39" s="21" t="str">
        <f t="shared" ca="1" si="32"/>
        <v>3:AS40,</v>
      </c>
      <c r="CD39" s="21" t="str">
        <f t="shared" ca="1" si="33"/>
        <v>0:AS1,AS40,</v>
      </c>
      <c r="CE39" s="21" t="str">
        <f t="shared" ca="1" si="34"/>
        <v>0:AS1,AS40,</v>
      </c>
      <c r="CF39" s="21">
        <f t="shared" ca="1" si="35"/>
        <v>4</v>
      </c>
      <c r="CG39" s="21">
        <f t="shared" ca="1" si="36"/>
        <v>6</v>
      </c>
      <c r="CH39" s="21">
        <f t="shared" ca="1" si="37"/>
        <v>3</v>
      </c>
      <c r="CI39" s="21">
        <f t="shared" ca="1" si="38"/>
        <v>0</v>
      </c>
      <c r="CJ39" s="21">
        <f t="shared" ca="1" si="39"/>
        <v>0</v>
      </c>
      <c r="CK39" s="21">
        <f t="shared" ca="1" si="66"/>
        <v>13</v>
      </c>
      <c r="CL39" s="21" t="str">
        <f ca="1">IFERROR(VLOOKUP($CK39,Definitions!$V:$W,COLUMNS(Definitions!$V:$W),TRUE),"")</f>
        <v>Enhanced-Basic</v>
      </c>
      <c r="CM39" s="21" t="str">
        <f ca="1">_xlfn.LET(_xlpm._comments,SimpleLookup($A39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39" s="21" t="str" cm="1">
        <f t="array" ca="1" aca="1" ref="CN39">_xlfn.LET(_xlpm._rapRange,Definitions!$W:$W,_xlpm._calculatedRAP,$CL39,_xlpm._inlineRAP,$CM39,_xlpm._calculatedRAPValue,IF(_xlpm._calculatedRAP="",0,MATCH(_xlpm._calculatedRAP,_xlpm._rapRange,0)),_xlpm._inlineRAPValue,IF(_xlpm._inlineRAP="",0,MATCH(_xlpm._inlineRAP,_xlpm._rapRange,0)),_xlpm._maxRAP,MAX(_xlpm._calculatedRAPValue,_xlpm._inlineRAPValue),IF(_xlpm._maxRAP=0,"",INDEX(_xlpm._rapRange,_xlpm._maxRAP)))</f>
        <v>Enhanced-Basic</v>
      </c>
      <c r="CO39" s="21" t="str">
        <f ca="1">IFERROR(IF(OR($BP39="",$CN39=""),Definitions!$AE$4,VLOOKUP($BP39,Definitions!$AH:$AM,MATCH($CN39,Definitions!$AH$3:$AM$3,0),FALSE)),"")</f>
        <v>Very High</v>
      </c>
      <c r="CP39" s="21" cm="1">
        <f t="array" ca="1" aca="1" ref="CP39">IF($CO39="",0,SimpleLookup($CO39,Definitions!$AE:$AF))</f>
        <v>4</v>
      </c>
      <c r="CQ39" s="21" t="b">
        <f ca="1">OR(AND($S39,$I39=Helper!$B$7),$I39&gt;Helper!$B$7)</f>
        <v>0</v>
      </c>
      <c r="CR39" s="21" t="str">
        <f t="shared" ca="1" si="67"/>
        <v/>
      </c>
      <c r="CS39" s="21" cm="1">
        <f t="array" ca="1" aca="1" ref="CS39">CreateID($CS$2,$CV:$CV,$CR39&lt;&gt;"")</f>
        <v>0</v>
      </c>
      <c r="CT39" s="21" t="str">
        <f ca="1">IF(IFERROR(MATCH(","&amp;A39&amp;",",'Risk Treatment'!$AT:$AT,0)&gt;0,FALSE),"",$A39)</f>
        <v>R1-40</v>
      </c>
      <c r="CU39" s="21" cm="1">
        <f t="array" ca="1" aca="1" ref="CU39">CreateID($CU$2,$CU:$CU,$CT39&lt;&gt;"")</f>
        <v>37</v>
      </c>
    </row>
    <row r="40" spans="1:99" ht="90.75">
      <c r="A40" s="33" t="str" cm="1">
        <f t="array" ca="1" aca="1" ref="A40">IF($B40="","","R"&amp;RemoveDelimiter(SUBSTITUTE(SUBSTITUTE($K40,"AS",""),",","-"),"-"))</f>
        <v>R2-40</v>
      </c>
      <c r="B40" s="33" t="str" cm="1">
        <f t="array" ca="1" aca="1" ref="B40">IF($L40="","",_xlfn.LET(_xlpm._finalAttackStep,$L40,_xlpm._prepAttacks,RemoveFirstElement(_xlpm._finalAttackStep&amp;","&amp;$K40),_xlpm._prepAttackNames,IFERROR(LookupNames(_xlpm._prepAttacks,'Attack Steps'!$A:$B),""),_xlpm._delimiter,REPT(CHAR(150),55),$L40&amp;" "&amp;SimpleLookup($L40,'Attack Steps'!$A:$B)&amp;IF(_xlpm._prepAttackNames="","",CHAR(10)&amp;_xlpm._delimiter&amp;CHAR(10)&amp;_xlpm._prepAttackNames)))</f>
        <v>AS40 Abusing the lack of a software update functionality to exploit an unpatched vulnerability
–––––––––––––––––––––––––––––––––––––––––––––––––––––––
AS2 Getting access to a wireless network</v>
      </c>
      <c r="C40" s="34" t="str" cm="1">
        <f t="array" ca="1" aca="1" ref="C40">IFERROR(LookupNames($M40,'Damage Scenarios'!$A:$V),"")</f>
        <v>DS10 Life-threatening injury caused by manipulated product [Critical],
DS11 Personal data (ruinous) disclosed by manipulated product [Critical],
DS12 IP (highly innovative) disclosed by manipulated product [High],
DS13 Critical environmental damage caused by a disclosure or misuse of cyptographic material by the manipulated product [Critical],
DS14 Critical environmental damage caused by manipulated product [Critical],
DS15 Critical environmental damage caused by attacks on customer's assets by manipulated product [Critical]</v>
      </c>
      <c r="D40" s="33" t="str">
        <f ca="1">IFERROR(IF($T40=0,"",INDEX(Definitions!$Q:$Q,MATCH($T40,Definitions!$R:$R,0))),"")</f>
        <v>Critical</v>
      </c>
      <c r="E40" s="34" t="str" cm="1">
        <f t="array" ca="1" aca="1" ref="E40">IF($A40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40,$A:W,Definitions!$Y:$Y,Definitions!$AB:$AB,1)&amp;CHAR(10)&amp;_xlpm._factorFunction($A40,$A:X,Definitions!$Y:$Y,Definitions!$AB:$AB,2)&amp;CHAR(10)&amp;_xlpm._factorFunction($A40,$A:Y,Definitions!$Y:$Y,Definitions!$AB:$AB,3)&amp;CHAR(10)&amp;_xlpm._factorFunction($A40,$A:Z,Definitions!$Y:$Y,Definitions!$AB:$AB,4)&amp;CHAR(10)&amp;_xlpm._factorFunction($A40,$A:AA,Definitions!$Y:$Y,Definitions!$AB:$AB,5)))</f>
        <v>Elapsed Time [4]: AS40
Expertise [6]: AS40
Knowledge of TOE [3]: AS40
Window of Opportunity [1]: AS2
Equipment [0]: AS2, AS40</v>
      </c>
      <c r="F40" s="33" t="str">
        <f ca="1">IF($A40="","",IFERROR(VLOOKUP($AG40,Definitions!$V:$W,COLUMNS(Definitions!$V:$W),TRUE),""))</f>
        <v>Moderate</v>
      </c>
      <c r="G40" s="33" t="str">
        <f ca="1">IFERROR(IF(OR($D40="",$F40=""),"",VLOOKUP($D40,Definitions!$AH:$AM,MATCH($F40,Definitions!$AH$3:$AM$3,0),FALSE)),"")</f>
        <v>Very High</v>
      </c>
      <c r="H40" s="23" cm="1">
        <f t="array" ca="1" aca="1" ref="H40">IF(ROW()=ROW($H$2)+1,0,INDEX($H:$H,ROW()-1))+IF($A40="",0,1)</f>
        <v>38</v>
      </c>
      <c r="I40" s="21" cm="1">
        <f t="array" ca="1" aca="1" ref="I40">IF(ROW()=ROW($I$2)+1,1,INDEX($I:$I,ROW()-1)+IF(INDEX($S:$S,ROW()-1),1,0))</f>
        <v>15</v>
      </c>
      <c r="J40" s="21">
        <f t="shared" ca="1" si="63"/>
        <v>2</v>
      </c>
      <c r="K40" s="21" t="str">
        <f t="shared" ca="1" si="68"/>
        <v>AS2,AS40,</v>
      </c>
      <c r="L40" s="21" t="str" cm="1">
        <f t="array" ca="1" aca="1" ref="L40">IF($P40="","",INDEX('Attack Steps'!$A:$A,$P40))</f>
        <v>AS40</v>
      </c>
      <c r="M40" s="21" t="str" cm="1">
        <f t="array" ca="1" aca="1" ref="M40">IF($P40="","",INDEX('Attack Steps'!$T:$T,$P40))</f>
        <v>DS10,DS11,DS12,DS13,DS14,DS15,</v>
      </c>
      <c r="N40" s="21" t="str" cm="1">
        <f t="array" ca="1" aca="1" ref="N40">_xlfn.LET(_xlpm._dm,SanitizeInput(GetValuesWithFallback(SanitizeInput($AK40),Assumptions!$A:$I,Countermeasures!$A:$I,"",",",FALSE)),IF(_xlpm._dm="","",","&amp;_xlpm._dm))</f>
        <v/>
      </c>
      <c r="O40" s="21" t="str" cm="1">
        <f t="array" ca="1" aca="1" ref="O40">ApplyDamageMitigation($M40,$N40,"")</f>
        <v>DS10,DS11,DS12,DS13,DS14,DS15,</v>
      </c>
      <c r="P40" s="21">
        <f ca="1">IFERROR(MATCH($I40,'Attack Steps'!$V:$V,0),"")</f>
        <v>42</v>
      </c>
      <c r="Q40" s="21" t="str" cm="1">
        <f t="array" ca="1" aca="1" ref="Q40">IF($P40="","","§"&amp;INDEX('Attack Steps'!$S:$S,$P40))</f>
        <v>§AS1,AS40,§AS2,AS40,§</v>
      </c>
      <c r="R40" s="21" cm="1">
        <f t="array" ca="1" aca="1" ref="R40">IF($P40="","",INDEX('Attack Steps'!$W:$W,$P40))</f>
        <v>2</v>
      </c>
      <c r="S40" s="21" t="b">
        <f t="shared" ca="1" si="69"/>
        <v>1</v>
      </c>
      <c r="T40" s="21" cm="1">
        <f t="array" ca="1" aca="1" ref="T40">_xlfn.LAMBDA(_xlpm._in,_xlpm._val,_xlpm._range,IF(_xlpm._in="",_xlpm._val,_xlfn.LET(_xlpm._id,LEFT(_xlpm._in,FIND(",",_xlpm._in)-1),CalculateMaxFromList(RemoveFirstElement(_xlpm._in),MAX(_xlpm._val,VLOOKUP(_xlpm._id,_xlpm._range,COLUMNS(_xlpm._range),FALSE)),_xlpm._range))))($M40,0,'Damage Scenarios'!$A:$U)</f>
        <v>5</v>
      </c>
      <c r="U40" s="21" cm="1">
        <f t="array" ca="1" aca="1" ref="U40">CalculateMaxFromList($O40,0,'Damage Scenarios'!$A:$U)</f>
        <v>5</v>
      </c>
      <c r="V40" s="21" t="str">
        <f ca="1">IF($U40=0,"",INDEX(Definitions!$Q:$Q,MATCH($U40,Definitions!$R:$R,0)))</f>
        <v>Critical</v>
      </c>
      <c r="W40" s="21" t="str" cm="1">
        <f t="array" ca="1" aca="1" ref="W40">CalculateMaxAndElements($K40,0,"",'Attack Steps'!$A:X)</f>
        <v>4:AS40,</v>
      </c>
      <c r="X40" s="21" t="str" cm="1">
        <f t="array" ca="1" aca="1" ref="X40">CalculateMaxAndElements($K40,0,"",'Attack Steps'!$A:Y)</f>
        <v>6:AS40,</v>
      </c>
      <c r="Y40" s="21" t="str" cm="1">
        <f t="array" ca="1" aca="1" ref="Y40">CalculateMaxAndElements($K40,0,"",'Attack Steps'!$A:Z)</f>
        <v>3:AS40,</v>
      </c>
      <c r="Z40" s="21" t="str" cm="1">
        <f t="array" ca="1" aca="1" ref="Z40">CalculateMaxAndElements($K40,0,"",'Attack Steps'!$A:AA)</f>
        <v>1:AS2,</v>
      </c>
      <c r="AA40" s="21" t="str" cm="1">
        <f t="array" ca="1" aca="1" ref="AA40">CalculateMaxAndElements($K40,0,"",'Attack Steps'!$A:AB)</f>
        <v>0:AS2,AS40,</v>
      </c>
      <c r="AB40" s="21">
        <f t="shared" ca="1" si="70"/>
        <v>4</v>
      </c>
      <c r="AC40" s="21">
        <f t="shared" ca="1" si="71"/>
        <v>6</v>
      </c>
      <c r="AD40" s="21">
        <f t="shared" ca="1" si="72"/>
        <v>3</v>
      </c>
      <c r="AE40" s="21">
        <f t="shared" ca="1" si="73"/>
        <v>1</v>
      </c>
      <c r="AF40" s="21">
        <f t="shared" ca="1" si="74"/>
        <v>0</v>
      </c>
      <c r="AG40" s="21">
        <f t="shared" ca="1" si="64"/>
        <v>14</v>
      </c>
      <c r="AH40" s="21" t="str" cm="1">
        <f t="array" ca="1" aca="1" ref="AH40">IF(ROW()=ROW($AH$2)+1,"",INDEX($AH:$AH,ROW()-1))&amp;IF($A40="","",$A40&amp;",")</f>
        <v>R1-3,R2-3,R1-4,R2-4,R1-6,R2-6,R1-7,R2-7,R1-3-10,R2-3-10,R1-3-11,R2-3-11,R1-14,R1-16,R2-16,R21-23,R22-23,R1-29,R2-29,R31,R1-3-32,R2-3-32,R1-5-32,R2-5-32,R1-7-32,R2-7-32,R1-16-32,R2-16-32,R21-23-32,R22-23-32,R21-24-32,R22-24-32,R1-29-32,R2-29-32,R37,R38,R1-40,R2-40,</v>
      </c>
      <c r="AI40" s="21" t="str">
        <f t="shared" ca="1" si="75"/>
        <v>,AS2,AS40,</v>
      </c>
      <c r="AJ40" s="21" cm="1">
        <f t="array" ca="1" aca="1" ref="AJ40">IF($G40="",0,SimpleLookup($G40,Definitions!$AE:$AF))</f>
        <v>4</v>
      </c>
      <c r="AK40" s="21" t="str" cm="1">
        <f t="array" ca="1" aca="1" ref="AK40">InverseLookup($A40,Mitigation!$U$2,Mitigation!$J$2,1,Helper!$B$5,",")</f>
        <v/>
      </c>
      <c r="AL40" s="21" t="str" cm="1">
        <f t="array" ca="1" aca="1" ref="AL40">CalculateMaxAndElementsWithFallback(SanitizeInput($AK40),0,"",Countermeasures!$A:Y,Assumptions!$A:Z)</f>
        <v>0:</v>
      </c>
      <c r="AM40" s="21" t="str" cm="1">
        <f t="array" ca="1" aca="1" ref="AM40">CalculateMaxAndElementsWithFallback(SanitizeInput($AK40),0,"",Countermeasures!$A:Z,Assumptions!$A:AA)</f>
        <v>0:</v>
      </c>
      <c r="AN40" s="21" t="str" cm="1">
        <f t="array" ca="1" aca="1" ref="AN40">CalculateMaxAndElementsWithFallback(SanitizeInput($AK40),0,"",Countermeasures!$A:AA,Assumptions!$A:AB)</f>
        <v>0:</v>
      </c>
      <c r="AO40" s="21" t="str" cm="1">
        <f t="array" ca="1" aca="1" ref="AO40">CalculateMaxAndElementsWithFallback(SanitizeInput($AK40),0,"",Countermeasures!$A:AB,Assumptions!$A:AC)</f>
        <v>0:</v>
      </c>
      <c r="AP40" s="21" t="str" cm="1">
        <f t="array" ca="1" aca="1" ref="AP40">CalculateMaxAndElementsWithFallback(SanitizeInput($AK40),0,"",Countermeasures!$A:AC,Assumptions!$A:AD)</f>
        <v>0:</v>
      </c>
      <c r="AQ40" s="21">
        <f t="shared" ca="1" si="76"/>
        <v>0</v>
      </c>
      <c r="AR40" s="21">
        <f t="shared" ca="1" si="77"/>
        <v>0</v>
      </c>
      <c r="AS40" s="21">
        <f t="shared" ca="1" si="78"/>
        <v>0</v>
      </c>
      <c r="AT40" s="21">
        <f t="shared" ca="1" si="79"/>
        <v>0</v>
      </c>
      <c r="AU40" s="21">
        <f t="shared" ca="1" si="80"/>
        <v>0</v>
      </c>
      <c r="AV40" s="21" t="str">
        <f t="shared" ca="1" si="81"/>
        <v>4:AS40,</v>
      </c>
      <c r="AW40" s="21" t="str">
        <f t="shared" ca="1" si="82"/>
        <v>6:AS40,</v>
      </c>
      <c r="AX40" s="21" t="str">
        <f t="shared" ca="1" si="83"/>
        <v>3:AS40,</v>
      </c>
      <c r="AY40" s="21" t="str">
        <f t="shared" ca="1" si="84"/>
        <v>1:AS2,</v>
      </c>
      <c r="AZ40" s="21" t="str">
        <f t="shared" ca="1" si="85"/>
        <v>0:AS2,AS40,</v>
      </c>
      <c r="BA40" s="21">
        <f t="shared" ca="1" si="86"/>
        <v>4</v>
      </c>
      <c r="BB40" s="21">
        <f t="shared" ca="1" si="87"/>
        <v>6</v>
      </c>
      <c r="BC40" s="21">
        <f t="shared" ca="1" si="88"/>
        <v>3</v>
      </c>
      <c r="BD40" s="21">
        <f t="shared" ca="1" si="89"/>
        <v>1</v>
      </c>
      <c r="BE40" s="21">
        <f t="shared" ca="1" si="90"/>
        <v>0</v>
      </c>
      <c r="BF40" s="21">
        <f t="shared" ca="1" si="65"/>
        <v>14</v>
      </c>
      <c r="BG40" s="21" t="str">
        <f ca="1">IFERROR(VLOOKUP($BF40,Definitions!$V:$W,COLUMNS(Definitions!$V:$W),TRUE),"")</f>
        <v>Moderate</v>
      </c>
      <c r="BH40" s="21" t="str">
        <f ca="1">_xlfn.LET(_xlpm._comments,GetValues($K40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0" s="21" t="str" cm="1">
        <f t="array" ca="1" aca="1" ref="BI40">_xlfn.LET(_xlpm._rapRange,Definitions!$W:$W,_xlpm._calculatedRAP,$BG40,_xlpm._inlineRAP,$BH40,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BJ40" s="21" t="str">
        <f ca="1">IFERROR(IF(OR($V40="",$BI40=""),Definitions!$AE$4,VLOOKUP($V40,Definitions!$AH:$AM,MATCH($BI40,Definitions!$AH$3:$AM$3,0),FALSE)),"")</f>
        <v>Very High</v>
      </c>
      <c r="BK40" s="21" cm="1">
        <f t="array" ca="1" aca="1" ref="BK40">IF($BJ40="",0,SimpleLookup($BJ40,Definitions!$AE:$AF))</f>
        <v>4</v>
      </c>
      <c r="BL40" s="21" t="str" cm="1">
        <f t="array" ca="1" aca="1" ref="BL40">IFERROR(SimpleLookup($A40,Tracing!$B:$Z),"")</f>
        <v/>
      </c>
      <c r="BM40" s="21" t="str" cm="1">
        <f t="array" ca="1" aca="1" ref="BM40">_xlfn.LET(_xlpm._dm,SanitizeInput(GetValuesWithFallback(SanitizeInput($BL40),Assumptions!$A:$I,Countermeasures!$A:$I,"",",",FALSE)),IF(_xlpm._dm="","",","&amp;_xlpm._dm))</f>
        <v/>
      </c>
      <c r="BN40" s="21" t="str" cm="1">
        <f t="array" ca="1" aca="1" ref="BN40">ApplyDamageMitigation($M40,$BM40,"")</f>
        <v>DS10,DS11,DS12,DS13,DS14,DS15,</v>
      </c>
      <c r="BO40" s="21" cm="1">
        <f t="array" ca="1" aca="1" ref="BO40">CalculateMaxFromList($BN40,0,'Damage Scenarios'!$A:$U)</f>
        <v>5</v>
      </c>
      <c r="BP40" s="21" t="str">
        <f ca="1">IF($BO40=0,"",INDEX(Definitions!$Q:$Q,MATCH($BO40,Definitions!$R:$R,0)))</f>
        <v>Critical</v>
      </c>
      <c r="BQ40" s="21" t="str" cm="1">
        <f t="array" ca="1" aca="1" ref="BQ40">CalculateMaxAndElementsWithFallback(SanitizeInput($BL40),0,"",Countermeasures!$A:Y,Assumptions!$A:Z)</f>
        <v>0:</v>
      </c>
      <c r="BR40" s="21" t="str" cm="1">
        <f t="array" ca="1" aca="1" ref="BR40">CalculateMaxAndElementsWithFallback(SanitizeInput($BL40),0,"",Countermeasures!$A:Z,Assumptions!$A:AA)</f>
        <v>0:</v>
      </c>
      <c r="BS40" s="21" t="str" cm="1">
        <f t="array" ca="1" aca="1" ref="BS40">CalculateMaxAndElementsWithFallback(SanitizeInput($BL40),0,"",Countermeasures!$A:AA,Assumptions!$A:AB)</f>
        <v>0:</v>
      </c>
      <c r="BT40" s="21" t="str" cm="1">
        <f t="array" ca="1" aca="1" ref="BT40">CalculateMaxAndElementsWithFallback(SanitizeInput($BL40),0,"",Countermeasures!$A:AB,Assumptions!$A:AC)</f>
        <v>0:</v>
      </c>
      <c r="BU40" s="21" t="str" cm="1">
        <f t="array" ca="1" aca="1" ref="BU40">CalculateMaxAndElementsWithFallback(SanitizeInput($BL40),0,"",Countermeasures!$A:AC,Assumptions!$A:AD)</f>
        <v>0:</v>
      </c>
      <c r="BV40" s="21">
        <f t="shared" ca="1" si="25"/>
        <v>0</v>
      </c>
      <c r="BW40" s="21">
        <f t="shared" ca="1" si="26"/>
        <v>0</v>
      </c>
      <c r="BX40" s="21">
        <f t="shared" ca="1" si="27"/>
        <v>0</v>
      </c>
      <c r="BY40" s="21">
        <f t="shared" ca="1" si="28"/>
        <v>0</v>
      </c>
      <c r="BZ40" s="21">
        <f t="shared" ca="1" si="29"/>
        <v>0</v>
      </c>
      <c r="CA40" s="21" t="str">
        <f t="shared" ca="1" si="30"/>
        <v>4:AS40,</v>
      </c>
      <c r="CB40" s="21" t="str">
        <f t="shared" ca="1" si="31"/>
        <v>6:AS40,</v>
      </c>
      <c r="CC40" s="21" t="str">
        <f t="shared" ca="1" si="32"/>
        <v>3:AS40,</v>
      </c>
      <c r="CD40" s="21" t="str">
        <f t="shared" ca="1" si="33"/>
        <v>1:AS2,</v>
      </c>
      <c r="CE40" s="21" t="str">
        <f t="shared" ca="1" si="34"/>
        <v>0:AS2,AS40,</v>
      </c>
      <c r="CF40" s="21">
        <f t="shared" ca="1" si="35"/>
        <v>4</v>
      </c>
      <c r="CG40" s="21">
        <f t="shared" ca="1" si="36"/>
        <v>6</v>
      </c>
      <c r="CH40" s="21">
        <f t="shared" ca="1" si="37"/>
        <v>3</v>
      </c>
      <c r="CI40" s="21">
        <f t="shared" ca="1" si="38"/>
        <v>1</v>
      </c>
      <c r="CJ40" s="21">
        <f t="shared" ca="1" si="39"/>
        <v>0</v>
      </c>
      <c r="CK40" s="21">
        <f t="shared" ca="1" si="66"/>
        <v>14</v>
      </c>
      <c r="CL40" s="21" t="str">
        <f ca="1">IFERROR(VLOOKUP($CK40,Definitions!$V:$W,COLUMNS(Definitions!$V:$W),TRUE),"")</f>
        <v>Moderate</v>
      </c>
      <c r="CM40" s="21" t="str">
        <f ca="1">_xlfn.LET(_xlpm._comments,SimpleLookup($A40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0" s="21" t="str" cm="1">
        <f t="array" ca="1" aca="1" ref="CN40">_xlfn.LET(_xlpm._rapRange,Definitions!$W:$W,_xlpm._calculatedRAP,$CL40,_xlpm._inlineRAP,$CM40,_xlpm._calculatedRAPValue,IF(_xlpm._calculatedRAP="",0,MATCH(_xlpm._calculatedRAP,_xlpm._rapRange,0)),_xlpm._inlineRAPValue,IF(_xlpm._inlineRAP="",0,MATCH(_xlpm._inlineRAP,_xlpm._rapRange,0)),_xlpm._maxRAP,MAX(_xlpm._calculatedRAPValue,_xlpm._inlineRAPValue),IF(_xlpm._maxRAP=0,"",INDEX(_xlpm._rapRange,_xlpm._maxRAP)))</f>
        <v>Moderate</v>
      </c>
      <c r="CO40" s="21" t="str">
        <f ca="1">IFERROR(IF(OR($BP40="",$CN40=""),Definitions!$AE$4,VLOOKUP($BP40,Definitions!$AH:$AM,MATCH($CN40,Definitions!$AH$3:$AM$3,0),FALSE)),"")</f>
        <v>Very High</v>
      </c>
      <c r="CP40" s="21" cm="1">
        <f t="array" ca="1" aca="1" ref="CP40">IF($CO40="",0,SimpleLookup($CO40,Definitions!$AE:$AF))</f>
        <v>4</v>
      </c>
      <c r="CQ40" s="21" t="b">
        <f ca="1">OR(AND($S40,$I40=Helper!$B$7),$I40&gt;Helper!$B$7)</f>
        <v>1</v>
      </c>
      <c r="CR40" s="21" t="str">
        <f t="shared" ca="1" si="67"/>
        <v/>
      </c>
      <c r="CS40" s="21" cm="1">
        <f t="array" ca="1" aca="1" ref="CS40">CreateID($CS$2,$CV:$CV,$CR40&lt;&gt;"")</f>
        <v>0</v>
      </c>
      <c r="CT40" s="21" t="str">
        <f ca="1">IF(IFERROR(MATCH(","&amp;A40&amp;",",'Risk Treatment'!$AT:$AT,0)&gt;0,FALSE),"",$A40)</f>
        <v>R2-40</v>
      </c>
      <c r="CU40" s="21" cm="1">
        <f t="array" ca="1" aca="1" ref="CU40">CreateID($CU$2,$CU:$CU,$CT40&lt;&gt;"")</f>
        <v>38</v>
      </c>
    </row>
    <row r="41" spans="1:99" ht="15">
      <c r="A41" s="33" t="str" cm="1">
        <f t="array" ca="1" aca="1" ref="A41">IF($B41="","","R"&amp;RemoveDelimiter(SUBSTITUTE(SUBSTITUTE($K41,"AS",""),",","-"),"-"))</f>
        <v/>
      </c>
      <c r="B41" s="33" t="str" cm="1">
        <f t="array" ca="1" aca="1" ref="B41">IF($L41="","",_xlfn.LET(_xlpm._finalAttackStep,$L41,_xlpm._prepAttacks,RemoveFirstElement(_xlpm._finalAttackStep&amp;","&amp;$K41),_xlpm._prepAttackNames,IFERROR(LookupNames(_xlpm._prepAttacks,'Attack Steps'!$A:$B),""),_xlpm._delimiter,REPT(CHAR(150),55),$L41&amp;" "&amp;SimpleLookup($L41,'Attack Steps'!$A:$B)&amp;IF(_xlpm._prepAttackNames="","",CHAR(10)&amp;_xlpm._delimiter&amp;CHAR(10)&amp;_xlpm._prepAttackNames)))</f>
        <v/>
      </c>
      <c r="C41" s="34" t="str" cm="1">
        <f t="array" ca="1" aca="1" ref="C41">IFERROR(LookupNames($M41,'Damage Scenarios'!$A:$V),"")</f>
        <v/>
      </c>
      <c r="D41" s="33" t="str">
        <f ca="1">IFERROR(IF($T41=0,"",INDEX(Definitions!$Q:$Q,MATCH($T41,Definitions!$R:$R,0))),"")</f>
        <v/>
      </c>
      <c r="E41" s="34" t="str" cm="1">
        <f t="array" ca="1" aca="1" ref="E41">IF($A41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41,$A:W,Definitions!$Y:$Y,Definitions!$AB:$AB,1)&amp;CHAR(10)&amp;_xlpm._factorFunction($A41,$A:X,Definitions!$Y:$Y,Definitions!$AB:$AB,2)&amp;CHAR(10)&amp;_xlpm._factorFunction($A41,$A:Y,Definitions!$Y:$Y,Definitions!$AB:$AB,3)&amp;CHAR(10)&amp;_xlpm._factorFunction($A41,$A:Z,Definitions!$Y:$Y,Definitions!$AB:$AB,4)&amp;CHAR(10)&amp;_xlpm._factorFunction($A41,$A:AA,Definitions!$Y:$Y,Definitions!$AB:$AB,5)))</f>
        <v/>
      </c>
      <c r="F41" s="33" t="str">
        <f ca="1">IF($A41="","",IFERROR(VLOOKUP($AG41,Definitions!$V:$W,COLUMNS(Definitions!$V:$W),TRUE),""))</f>
        <v/>
      </c>
      <c r="G41" s="33" t="str">
        <f ca="1">IFERROR(IF(OR($D41="",$F41=""),"",VLOOKUP($D41,Definitions!$AH:$AM,MATCH($F41,Definitions!$AH$3:$AM$3,0),FALSE)),"")</f>
        <v/>
      </c>
      <c r="H41" s="23" cm="1">
        <f t="array" ca="1" aca="1" ref="H41">IF(ROW()=ROW($H$2)+1,0,INDEX($H:$H,ROW()-1))+IF($A41="",0,1)</f>
        <v>38</v>
      </c>
      <c r="I41" s="21" cm="1">
        <f t="array" ca="1" aca="1" ref="I41">IF(ROW()=ROW($I$2)+1,1,INDEX($I:$I,ROW()-1)+IF(INDEX($S:$S,ROW()-1),1,0))</f>
        <v>16</v>
      </c>
      <c r="J41" s="21">
        <f t="shared" ca="1" si="63"/>
        <v>1</v>
      </c>
      <c r="K41" s="21" t="str">
        <f t="shared" ca="1" si="68"/>
        <v/>
      </c>
      <c r="L41" s="21" t="str" cm="1">
        <f t="array" ca="1" aca="1" ref="L41">IF($P41="","",INDEX('Attack Steps'!$A:$A,$P41))</f>
        <v/>
      </c>
      <c r="M41" s="21" t="str" cm="1">
        <f t="array" ca="1" aca="1" ref="M41">IF($P41="","",INDEX('Attack Steps'!$T:$T,$P41))</f>
        <v/>
      </c>
      <c r="N41" s="21" t="str" cm="1">
        <f t="array" ca="1" aca="1" ref="N41">_xlfn.LET(_xlpm._dm,SanitizeInput(GetValuesWithFallback(SanitizeInput($AK41),Assumptions!$A:$I,Countermeasures!$A:$I,"",",",FALSE)),IF(_xlpm._dm="","",","&amp;_xlpm._dm))</f>
        <v/>
      </c>
      <c r="O41" s="21" t="str" cm="1">
        <f t="array" ca="1" aca="1" ref="O41">ApplyDamageMitigation($M41,$N41,"")</f>
        <v/>
      </c>
      <c r="P41" s="21" t="str">
        <f ca="1">IFERROR(MATCH($I41,'Attack Steps'!$V:$V,0),"")</f>
        <v/>
      </c>
      <c r="Q41" s="21" t="str" cm="1">
        <f t="array" ca="1" aca="1" ref="Q41">IF($P41="","","§"&amp;INDEX('Attack Steps'!$S:$S,$P41))</f>
        <v/>
      </c>
      <c r="R41" s="21" t="str" cm="1">
        <f t="array" ca="1" aca="1" ref="R41">IF($P41="","",INDEX('Attack Steps'!$W:$W,$P41))</f>
        <v/>
      </c>
      <c r="S41" s="21" t="b">
        <f t="shared" ca="1" si="69"/>
        <v>0</v>
      </c>
      <c r="T41" s="21" cm="1">
        <f t="array" ca="1" aca="1" ref="T41">_xlfn.LAMBDA(_xlpm._in,_xlpm._val,_xlpm._range,IF(_xlpm._in="",_xlpm._val,_xlfn.LET(_xlpm._id,LEFT(_xlpm._in,FIND(",",_xlpm._in)-1),CalculateMaxFromList(RemoveFirstElement(_xlpm._in),MAX(_xlpm._val,VLOOKUP(_xlpm._id,_xlpm._range,COLUMNS(_xlpm._range),FALSE)),_xlpm._range))))($M41,0,'Damage Scenarios'!$A:$U)</f>
        <v>0</v>
      </c>
      <c r="U41" s="21" cm="1">
        <f t="array" ca="1" aca="1" ref="U41">CalculateMaxFromList($O41,0,'Damage Scenarios'!$A:$U)</f>
        <v>0</v>
      </c>
      <c r="V41" s="21" t="str">
        <f ca="1">IF($U41=0,"",INDEX(Definitions!$Q:$Q,MATCH($U41,Definitions!$R:$R,0)))</f>
        <v/>
      </c>
      <c r="W41" s="21" t="str" cm="1">
        <f t="array" ca="1" aca="1" ref="W41">CalculateMaxAndElements($K41,0,"",'Attack Steps'!$A:X)</f>
        <v>0:</v>
      </c>
      <c r="X41" s="21" t="str" cm="1">
        <f t="array" ca="1" aca="1" ref="X41">CalculateMaxAndElements($K41,0,"",'Attack Steps'!$A:Y)</f>
        <v>0:</v>
      </c>
      <c r="Y41" s="21" t="str" cm="1">
        <f t="array" ca="1" aca="1" ref="Y41">CalculateMaxAndElements($K41,0,"",'Attack Steps'!$A:Z)</f>
        <v>0:</v>
      </c>
      <c r="Z41" s="21" t="str" cm="1">
        <f t="array" ca="1" aca="1" ref="Z41">CalculateMaxAndElements($K41,0,"",'Attack Steps'!$A:AA)</f>
        <v>0:</v>
      </c>
      <c r="AA41" s="21" t="str" cm="1">
        <f t="array" ca="1" aca="1" ref="AA41">CalculateMaxAndElements($K41,0,"",'Attack Steps'!$A:AB)</f>
        <v>0:</v>
      </c>
      <c r="AB41" s="21">
        <f t="shared" ca="1" si="70"/>
        <v>0</v>
      </c>
      <c r="AC41" s="21">
        <f t="shared" ca="1" si="71"/>
        <v>0</v>
      </c>
      <c r="AD41" s="21">
        <f t="shared" ca="1" si="72"/>
        <v>0</v>
      </c>
      <c r="AE41" s="21">
        <f t="shared" ca="1" si="73"/>
        <v>0</v>
      </c>
      <c r="AF41" s="21">
        <f t="shared" ca="1" si="74"/>
        <v>0</v>
      </c>
      <c r="AG41" s="21">
        <f t="shared" ca="1" si="64"/>
        <v>0</v>
      </c>
      <c r="AH41" s="21" t="str" cm="1">
        <f t="array" ca="1" aca="1" ref="AH41">IF(ROW()=ROW($AH$2)+1,"",INDEX($AH:$AH,ROW()-1))&amp;IF($A41="","",$A41&amp;",")</f>
        <v>R1-3,R2-3,R1-4,R2-4,R1-6,R2-6,R1-7,R2-7,R1-3-10,R2-3-10,R1-3-11,R2-3-11,R1-14,R1-16,R2-16,R21-23,R22-23,R1-29,R2-29,R31,R1-3-32,R2-3-32,R1-5-32,R2-5-32,R1-7-32,R2-7-32,R1-16-32,R2-16-32,R21-23-32,R22-23-32,R21-24-32,R22-24-32,R1-29-32,R2-29-32,R37,R38,R1-40,R2-40,</v>
      </c>
      <c r="AI41" s="21" t="str">
        <f t="shared" ca="1" si="75"/>
        <v/>
      </c>
      <c r="AJ41" s="21" cm="1">
        <f t="array" ca="1" aca="1" ref="AJ41">IF($G41="",0,SimpleLookup($G41,Definitions!$AE:$AF))</f>
        <v>0</v>
      </c>
      <c r="AK41" s="21" t="str" cm="1">
        <f t="array" ca="1" aca="1" ref="AK41">InverseLookup($A41,Mitigation!$U$2,Mitigation!$J$2,1,Helper!$B$5,",")</f>
        <v/>
      </c>
      <c r="AL41" s="21" t="str" cm="1">
        <f t="array" ca="1" aca="1" ref="AL41">CalculateMaxAndElementsWithFallback(SanitizeInput($AK41),0,"",Countermeasures!$A:Y,Assumptions!$A:Z)</f>
        <v>0:</v>
      </c>
      <c r="AM41" s="21" t="str" cm="1">
        <f t="array" ca="1" aca="1" ref="AM41">CalculateMaxAndElementsWithFallback(SanitizeInput($AK41),0,"",Countermeasures!$A:Z,Assumptions!$A:AA)</f>
        <v>0:</v>
      </c>
      <c r="AN41" s="21" t="str" cm="1">
        <f t="array" ca="1" aca="1" ref="AN41">CalculateMaxAndElementsWithFallback(SanitizeInput($AK41),0,"",Countermeasures!$A:AA,Assumptions!$A:AB)</f>
        <v>0:</v>
      </c>
      <c r="AO41" s="21" t="str" cm="1">
        <f t="array" ca="1" aca="1" ref="AO41">CalculateMaxAndElementsWithFallback(SanitizeInput($AK41),0,"",Countermeasures!$A:AB,Assumptions!$A:AC)</f>
        <v>0:</v>
      </c>
      <c r="AP41" s="21" t="str" cm="1">
        <f t="array" ca="1" aca="1" ref="AP41">CalculateMaxAndElementsWithFallback(SanitizeInput($AK41),0,"",Countermeasures!$A:AC,Assumptions!$A:AD)</f>
        <v>0:</v>
      </c>
      <c r="AQ41" s="21">
        <f t="shared" ca="1" si="76"/>
        <v>0</v>
      </c>
      <c r="AR41" s="21">
        <f t="shared" ca="1" si="77"/>
        <v>0</v>
      </c>
      <c r="AS41" s="21">
        <f t="shared" ca="1" si="78"/>
        <v>0</v>
      </c>
      <c r="AT41" s="21">
        <f t="shared" ca="1" si="79"/>
        <v>0</v>
      </c>
      <c r="AU41" s="21">
        <f t="shared" ca="1" si="80"/>
        <v>0</v>
      </c>
      <c r="AV41" s="21" t="str">
        <f t="shared" ca="1" si="81"/>
        <v>0:</v>
      </c>
      <c r="AW41" s="21" t="str">
        <f t="shared" ca="1" si="82"/>
        <v>0:</v>
      </c>
      <c r="AX41" s="21" t="str">
        <f t="shared" ca="1" si="83"/>
        <v>0:</v>
      </c>
      <c r="AY41" s="21" t="str">
        <f t="shared" ca="1" si="84"/>
        <v>0:</v>
      </c>
      <c r="AZ41" s="21" t="str">
        <f t="shared" ca="1" si="85"/>
        <v>0:</v>
      </c>
      <c r="BA41" s="21">
        <f t="shared" ca="1" si="86"/>
        <v>0</v>
      </c>
      <c r="BB41" s="21">
        <f t="shared" ca="1" si="87"/>
        <v>0</v>
      </c>
      <c r="BC41" s="21">
        <f t="shared" ca="1" si="88"/>
        <v>0</v>
      </c>
      <c r="BD41" s="21">
        <f t="shared" ca="1" si="89"/>
        <v>0</v>
      </c>
      <c r="BE41" s="21">
        <f t="shared" ca="1" si="90"/>
        <v>0</v>
      </c>
      <c r="BF41" s="21">
        <f t="shared" ca="1" si="65"/>
        <v>0</v>
      </c>
      <c r="BG41" s="21" t="str">
        <f ca="1">IFERROR(VLOOKUP($BF41,Definitions!$V:$W,COLUMNS(Definitions!$V:$W),TRUE),"")</f>
        <v>Basic</v>
      </c>
      <c r="BH41" s="21" t="str">
        <f ca="1">_xlfn.LET(_xlpm._comments,GetValues($K41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1" s="21" t="str" cm="1">
        <f t="array" ca="1" aca="1" ref="BI41">_xlfn.LET(_xlpm._rapRange,Definitions!$W:$W,_xlpm._calculatedRAP,$BG41,_xlpm._inlineRAP,$BH41,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1" s="21" t="str">
        <f ca="1">IFERROR(IF(OR($V41="",$BI41=""),Definitions!$AE$4,VLOOKUP($V41,Definitions!$AH:$AM,MATCH($BI41,Definitions!$AH$3:$AM$3,0),FALSE)),"")</f>
        <v>No Risk</v>
      </c>
      <c r="BK41" s="21" cm="1">
        <f t="array" ca="1" aca="1" ref="BK41">IF($BJ41="",0,SimpleLookup($BJ41,Definitions!$AE:$AF))</f>
        <v>0</v>
      </c>
      <c r="BL41" s="21" t="str" cm="1">
        <f t="array" ca="1" aca="1" ref="BL41">IFERROR(SimpleLookup($A41,Tracing!$B:$Z),"")</f>
        <v/>
      </c>
      <c r="BM41" s="21" t="str" cm="1">
        <f t="array" ca="1" aca="1" ref="BM41">_xlfn.LET(_xlpm._dm,SanitizeInput(GetValuesWithFallback(SanitizeInput($BL41),Assumptions!$A:$I,Countermeasures!$A:$I,"",",",FALSE)),IF(_xlpm._dm="","",","&amp;_xlpm._dm))</f>
        <v/>
      </c>
      <c r="BN41" s="21" t="str" cm="1">
        <f t="array" ca="1" aca="1" ref="BN41">ApplyDamageMitigation($M41,$BM41,"")</f>
        <v/>
      </c>
      <c r="BO41" s="21" cm="1">
        <f t="array" ca="1" aca="1" ref="BO41">CalculateMaxFromList($BN41,0,'Damage Scenarios'!$A:$U)</f>
        <v>0</v>
      </c>
      <c r="BP41" s="21" t="str">
        <f ca="1">IF($BO41=0,"",INDEX(Definitions!$Q:$Q,MATCH($BO41,Definitions!$R:$R,0)))</f>
        <v/>
      </c>
      <c r="BQ41" s="21" t="str" cm="1">
        <f t="array" ca="1" aca="1" ref="BQ41">CalculateMaxAndElementsWithFallback(SanitizeInput($BL41),0,"",Countermeasures!$A:Y,Assumptions!$A:Z)</f>
        <v>0:</v>
      </c>
      <c r="BR41" s="21" t="str" cm="1">
        <f t="array" ca="1" aca="1" ref="BR41">CalculateMaxAndElementsWithFallback(SanitizeInput($BL41),0,"",Countermeasures!$A:Z,Assumptions!$A:AA)</f>
        <v>0:</v>
      </c>
      <c r="BS41" s="21" t="str" cm="1">
        <f t="array" ca="1" aca="1" ref="BS41">CalculateMaxAndElementsWithFallback(SanitizeInput($BL41),0,"",Countermeasures!$A:AA,Assumptions!$A:AB)</f>
        <v>0:</v>
      </c>
      <c r="BT41" s="21" t="str" cm="1">
        <f t="array" ca="1" aca="1" ref="BT41">CalculateMaxAndElementsWithFallback(SanitizeInput($BL41),0,"",Countermeasures!$A:AB,Assumptions!$A:AC)</f>
        <v>0:</v>
      </c>
      <c r="BU41" s="21" t="str" cm="1">
        <f t="array" ca="1" aca="1" ref="BU41">CalculateMaxAndElementsWithFallback(SanitizeInput($BL41),0,"",Countermeasures!$A:AC,Assumptions!$A:AD)</f>
        <v>0:</v>
      </c>
      <c r="BV41" s="21">
        <f t="shared" ca="1" si="25"/>
        <v>0</v>
      </c>
      <c r="BW41" s="21">
        <f t="shared" ca="1" si="26"/>
        <v>0</v>
      </c>
      <c r="BX41" s="21">
        <f t="shared" ca="1" si="27"/>
        <v>0</v>
      </c>
      <c r="BY41" s="21">
        <f t="shared" ca="1" si="28"/>
        <v>0</v>
      </c>
      <c r="BZ41" s="21">
        <f t="shared" ca="1" si="29"/>
        <v>0</v>
      </c>
      <c r="CA41" s="21" t="str">
        <f t="shared" ca="1" si="30"/>
        <v>0:</v>
      </c>
      <c r="CB41" s="21" t="str">
        <f t="shared" ca="1" si="31"/>
        <v>0:</v>
      </c>
      <c r="CC41" s="21" t="str">
        <f t="shared" ca="1" si="32"/>
        <v>0:</v>
      </c>
      <c r="CD41" s="21" t="str">
        <f t="shared" ca="1" si="33"/>
        <v>0:</v>
      </c>
      <c r="CE41" s="21" t="str">
        <f t="shared" ca="1" si="34"/>
        <v>0:</v>
      </c>
      <c r="CF41" s="21">
        <f t="shared" ca="1" si="35"/>
        <v>0</v>
      </c>
      <c r="CG41" s="21">
        <f t="shared" ca="1" si="36"/>
        <v>0</v>
      </c>
      <c r="CH41" s="21">
        <f t="shared" ca="1" si="37"/>
        <v>0</v>
      </c>
      <c r="CI41" s="21">
        <f t="shared" ca="1" si="38"/>
        <v>0</v>
      </c>
      <c r="CJ41" s="21">
        <f t="shared" ca="1" si="39"/>
        <v>0</v>
      </c>
      <c r="CK41" s="21">
        <f t="shared" ca="1" si="66"/>
        <v>0</v>
      </c>
      <c r="CL41" s="21" t="str">
        <f ca="1">IFERROR(VLOOKUP($CK41,Definitions!$V:$W,COLUMNS(Definitions!$V:$W),TRUE),"")</f>
        <v>Basic</v>
      </c>
      <c r="CM41" s="21" t="str">
        <f ca="1">_xlfn.LET(_xlpm._comments,SimpleLookup($A41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1" s="21" t="str" cm="1">
        <f t="array" ca="1" aca="1" ref="CN41">_xlfn.LET(_xlpm._rapRange,Definitions!$W:$W,_xlpm._calculatedRAP,$CL41,_xlpm._inlineRAP,$CM41,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1" s="21" t="str">
        <f ca="1">IFERROR(IF(OR($BP41="",$CN41=""),Definitions!$AE$4,VLOOKUP($BP41,Definitions!$AH:$AM,MATCH($CN41,Definitions!$AH$3:$AM$3,0),FALSE)),"")</f>
        <v>No Risk</v>
      </c>
      <c r="CP41" s="21" cm="1">
        <f t="array" ca="1" aca="1" ref="CP41">IF($CO41="",0,SimpleLookup($CO41,Definitions!$AE:$AF))</f>
        <v>0</v>
      </c>
      <c r="CQ41" s="21" t="b">
        <f ca="1">OR(AND($S41,$I41=Helper!$B$7),$I41&gt;Helper!$B$7)</f>
        <v>1</v>
      </c>
      <c r="CR41" s="21" t="str">
        <f t="shared" ca="1" si="67"/>
        <v/>
      </c>
      <c r="CS41" s="21" cm="1">
        <f t="array" ca="1" aca="1" ref="CS41">CreateID($CS$2,$CV:$CV,$CR41&lt;&gt;"")</f>
        <v>0</v>
      </c>
      <c r="CT41" s="21" t="str">
        <f ca="1">IF(IFERROR(MATCH(","&amp;A41&amp;",",'Risk Treatment'!$AT:$AT,0)&gt;0,FALSE),"",$A41)</f>
        <v/>
      </c>
      <c r="CU41" s="21" cm="1">
        <f t="array" ca="1" aca="1" ref="CU41">CreateID($CU$2,$CU:$CU,$CT41&lt;&gt;"")</f>
        <v>38</v>
      </c>
    </row>
    <row r="42" spans="1:99" ht="15">
      <c r="A42" s="33" t="str" cm="1">
        <f t="array" ca="1" aca="1" ref="A42">IF($B42="","","R"&amp;RemoveDelimiter(SUBSTITUTE(SUBSTITUTE($K42,"AS",""),",","-"),"-"))</f>
        <v/>
      </c>
      <c r="B42" s="33" t="str" cm="1">
        <f t="array" ca="1" aca="1" ref="B42">IF($L42="","",_xlfn.LET(_xlpm._finalAttackStep,$L42,_xlpm._prepAttacks,RemoveFirstElement(_xlpm._finalAttackStep&amp;","&amp;$K42),_xlpm._prepAttackNames,IFERROR(LookupNames(_xlpm._prepAttacks,'Attack Steps'!$A:$B),""),_xlpm._delimiter,REPT(CHAR(150),55),$L42&amp;" "&amp;SimpleLookup($L42,'Attack Steps'!$A:$B)&amp;IF(_xlpm._prepAttackNames="","",CHAR(10)&amp;_xlpm._delimiter&amp;CHAR(10)&amp;_xlpm._prepAttackNames)))</f>
        <v/>
      </c>
      <c r="C42" s="34" t="str" cm="1">
        <f t="array" ca="1" aca="1" ref="C42">IFERROR(LookupNames($M42,'Damage Scenarios'!$A:$V),"")</f>
        <v/>
      </c>
      <c r="D42" s="33" t="str">
        <f ca="1">IFERROR(IF($T42=0,"",INDEX(Definitions!$Q:$Q,MATCH($T42,Definitions!$R:$R,0))),"")</f>
        <v/>
      </c>
      <c r="E42" s="34" t="str" cm="1">
        <f t="array" ca="1" aca="1" ref="E42">IF($A42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42,$A:W,Definitions!$Y:$Y,Definitions!$AB:$AB,1)&amp;CHAR(10)&amp;_xlpm._factorFunction($A42,$A:X,Definitions!$Y:$Y,Definitions!$AB:$AB,2)&amp;CHAR(10)&amp;_xlpm._factorFunction($A42,$A:Y,Definitions!$Y:$Y,Definitions!$AB:$AB,3)&amp;CHAR(10)&amp;_xlpm._factorFunction($A42,$A:Z,Definitions!$Y:$Y,Definitions!$AB:$AB,4)&amp;CHAR(10)&amp;_xlpm._factorFunction($A42,$A:AA,Definitions!$Y:$Y,Definitions!$AB:$AB,5)))</f>
        <v/>
      </c>
      <c r="F42" s="33" t="str">
        <f ca="1">IF($A42="","",IFERROR(VLOOKUP($AG42,Definitions!$V:$W,COLUMNS(Definitions!$V:$W),TRUE),""))</f>
        <v/>
      </c>
      <c r="G42" s="33" t="str">
        <f ca="1">IFERROR(IF(OR($D42="",$F42=""),"",VLOOKUP($D42,Definitions!$AH:$AM,MATCH($F42,Definitions!$AH$3:$AM$3,0),FALSE)),"")</f>
        <v/>
      </c>
      <c r="H42" s="23" cm="1">
        <f t="array" ca="1" aca="1" ref="H42">IF(ROW()=ROW($H$2)+1,0,INDEX($H:$H,ROW()-1))+IF($A42="",0,1)</f>
        <v>38</v>
      </c>
      <c r="I42" s="21" cm="1">
        <f t="array" ca="1" aca="1" ref="I42">IF(ROW()=ROW($I$2)+1,1,INDEX($I:$I,ROW()-1)+IF(INDEX($S:$S,ROW()-1),1,0))</f>
        <v>16</v>
      </c>
      <c r="J42" s="21">
        <f t="shared" ca="1" si="63"/>
        <v>2</v>
      </c>
      <c r="K42" s="21" t="str">
        <f t="shared" ca="1" si="68"/>
        <v/>
      </c>
      <c r="L42" s="21" t="str" cm="1">
        <f t="array" ca="1" aca="1" ref="L42">IF($P42="","",INDEX('Attack Steps'!$A:$A,$P42))</f>
        <v/>
      </c>
      <c r="M42" s="21" t="str" cm="1">
        <f t="array" ca="1" aca="1" ref="M42">IF($P42="","",INDEX('Attack Steps'!$T:$T,$P42))</f>
        <v/>
      </c>
      <c r="N42" s="21" t="str" cm="1">
        <f t="array" ca="1" aca="1" ref="N42">_xlfn.LET(_xlpm._dm,SanitizeInput(GetValuesWithFallback(SanitizeInput($AK42),Assumptions!$A:$I,Countermeasures!$A:$I,"",",",FALSE)),IF(_xlpm._dm="","",","&amp;_xlpm._dm))</f>
        <v/>
      </c>
      <c r="O42" s="21" t="str" cm="1">
        <f t="array" ca="1" aca="1" ref="O42">ApplyDamageMitigation($M42,$N42,"")</f>
        <v/>
      </c>
      <c r="P42" s="21" t="str">
        <f ca="1">IFERROR(MATCH($I42,'Attack Steps'!$V:$V,0),"")</f>
        <v/>
      </c>
      <c r="Q42" s="21" t="str" cm="1">
        <f t="array" ca="1" aca="1" ref="Q42">IF($P42="","","§"&amp;INDEX('Attack Steps'!$S:$S,$P42))</f>
        <v/>
      </c>
      <c r="R42" s="21" t="str" cm="1">
        <f t="array" ca="1" aca="1" ref="R42">IF($P42="","",INDEX('Attack Steps'!$W:$W,$P42))</f>
        <v/>
      </c>
      <c r="S42" s="21" t="b">
        <f t="shared" ca="1" si="69"/>
        <v>0</v>
      </c>
      <c r="T42" s="21" cm="1">
        <f t="array" ca="1" aca="1" ref="T42">_xlfn.LAMBDA(_xlpm._in,_xlpm._val,_xlpm._range,IF(_xlpm._in="",_xlpm._val,_xlfn.LET(_xlpm._id,LEFT(_xlpm._in,FIND(",",_xlpm._in)-1),CalculateMaxFromList(RemoveFirstElement(_xlpm._in),MAX(_xlpm._val,VLOOKUP(_xlpm._id,_xlpm._range,COLUMNS(_xlpm._range),FALSE)),_xlpm._range))))($M42,0,'Damage Scenarios'!$A:$U)</f>
        <v>0</v>
      </c>
      <c r="U42" s="21" cm="1">
        <f t="array" ca="1" aca="1" ref="U42">CalculateMaxFromList($O42,0,'Damage Scenarios'!$A:$U)</f>
        <v>0</v>
      </c>
      <c r="V42" s="21" t="str">
        <f ca="1">IF($U42=0,"",INDEX(Definitions!$Q:$Q,MATCH($U42,Definitions!$R:$R,0)))</f>
        <v/>
      </c>
      <c r="W42" s="21" t="str" cm="1">
        <f t="array" ca="1" aca="1" ref="W42">CalculateMaxAndElements($K42,0,"",'Attack Steps'!$A:X)</f>
        <v>0:</v>
      </c>
      <c r="X42" s="21" t="str" cm="1">
        <f t="array" ca="1" aca="1" ref="X42">CalculateMaxAndElements($K42,0,"",'Attack Steps'!$A:Y)</f>
        <v>0:</v>
      </c>
      <c r="Y42" s="21" t="str" cm="1">
        <f t="array" ca="1" aca="1" ref="Y42">CalculateMaxAndElements($K42,0,"",'Attack Steps'!$A:Z)</f>
        <v>0:</v>
      </c>
      <c r="Z42" s="21" t="str" cm="1">
        <f t="array" ca="1" aca="1" ref="Z42">CalculateMaxAndElements($K42,0,"",'Attack Steps'!$A:AA)</f>
        <v>0:</v>
      </c>
      <c r="AA42" s="21" t="str" cm="1">
        <f t="array" ca="1" aca="1" ref="AA42">CalculateMaxAndElements($K42,0,"",'Attack Steps'!$A:AB)</f>
        <v>0:</v>
      </c>
      <c r="AB42" s="21">
        <f t="shared" ca="1" si="70"/>
        <v>0</v>
      </c>
      <c r="AC42" s="21">
        <f t="shared" ca="1" si="71"/>
        <v>0</v>
      </c>
      <c r="AD42" s="21">
        <f t="shared" ca="1" si="72"/>
        <v>0</v>
      </c>
      <c r="AE42" s="21">
        <f t="shared" ca="1" si="73"/>
        <v>0</v>
      </c>
      <c r="AF42" s="21">
        <f t="shared" ca="1" si="74"/>
        <v>0</v>
      </c>
      <c r="AG42" s="21">
        <f t="shared" ca="1" si="64"/>
        <v>0</v>
      </c>
      <c r="AH42" s="21" t="str" cm="1">
        <f t="array" ca="1" aca="1" ref="AH42">IF(ROW()=ROW($AH$2)+1,"",INDEX($AH:$AH,ROW()-1))&amp;IF($A42="","",$A42&amp;",")</f>
        <v>R1-3,R2-3,R1-4,R2-4,R1-6,R2-6,R1-7,R2-7,R1-3-10,R2-3-10,R1-3-11,R2-3-11,R1-14,R1-16,R2-16,R21-23,R22-23,R1-29,R2-29,R31,R1-3-32,R2-3-32,R1-5-32,R2-5-32,R1-7-32,R2-7-32,R1-16-32,R2-16-32,R21-23-32,R22-23-32,R21-24-32,R22-24-32,R1-29-32,R2-29-32,R37,R38,R1-40,R2-40,</v>
      </c>
      <c r="AI42" s="21" t="str">
        <f t="shared" ca="1" si="75"/>
        <v/>
      </c>
      <c r="AJ42" s="21" cm="1">
        <f t="array" ca="1" aca="1" ref="AJ42">IF($G42="",0,SimpleLookup($G42,Definitions!$AE:$AF))</f>
        <v>0</v>
      </c>
      <c r="AK42" s="21" t="str" cm="1">
        <f t="array" ca="1" aca="1" ref="AK42">InverseLookup($A42,Mitigation!$U$2,Mitigation!$J$2,1,Helper!$B$5,",")</f>
        <v/>
      </c>
      <c r="AL42" s="21" t="str" cm="1">
        <f t="array" ca="1" aca="1" ref="AL42">CalculateMaxAndElementsWithFallback(SanitizeInput($AK42),0,"",Countermeasures!$A:Y,Assumptions!$A:Z)</f>
        <v>0:</v>
      </c>
      <c r="AM42" s="21" t="str" cm="1">
        <f t="array" ca="1" aca="1" ref="AM42">CalculateMaxAndElementsWithFallback(SanitizeInput($AK42),0,"",Countermeasures!$A:Z,Assumptions!$A:AA)</f>
        <v>0:</v>
      </c>
      <c r="AN42" s="21" t="str" cm="1">
        <f t="array" ca="1" aca="1" ref="AN42">CalculateMaxAndElementsWithFallback(SanitizeInput($AK42),0,"",Countermeasures!$A:AA,Assumptions!$A:AB)</f>
        <v>0:</v>
      </c>
      <c r="AO42" s="21" t="str" cm="1">
        <f t="array" ca="1" aca="1" ref="AO42">CalculateMaxAndElementsWithFallback(SanitizeInput($AK42),0,"",Countermeasures!$A:AB,Assumptions!$A:AC)</f>
        <v>0:</v>
      </c>
      <c r="AP42" s="21" t="str" cm="1">
        <f t="array" ca="1" aca="1" ref="AP42">CalculateMaxAndElementsWithFallback(SanitizeInput($AK42),0,"",Countermeasures!$A:AC,Assumptions!$A:AD)</f>
        <v>0:</v>
      </c>
      <c r="AQ42" s="21">
        <f t="shared" ca="1" si="76"/>
        <v>0</v>
      </c>
      <c r="AR42" s="21">
        <f t="shared" ca="1" si="77"/>
        <v>0</v>
      </c>
      <c r="AS42" s="21">
        <f t="shared" ca="1" si="78"/>
        <v>0</v>
      </c>
      <c r="AT42" s="21">
        <f t="shared" ca="1" si="79"/>
        <v>0</v>
      </c>
      <c r="AU42" s="21">
        <f t="shared" ca="1" si="80"/>
        <v>0</v>
      </c>
      <c r="AV42" s="21" t="str">
        <f t="shared" ca="1" si="81"/>
        <v>0:</v>
      </c>
      <c r="AW42" s="21" t="str">
        <f t="shared" ca="1" si="82"/>
        <v>0:</v>
      </c>
      <c r="AX42" s="21" t="str">
        <f t="shared" ca="1" si="83"/>
        <v>0:</v>
      </c>
      <c r="AY42" s="21" t="str">
        <f t="shared" ca="1" si="84"/>
        <v>0:</v>
      </c>
      <c r="AZ42" s="21" t="str">
        <f t="shared" ca="1" si="85"/>
        <v>0:</v>
      </c>
      <c r="BA42" s="21">
        <f t="shared" ca="1" si="86"/>
        <v>0</v>
      </c>
      <c r="BB42" s="21">
        <f t="shared" ca="1" si="87"/>
        <v>0</v>
      </c>
      <c r="BC42" s="21">
        <f t="shared" ca="1" si="88"/>
        <v>0</v>
      </c>
      <c r="BD42" s="21">
        <f t="shared" ca="1" si="89"/>
        <v>0</v>
      </c>
      <c r="BE42" s="21">
        <f t="shared" ca="1" si="90"/>
        <v>0</v>
      </c>
      <c r="BF42" s="21">
        <f t="shared" ca="1" si="65"/>
        <v>0</v>
      </c>
      <c r="BG42" s="21" t="str">
        <f ca="1">IFERROR(VLOOKUP($BF42,Definitions!$V:$W,COLUMNS(Definitions!$V:$W),TRUE),"")</f>
        <v>Basic</v>
      </c>
      <c r="BH42" s="21" t="str">
        <f ca="1">_xlfn.LET(_xlpm._comments,GetValues($K42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2" s="21" t="str" cm="1">
        <f t="array" ca="1" aca="1" ref="BI42">_xlfn.LET(_xlpm._rapRange,Definitions!$W:$W,_xlpm._calculatedRAP,$BG42,_xlpm._inlineRAP,$BH42,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2" s="21" t="str">
        <f ca="1">IFERROR(IF(OR($V42="",$BI42=""),Definitions!$AE$4,VLOOKUP($V42,Definitions!$AH:$AM,MATCH($BI42,Definitions!$AH$3:$AM$3,0),FALSE)),"")</f>
        <v>No Risk</v>
      </c>
      <c r="BK42" s="21" cm="1">
        <f t="array" ca="1" aca="1" ref="BK42">IF($BJ42="",0,SimpleLookup($BJ42,Definitions!$AE:$AF))</f>
        <v>0</v>
      </c>
      <c r="BL42" s="21" t="str" cm="1">
        <f t="array" ca="1" aca="1" ref="BL42">IFERROR(SimpleLookup($A42,Tracing!$B:$Z),"")</f>
        <v/>
      </c>
      <c r="BM42" s="21" t="str" cm="1">
        <f t="array" ca="1" aca="1" ref="BM42">_xlfn.LET(_xlpm._dm,SanitizeInput(GetValuesWithFallback(SanitizeInput($BL42),Assumptions!$A:$I,Countermeasures!$A:$I,"",",",FALSE)),IF(_xlpm._dm="","",","&amp;_xlpm._dm))</f>
        <v/>
      </c>
      <c r="BN42" s="21" t="str" cm="1">
        <f t="array" ca="1" aca="1" ref="BN42">ApplyDamageMitigation($M42,$BM42,"")</f>
        <v/>
      </c>
      <c r="BO42" s="21" cm="1">
        <f t="array" ca="1" aca="1" ref="BO42">CalculateMaxFromList($BN42,0,'Damage Scenarios'!$A:$U)</f>
        <v>0</v>
      </c>
      <c r="BP42" s="21" t="str">
        <f ca="1">IF($BO42=0,"",INDEX(Definitions!$Q:$Q,MATCH($BO42,Definitions!$R:$R,0)))</f>
        <v/>
      </c>
      <c r="BQ42" s="21" t="str" cm="1">
        <f t="array" ca="1" aca="1" ref="BQ42">CalculateMaxAndElementsWithFallback(SanitizeInput($BL42),0,"",Countermeasures!$A:Y,Assumptions!$A:Z)</f>
        <v>0:</v>
      </c>
      <c r="BR42" s="21" t="str" cm="1">
        <f t="array" ca="1" aca="1" ref="BR42">CalculateMaxAndElementsWithFallback(SanitizeInput($BL42),0,"",Countermeasures!$A:Z,Assumptions!$A:AA)</f>
        <v>0:</v>
      </c>
      <c r="BS42" s="21" t="str" cm="1">
        <f t="array" ca="1" aca="1" ref="BS42">CalculateMaxAndElementsWithFallback(SanitizeInput($BL42),0,"",Countermeasures!$A:AA,Assumptions!$A:AB)</f>
        <v>0:</v>
      </c>
      <c r="BT42" s="21" t="str" cm="1">
        <f t="array" ca="1" aca="1" ref="BT42">CalculateMaxAndElementsWithFallback(SanitizeInput($BL42),0,"",Countermeasures!$A:AB,Assumptions!$A:AC)</f>
        <v>0:</v>
      </c>
      <c r="BU42" s="21" t="str" cm="1">
        <f t="array" ca="1" aca="1" ref="BU42">CalculateMaxAndElementsWithFallback(SanitizeInput($BL42),0,"",Countermeasures!$A:AC,Assumptions!$A:AD)</f>
        <v>0:</v>
      </c>
      <c r="BV42" s="21">
        <f t="shared" ca="1" si="25"/>
        <v>0</v>
      </c>
      <c r="BW42" s="21">
        <f t="shared" ca="1" si="26"/>
        <v>0</v>
      </c>
      <c r="BX42" s="21">
        <f t="shared" ca="1" si="27"/>
        <v>0</v>
      </c>
      <c r="BY42" s="21">
        <f t="shared" ca="1" si="28"/>
        <v>0</v>
      </c>
      <c r="BZ42" s="21">
        <f t="shared" ca="1" si="29"/>
        <v>0</v>
      </c>
      <c r="CA42" s="21" t="str">
        <f t="shared" ca="1" si="30"/>
        <v>0:</v>
      </c>
      <c r="CB42" s="21" t="str">
        <f t="shared" ca="1" si="31"/>
        <v>0:</v>
      </c>
      <c r="CC42" s="21" t="str">
        <f t="shared" ca="1" si="32"/>
        <v>0:</v>
      </c>
      <c r="CD42" s="21" t="str">
        <f t="shared" ca="1" si="33"/>
        <v>0:</v>
      </c>
      <c r="CE42" s="21" t="str">
        <f t="shared" ca="1" si="34"/>
        <v>0:</v>
      </c>
      <c r="CF42" s="21">
        <f t="shared" ca="1" si="35"/>
        <v>0</v>
      </c>
      <c r="CG42" s="21">
        <f t="shared" ca="1" si="36"/>
        <v>0</v>
      </c>
      <c r="CH42" s="21">
        <f t="shared" ca="1" si="37"/>
        <v>0</v>
      </c>
      <c r="CI42" s="21">
        <f t="shared" ca="1" si="38"/>
        <v>0</v>
      </c>
      <c r="CJ42" s="21">
        <f t="shared" ca="1" si="39"/>
        <v>0</v>
      </c>
      <c r="CK42" s="21">
        <f t="shared" ca="1" si="66"/>
        <v>0</v>
      </c>
      <c r="CL42" s="21" t="str">
        <f ca="1">IFERROR(VLOOKUP($CK42,Definitions!$V:$W,COLUMNS(Definitions!$V:$W),TRUE),"")</f>
        <v>Basic</v>
      </c>
      <c r="CM42" s="21" t="str">
        <f ca="1">_xlfn.LET(_xlpm._comments,SimpleLookup($A42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2" s="21" t="str" cm="1">
        <f t="array" ca="1" aca="1" ref="CN42">_xlfn.LET(_xlpm._rapRange,Definitions!$W:$W,_xlpm._calculatedRAP,$CL42,_xlpm._inlineRAP,$CM42,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2" s="21" t="str">
        <f ca="1">IFERROR(IF(OR($BP42="",$CN42=""),Definitions!$AE$4,VLOOKUP($BP42,Definitions!$AH:$AM,MATCH($CN42,Definitions!$AH$3:$AM$3,0),FALSE)),"")</f>
        <v>No Risk</v>
      </c>
      <c r="CP42" s="21" cm="1">
        <f t="array" ca="1" aca="1" ref="CP42">IF($CO42="",0,SimpleLookup($CO42,Definitions!$AE:$AF))</f>
        <v>0</v>
      </c>
      <c r="CQ42" s="21" t="b">
        <f ca="1">OR(AND($S42,$I42=Helper!$B$7),$I42&gt;Helper!$B$7)</f>
        <v>1</v>
      </c>
      <c r="CR42" s="21" t="str">
        <f t="shared" ca="1" si="67"/>
        <v/>
      </c>
      <c r="CS42" s="21" cm="1">
        <f t="array" ca="1" aca="1" ref="CS42">CreateID($CS$2,$CV:$CV,$CR42&lt;&gt;"")</f>
        <v>0</v>
      </c>
      <c r="CT42" s="21" t="str">
        <f ca="1">IF(IFERROR(MATCH(","&amp;A42&amp;",",'Risk Treatment'!$AT:$AT,0)&gt;0,FALSE),"",$A42)</f>
        <v/>
      </c>
      <c r="CU42" s="21" cm="1">
        <f t="array" ca="1" aca="1" ref="CU42">CreateID($CU$2,$CU:$CU,$CT42&lt;&gt;"")</f>
        <v>38</v>
      </c>
    </row>
    <row r="43" spans="1:99" ht="15">
      <c r="A43" s="33" t="str" cm="1">
        <f t="array" ca="1" aca="1" ref="A43">IF($B43="","","R"&amp;RemoveDelimiter(SUBSTITUTE(SUBSTITUTE($K43,"AS",""),",","-"),"-"))</f>
        <v/>
      </c>
      <c r="B43" s="33" t="str" cm="1">
        <f t="array" ca="1" aca="1" ref="B43">IF($L43="","",_xlfn.LET(_xlpm._finalAttackStep,$L43,_xlpm._prepAttacks,RemoveFirstElement(_xlpm._finalAttackStep&amp;","&amp;$K43),_xlpm._prepAttackNames,IFERROR(LookupNames(_xlpm._prepAttacks,'Attack Steps'!$A:$B),""),_xlpm._delimiter,REPT(CHAR(150),55),$L43&amp;" "&amp;SimpleLookup($L43,'Attack Steps'!$A:$B)&amp;IF(_xlpm._prepAttackNames="","",CHAR(10)&amp;_xlpm._delimiter&amp;CHAR(10)&amp;_xlpm._prepAttackNames)))</f>
        <v/>
      </c>
      <c r="C43" s="34" t="str" cm="1">
        <f t="array" ca="1" aca="1" ref="C43">IFERROR(LookupNames($M43,'Damage Scenarios'!$A:$V),"")</f>
        <v/>
      </c>
      <c r="D43" s="33" t="str">
        <f ca="1">IFERROR(IF($T43=0,"",INDEX(Definitions!$Q:$Q,MATCH($T43,Definitions!$R:$R,0))),"")</f>
        <v/>
      </c>
      <c r="E43" s="34" t="str" cm="1">
        <f t="array" ca="1" aca="1" ref="E43">IF($A43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43,$A:W,Definitions!$Y:$Y,Definitions!$AB:$AB,1)&amp;CHAR(10)&amp;_xlpm._factorFunction($A43,$A:X,Definitions!$Y:$Y,Definitions!$AB:$AB,2)&amp;CHAR(10)&amp;_xlpm._factorFunction($A43,$A:Y,Definitions!$Y:$Y,Definitions!$AB:$AB,3)&amp;CHAR(10)&amp;_xlpm._factorFunction($A43,$A:Z,Definitions!$Y:$Y,Definitions!$AB:$AB,4)&amp;CHAR(10)&amp;_xlpm._factorFunction($A43,$A:AA,Definitions!$Y:$Y,Definitions!$AB:$AB,5)))</f>
        <v/>
      </c>
      <c r="F43" s="33" t="str">
        <f ca="1">IF($A43="","",IFERROR(VLOOKUP($AG43,Definitions!$V:$W,COLUMNS(Definitions!$V:$W),TRUE),""))</f>
        <v/>
      </c>
      <c r="G43" s="33" t="str">
        <f ca="1">IFERROR(IF(OR($D43="",$F43=""),"",VLOOKUP($D43,Definitions!$AH:$AM,MATCH($F43,Definitions!$AH$3:$AM$3,0),FALSE)),"")</f>
        <v/>
      </c>
      <c r="H43" s="23" cm="1">
        <f t="array" ca="1" aca="1" ref="H43">IF(ROW()=ROW($H$2)+1,0,INDEX($H:$H,ROW()-1))+IF($A43="",0,1)</f>
        <v>38</v>
      </c>
      <c r="I43" s="21" cm="1">
        <f t="array" ca="1" aca="1" ref="I43">IF(ROW()=ROW($I$2)+1,1,INDEX($I:$I,ROW()-1)+IF(INDEX($S:$S,ROW()-1),1,0))</f>
        <v>16</v>
      </c>
      <c r="J43" s="21">
        <f t="shared" ca="1" si="63"/>
        <v>3</v>
      </c>
      <c r="K43" s="21" t="str">
        <f t="shared" ca="1" si="68"/>
        <v/>
      </c>
      <c r="L43" s="21" t="str" cm="1">
        <f t="array" ca="1" aca="1" ref="L43">IF($P43="","",INDEX('Attack Steps'!$A:$A,$P43))</f>
        <v/>
      </c>
      <c r="M43" s="21" t="str" cm="1">
        <f t="array" ca="1" aca="1" ref="M43">IF($P43="","",INDEX('Attack Steps'!$T:$T,$P43))</f>
        <v/>
      </c>
      <c r="N43" s="21" t="str" cm="1">
        <f t="array" ca="1" aca="1" ref="N43">_xlfn.LET(_xlpm._dm,SanitizeInput(GetValuesWithFallback(SanitizeInput($AK43),Assumptions!$A:$I,Countermeasures!$A:$I,"",",",FALSE)),IF(_xlpm._dm="","",","&amp;_xlpm._dm))</f>
        <v/>
      </c>
      <c r="O43" s="21" t="str" cm="1">
        <f t="array" ca="1" aca="1" ref="O43">ApplyDamageMitigation($M43,$N43,"")</f>
        <v/>
      </c>
      <c r="P43" s="21" t="str">
        <f ca="1">IFERROR(MATCH($I43,'Attack Steps'!$V:$V,0),"")</f>
        <v/>
      </c>
      <c r="Q43" s="21" t="str" cm="1">
        <f t="array" ca="1" aca="1" ref="Q43">IF($P43="","","§"&amp;INDEX('Attack Steps'!$S:$S,$P43))</f>
        <v/>
      </c>
      <c r="R43" s="21" t="str" cm="1">
        <f t="array" ca="1" aca="1" ref="R43">IF($P43="","",INDEX('Attack Steps'!$W:$W,$P43))</f>
        <v/>
      </c>
      <c r="S43" s="21" t="b">
        <f t="shared" ca="1" si="69"/>
        <v>0</v>
      </c>
      <c r="T43" s="21" cm="1">
        <f t="array" ca="1" aca="1" ref="T43">_xlfn.LAMBDA(_xlpm._in,_xlpm._val,_xlpm._range,IF(_xlpm._in="",_xlpm._val,_xlfn.LET(_xlpm._id,LEFT(_xlpm._in,FIND(",",_xlpm._in)-1),CalculateMaxFromList(RemoveFirstElement(_xlpm._in),MAX(_xlpm._val,VLOOKUP(_xlpm._id,_xlpm._range,COLUMNS(_xlpm._range),FALSE)),_xlpm._range))))($M43,0,'Damage Scenarios'!$A:$U)</f>
        <v>0</v>
      </c>
      <c r="U43" s="21" cm="1">
        <f t="array" ca="1" aca="1" ref="U43">CalculateMaxFromList($O43,0,'Damage Scenarios'!$A:$U)</f>
        <v>0</v>
      </c>
      <c r="V43" s="21" t="str">
        <f ca="1">IF($U43=0,"",INDEX(Definitions!$Q:$Q,MATCH($U43,Definitions!$R:$R,0)))</f>
        <v/>
      </c>
      <c r="W43" s="21" t="str" cm="1">
        <f t="array" ca="1" aca="1" ref="W43">CalculateMaxAndElements($K43,0,"",'Attack Steps'!$A:X)</f>
        <v>0:</v>
      </c>
      <c r="X43" s="21" t="str" cm="1">
        <f t="array" ca="1" aca="1" ref="X43">CalculateMaxAndElements($K43,0,"",'Attack Steps'!$A:Y)</f>
        <v>0:</v>
      </c>
      <c r="Y43" s="21" t="str" cm="1">
        <f t="array" ca="1" aca="1" ref="Y43">CalculateMaxAndElements($K43,0,"",'Attack Steps'!$A:Z)</f>
        <v>0:</v>
      </c>
      <c r="Z43" s="21" t="str" cm="1">
        <f t="array" ca="1" aca="1" ref="Z43">CalculateMaxAndElements($K43,0,"",'Attack Steps'!$A:AA)</f>
        <v>0:</v>
      </c>
      <c r="AA43" s="21" t="str" cm="1">
        <f t="array" ca="1" aca="1" ref="AA43">CalculateMaxAndElements($K43,0,"",'Attack Steps'!$A:AB)</f>
        <v>0:</v>
      </c>
      <c r="AB43" s="21">
        <f t="shared" ca="1" si="70"/>
        <v>0</v>
      </c>
      <c r="AC43" s="21">
        <f t="shared" ca="1" si="71"/>
        <v>0</v>
      </c>
      <c r="AD43" s="21">
        <f t="shared" ca="1" si="72"/>
        <v>0</v>
      </c>
      <c r="AE43" s="21">
        <f t="shared" ca="1" si="73"/>
        <v>0</v>
      </c>
      <c r="AF43" s="21">
        <f t="shared" ca="1" si="74"/>
        <v>0</v>
      </c>
      <c r="AG43" s="21">
        <f t="shared" ca="1" si="64"/>
        <v>0</v>
      </c>
      <c r="AH43" s="21" t="str" cm="1">
        <f t="array" ca="1" aca="1" ref="AH43">IF(ROW()=ROW($AH$2)+1,"",INDEX($AH:$AH,ROW()-1))&amp;IF($A43="","",$A43&amp;",")</f>
        <v>R1-3,R2-3,R1-4,R2-4,R1-6,R2-6,R1-7,R2-7,R1-3-10,R2-3-10,R1-3-11,R2-3-11,R1-14,R1-16,R2-16,R21-23,R22-23,R1-29,R2-29,R31,R1-3-32,R2-3-32,R1-5-32,R2-5-32,R1-7-32,R2-7-32,R1-16-32,R2-16-32,R21-23-32,R22-23-32,R21-24-32,R22-24-32,R1-29-32,R2-29-32,R37,R38,R1-40,R2-40,</v>
      </c>
      <c r="AI43" s="21" t="str">
        <f t="shared" ca="1" si="75"/>
        <v/>
      </c>
      <c r="AJ43" s="21" cm="1">
        <f t="array" ca="1" aca="1" ref="AJ43">IF($G43="",0,SimpleLookup($G43,Definitions!$AE:$AF))</f>
        <v>0</v>
      </c>
      <c r="AK43" s="21" t="str" cm="1">
        <f t="array" ca="1" aca="1" ref="AK43">InverseLookup($A43,Mitigation!$U$2,Mitigation!$J$2,1,Helper!$B$5,",")</f>
        <v/>
      </c>
      <c r="AL43" s="21" t="str" cm="1">
        <f t="array" ca="1" aca="1" ref="AL43">CalculateMaxAndElementsWithFallback(SanitizeInput($AK43),0,"",Countermeasures!$A:Y,Assumptions!$A:Z)</f>
        <v>0:</v>
      </c>
      <c r="AM43" s="21" t="str" cm="1">
        <f t="array" ca="1" aca="1" ref="AM43">CalculateMaxAndElementsWithFallback(SanitizeInput($AK43),0,"",Countermeasures!$A:Z,Assumptions!$A:AA)</f>
        <v>0:</v>
      </c>
      <c r="AN43" s="21" t="str" cm="1">
        <f t="array" ca="1" aca="1" ref="AN43">CalculateMaxAndElementsWithFallback(SanitizeInput($AK43),0,"",Countermeasures!$A:AA,Assumptions!$A:AB)</f>
        <v>0:</v>
      </c>
      <c r="AO43" s="21" t="str" cm="1">
        <f t="array" ca="1" aca="1" ref="AO43">CalculateMaxAndElementsWithFallback(SanitizeInput($AK43),0,"",Countermeasures!$A:AB,Assumptions!$A:AC)</f>
        <v>0:</v>
      </c>
      <c r="AP43" s="21" t="str" cm="1">
        <f t="array" ca="1" aca="1" ref="AP43">CalculateMaxAndElementsWithFallback(SanitizeInput($AK43),0,"",Countermeasures!$A:AC,Assumptions!$A:AD)</f>
        <v>0:</v>
      </c>
      <c r="AQ43" s="21">
        <f t="shared" ca="1" si="76"/>
        <v>0</v>
      </c>
      <c r="AR43" s="21">
        <f t="shared" ca="1" si="77"/>
        <v>0</v>
      </c>
      <c r="AS43" s="21">
        <f t="shared" ca="1" si="78"/>
        <v>0</v>
      </c>
      <c r="AT43" s="21">
        <f t="shared" ca="1" si="79"/>
        <v>0</v>
      </c>
      <c r="AU43" s="21">
        <f t="shared" ca="1" si="80"/>
        <v>0</v>
      </c>
      <c r="AV43" s="21" t="str">
        <f t="shared" ca="1" si="81"/>
        <v>0:</v>
      </c>
      <c r="AW43" s="21" t="str">
        <f t="shared" ca="1" si="82"/>
        <v>0:</v>
      </c>
      <c r="AX43" s="21" t="str">
        <f t="shared" ca="1" si="83"/>
        <v>0:</v>
      </c>
      <c r="AY43" s="21" t="str">
        <f t="shared" ca="1" si="84"/>
        <v>0:</v>
      </c>
      <c r="AZ43" s="21" t="str">
        <f t="shared" ca="1" si="85"/>
        <v>0:</v>
      </c>
      <c r="BA43" s="21">
        <f t="shared" ca="1" si="86"/>
        <v>0</v>
      </c>
      <c r="BB43" s="21">
        <f t="shared" ca="1" si="87"/>
        <v>0</v>
      </c>
      <c r="BC43" s="21">
        <f t="shared" ca="1" si="88"/>
        <v>0</v>
      </c>
      <c r="BD43" s="21">
        <f t="shared" ca="1" si="89"/>
        <v>0</v>
      </c>
      <c r="BE43" s="21">
        <f t="shared" ca="1" si="90"/>
        <v>0</v>
      </c>
      <c r="BF43" s="21">
        <f t="shared" ca="1" si="65"/>
        <v>0</v>
      </c>
      <c r="BG43" s="21" t="str">
        <f ca="1">IFERROR(VLOOKUP($BF43,Definitions!$V:$W,COLUMNS(Definitions!$V:$W),TRUE),"")</f>
        <v>Basic</v>
      </c>
      <c r="BH43" s="21" t="str">
        <f ca="1">_xlfn.LET(_xlpm._comments,GetValues($K43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3" s="21" t="str" cm="1">
        <f t="array" ca="1" aca="1" ref="BI43">_xlfn.LET(_xlpm._rapRange,Definitions!$W:$W,_xlpm._calculatedRAP,$BG43,_xlpm._inlineRAP,$BH43,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3" s="21" t="str">
        <f ca="1">IFERROR(IF(OR($V43="",$BI43=""),Definitions!$AE$4,VLOOKUP($V43,Definitions!$AH:$AM,MATCH($BI43,Definitions!$AH$3:$AM$3,0),FALSE)),"")</f>
        <v>No Risk</v>
      </c>
      <c r="BK43" s="21" cm="1">
        <f t="array" ca="1" aca="1" ref="BK43">IF($BJ43="",0,SimpleLookup($BJ43,Definitions!$AE:$AF))</f>
        <v>0</v>
      </c>
      <c r="BL43" s="21" t="str" cm="1">
        <f t="array" ca="1" aca="1" ref="BL43">IFERROR(SimpleLookup($A43,Tracing!$B:$Z),"")</f>
        <v/>
      </c>
      <c r="BM43" s="21" t="str" cm="1">
        <f t="array" ca="1" aca="1" ref="BM43">_xlfn.LET(_xlpm._dm,SanitizeInput(GetValuesWithFallback(SanitizeInput($BL43),Assumptions!$A:$I,Countermeasures!$A:$I,"",",",FALSE)),IF(_xlpm._dm="","",","&amp;_xlpm._dm))</f>
        <v/>
      </c>
      <c r="BN43" s="21" t="str" cm="1">
        <f t="array" ca="1" aca="1" ref="BN43">ApplyDamageMitigation($M43,$BM43,"")</f>
        <v/>
      </c>
      <c r="BO43" s="21" cm="1">
        <f t="array" ca="1" aca="1" ref="BO43">CalculateMaxFromList($BN43,0,'Damage Scenarios'!$A:$U)</f>
        <v>0</v>
      </c>
      <c r="BP43" s="21" t="str">
        <f ca="1">IF($BO43=0,"",INDEX(Definitions!$Q:$Q,MATCH($BO43,Definitions!$R:$R,0)))</f>
        <v/>
      </c>
      <c r="BQ43" s="21" t="str" cm="1">
        <f t="array" ca="1" aca="1" ref="BQ43">CalculateMaxAndElementsWithFallback(SanitizeInput($BL43),0,"",Countermeasures!$A:Y,Assumptions!$A:Z)</f>
        <v>0:</v>
      </c>
      <c r="BR43" s="21" t="str" cm="1">
        <f t="array" ca="1" aca="1" ref="BR43">CalculateMaxAndElementsWithFallback(SanitizeInput($BL43),0,"",Countermeasures!$A:Z,Assumptions!$A:AA)</f>
        <v>0:</v>
      </c>
      <c r="BS43" s="21" t="str" cm="1">
        <f t="array" ca="1" aca="1" ref="BS43">CalculateMaxAndElementsWithFallback(SanitizeInput($BL43),0,"",Countermeasures!$A:AA,Assumptions!$A:AB)</f>
        <v>0:</v>
      </c>
      <c r="BT43" s="21" t="str" cm="1">
        <f t="array" ca="1" aca="1" ref="BT43">CalculateMaxAndElementsWithFallback(SanitizeInput($BL43),0,"",Countermeasures!$A:AB,Assumptions!$A:AC)</f>
        <v>0:</v>
      </c>
      <c r="BU43" s="21" t="str" cm="1">
        <f t="array" ca="1" aca="1" ref="BU43">CalculateMaxAndElementsWithFallback(SanitizeInput($BL43),0,"",Countermeasures!$A:AC,Assumptions!$A:AD)</f>
        <v>0:</v>
      </c>
      <c r="BV43" s="21">
        <f t="shared" ca="1" si="25"/>
        <v>0</v>
      </c>
      <c r="BW43" s="21">
        <f t="shared" ca="1" si="26"/>
        <v>0</v>
      </c>
      <c r="BX43" s="21">
        <f t="shared" ca="1" si="27"/>
        <v>0</v>
      </c>
      <c r="BY43" s="21">
        <f t="shared" ca="1" si="28"/>
        <v>0</v>
      </c>
      <c r="BZ43" s="21">
        <f t="shared" ca="1" si="29"/>
        <v>0</v>
      </c>
      <c r="CA43" s="21" t="str">
        <f t="shared" ca="1" si="30"/>
        <v>0:</v>
      </c>
      <c r="CB43" s="21" t="str">
        <f t="shared" ca="1" si="31"/>
        <v>0:</v>
      </c>
      <c r="CC43" s="21" t="str">
        <f t="shared" ca="1" si="32"/>
        <v>0:</v>
      </c>
      <c r="CD43" s="21" t="str">
        <f t="shared" ca="1" si="33"/>
        <v>0:</v>
      </c>
      <c r="CE43" s="21" t="str">
        <f t="shared" ca="1" si="34"/>
        <v>0:</v>
      </c>
      <c r="CF43" s="21">
        <f t="shared" ca="1" si="35"/>
        <v>0</v>
      </c>
      <c r="CG43" s="21">
        <f t="shared" ca="1" si="36"/>
        <v>0</v>
      </c>
      <c r="CH43" s="21">
        <f t="shared" ca="1" si="37"/>
        <v>0</v>
      </c>
      <c r="CI43" s="21">
        <f t="shared" ca="1" si="38"/>
        <v>0</v>
      </c>
      <c r="CJ43" s="21">
        <f t="shared" ca="1" si="39"/>
        <v>0</v>
      </c>
      <c r="CK43" s="21">
        <f t="shared" ca="1" si="66"/>
        <v>0</v>
      </c>
      <c r="CL43" s="21" t="str">
        <f ca="1">IFERROR(VLOOKUP($CK43,Definitions!$V:$W,COLUMNS(Definitions!$V:$W),TRUE),"")</f>
        <v>Basic</v>
      </c>
      <c r="CM43" s="21" t="str">
        <f ca="1">_xlfn.LET(_xlpm._comments,SimpleLookup($A43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3" s="21" t="str" cm="1">
        <f t="array" ca="1" aca="1" ref="CN43">_xlfn.LET(_xlpm._rapRange,Definitions!$W:$W,_xlpm._calculatedRAP,$CL43,_xlpm._inlineRAP,$CM43,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3" s="21" t="str">
        <f ca="1">IFERROR(IF(OR($BP43="",$CN43=""),Definitions!$AE$4,VLOOKUP($BP43,Definitions!$AH:$AM,MATCH($CN43,Definitions!$AH$3:$AM$3,0),FALSE)),"")</f>
        <v>No Risk</v>
      </c>
      <c r="CP43" s="21" cm="1">
        <f t="array" ca="1" aca="1" ref="CP43">IF($CO43="",0,SimpleLookup($CO43,Definitions!$AE:$AF))</f>
        <v>0</v>
      </c>
      <c r="CQ43" s="21" t="b">
        <f ca="1">OR(AND($S43,$I43=Helper!$B$7),$I43&gt;Helper!$B$7)</f>
        <v>1</v>
      </c>
      <c r="CR43" s="21" t="str">
        <f t="shared" ca="1" si="67"/>
        <v/>
      </c>
      <c r="CS43" s="21" cm="1">
        <f t="array" ca="1" aca="1" ref="CS43">CreateID($CS$2,$CV:$CV,$CR43&lt;&gt;"")</f>
        <v>0</v>
      </c>
      <c r="CT43" s="21" t="str">
        <f ca="1">IF(IFERROR(MATCH(","&amp;A43&amp;",",'Risk Treatment'!$AT:$AT,0)&gt;0,FALSE),"",$A43)</f>
        <v/>
      </c>
      <c r="CU43" s="21" cm="1">
        <f t="array" ca="1" aca="1" ref="CU43">CreateID($CU$2,$CU:$CU,$CT43&lt;&gt;"")</f>
        <v>38</v>
      </c>
    </row>
    <row r="44" spans="1:99" ht="15">
      <c r="A44" s="33" t="str" cm="1">
        <f t="array" ca="1" aca="1" ref="A44">IF($B44="","","R"&amp;RemoveDelimiter(SUBSTITUTE(SUBSTITUTE($K44,"AS",""),",","-"),"-"))</f>
        <v/>
      </c>
      <c r="B44" s="33" t="str" cm="1">
        <f t="array" ca="1" aca="1" ref="B44">IF($L44="","",_xlfn.LET(_xlpm._finalAttackStep,$L44,_xlpm._prepAttacks,RemoveFirstElement(_xlpm._finalAttackStep&amp;","&amp;$K44),_xlpm._prepAttackNames,IFERROR(LookupNames(_xlpm._prepAttacks,'Attack Steps'!$A:$B),""),_xlpm._delimiter,REPT(CHAR(150),55),$L44&amp;" "&amp;SimpleLookup($L44,'Attack Steps'!$A:$B)&amp;IF(_xlpm._prepAttackNames="","",CHAR(10)&amp;_xlpm._delimiter&amp;CHAR(10)&amp;_xlpm._prepAttackNames)))</f>
        <v/>
      </c>
      <c r="C44" s="34" t="str" cm="1">
        <f t="array" ca="1" aca="1" ref="C44">IFERROR(LookupNames($M44,'Damage Scenarios'!$A:$V),"")</f>
        <v/>
      </c>
      <c r="D44" s="33" t="str">
        <f ca="1">IFERROR(IF($T44=0,"",INDEX(Definitions!$Q:$Q,MATCH($T44,Definitions!$R:$R,0))),"")</f>
        <v/>
      </c>
      <c r="E44" s="34" t="str" cm="1">
        <f t="array" ca="1" aca="1" ref="E44">IF($A44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44,$A:W,Definitions!$Y:$Y,Definitions!$AB:$AB,1)&amp;CHAR(10)&amp;_xlpm._factorFunction($A44,$A:X,Definitions!$Y:$Y,Definitions!$AB:$AB,2)&amp;CHAR(10)&amp;_xlpm._factorFunction($A44,$A:Y,Definitions!$Y:$Y,Definitions!$AB:$AB,3)&amp;CHAR(10)&amp;_xlpm._factorFunction($A44,$A:Z,Definitions!$Y:$Y,Definitions!$AB:$AB,4)&amp;CHAR(10)&amp;_xlpm._factorFunction($A44,$A:AA,Definitions!$Y:$Y,Definitions!$AB:$AB,5)))</f>
        <v/>
      </c>
      <c r="F44" s="33" t="str">
        <f ca="1">IF($A44="","",IFERROR(VLOOKUP($AG44,Definitions!$V:$W,COLUMNS(Definitions!$V:$W),TRUE),""))</f>
        <v/>
      </c>
      <c r="G44" s="33" t="str">
        <f ca="1">IFERROR(IF(OR($D44="",$F44=""),"",VLOOKUP($D44,Definitions!$AH:$AM,MATCH($F44,Definitions!$AH$3:$AM$3,0),FALSE)),"")</f>
        <v/>
      </c>
      <c r="H44" s="23" cm="1">
        <f t="array" ca="1" aca="1" ref="H44">IF(ROW()=ROW($H$2)+1,0,INDEX($H:$H,ROW()-1))+IF($A44="",0,1)</f>
        <v>38</v>
      </c>
      <c r="I44" s="21" cm="1">
        <f t="array" ca="1" aca="1" ref="I44">IF(ROW()=ROW($I$2)+1,1,INDEX($I:$I,ROW()-1)+IF(INDEX($S:$S,ROW()-1),1,0))</f>
        <v>16</v>
      </c>
      <c r="J44" s="21">
        <f t="shared" ca="1" si="63"/>
        <v>4</v>
      </c>
      <c r="K44" s="21" t="str">
        <f t="shared" ca="1" si="68"/>
        <v/>
      </c>
      <c r="L44" s="21" t="str" cm="1">
        <f t="array" ca="1" aca="1" ref="L44">IF($P44="","",INDEX('Attack Steps'!$A:$A,$P44))</f>
        <v/>
      </c>
      <c r="M44" s="21" t="str" cm="1">
        <f t="array" ca="1" aca="1" ref="M44">IF($P44="","",INDEX('Attack Steps'!$T:$T,$P44))</f>
        <v/>
      </c>
      <c r="N44" s="21" t="str" cm="1">
        <f t="array" ca="1" aca="1" ref="N44">_xlfn.LET(_xlpm._dm,SanitizeInput(GetValuesWithFallback(SanitizeInput($AK44),Assumptions!$A:$I,Countermeasures!$A:$I,"",",",FALSE)),IF(_xlpm._dm="","",","&amp;_xlpm._dm))</f>
        <v/>
      </c>
      <c r="O44" s="21" t="str" cm="1">
        <f t="array" ca="1" aca="1" ref="O44">ApplyDamageMitigation($M44,$N44,"")</f>
        <v/>
      </c>
      <c r="P44" s="21" t="str">
        <f ca="1">IFERROR(MATCH($I44,'Attack Steps'!$V:$V,0),"")</f>
        <v/>
      </c>
      <c r="Q44" s="21" t="str" cm="1">
        <f t="array" ca="1" aca="1" ref="Q44">IF($P44="","","§"&amp;INDEX('Attack Steps'!$S:$S,$P44))</f>
        <v/>
      </c>
      <c r="R44" s="21" t="str" cm="1">
        <f t="array" ca="1" aca="1" ref="R44">IF($P44="","",INDEX('Attack Steps'!$W:$W,$P44))</f>
        <v/>
      </c>
      <c r="S44" s="21" t="b">
        <f t="shared" ca="1" si="69"/>
        <v>0</v>
      </c>
      <c r="T44" s="21" cm="1">
        <f t="array" ca="1" aca="1" ref="T44">_xlfn.LAMBDA(_xlpm._in,_xlpm._val,_xlpm._range,IF(_xlpm._in="",_xlpm._val,_xlfn.LET(_xlpm._id,LEFT(_xlpm._in,FIND(",",_xlpm._in)-1),CalculateMaxFromList(RemoveFirstElement(_xlpm._in),MAX(_xlpm._val,VLOOKUP(_xlpm._id,_xlpm._range,COLUMNS(_xlpm._range),FALSE)),_xlpm._range))))($M44,0,'Damage Scenarios'!$A:$U)</f>
        <v>0</v>
      </c>
      <c r="U44" s="21" cm="1">
        <f t="array" ca="1" aca="1" ref="U44">CalculateMaxFromList($O44,0,'Damage Scenarios'!$A:$U)</f>
        <v>0</v>
      </c>
      <c r="V44" s="21" t="str">
        <f ca="1">IF($U44=0,"",INDEX(Definitions!$Q:$Q,MATCH($U44,Definitions!$R:$R,0)))</f>
        <v/>
      </c>
      <c r="W44" s="21" t="str" cm="1">
        <f t="array" ca="1" aca="1" ref="W44">CalculateMaxAndElements($K44,0,"",'Attack Steps'!$A:X)</f>
        <v>0:</v>
      </c>
      <c r="X44" s="21" t="str" cm="1">
        <f t="array" ca="1" aca="1" ref="X44">CalculateMaxAndElements($K44,0,"",'Attack Steps'!$A:Y)</f>
        <v>0:</v>
      </c>
      <c r="Y44" s="21" t="str" cm="1">
        <f t="array" ca="1" aca="1" ref="Y44">CalculateMaxAndElements($K44,0,"",'Attack Steps'!$A:Z)</f>
        <v>0:</v>
      </c>
      <c r="Z44" s="21" t="str" cm="1">
        <f t="array" ca="1" aca="1" ref="Z44">CalculateMaxAndElements($K44,0,"",'Attack Steps'!$A:AA)</f>
        <v>0:</v>
      </c>
      <c r="AA44" s="21" t="str" cm="1">
        <f t="array" ca="1" aca="1" ref="AA44">CalculateMaxAndElements($K44,0,"",'Attack Steps'!$A:AB)</f>
        <v>0:</v>
      </c>
      <c r="AB44" s="21">
        <f t="shared" ca="1" si="70"/>
        <v>0</v>
      </c>
      <c r="AC44" s="21">
        <f t="shared" ca="1" si="71"/>
        <v>0</v>
      </c>
      <c r="AD44" s="21">
        <f t="shared" ca="1" si="72"/>
        <v>0</v>
      </c>
      <c r="AE44" s="21">
        <f t="shared" ca="1" si="73"/>
        <v>0</v>
      </c>
      <c r="AF44" s="21">
        <f t="shared" ca="1" si="74"/>
        <v>0</v>
      </c>
      <c r="AG44" s="21">
        <f t="shared" ca="1" si="64"/>
        <v>0</v>
      </c>
      <c r="AH44" s="21" t="str" cm="1">
        <f t="array" ca="1" aca="1" ref="AH44">IF(ROW()=ROW($AH$2)+1,"",INDEX($AH:$AH,ROW()-1))&amp;IF($A44="","",$A44&amp;",")</f>
        <v>R1-3,R2-3,R1-4,R2-4,R1-6,R2-6,R1-7,R2-7,R1-3-10,R2-3-10,R1-3-11,R2-3-11,R1-14,R1-16,R2-16,R21-23,R22-23,R1-29,R2-29,R31,R1-3-32,R2-3-32,R1-5-32,R2-5-32,R1-7-32,R2-7-32,R1-16-32,R2-16-32,R21-23-32,R22-23-32,R21-24-32,R22-24-32,R1-29-32,R2-29-32,R37,R38,R1-40,R2-40,</v>
      </c>
      <c r="AI44" s="21" t="str">
        <f t="shared" ca="1" si="75"/>
        <v/>
      </c>
      <c r="AJ44" s="21" cm="1">
        <f t="array" ca="1" aca="1" ref="AJ44">IF($G44="",0,SimpleLookup($G44,Definitions!$AE:$AF))</f>
        <v>0</v>
      </c>
      <c r="AK44" s="21" t="str" cm="1">
        <f t="array" ca="1" aca="1" ref="AK44">InverseLookup($A44,Mitigation!$U$2,Mitigation!$J$2,1,Helper!$B$5,",")</f>
        <v/>
      </c>
      <c r="AL44" s="21" t="str" cm="1">
        <f t="array" ca="1" aca="1" ref="AL44">CalculateMaxAndElementsWithFallback(SanitizeInput($AK44),0,"",Countermeasures!$A:Y,Assumptions!$A:Z)</f>
        <v>0:</v>
      </c>
      <c r="AM44" s="21" t="str" cm="1">
        <f t="array" ca="1" aca="1" ref="AM44">CalculateMaxAndElementsWithFallback(SanitizeInput($AK44),0,"",Countermeasures!$A:Z,Assumptions!$A:AA)</f>
        <v>0:</v>
      </c>
      <c r="AN44" s="21" t="str" cm="1">
        <f t="array" ca="1" aca="1" ref="AN44">CalculateMaxAndElementsWithFallback(SanitizeInput($AK44),0,"",Countermeasures!$A:AA,Assumptions!$A:AB)</f>
        <v>0:</v>
      </c>
      <c r="AO44" s="21" t="str" cm="1">
        <f t="array" ca="1" aca="1" ref="AO44">CalculateMaxAndElementsWithFallback(SanitizeInput($AK44),0,"",Countermeasures!$A:AB,Assumptions!$A:AC)</f>
        <v>0:</v>
      </c>
      <c r="AP44" s="21" t="str" cm="1">
        <f t="array" ca="1" aca="1" ref="AP44">CalculateMaxAndElementsWithFallback(SanitizeInput($AK44),0,"",Countermeasures!$A:AC,Assumptions!$A:AD)</f>
        <v>0:</v>
      </c>
      <c r="AQ44" s="21">
        <f t="shared" ca="1" si="76"/>
        <v>0</v>
      </c>
      <c r="AR44" s="21">
        <f t="shared" ca="1" si="77"/>
        <v>0</v>
      </c>
      <c r="AS44" s="21">
        <f t="shared" ca="1" si="78"/>
        <v>0</v>
      </c>
      <c r="AT44" s="21">
        <f t="shared" ca="1" si="79"/>
        <v>0</v>
      </c>
      <c r="AU44" s="21">
        <f t="shared" ca="1" si="80"/>
        <v>0</v>
      </c>
      <c r="AV44" s="21" t="str">
        <f t="shared" ca="1" si="81"/>
        <v>0:</v>
      </c>
      <c r="AW44" s="21" t="str">
        <f t="shared" ca="1" si="82"/>
        <v>0:</v>
      </c>
      <c r="AX44" s="21" t="str">
        <f t="shared" ca="1" si="83"/>
        <v>0:</v>
      </c>
      <c r="AY44" s="21" t="str">
        <f t="shared" ca="1" si="84"/>
        <v>0:</v>
      </c>
      <c r="AZ44" s="21" t="str">
        <f t="shared" ca="1" si="85"/>
        <v>0:</v>
      </c>
      <c r="BA44" s="21">
        <f t="shared" ca="1" si="86"/>
        <v>0</v>
      </c>
      <c r="BB44" s="21">
        <f t="shared" ca="1" si="87"/>
        <v>0</v>
      </c>
      <c r="BC44" s="21">
        <f t="shared" ca="1" si="88"/>
        <v>0</v>
      </c>
      <c r="BD44" s="21">
        <f t="shared" ca="1" si="89"/>
        <v>0</v>
      </c>
      <c r="BE44" s="21">
        <f t="shared" ca="1" si="90"/>
        <v>0</v>
      </c>
      <c r="BF44" s="21">
        <f t="shared" ca="1" si="65"/>
        <v>0</v>
      </c>
      <c r="BG44" s="21" t="str">
        <f ca="1">IFERROR(VLOOKUP($BF44,Definitions!$V:$W,COLUMNS(Definitions!$V:$W),TRUE),"")</f>
        <v>Basic</v>
      </c>
      <c r="BH44" s="21" t="str">
        <f ca="1">_xlfn.LET(_xlpm._comments,GetValues($K44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4" s="21" t="str" cm="1">
        <f t="array" ca="1" aca="1" ref="BI44">_xlfn.LET(_xlpm._rapRange,Definitions!$W:$W,_xlpm._calculatedRAP,$BG44,_xlpm._inlineRAP,$BH44,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4" s="21" t="str">
        <f ca="1">IFERROR(IF(OR($V44="",$BI44=""),Definitions!$AE$4,VLOOKUP($V44,Definitions!$AH:$AM,MATCH($BI44,Definitions!$AH$3:$AM$3,0),FALSE)),"")</f>
        <v>No Risk</v>
      </c>
      <c r="BK44" s="21" cm="1">
        <f t="array" ca="1" aca="1" ref="BK44">IF($BJ44="",0,SimpleLookup($BJ44,Definitions!$AE:$AF))</f>
        <v>0</v>
      </c>
      <c r="BL44" s="21" t="str" cm="1">
        <f t="array" ca="1" aca="1" ref="BL44">IFERROR(SimpleLookup($A44,Tracing!$B:$Z),"")</f>
        <v/>
      </c>
      <c r="BM44" s="21" t="str" cm="1">
        <f t="array" ca="1" aca="1" ref="BM44">_xlfn.LET(_xlpm._dm,SanitizeInput(GetValuesWithFallback(SanitizeInput($BL44),Assumptions!$A:$I,Countermeasures!$A:$I,"",",",FALSE)),IF(_xlpm._dm="","",","&amp;_xlpm._dm))</f>
        <v/>
      </c>
      <c r="BN44" s="21" t="str" cm="1">
        <f t="array" ca="1" aca="1" ref="BN44">ApplyDamageMitigation($M44,$BM44,"")</f>
        <v/>
      </c>
      <c r="BO44" s="21" cm="1">
        <f t="array" ca="1" aca="1" ref="BO44">CalculateMaxFromList($BN44,0,'Damage Scenarios'!$A:$U)</f>
        <v>0</v>
      </c>
      <c r="BP44" s="21" t="str">
        <f ca="1">IF($BO44=0,"",INDEX(Definitions!$Q:$Q,MATCH($BO44,Definitions!$R:$R,0)))</f>
        <v/>
      </c>
      <c r="BQ44" s="21" t="str" cm="1">
        <f t="array" ca="1" aca="1" ref="BQ44">CalculateMaxAndElementsWithFallback(SanitizeInput($BL44),0,"",Countermeasures!$A:Y,Assumptions!$A:Z)</f>
        <v>0:</v>
      </c>
      <c r="BR44" s="21" t="str" cm="1">
        <f t="array" ca="1" aca="1" ref="BR44">CalculateMaxAndElementsWithFallback(SanitizeInput($BL44),0,"",Countermeasures!$A:Z,Assumptions!$A:AA)</f>
        <v>0:</v>
      </c>
      <c r="BS44" s="21" t="str" cm="1">
        <f t="array" ca="1" aca="1" ref="BS44">CalculateMaxAndElementsWithFallback(SanitizeInput($BL44),0,"",Countermeasures!$A:AA,Assumptions!$A:AB)</f>
        <v>0:</v>
      </c>
      <c r="BT44" s="21" t="str" cm="1">
        <f t="array" ca="1" aca="1" ref="BT44">CalculateMaxAndElementsWithFallback(SanitizeInput($BL44),0,"",Countermeasures!$A:AB,Assumptions!$A:AC)</f>
        <v>0:</v>
      </c>
      <c r="BU44" s="21" t="str" cm="1">
        <f t="array" ca="1" aca="1" ref="BU44">CalculateMaxAndElementsWithFallback(SanitizeInput($BL44),0,"",Countermeasures!$A:AC,Assumptions!$A:AD)</f>
        <v>0:</v>
      </c>
      <c r="BV44" s="21">
        <f t="shared" ca="1" si="25"/>
        <v>0</v>
      </c>
      <c r="BW44" s="21">
        <f t="shared" ca="1" si="26"/>
        <v>0</v>
      </c>
      <c r="BX44" s="21">
        <f t="shared" ca="1" si="27"/>
        <v>0</v>
      </c>
      <c r="BY44" s="21">
        <f t="shared" ca="1" si="28"/>
        <v>0</v>
      </c>
      <c r="BZ44" s="21">
        <f t="shared" ca="1" si="29"/>
        <v>0</v>
      </c>
      <c r="CA44" s="21" t="str">
        <f t="shared" ca="1" si="30"/>
        <v>0:</v>
      </c>
      <c r="CB44" s="21" t="str">
        <f t="shared" ca="1" si="31"/>
        <v>0:</v>
      </c>
      <c r="CC44" s="21" t="str">
        <f t="shared" ca="1" si="32"/>
        <v>0:</v>
      </c>
      <c r="CD44" s="21" t="str">
        <f t="shared" ca="1" si="33"/>
        <v>0:</v>
      </c>
      <c r="CE44" s="21" t="str">
        <f t="shared" ca="1" si="34"/>
        <v>0:</v>
      </c>
      <c r="CF44" s="21">
        <f t="shared" ca="1" si="35"/>
        <v>0</v>
      </c>
      <c r="CG44" s="21">
        <f t="shared" ca="1" si="36"/>
        <v>0</v>
      </c>
      <c r="CH44" s="21">
        <f t="shared" ca="1" si="37"/>
        <v>0</v>
      </c>
      <c r="CI44" s="21">
        <f t="shared" ca="1" si="38"/>
        <v>0</v>
      </c>
      <c r="CJ44" s="21">
        <f t="shared" ca="1" si="39"/>
        <v>0</v>
      </c>
      <c r="CK44" s="21">
        <f t="shared" ca="1" si="66"/>
        <v>0</v>
      </c>
      <c r="CL44" s="21" t="str">
        <f ca="1">IFERROR(VLOOKUP($CK44,Definitions!$V:$W,COLUMNS(Definitions!$V:$W),TRUE),"")</f>
        <v>Basic</v>
      </c>
      <c r="CM44" s="21" t="str">
        <f ca="1">_xlfn.LET(_xlpm._comments,SimpleLookup($A44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4" s="21" t="str" cm="1">
        <f t="array" ca="1" aca="1" ref="CN44">_xlfn.LET(_xlpm._rapRange,Definitions!$W:$W,_xlpm._calculatedRAP,$CL44,_xlpm._inlineRAP,$CM44,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4" s="21" t="str">
        <f ca="1">IFERROR(IF(OR($BP44="",$CN44=""),Definitions!$AE$4,VLOOKUP($BP44,Definitions!$AH:$AM,MATCH($CN44,Definitions!$AH$3:$AM$3,0),FALSE)),"")</f>
        <v>No Risk</v>
      </c>
      <c r="CP44" s="21" cm="1">
        <f t="array" ca="1" aca="1" ref="CP44">IF($CO44="",0,SimpleLookup($CO44,Definitions!$AE:$AF))</f>
        <v>0</v>
      </c>
      <c r="CQ44" s="21" t="b">
        <f ca="1">OR(AND($S44,$I44=Helper!$B$7),$I44&gt;Helper!$B$7)</f>
        <v>1</v>
      </c>
      <c r="CR44" s="21" t="str">
        <f t="shared" ca="1" si="67"/>
        <v/>
      </c>
      <c r="CS44" s="21" cm="1">
        <f t="array" ca="1" aca="1" ref="CS44">CreateID($CS$2,$CV:$CV,$CR44&lt;&gt;"")</f>
        <v>0</v>
      </c>
      <c r="CT44" s="21" t="str">
        <f ca="1">IF(IFERROR(MATCH(","&amp;A44&amp;",",'Risk Treatment'!$AT:$AT,0)&gt;0,FALSE),"",$A44)</f>
        <v/>
      </c>
      <c r="CU44" s="21" cm="1">
        <f t="array" ca="1" aca="1" ref="CU44">CreateID($CU$2,$CU:$CU,$CT44&lt;&gt;"")</f>
        <v>38</v>
      </c>
    </row>
    <row r="45" spans="1:99" ht="15">
      <c r="A45" s="33" t="str" cm="1">
        <f t="array" ca="1" aca="1" ref="A45">IF($B45="","","R"&amp;RemoveDelimiter(SUBSTITUTE(SUBSTITUTE($K45,"AS",""),",","-"),"-"))</f>
        <v/>
      </c>
      <c r="B45" s="33" t="str" cm="1">
        <f t="array" ca="1" aca="1" ref="B45">IF($L45="","",_xlfn.LET(_xlpm._finalAttackStep,$L45,_xlpm._prepAttacks,RemoveFirstElement(_xlpm._finalAttackStep&amp;","&amp;$K45),_xlpm._prepAttackNames,IFERROR(LookupNames(_xlpm._prepAttacks,'Attack Steps'!$A:$B),""),_xlpm._delimiter,REPT(CHAR(150),55),$L45&amp;" "&amp;SimpleLookup($L45,'Attack Steps'!$A:$B)&amp;IF(_xlpm._prepAttackNames="","",CHAR(10)&amp;_xlpm._delimiter&amp;CHAR(10)&amp;_xlpm._prepAttackNames)))</f>
        <v/>
      </c>
      <c r="C45" s="34" t="str" cm="1">
        <f t="array" ca="1" aca="1" ref="C45">IFERROR(LookupNames($M45,'Damage Scenarios'!$A:$V),"")</f>
        <v/>
      </c>
      <c r="D45" s="33" t="str">
        <f ca="1">IFERROR(IF($T45=0,"",INDEX(Definitions!$Q:$Q,MATCH($T45,Definitions!$R:$R,0))),"")</f>
        <v/>
      </c>
      <c r="E45" s="34" t="str" cm="1">
        <f t="array" ca="1" aca="1" ref="E45">IF($A45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45,$A:W,Definitions!$Y:$Y,Definitions!$AB:$AB,1)&amp;CHAR(10)&amp;_xlpm._factorFunction($A45,$A:X,Definitions!$Y:$Y,Definitions!$AB:$AB,2)&amp;CHAR(10)&amp;_xlpm._factorFunction($A45,$A:Y,Definitions!$Y:$Y,Definitions!$AB:$AB,3)&amp;CHAR(10)&amp;_xlpm._factorFunction($A45,$A:Z,Definitions!$Y:$Y,Definitions!$AB:$AB,4)&amp;CHAR(10)&amp;_xlpm._factorFunction($A45,$A:AA,Definitions!$Y:$Y,Definitions!$AB:$AB,5)))</f>
        <v/>
      </c>
      <c r="F45" s="33" t="str">
        <f ca="1">IF($A45="","",IFERROR(VLOOKUP($AG45,Definitions!$V:$W,COLUMNS(Definitions!$V:$W),TRUE),""))</f>
        <v/>
      </c>
      <c r="G45" s="33" t="str">
        <f ca="1">IFERROR(IF(OR($D45="",$F45=""),"",VLOOKUP($D45,Definitions!$AH:$AM,MATCH($F45,Definitions!$AH$3:$AM$3,0),FALSE)),"")</f>
        <v/>
      </c>
      <c r="H45" s="23" cm="1">
        <f t="array" ca="1" aca="1" ref="H45">IF(ROW()=ROW($H$2)+1,0,INDEX($H:$H,ROW()-1))+IF($A45="",0,1)</f>
        <v>38</v>
      </c>
      <c r="I45" s="21" cm="1">
        <f t="array" ca="1" aca="1" ref="I45">IF(ROW()=ROW($I$2)+1,1,INDEX($I:$I,ROW()-1)+IF(INDEX($S:$S,ROW()-1),1,0))</f>
        <v>16</v>
      </c>
      <c r="J45" s="21">
        <f t="shared" ca="1" si="63"/>
        <v>5</v>
      </c>
      <c r="K45" s="21" t="str">
        <f t="shared" ca="1" si="68"/>
        <v/>
      </c>
      <c r="L45" s="21" t="str" cm="1">
        <f t="array" ca="1" aca="1" ref="L45">IF($P45="","",INDEX('Attack Steps'!$A:$A,$P45))</f>
        <v/>
      </c>
      <c r="M45" s="21" t="str" cm="1">
        <f t="array" ca="1" aca="1" ref="M45">IF($P45="","",INDEX('Attack Steps'!$T:$T,$P45))</f>
        <v/>
      </c>
      <c r="N45" s="21" t="str" cm="1">
        <f t="array" ca="1" aca="1" ref="N45">_xlfn.LET(_xlpm._dm,SanitizeInput(GetValuesWithFallback(SanitizeInput($AK45),Assumptions!$A:$I,Countermeasures!$A:$I,"",",",FALSE)),IF(_xlpm._dm="","",","&amp;_xlpm._dm))</f>
        <v/>
      </c>
      <c r="O45" s="21" t="str" cm="1">
        <f t="array" ca="1" aca="1" ref="O45">ApplyDamageMitigation($M45,$N45,"")</f>
        <v/>
      </c>
      <c r="P45" s="21" t="str">
        <f ca="1">IFERROR(MATCH($I45,'Attack Steps'!$V:$V,0),"")</f>
        <v/>
      </c>
      <c r="Q45" s="21" t="str" cm="1">
        <f t="array" ca="1" aca="1" ref="Q45">IF($P45="","","§"&amp;INDEX('Attack Steps'!$S:$S,$P45))</f>
        <v/>
      </c>
      <c r="R45" s="21" t="str" cm="1">
        <f t="array" ca="1" aca="1" ref="R45">IF($P45="","",INDEX('Attack Steps'!$W:$W,$P45))</f>
        <v/>
      </c>
      <c r="S45" s="21" t="b">
        <f t="shared" ca="1" si="69"/>
        <v>0</v>
      </c>
      <c r="T45" s="21" cm="1">
        <f t="array" ca="1" aca="1" ref="T45">_xlfn.LAMBDA(_xlpm._in,_xlpm._val,_xlpm._range,IF(_xlpm._in="",_xlpm._val,_xlfn.LET(_xlpm._id,LEFT(_xlpm._in,FIND(",",_xlpm._in)-1),CalculateMaxFromList(RemoveFirstElement(_xlpm._in),MAX(_xlpm._val,VLOOKUP(_xlpm._id,_xlpm._range,COLUMNS(_xlpm._range),FALSE)),_xlpm._range))))($M45,0,'Damage Scenarios'!$A:$U)</f>
        <v>0</v>
      </c>
      <c r="U45" s="21" cm="1">
        <f t="array" ca="1" aca="1" ref="U45">CalculateMaxFromList($O45,0,'Damage Scenarios'!$A:$U)</f>
        <v>0</v>
      </c>
      <c r="V45" s="21" t="str">
        <f ca="1">IF($U45=0,"",INDEX(Definitions!$Q:$Q,MATCH($U45,Definitions!$R:$R,0)))</f>
        <v/>
      </c>
      <c r="W45" s="21" t="str" cm="1">
        <f t="array" ca="1" aca="1" ref="W45">CalculateMaxAndElements($K45,0,"",'Attack Steps'!$A:X)</f>
        <v>0:</v>
      </c>
      <c r="X45" s="21" t="str" cm="1">
        <f t="array" ca="1" aca="1" ref="X45">CalculateMaxAndElements($K45,0,"",'Attack Steps'!$A:Y)</f>
        <v>0:</v>
      </c>
      <c r="Y45" s="21" t="str" cm="1">
        <f t="array" ca="1" aca="1" ref="Y45">CalculateMaxAndElements($K45,0,"",'Attack Steps'!$A:Z)</f>
        <v>0:</v>
      </c>
      <c r="Z45" s="21" t="str" cm="1">
        <f t="array" ca="1" aca="1" ref="Z45">CalculateMaxAndElements($K45,0,"",'Attack Steps'!$A:AA)</f>
        <v>0:</v>
      </c>
      <c r="AA45" s="21" t="str" cm="1">
        <f t="array" ca="1" aca="1" ref="AA45">CalculateMaxAndElements($K45,0,"",'Attack Steps'!$A:AB)</f>
        <v>0:</v>
      </c>
      <c r="AB45" s="21">
        <f t="shared" ca="1" si="70"/>
        <v>0</v>
      </c>
      <c r="AC45" s="21">
        <f t="shared" ca="1" si="71"/>
        <v>0</v>
      </c>
      <c r="AD45" s="21">
        <f t="shared" ca="1" si="72"/>
        <v>0</v>
      </c>
      <c r="AE45" s="21">
        <f t="shared" ca="1" si="73"/>
        <v>0</v>
      </c>
      <c r="AF45" s="21">
        <f t="shared" ca="1" si="74"/>
        <v>0</v>
      </c>
      <c r="AG45" s="21">
        <f t="shared" ca="1" si="64"/>
        <v>0</v>
      </c>
      <c r="AH45" s="21" t="str" cm="1">
        <f t="array" ca="1" aca="1" ref="AH45">IF(ROW()=ROW($AH$2)+1,"",INDEX($AH:$AH,ROW()-1))&amp;IF($A45="","",$A45&amp;",")</f>
        <v>R1-3,R2-3,R1-4,R2-4,R1-6,R2-6,R1-7,R2-7,R1-3-10,R2-3-10,R1-3-11,R2-3-11,R1-14,R1-16,R2-16,R21-23,R22-23,R1-29,R2-29,R31,R1-3-32,R2-3-32,R1-5-32,R2-5-32,R1-7-32,R2-7-32,R1-16-32,R2-16-32,R21-23-32,R22-23-32,R21-24-32,R22-24-32,R1-29-32,R2-29-32,R37,R38,R1-40,R2-40,</v>
      </c>
      <c r="AI45" s="21" t="str">
        <f t="shared" ca="1" si="75"/>
        <v/>
      </c>
      <c r="AJ45" s="21" cm="1">
        <f t="array" ca="1" aca="1" ref="AJ45">IF($G45="",0,SimpleLookup($G45,Definitions!$AE:$AF))</f>
        <v>0</v>
      </c>
      <c r="AK45" s="21" t="str" cm="1">
        <f t="array" ca="1" aca="1" ref="AK45">InverseLookup($A45,Mitigation!$U$2,Mitigation!$J$2,1,Helper!$B$5,",")</f>
        <v/>
      </c>
      <c r="AL45" s="21" t="str" cm="1">
        <f t="array" ca="1" aca="1" ref="AL45">CalculateMaxAndElementsWithFallback(SanitizeInput($AK45),0,"",Countermeasures!$A:Y,Assumptions!$A:Z)</f>
        <v>0:</v>
      </c>
      <c r="AM45" s="21" t="str" cm="1">
        <f t="array" ca="1" aca="1" ref="AM45">CalculateMaxAndElementsWithFallback(SanitizeInput($AK45),0,"",Countermeasures!$A:Z,Assumptions!$A:AA)</f>
        <v>0:</v>
      </c>
      <c r="AN45" s="21" t="str" cm="1">
        <f t="array" ca="1" aca="1" ref="AN45">CalculateMaxAndElementsWithFallback(SanitizeInput($AK45),0,"",Countermeasures!$A:AA,Assumptions!$A:AB)</f>
        <v>0:</v>
      </c>
      <c r="AO45" s="21" t="str" cm="1">
        <f t="array" ca="1" aca="1" ref="AO45">CalculateMaxAndElementsWithFallback(SanitizeInput($AK45),0,"",Countermeasures!$A:AB,Assumptions!$A:AC)</f>
        <v>0:</v>
      </c>
      <c r="AP45" s="21" t="str" cm="1">
        <f t="array" ca="1" aca="1" ref="AP45">CalculateMaxAndElementsWithFallback(SanitizeInput($AK45),0,"",Countermeasures!$A:AC,Assumptions!$A:AD)</f>
        <v>0:</v>
      </c>
      <c r="AQ45" s="21">
        <f t="shared" ca="1" si="76"/>
        <v>0</v>
      </c>
      <c r="AR45" s="21">
        <f t="shared" ca="1" si="77"/>
        <v>0</v>
      </c>
      <c r="AS45" s="21">
        <f t="shared" ca="1" si="78"/>
        <v>0</v>
      </c>
      <c r="AT45" s="21">
        <f t="shared" ca="1" si="79"/>
        <v>0</v>
      </c>
      <c r="AU45" s="21">
        <f t="shared" ca="1" si="80"/>
        <v>0</v>
      </c>
      <c r="AV45" s="21" t="str">
        <f t="shared" ca="1" si="81"/>
        <v>0:</v>
      </c>
      <c r="AW45" s="21" t="str">
        <f t="shared" ca="1" si="82"/>
        <v>0:</v>
      </c>
      <c r="AX45" s="21" t="str">
        <f t="shared" ca="1" si="83"/>
        <v>0:</v>
      </c>
      <c r="AY45" s="21" t="str">
        <f t="shared" ca="1" si="84"/>
        <v>0:</v>
      </c>
      <c r="AZ45" s="21" t="str">
        <f t="shared" ca="1" si="85"/>
        <v>0:</v>
      </c>
      <c r="BA45" s="21">
        <f t="shared" ca="1" si="86"/>
        <v>0</v>
      </c>
      <c r="BB45" s="21">
        <f t="shared" ca="1" si="87"/>
        <v>0</v>
      </c>
      <c r="BC45" s="21">
        <f t="shared" ca="1" si="88"/>
        <v>0</v>
      </c>
      <c r="BD45" s="21">
        <f t="shared" ca="1" si="89"/>
        <v>0</v>
      </c>
      <c r="BE45" s="21">
        <f t="shared" ca="1" si="90"/>
        <v>0</v>
      </c>
      <c r="BF45" s="21">
        <f t="shared" ca="1" si="65"/>
        <v>0</v>
      </c>
      <c r="BG45" s="21" t="str">
        <f ca="1">IFERROR(VLOOKUP($BF45,Definitions!$V:$W,COLUMNS(Definitions!$V:$W),TRUE),"")</f>
        <v>Basic</v>
      </c>
      <c r="BH45" s="21" t="str">
        <f ca="1">_xlfn.LET(_xlpm._comments,GetValues($K45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5" s="21" t="str" cm="1">
        <f t="array" ca="1" aca="1" ref="BI45">_xlfn.LET(_xlpm._rapRange,Definitions!$W:$W,_xlpm._calculatedRAP,$BG45,_xlpm._inlineRAP,$BH45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5" s="21" t="str">
        <f ca="1">IFERROR(IF(OR($V45="",$BI45=""),Definitions!$AE$4,VLOOKUP($V45,Definitions!$AH:$AM,MATCH($BI45,Definitions!$AH$3:$AM$3,0),FALSE)),"")</f>
        <v>No Risk</v>
      </c>
      <c r="BK45" s="21" cm="1">
        <f t="array" ca="1" aca="1" ref="BK45">IF($BJ45="",0,SimpleLookup($BJ45,Definitions!$AE:$AF))</f>
        <v>0</v>
      </c>
      <c r="BL45" s="21" t="str" cm="1">
        <f t="array" ca="1" aca="1" ref="BL45">IFERROR(SimpleLookup($A45,Tracing!$B:$Z),"")</f>
        <v/>
      </c>
      <c r="BM45" s="21" t="str" cm="1">
        <f t="array" ca="1" aca="1" ref="BM45">_xlfn.LET(_xlpm._dm,SanitizeInput(GetValuesWithFallback(SanitizeInput($BL45),Assumptions!$A:$I,Countermeasures!$A:$I,"",",",FALSE)),IF(_xlpm._dm="","",","&amp;_xlpm._dm))</f>
        <v/>
      </c>
      <c r="BN45" s="21" t="str" cm="1">
        <f t="array" ca="1" aca="1" ref="BN45">ApplyDamageMitigation($M45,$BM45,"")</f>
        <v/>
      </c>
      <c r="BO45" s="21" cm="1">
        <f t="array" ca="1" aca="1" ref="BO45">CalculateMaxFromList($BN45,0,'Damage Scenarios'!$A:$U)</f>
        <v>0</v>
      </c>
      <c r="BP45" s="21" t="str">
        <f ca="1">IF($BO45=0,"",INDEX(Definitions!$Q:$Q,MATCH($BO45,Definitions!$R:$R,0)))</f>
        <v/>
      </c>
      <c r="BQ45" s="21" t="str" cm="1">
        <f t="array" ca="1" aca="1" ref="BQ45">CalculateMaxAndElementsWithFallback(SanitizeInput($BL45),0,"",Countermeasures!$A:Y,Assumptions!$A:Z)</f>
        <v>0:</v>
      </c>
      <c r="BR45" s="21" t="str" cm="1">
        <f t="array" ca="1" aca="1" ref="BR45">CalculateMaxAndElementsWithFallback(SanitizeInput($BL45),0,"",Countermeasures!$A:Z,Assumptions!$A:AA)</f>
        <v>0:</v>
      </c>
      <c r="BS45" s="21" t="str" cm="1">
        <f t="array" ca="1" aca="1" ref="BS45">CalculateMaxAndElementsWithFallback(SanitizeInput($BL45),0,"",Countermeasures!$A:AA,Assumptions!$A:AB)</f>
        <v>0:</v>
      </c>
      <c r="BT45" s="21" t="str" cm="1">
        <f t="array" ca="1" aca="1" ref="BT45">CalculateMaxAndElementsWithFallback(SanitizeInput($BL45),0,"",Countermeasures!$A:AB,Assumptions!$A:AC)</f>
        <v>0:</v>
      </c>
      <c r="BU45" s="21" t="str" cm="1">
        <f t="array" ca="1" aca="1" ref="BU45">CalculateMaxAndElementsWithFallback(SanitizeInput($BL45),0,"",Countermeasures!$A:AC,Assumptions!$A:AD)</f>
        <v>0:</v>
      </c>
      <c r="BV45" s="21">
        <f t="shared" ca="1" si="25"/>
        <v>0</v>
      </c>
      <c r="BW45" s="21">
        <f t="shared" ca="1" si="26"/>
        <v>0</v>
      </c>
      <c r="BX45" s="21">
        <f t="shared" ca="1" si="27"/>
        <v>0</v>
      </c>
      <c r="BY45" s="21">
        <f t="shared" ca="1" si="28"/>
        <v>0</v>
      </c>
      <c r="BZ45" s="21">
        <f t="shared" ca="1" si="29"/>
        <v>0</v>
      </c>
      <c r="CA45" s="21" t="str">
        <f t="shared" ca="1" si="30"/>
        <v>0:</v>
      </c>
      <c r="CB45" s="21" t="str">
        <f t="shared" ca="1" si="31"/>
        <v>0:</v>
      </c>
      <c r="CC45" s="21" t="str">
        <f t="shared" ca="1" si="32"/>
        <v>0:</v>
      </c>
      <c r="CD45" s="21" t="str">
        <f t="shared" ca="1" si="33"/>
        <v>0:</v>
      </c>
      <c r="CE45" s="21" t="str">
        <f t="shared" ca="1" si="34"/>
        <v>0:</v>
      </c>
      <c r="CF45" s="21">
        <f t="shared" ca="1" si="35"/>
        <v>0</v>
      </c>
      <c r="CG45" s="21">
        <f t="shared" ca="1" si="36"/>
        <v>0</v>
      </c>
      <c r="CH45" s="21">
        <f t="shared" ca="1" si="37"/>
        <v>0</v>
      </c>
      <c r="CI45" s="21">
        <f t="shared" ca="1" si="38"/>
        <v>0</v>
      </c>
      <c r="CJ45" s="21">
        <f t="shared" ca="1" si="39"/>
        <v>0</v>
      </c>
      <c r="CK45" s="21">
        <f t="shared" ca="1" si="66"/>
        <v>0</v>
      </c>
      <c r="CL45" s="21" t="str">
        <f ca="1">IFERROR(VLOOKUP($CK45,Definitions!$V:$W,COLUMNS(Definitions!$V:$W),TRUE),"")</f>
        <v>Basic</v>
      </c>
      <c r="CM45" s="21" t="str">
        <f ca="1">_xlfn.LET(_xlpm._comments,SimpleLookup($A45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5" s="21" t="str" cm="1">
        <f t="array" ca="1" aca="1" ref="CN45">_xlfn.LET(_xlpm._rapRange,Definitions!$W:$W,_xlpm._calculatedRAP,$CL45,_xlpm._inlineRAP,$CM45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5" s="21" t="str">
        <f ca="1">IFERROR(IF(OR($BP45="",$CN45=""),Definitions!$AE$4,VLOOKUP($BP45,Definitions!$AH:$AM,MATCH($CN45,Definitions!$AH$3:$AM$3,0),FALSE)),"")</f>
        <v>No Risk</v>
      </c>
      <c r="CP45" s="21" cm="1">
        <f t="array" ca="1" aca="1" ref="CP45">IF($CO45="",0,SimpleLookup($CO45,Definitions!$AE:$AF))</f>
        <v>0</v>
      </c>
      <c r="CQ45" s="21" t="b">
        <f ca="1">OR(AND($S45,$I45=Helper!$B$7),$I45&gt;Helper!$B$7)</f>
        <v>1</v>
      </c>
      <c r="CR45" s="21" t="str">
        <f t="shared" ca="1" si="67"/>
        <v/>
      </c>
      <c r="CS45" s="21" cm="1">
        <f t="array" ca="1" aca="1" ref="CS45">CreateID($CS$2,$CV:$CV,$CR45&lt;&gt;"")</f>
        <v>0</v>
      </c>
      <c r="CT45" s="21" t="str">
        <f ca="1">IF(IFERROR(MATCH(","&amp;A45&amp;",",'Risk Treatment'!$AT:$AT,0)&gt;0,FALSE),"",$A45)</f>
        <v/>
      </c>
      <c r="CU45" s="21" cm="1">
        <f t="array" ca="1" aca="1" ref="CU45">CreateID($CU$2,$CU:$CU,$CT45&lt;&gt;"")</f>
        <v>38</v>
      </c>
    </row>
    <row r="46" spans="1:99" ht="15">
      <c r="A46" s="33" t="str" cm="1">
        <f t="array" ca="1" aca="1" ref="A46">IF($B46="","","R"&amp;RemoveDelimiter(SUBSTITUTE(SUBSTITUTE($K46,"AS",""),",","-"),"-"))</f>
        <v/>
      </c>
      <c r="B46" s="33" t="str" cm="1">
        <f t="array" ca="1" aca="1" ref="B46">IF($L46="","",_xlfn.LET(_xlpm._finalAttackStep,$L46,_xlpm._prepAttacks,RemoveFirstElement(_xlpm._finalAttackStep&amp;","&amp;$K46),_xlpm._prepAttackNames,IFERROR(LookupNames(_xlpm._prepAttacks,'Attack Steps'!$A:$B),""),_xlpm._delimiter,REPT(CHAR(150),55),$L46&amp;" "&amp;SimpleLookup($L46,'Attack Steps'!$A:$B)&amp;IF(_xlpm._prepAttackNames="","",CHAR(10)&amp;_xlpm._delimiter&amp;CHAR(10)&amp;_xlpm._prepAttackNames)))</f>
        <v/>
      </c>
      <c r="C46" s="34" t="str" cm="1">
        <f t="array" ca="1" aca="1" ref="C46">IFERROR(LookupNames($M46,'Damage Scenarios'!$A:$V),"")</f>
        <v/>
      </c>
      <c r="D46" s="33" t="str">
        <f ca="1">IFERROR(IF($T46=0,"",INDEX(Definitions!$Q:$Q,MATCH($T46,Definitions!$R:$R,0))),"")</f>
        <v/>
      </c>
      <c r="E46" s="34" t="str" cm="1">
        <f t="array" ca="1" aca="1" ref="E46">IF($A46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46,$A:W,Definitions!$Y:$Y,Definitions!$AB:$AB,1)&amp;CHAR(10)&amp;_xlpm._factorFunction($A46,$A:X,Definitions!$Y:$Y,Definitions!$AB:$AB,2)&amp;CHAR(10)&amp;_xlpm._factorFunction($A46,$A:Y,Definitions!$Y:$Y,Definitions!$AB:$AB,3)&amp;CHAR(10)&amp;_xlpm._factorFunction($A46,$A:Z,Definitions!$Y:$Y,Definitions!$AB:$AB,4)&amp;CHAR(10)&amp;_xlpm._factorFunction($A46,$A:AA,Definitions!$Y:$Y,Definitions!$AB:$AB,5)))</f>
        <v/>
      </c>
      <c r="F46" s="33" t="str">
        <f ca="1">IF($A46="","",IFERROR(VLOOKUP($AG46,Definitions!$V:$W,COLUMNS(Definitions!$V:$W),TRUE),""))</f>
        <v/>
      </c>
      <c r="G46" s="33" t="str">
        <f ca="1">IFERROR(IF(OR($D46="",$F46=""),"",VLOOKUP($D46,Definitions!$AH:$AM,MATCH($F46,Definitions!$AH$3:$AM$3,0),FALSE)),"")</f>
        <v/>
      </c>
      <c r="H46" s="23" cm="1">
        <f t="array" ca="1" aca="1" ref="H46">IF(ROW()=ROW($H$2)+1,0,INDEX($H:$H,ROW()-1))+IF($A46="",0,1)</f>
        <v>38</v>
      </c>
      <c r="I46" s="21" cm="1">
        <f t="array" ca="1" aca="1" ref="I46">IF(ROW()=ROW($I$2)+1,1,INDEX($I:$I,ROW()-1)+IF(INDEX($S:$S,ROW()-1),1,0))</f>
        <v>16</v>
      </c>
      <c r="J46" s="21">
        <f t="shared" ca="1" si="63"/>
        <v>6</v>
      </c>
      <c r="K46" s="21" t="str">
        <f t="shared" ca="1" si="68"/>
        <v/>
      </c>
      <c r="L46" s="21" t="str" cm="1">
        <f t="array" ca="1" aca="1" ref="L46">IF($P46="","",INDEX('Attack Steps'!$A:$A,$P46))</f>
        <v/>
      </c>
      <c r="M46" s="21" t="str" cm="1">
        <f t="array" ca="1" aca="1" ref="M46">IF($P46="","",INDEX('Attack Steps'!$T:$T,$P46))</f>
        <v/>
      </c>
      <c r="N46" s="21" t="str" cm="1">
        <f t="array" ca="1" aca="1" ref="N46">_xlfn.LET(_xlpm._dm,SanitizeInput(GetValuesWithFallback(SanitizeInput($AK46),Assumptions!$A:$I,Countermeasures!$A:$I,"",",",FALSE)),IF(_xlpm._dm="","",","&amp;_xlpm._dm))</f>
        <v/>
      </c>
      <c r="O46" s="21" t="str" cm="1">
        <f t="array" ca="1" aca="1" ref="O46">ApplyDamageMitigation($M46,$N46,"")</f>
        <v/>
      </c>
      <c r="P46" s="21" t="str">
        <f ca="1">IFERROR(MATCH($I46,'Attack Steps'!$V:$V,0),"")</f>
        <v/>
      </c>
      <c r="Q46" s="21" t="str" cm="1">
        <f t="array" ca="1" aca="1" ref="Q46">IF($P46="","","§"&amp;INDEX('Attack Steps'!$S:$S,$P46))</f>
        <v/>
      </c>
      <c r="R46" s="21" t="str" cm="1">
        <f t="array" ca="1" aca="1" ref="R46">IF($P46="","",INDEX('Attack Steps'!$W:$W,$P46))</f>
        <v/>
      </c>
      <c r="S46" s="21" t="b">
        <f t="shared" ca="1" si="69"/>
        <v>0</v>
      </c>
      <c r="T46" s="21" cm="1">
        <f t="array" ca="1" aca="1" ref="T46">_xlfn.LAMBDA(_xlpm._in,_xlpm._val,_xlpm._range,IF(_xlpm._in="",_xlpm._val,_xlfn.LET(_xlpm._id,LEFT(_xlpm._in,FIND(",",_xlpm._in)-1),CalculateMaxFromList(RemoveFirstElement(_xlpm._in),MAX(_xlpm._val,VLOOKUP(_xlpm._id,_xlpm._range,COLUMNS(_xlpm._range),FALSE)),_xlpm._range))))($M46,0,'Damage Scenarios'!$A:$U)</f>
        <v>0</v>
      </c>
      <c r="U46" s="21" cm="1">
        <f t="array" ca="1" aca="1" ref="U46">CalculateMaxFromList($O46,0,'Damage Scenarios'!$A:$U)</f>
        <v>0</v>
      </c>
      <c r="V46" s="21" t="str">
        <f ca="1">IF($U46=0,"",INDEX(Definitions!$Q:$Q,MATCH($U46,Definitions!$R:$R,0)))</f>
        <v/>
      </c>
      <c r="W46" s="21" t="str" cm="1">
        <f t="array" ca="1" aca="1" ref="W46">CalculateMaxAndElements($K46,0,"",'Attack Steps'!$A:X)</f>
        <v>0:</v>
      </c>
      <c r="X46" s="21" t="str" cm="1">
        <f t="array" ca="1" aca="1" ref="X46">CalculateMaxAndElements($K46,0,"",'Attack Steps'!$A:Y)</f>
        <v>0:</v>
      </c>
      <c r="Y46" s="21" t="str" cm="1">
        <f t="array" ca="1" aca="1" ref="Y46">CalculateMaxAndElements($K46,0,"",'Attack Steps'!$A:Z)</f>
        <v>0:</v>
      </c>
      <c r="Z46" s="21" t="str" cm="1">
        <f t="array" ca="1" aca="1" ref="Z46">CalculateMaxAndElements($K46,0,"",'Attack Steps'!$A:AA)</f>
        <v>0:</v>
      </c>
      <c r="AA46" s="21" t="str" cm="1">
        <f t="array" ca="1" aca="1" ref="AA46">CalculateMaxAndElements($K46,0,"",'Attack Steps'!$A:AB)</f>
        <v>0:</v>
      </c>
      <c r="AB46" s="21">
        <f t="shared" ca="1" si="70"/>
        <v>0</v>
      </c>
      <c r="AC46" s="21">
        <f t="shared" ca="1" si="71"/>
        <v>0</v>
      </c>
      <c r="AD46" s="21">
        <f t="shared" ca="1" si="72"/>
        <v>0</v>
      </c>
      <c r="AE46" s="21">
        <f t="shared" ca="1" si="73"/>
        <v>0</v>
      </c>
      <c r="AF46" s="21">
        <f t="shared" ca="1" si="74"/>
        <v>0</v>
      </c>
      <c r="AG46" s="21">
        <f t="shared" ca="1" si="64"/>
        <v>0</v>
      </c>
      <c r="AH46" s="21" t="str" cm="1">
        <f t="array" ca="1" aca="1" ref="AH46">IF(ROW()=ROW($AH$2)+1,"",INDEX($AH:$AH,ROW()-1))&amp;IF($A46="","",$A46&amp;",")</f>
        <v>R1-3,R2-3,R1-4,R2-4,R1-6,R2-6,R1-7,R2-7,R1-3-10,R2-3-10,R1-3-11,R2-3-11,R1-14,R1-16,R2-16,R21-23,R22-23,R1-29,R2-29,R31,R1-3-32,R2-3-32,R1-5-32,R2-5-32,R1-7-32,R2-7-32,R1-16-32,R2-16-32,R21-23-32,R22-23-32,R21-24-32,R22-24-32,R1-29-32,R2-29-32,R37,R38,R1-40,R2-40,</v>
      </c>
      <c r="AI46" s="21" t="str">
        <f t="shared" ca="1" si="75"/>
        <v/>
      </c>
      <c r="AJ46" s="21" cm="1">
        <f t="array" ca="1" aca="1" ref="AJ46">IF($G46="",0,SimpleLookup($G46,Definitions!$AE:$AF))</f>
        <v>0</v>
      </c>
      <c r="AK46" s="21" t="str" cm="1">
        <f t="array" ca="1" aca="1" ref="AK46">InverseLookup($A46,Mitigation!$U$2,Mitigation!$J$2,1,Helper!$B$5,",")</f>
        <v/>
      </c>
      <c r="AL46" s="21" t="str" cm="1">
        <f t="array" ca="1" aca="1" ref="AL46">CalculateMaxAndElementsWithFallback(SanitizeInput($AK46),0,"",Countermeasures!$A:Y,Assumptions!$A:Z)</f>
        <v>0:</v>
      </c>
      <c r="AM46" s="21" t="str" cm="1">
        <f t="array" ca="1" aca="1" ref="AM46">CalculateMaxAndElementsWithFallback(SanitizeInput($AK46),0,"",Countermeasures!$A:Z,Assumptions!$A:AA)</f>
        <v>0:</v>
      </c>
      <c r="AN46" s="21" t="str" cm="1">
        <f t="array" ca="1" aca="1" ref="AN46">CalculateMaxAndElementsWithFallback(SanitizeInput($AK46),0,"",Countermeasures!$A:AA,Assumptions!$A:AB)</f>
        <v>0:</v>
      </c>
      <c r="AO46" s="21" t="str" cm="1">
        <f t="array" ca="1" aca="1" ref="AO46">CalculateMaxAndElementsWithFallback(SanitizeInput($AK46),0,"",Countermeasures!$A:AB,Assumptions!$A:AC)</f>
        <v>0:</v>
      </c>
      <c r="AP46" s="21" t="str" cm="1">
        <f t="array" ca="1" aca="1" ref="AP46">CalculateMaxAndElementsWithFallback(SanitizeInput($AK46),0,"",Countermeasures!$A:AC,Assumptions!$A:AD)</f>
        <v>0:</v>
      </c>
      <c r="AQ46" s="21">
        <f t="shared" ca="1" si="76"/>
        <v>0</v>
      </c>
      <c r="AR46" s="21">
        <f t="shared" ca="1" si="77"/>
        <v>0</v>
      </c>
      <c r="AS46" s="21">
        <f t="shared" ca="1" si="78"/>
        <v>0</v>
      </c>
      <c r="AT46" s="21">
        <f t="shared" ca="1" si="79"/>
        <v>0</v>
      </c>
      <c r="AU46" s="21">
        <f t="shared" ca="1" si="80"/>
        <v>0</v>
      </c>
      <c r="AV46" s="21" t="str">
        <f t="shared" ca="1" si="81"/>
        <v>0:</v>
      </c>
      <c r="AW46" s="21" t="str">
        <f t="shared" ca="1" si="82"/>
        <v>0:</v>
      </c>
      <c r="AX46" s="21" t="str">
        <f t="shared" ca="1" si="83"/>
        <v>0:</v>
      </c>
      <c r="AY46" s="21" t="str">
        <f t="shared" ca="1" si="84"/>
        <v>0:</v>
      </c>
      <c r="AZ46" s="21" t="str">
        <f t="shared" ca="1" si="85"/>
        <v>0:</v>
      </c>
      <c r="BA46" s="21">
        <f t="shared" ca="1" si="86"/>
        <v>0</v>
      </c>
      <c r="BB46" s="21">
        <f t="shared" ca="1" si="87"/>
        <v>0</v>
      </c>
      <c r="BC46" s="21">
        <f t="shared" ca="1" si="88"/>
        <v>0</v>
      </c>
      <c r="BD46" s="21">
        <f t="shared" ca="1" si="89"/>
        <v>0</v>
      </c>
      <c r="BE46" s="21">
        <f t="shared" ca="1" si="90"/>
        <v>0</v>
      </c>
      <c r="BF46" s="21">
        <f t="shared" ca="1" si="65"/>
        <v>0</v>
      </c>
      <c r="BG46" s="21" t="str">
        <f ca="1">IFERROR(VLOOKUP($BF46,Definitions!$V:$W,COLUMNS(Definitions!$V:$W),TRUE),"")</f>
        <v>Basic</v>
      </c>
      <c r="BH46" s="21" t="str">
        <f ca="1">_xlfn.LET(_xlpm._comments,GetValues($K46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6" s="21" t="str" cm="1">
        <f t="array" ca="1" aca="1" ref="BI46">_xlfn.LET(_xlpm._rapRange,Definitions!$W:$W,_xlpm._calculatedRAP,$BG46,_xlpm._inlineRAP,$BH46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6" s="21" t="str">
        <f ca="1">IFERROR(IF(OR($V46="",$BI46=""),Definitions!$AE$4,VLOOKUP($V46,Definitions!$AH:$AM,MATCH($BI46,Definitions!$AH$3:$AM$3,0),FALSE)),"")</f>
        <v>No Risk</v>
      </c>
      <c r="BK46" s="21" cm="1">
        <f t="array" ca="1" aca="1" ref="BK46">IF($BJ46="",0,SimpleLookup($BJ46,Definitions!$AE:$AF))</f>
        <v>0</v>
      </c>
      <c r="BL46" s="21" t="str" cm="1">
        <f t="array" ca="1" aca="1" ref="BL46">IFERROR(SimpleLookup($A46,Tracing!$B:$Z),"")</f>
        <v/>
      </c>
      <c r="BM46" s="21" t="str" cm="1">
        <f t="array" ca="1" aca="1" ref="BM46">_xlfn.LET(_xlpm._dm,SanitizeInput(GetValuesWithFallback(SanitizeInput($BL46),Assumptions!$A:$I,Countermeasures!$A:$I,"",",",FALSE)),IF(_xlpm._dm="","",","&amp;_xlpm._dm))</f>
        <v/>
      </c>
      <c r="BN46" s="21" t="str" cm="1">
        <f t="array" ca="1" aca="1" ref="BN46">ApplyDamageMitigation($M46,$BM46,"")</f>
        <v/>
      </c>
      <c r="BO46" s="21" cm="1">
        <f t="array" ca="1" aca="1" ref="BO46">CalculateMaxFromList($BN46,0,'Damage Scenarios'!$A:$U)</f>
        <v>0</v>
      </c>
      <c r="BP46" s="21" t="str">
        <f ca="1">IF($BO46=0,"",INDEX(Definitions!$Q:$Q,MATCH($BO46,Definitions!$R:$R,0)))</f>
        <v/>
      </c>
      <c r="BQ46" s="21" t="str" cm="1">
        <f t="array" ca="1" aca="1" ref="BQ46">CalculateMaxAndElementsWithFallback(SanitizeInput($BL46),0,"",Countermeasures!$A:Y,Assumptions!$A:Z)</f>
        <v>0:</v>
      </c>
      <c r="BR46" s="21" t="str" cm="1">
        <f t="array" ca="1" aca="1" ref="BR46">CalculateMaxAndElementsWithFallback(SanitizeInput($BL46),0,"",Countermeasures!$A:Z,Assumptions!$A:AA)</f>
        <v>0:</v>
      </c>
      <c r="BS46" s="21" t="str" cm="1">
        <f t="array" ca="1" aca="1" ref="BS46">CalculateMaxAndElementsWithFallback(SanitizeInput($BL46),0,"",Countermeasures!$A:AA,Assumptions!$A:AB)</f>
        <v>0:</v>
      </c>
      <c r="BT46" s="21" t="str" cm="1">
        <f t="array" ca="1" aca="1" ref="BT46">CalculateMaxAndElementsWithFallback(SanitizeInput($BL46),0,"",Countermeasures!$A:AB,Assumptions!$A:AC)</f>
        <v>0:</v>
      </c>
      <c r="BU46" s="21" t="str" cm="1">
        <f t="array" ca="1" aca="1" ref="BU46">CalculateMaxAndElementsWithFallback(SanitizeInput($BL46),0,"",Countermeasures!$A:AC,Assumptions!$A:AD)</f>
        <v>0:</v>
      </c>
      <c r="BV46" s="21">
        <f t="shared" ca="1" si="25"/>
        <v>0</v>
      </c>
      <c r="BW46" s="21">
        <f t="shared" ca="1" si="26"/>
        <v>0</v>
      </c>
      <c r="BX46" s="21">
        <f t="shared" ca="1" si="27"/>
        <v>0</v>
      </c>
      <c r="BY46" s="21">
        <f t="shared" ca="1" si="28"/>
        <v>0</v>
      </c>
      <c r="BZ46" s="21">
        <f t="shared" ca="1" si="29"/>
        <v>0</v>
      </c>
      <c r="CA46" s="21" t="str">
        <f t="shared" ca="1" si="30"/>
        <v>0:</v>
      </c>
      <c r="CB46" s="21" t="str">
        <f t="shared" ca="1" si="31"/>
        <v>0:</v>
      </c>
      <c r="CC46" s="21" t="str">
        <f t="shared" ca="1" si="32"/>
        <v>0:</v>
      </c>
      <c r="CD46" s="21" t="str">
        <f t="shared" ca="1" si="33"/>
        <v>0:</v>
      </c>
      <c r="CE46" s="21" t="str">
        <f t="shared" ca="1" si="34"/>
        <v>0:</v>
      </c>
      <c r="CF46" s="21">
        <f t="shared" ca="1" si="35"/>
        <v>0</v>
      </c>
      <c r="CG46" s="21">
        <f t="shared" ca="1" si="36"/>
        <v>0</v>
      </c>
      <c r="CH46" s="21">
        <f t="shared" ca="1" si="37"/>
        <v>0</v>
      </c>
      <c r="CI46" s="21">
        <f t="shared" ca="1" si="38"/>
        <v>0</v>
      </c>
      <c r="CJ46" s="21">
        <f t="shared" ca="1" si="39"/>
        <v>0</v>
      </c>
      <c r="CK46" s="21">
        <f t="shared" ca="1" si="66"/>
        <v>0</v>
      </c>
      <c r="CL46" s="21" t="str">
        <f ca="1">IFERROR(VLOOKUP($CK46,Definitions!$V:$W,COLUMNS(Definitions!$V:$W),TRUE),"")</f>
        <v>Basic</v>
      </c>
      <c r="CM46" s="21" t="str">
        <f ca="1">_xlfn.LET(_xlpm._comments,SimpleLookup($A46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6" s="21" t="str" cm="1">
        <f t="array" ca="1" aca="1" ref="CN46">_xlfn.LET(_xlpm._rapRange,Definitions!$W:$W,_xlpm._calculatedRAP,$CL46,_xlpm._inlineRAP,$CM46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6" s="21" t="str">
        <f ca="1">IFERROR(IF(OR($BP46="",$CN46=""),Definitions!$AE$4,VLOOKUP($BP46,Definitions!$AH:$AM,MATCH($CN46,Definitions!$AH$3:$AM$3,0),FALSE)),"")</f>
        <v>No Risk</v>
      </c>
      <c r="CP46" s="21" cm="1">
        <f t="array" ca="1" aca="1" ref="CP46">IF($CO46="",0,SimpleLookup($CO46,Definitions!$AE:$AF))</f>
        <v>0</v>
      </c>
      <c r="CQ46" s="21" t="b">
        <f ca="1">OR(AND($S46,$I46=Helper!$B$7),$I46&gt;Helper!$B$7)</f>
        <v>1</v>
      </c>
      <c r="CR46" s="21" t="str">
        <f t="shared" ca="1" si="67"/>
        <v/>
      </c>
      <c r="CS46" s="21" cm="1">
        <f t="array" ca="1" aca="1" ref="CS46">CreateID($CS$2,$CV:$CV,$CR46&lt;&gt;"")</f>
        <v>0</v>
      </c>
      <c r="CT46" s="21" t="str">
        <f ca="1">IF(IFERROR(MATCH(","&amp;A46&amp;",",'Risk Treatment'!$AT:$AT,0)&gt;0,FALSE),"",$A46)</f>
        <v/>
      </c>
      <c r="CU46" s="21" cm="1">
        <f t="array" ca="1" aca="1" ref="CU46">CreateID($CU$2,$CU:$CU,$CT46&lt;&gt;"")</f>
        <v>38</v>
      </c>
    </row>
    <row r="47" spans="1:99" ht="15">
      <c r="A47" s="33" t="str" cm="1">
        <f t="array" ca="1" aca="1" ref="A47">IF($B47="","","R"&amp;RemoveDelimiter(SUBSTITUTE(SUBSTITUTE($K47,"AS",""),",","-"),"-"))</f>
        <v/>
      </c>
      <c r="B47" s="33" t="str" cm="1">
        <f t="array" ca="1" aca="1" ref="B47">IF($L47="","",_xlfn.LET(_xlpm._finalAttackStep,$L47,_xlpm._prepAttacks,RemoveFirstElement(_xlpm._finalAttackStep&amp;","&amp;$K47),_xlpm._prepAttackNames,IFERROR(LookupNames(_xlpm._prepAttacks,'Attack Steps'!$A:$B),""),_xlpm._delimiter,REPT(CHAR(150),55),$L47&amp;" "&amp;SimpleLookup($L47,'Attack Steps'!$A:$B)&amp;IF(_xlpm._prepAttackNames="","",CHAR(10)&amp;_xlpm._delimiter&amp;CHAR(10)&amp;_xlpm._prepAttackNames)))</f>
        <v/>
      </c>
      <c r="C47" s="34" t="str" cm="1">
        <f t="array" ca="1" aca="1" ref="C47">IFERROR(LookupNames($M47,'Damage Scenarios'!$A:$V),"")</f>
        <v/>
      </c>
      <c r="D47" s="33" t="str">
        <f ca="1">IFERROR(IF($T47=0,"",INDEX(Definitions!$Q:$Q,MATCH($T47,Definitions!$R:$R,0))),"")</f>
        <v/>
      </c>
      <c r="E47" s="34" t="str" cm="1">
        <f t="array" ca="1" aca="1" ref="E47">IF($A47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47,$A:W,Definitions!$Y:$Y,Definitions!$AB:$AB,1)&amp;CHAR(10)&amp;_xlpm._factorFunction($A47,$A:X,Definitions!$Y:$Y,Definitions!$AB:$AB,2)&amp;CHAR(10)&amp;_xlpm._factorFunction($A47,$A:Y,Definitions!$Y:$Y,Definitions!$AB:$AB,3)&amp;CHAR(10)&amp;_xlpm._factorFunction($A47,$A:Z,Definitions!$Y:$Y,Definitions!$AB:$AB,4)&amp;CHAR(10)&amp;_xlpm._factorFunction($A47,$A:AA,Definitions!$Y:$Y,Definitions!$AB:$AB,5)))</f>
        <v/>
      </c>
      <c r="F47" s="33" t="str">
        <f ca="1">IF($A47="","",IFERROR(VLOOKUP($AG47,Definitions!$V:$W,COLUMNS(Definitions!$V:$W),TRUE),""))</f>
        <v/>
      </c>
      <c r="G47" s="33" t="str">
        <f ca="1">IFERROR(IF(OR($D47="",$F47=""),"",VLOOKUP($D47,Definitions!$AH:$AM,MATCH($F47,Definitions!$AH$3:$AM$3,0),FALSE)),"")</f>
        <v/>
      </c>
      <c r="H47" s="23" cm="1">
        <f t="array" ca="1" aca="1" ref="H47">IF(ROW()=ROW($H$2)+1,0,INDEX($H:$H,ROW()-1))+IF($A47="",0,1)</f>
        <v>38</v>
      </c>
      <c r="I47" s="21" cm="1">
        <f t="array" ca="1" aca="1" ref="I47">IF(ROW()=ROW($I$2)+1,1,INDEX($I:$I,ROW()-1)+IF(INDEX($S:$S,ROW()-1),1,0))</f>
        <v>16</v>
      </c>
      <c r="J47" s="21">
        <f t="shared" ca="1" si="63"/>
        <v>7</v>
      </c>
      <c r="K47" s="21" t="str">
        <f t="shared" ca="1" si="68"/>
        <v/>
      </c>
      <c r="L47" s="21" t="str" cm="1">
        <f t="array" ca="1" aca="1" ref="L47">IF($P47="","",INDEX('Attack Steps'!$A:$A,$P47))</f>
        <v/>
      </c>
      <c r="M47" s="21" t="str" cm="1">
        <f t="array" ca="1" aca="1" ref="M47">IF($P47="","",INDEX('Attack Steps'!$T:$T,$P47))</f>
        <v/>
      </c>
      <c r="N47" s="21" t="str" cm="1">
        <f t="array" ca="1" aca="1" ref="N47">_xlfn.LET(_xlpm._dm,SanitizeInput(GetValuesWithFallback(SanitizeInput($AK47),Assumptions!$A:$I,Countermeasures!$A:$I,"",",",FALSE)),IF(_xlpm._dm="","",","&amp;_xlpm._dm))</f>
        <v/>
      </c>
      <c r="O47" s="21" t="str" cm="1">
        <f t="array" ca="1" aca="1" ref="O47">ApplyDamageMitigation($M47,$N47,"")</f>
        <v/>
      </c>
      <c r="P47" s="21" t="str">
        <f ca="1">IFERROR(MATCH($I47,'Attack Steps'!$V:$V,0),"")</f>
        <v/>
      </c>
      <c r="Q47" s="21" t="str" cm="1">
        <f t="array" ca="1" aca="1" ref="Q47">IF($P47="","","§"&amp;INDEX('Attack Steps'!$S:$S,$P47))</f>
        <v/>
      </c>
      <c r="R47" s="21" t="str" cm="1">
        <f t="array" ca="1" aca="1" ref="R47">IF($P47="","",INDEX('Attack Steps'!$W:$W,$P47))</f>
        <v/>
      </c>
      <c r="S47" s="21" t="b">
        <f t="shared" ca="1" si="69"/>
        <v>0</v>
      </c>
      <c r="T47" s="21" cm="1">
        <f t="array" ca="1" aca="1" ref="T47">_xlfn.LAMBDA(_xlpm._in,_xlpm._val,_xlpm._range,IF(_xlpm._in="",_xlpm._val,_xlfn.LET(_xlpm._id,LEFT(_xlpm._in,FIND(",",_xlpm._in)-1),CalculateMaxFromList(RemoveFirstElement(_xlpm._in),MAX(_xlpm._val,VLOOKUP(_xlpm._id,_xlpm._range,COLUMNS(_xlpm._range),FALSE)),_xlpm._range))))($M47,0,'Damage Scenarios'!$A:$U)</f>
        <v>0</v>
      </c>
      <c r="U47" s="21" cm="1">
        <f t="array" ca="1" aca="1" ref="U47">CalculateMaxFromList($O47,0,'Damage Scenarios'!$A:$U)</f>
        <v>0</v>
      </c>
      <c r="V47" s="21" t="str">
        <f ca="1">IF($U47=0,"",INDEX(Definitions!$Q:$Q,MATCH($U47,Definitions!$R:$R,0)))</f>
        <v/>
      </c>
      <c r="W47" s="21" t="str" cm="1">
        <f t="array" ca="1" aca="1" ref="W47">CalculateMaxAndElements($K47,0,"",'Attack Steps'!$A:X)</f>
        <v>0:</v>
      </c>
      <c r="X47" s="21" t="str" cm="1">
        <f t="array" ca="1" aca="1" ref="X47">CalculateMaxAndElements($K47,0,"",'Attack Steps'!$A:Y)</f>
        <v>0:</v>
      </c>
      <c r="Y47" s="21" t="str" cm="1">
        <f t="array" ca="1" aca="1" ref="Y47">CalculateMaxAndElements($K47,0,"",'Attack Steps'!$A:Z)</f>
        <v>0:</v>
      </c>
      <c r="Z47" s="21" t="str" cm="1">
        <f t="array" ca="1" aca="1" ref="Z47">CalculateMaxAndElements($K47,0,"",'Attack Steps'!$A:AA)</f>
        <v>0:</v>
      </c>
      <c r="AA47" s="21" t="str" cm="1">
        <f t="array" ca="1" aca="1" ref="AA47">CalculateMaxAndElements($K47,0,"",'Attack Steps'!$A:AB)</f>
        <v>0:</v>
      </c>
      <c r="AB47" s="21">
        <f t="shared" ca="1" si="70"/>
        <v>0</v>
      </c>
      <c r="AC47" s="21">
        <f t="shared" ca="1" si="71"/>
        <v>0</v>
      </c>
      <c r="AD47" s="21">
        <f t="shared" ca="1" si="72"/>
        <v>0</v>
      </c>
      <c r="AE47" s="21">
        <f t="shared" ca="1" si="73"/>
        <v>0</v>
      </c>
      <c r="AF47" s="21">
        <f t="shared" ca="1" si="74"/>
        <v>0</v>
      </c>
      <c r="AG47" s="21">
        <f t="shared" ca="1" si="64"/>
        <v>0</v>
      </c>
      <c r="AH47" s="21" t="str" cm="1">
        <f t="array" ca="1" aca="1" ref="AH47">IF(ROW()=ROW($AH$2)+1,"",INDEX($AH:$AH,ROW()-1))&amp;IF($A47="","",$A47&amp;",")</f>
        <v>R1-3,R2-3,R1-4,R2-4,R1-6,R2-6,R1-7,R2-7,R1-3-10,R2-3-10,R1-3-11,R2-3-11,R1-14,R1-16,R2-16,R21-23,R22-23,R1-29,R2-29,R31,R1-3-32,R2-3-32,R1-5-32,R2-5-32,R1-7-32,R2-7-32,R1-16-32,R2-16-32,R21-23-32,R22-23-32,R21-24-32,R22-24-32,R1-29-32,R2-29-32,R37,R38,R1-40,R2-40,</v>
      </c>
      <c r="AI47" s="21" t="str">
        <f t="shared" ca="1" si="75"/>
        <v/>
      </c>
      <c r="AJ47" s="21" cm="1">
        <f t="array" ca="1" aca="1" ref="AJ47">IF($G47="",0,SimpleLookup($G47,Definitions!$AE:$AF))</f>
        <v>0</v>
      </c>
      <c r="AK47" s="21" t="str" cm="1">
        <f t="array" ca="1" aca="1" ref="AK47">InverseLookup($A47,Mitigation!$U$2,Mitigation!$J$2,1,Helper!$B$5,",")</f>
        <v/>
      </c>
      <c r="AL47" s="21" t="str" cm="1">
        <f t="array" ca="1" aca="1" ref="AL47">CalculateMaxAndElementsWithFallback(SanitizeInput($AK47),0,"",Countermeasures!$A:Y,Assumptions!$A:Z)</f>
        <v>0:</v>
      </c>
      <c r="AM47" s="21" t="str" cm="1">
        <f t="array" ca="1" aca="1" ref="AM47">CalculateMaxAndElementsWithFallback(SanitizeInput($AK47),0,"",Countermeasures!$A:Z,Assumptions!$A:AA)</f>
        <v>0:</v>
      </c>
      <c r="AN47" s="21" t="str" cm="1">
        <f t="array" ca="1" aca="1" ref="AN47">CalculateMaxAndElementsWithFallback(SanitizeInput($AK47),0,"",Countermeasures!$A:AA,Assumptions!$A:AB)</f>
        <v>0:</v>
      </c>
      <c r="AO47" s="21" t="str" cm="1">
        <f t="array" ca="1" aca="1" ref="AO47">CalculateMaxAndElementsWithFallback(SanitizeInput($AK47),0,"",Countermeasures!$A:AB,Assumptions!$A:AC)</f>
        <v>0:</v>
      </c>
      <c r="AP47" s="21" t="str" cm="1">
        <f t="array" ca="1" aca="1" ref="AP47">CalculateMaxAndElementsWithFallback(SanitizeInput($AK47),0,"",Countermeasures!$A:AC,Assumptions!$A:AD)</f>
        <v>0:</v>
      </c>
      <c r="AQ47" s="21">
        <f t="shared" ca="1" si="76"/>
        <v>0</v>
      </c>
      <c r="AR47" s="21">
        <f t="shared" ca="1" si="77"/>
        <v>0</v>
      </c>
      <c r="AS47" s="21">
        <f t="shared" ca="1" si="78"/>
        <v>0</v>
      </c>
      <c r="AT47" s="21">
        <f t="shared" ca="1" si="79"/>
        <v>0</v>
      </c>
      <c r="AU47" s="21">
        <f t="shared" ca="1" si="80"/>
        <v>0</v>
      </c>
      <c r="AV47" s="21" t="str">
        <f t="shared" ca="1" si="81"/>
        <v>0:</v>
      </c>
      <c r="AW47" s="21" t="str">
        <f t="shared" ca="1" si="82"/>
        <v>0:</v>
      </c>
      <c r="AX47" s="21" t="str">
        <f t="shared" ca="1" si="83"/>
        <v>0:</v>
      </c>
      <c r="AY47" s="21" t="str">
        <f t="shared" ca="1" si="84"/>
        <v>0:</v>
      </c>
      <c r="AZ47" s="21" t="str">
        <f t="shared" ca="1" si="85"/>
        <v>0:</v>
      </c>
      <c r="BA47" s="21">
        <f t="shared" ca="1" si="86"/>
        <v>0</v>
      </c>
      <c r="BB47" s="21">
        <f t="shared" ca="1" si="87"/>
        <v>0</v>
      </c>
      <c r="BC47" s="21">
        <f t="shared" ca="1" si="88"/>
        <v>0</v>
      </c>
      <c r="BD47" s="21">
        <f t="shared" ca="1" si="89"/>
        <v>0</v>
      </c>
      <c r="BE47" s="21">
        <f t="shared" ca="1" si="90"/>
        <v>0</v>
      </c>
      <c r="BF47" s="21">
        <f t="shared" ca="1" si="65"/>
        <v>0</v>
      </c>
      <c r="BG47" s="21" t="str">
        <f ca="1">IFERROR(VLOOKUP($BF47,Definitions!$V:$W,COLUMNS(Definitions!$V:$W),TRUE),"")</f>
        <v>Basic</v>
      </c>
      <c r="BH47" s="21" t="str">
        <f ca="1">_xlfn.LET(_xlpm._comments,GetValues($K47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7" s="21" t="str" cm="1">
        <f t="array" ca="1" aca="1" ref="BI47">_xlfn.LET(_xlpm._rapRange,Definitions!$W:$W,_xlpm._calculatedRAP,$BG47,_xlpm._inlineRAP,$BH47,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7" s="21" t="str">
        <f ca="1">IFERROR(IF(OR($V47="",$BI47=""),Definitions!$AE$4,VLOOKUP($V47,Definitions!$AH:$AM,MATCH($BI47,Definitions!$AH$3:$AM$3,0),FALSE)),"")</f>
        <v>No Risk</v>
      </c>
      <c r="BK47" s="21" cm="1">
        <f t="array" ca="1" aca="1" ref="BK47">IF($BJ47="",0,SimpleLookup($BJ47,Definitions!$AE:$AF))</f>
        <v>0</v>
      </c>
      <c r="BL47" s="21" t="str" cm="1">
        <f t="array" ca="1" aca="1" ref="BL47">IFERROR(SimpleLookup($A47,Tracing!$B:$Z),"")</f>
        <v/>
      </c>
      <c r="BM47" s="21" t="str" cm="1">
        <f t="array" ca="1" aca="1" ref="BM47">_xlfn.LET(_xlpm._dm,SanitizeInput(GetValuesWithFallback(SanitizeInput($BL47),Assumptions!$A:$I,Countermeasures!$A:$I,"",",",FALSE)),IF(_xlpm._dm="","",","&amp;_xlpm._dm))</f>
        <v/>
      </c>
      <c r="BN47" s="21" t="str" cm="1">
        <f t="array" ca="1" aca="1" ref="BN47">ApplyDamageMitigation($M47,$BM47,"")</f>
        <v/>
      </c>
      <c r="BO47" s="21" cm="1">
        <f t="array" ca="1" aca="1" ref="BO47">CalculateMaxFromList($BN47,0,'Damage Scenarios'!$A:$U)</f>
        <v>0</v>
      </c>
      <c r="BP47" s="21" t="str">
        <f ca="1">IF($BO47=0,"",INDEX(Definitions!$Q:$Q,MATCH($BO47,Definitions!$R:$R,0)))</f>
        <v/>
      </c>
      <c r="BQ47" s="21" t="str" cm="1">
        <f t="array" ca="1" aca="1" ref="BQ47">CalculateMaxAndElementsWithFallback(SanitizeInput($BL47),0,"",Countermeasures!$A:Y,Assumptions!$A:Z)</f>
        <v>0:</v>
      </c>
      <c r="BR47" s="21" t="str" cm="1">
        <f t="array" ca="1" aca="1" ref="BR47">CalculateMaxAndElementsWithFallback(SanitizeInput($BL47),0,"",Countermeasures!$A:Z,Assumptions!$A:AA)</f>
        <v>0:</v>
      </c>
      <c r="BS47" s="21" t="str" cm="1">
        <f t="array" ca="1" aca="1" ref="BS47">CalculateMaxAndElementsWithFallback(SanitizeInput($BL47),0,"",Countermeasures!$A:AA,Assumptions!$A:AB)</f>
        <v>0:</v>
      </c>
      <c r="BT47" s="21" t="str" cm="1">
        <f t="array" ca="1" aca="1" ref="BT47">CalculateMaxAndElementsWithFallback(SanitizeInput($BL47),0,"",Countermeasures!$A:AB,Assumptions!$A:AC)</f>
        <v>0:</v>
      </c>
      <c r="BU47" s="21" t="str" cm="1">
        <f t="array" ca="1" aca="1" ref="BU47">CalculateMaxAndElementsWithFallback(SanitizeInput($BL47),0,"",Countermeasures!$A:AC,Assumptions!$A:AD)</f>
        <v>0:</v>
      </c>
      <c r="BV47" s="21">
        <f t="shared" ca="1" si="25"/>
        <v>0</v>
      </c>
      <c r="BW47" s="21">
        <f t="shared" ca="1" si="26"/>
        <v>0</v>
      </c>
      <c r="BX47" s="21">
        <f t="shared" ca="1" si="27"/>
        <v>0</v>
      </c>
      <c r="BY47" s="21">
        <f t="shared" ca="1" si="28"/>
        <v>0</v>
      </c>
      <c r="BZ47" s="21">
        <f t="shared" ca="1" si="29"/>
        <v>0</v>
      </c>
      <c r="CA47" s="21" t="str">
        <f t="shared" ca="1" si="30"/>
        <v>0:</v>
      </c>
      <c r="CB47" s="21" t="str">
        <f t="shared" ca="1" si="31"/>
        <v>0:</v>
      </c>
      <c r="CC47" s="21" t="str">
        <f t="shared" ca="1" si="32"/>
        <v>0:</v>
      </c>
      <c r="CD47" s="21" t="str">
        <f t="shared" ca="1" si="33"/>
        <v>0:</v>
      </c>
      <c r="CE47" s="21" t="str">
        <f t="shared" ca="1" si="34"/>
        <v>0:</v>
      </c>
      <c r="CF47" s="21">
        <f t="shared" ca="1" si="35"/>
        <v>0</v>
      </c>
      <c r="CG47" s="21">
        <f t="shared" ca="1" si="36"/>
        <v>0</v>
      </c>
      <c r="CH47" s="21">
        <f t="shared" ca="1" si="37"/>
        <v>0</v>
      </c>
      <c r="CI47" s="21">
        <f t="shared" ca="1" si="38"/>
        <v>0</v>
      </c>
      <c r="CJ47" s="21">
        <f t="shared" ca="1" si="39"/>
        <v>0</v>
      </c>
      <c r="CK47" s="21">
        <f t="shared" ca="1" si="66"/>
        <v>0</v>
      </c>
      <c r="CL47" s="21" t="str">
        <f ca="1">IFERROR(VLOOKUP($CK47,Definitions!$V:$W,COLUMNS(Definitions!$V:$W),TRUE),"")</f>
        <v>Basic</v>
      </c>
      <c r="CM47" s="21" t="str">
        <f ca="1">_xlfn.LET(_xlpm._comments,SimpleLookup($A47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7" s="21" t="str" cm="1">
        <f t="array" ca="1" aca="1" ref="CN47">_xlfn.LET(_xlpm._rapRange,Definitions!$W:$W,_xlpm._calculatedRAP,$CL47,_xlpm._inlineRAP,$CM47,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7" s="21" t="str">
        <f ca="1">IFERROR(IF(OR($BP47="",$CN47=""),Definitions!$AE$4,VLOOKUP($BP47,Definitions!$AH:$AM,MATCH($CN47,Definitions!$AH$3:$AM$3,0),FALSE)),"")</f>
        <v>No Risk</v>
      </c>
      <c r="CP47" s="21" cm="1">
        <f t="array" ca="1" aca="1" ref="CP47">IF($CO47="",0,SimpleLookup($CO47,Definitions!$AE:$AF))</f>
        <v>0</v>
      </c>
      <c r="CQ47" s="21" t="b">
        <f ca="1">OR(AND($S47,$I47=Helper!$B$7),$I47&gt;Helper!$B$7)</f>
        <v>1</v>
      </c>
      <c r="CR47" s="21" t="str">
        <f t="shared" ca="1" si="67"/>
        <v/>
      </c>
      <c r="CS47" s="21" cm="1">
        <f t="array" ca="1" aca="1" ref="CS47">CreateID($CS$2,$CV:$CV,$CR47&lt;&gt;"")</f>
        <v>0</v>
      </c>
      <c r="CT47" s="21" t="str">
        <f ca="1">IF(IFERROR(MATCH(","&amp;A47&amp;",",'Risk Treatment'!$AT:$AT,0)&gt;0,FALSE),"",$A47)</f>
        <v/>
      </c>
      <c r="CU47" s="21" cm="1">
        <f t="array" ca="1" aca="1" ref="CU47">CreateID($CU$2,$CU:$CU,$CT47&lt;&gt;"")</f>
        <v>38</v>
      </c>
    </row>
    <row r="48" spans="1:99" ht="15">
      <c r="A48" s="33" t="str" cm="1">
        <f t="array" ca="1" aca="1" ref="A48">IF($B48="","","R"&amp;RemoveDelimiter(SUBSTITUTE(SUBSTITUTE($K48,"AS",""),",","-"),"-"))</f>
        <v/>
      </c>
      <c r="B48" s="33" t="str" cm="1">
        <f t="array" ca="1" aca="1" ref="B48">IF($L48="","",_xlfn.LET(_xlpm._finalAttackStep,$L48,_xlpm._prepAttacks,RemoveFirstElement(_xlpm._finalAttackStep&amp;","&amp;$K48),_xlpm._prepAttackNames,IFERROR(LookupNames(_xlpm._prepAttacks,'Attack Steps'!$A:$B),""),_xlpm._delimiter,REPT(CHAR(150),55),$L48&amp;" "&amp;SimpleLookup($L48,'Attack Steps'!$A:$B)&amp;IF(_xlpm._prepAttackNames="","",CHAR(10)&amp;_xlpm._delimiter&amp;CHAR(10)&amp;_xlpm._prepAttackNames)))</f>
        <v/>
      </c>
      <c r="C48" s="34" t="str" cm="1">
        <f t="array" ca="1" aca="1" ref="C48">IFERROR(LookupNames($M48,'Damage Scenarios'!$A:$V),"")</f>
        <v/>
      </c>
      <c r="D48" s="33" t="str">
        <f ca="1">IFERROR(IF($T48=0,"",INDEX(Definitions!$Q:$Q,MATCH($T48,Definitions!$R:$R,0))),"")</f>
        <v/>
      </c>
      <c r="E48" s="34" t="str" cm="1">
        <f t="array" ca="1" aca="1" ref="E48">IF($A48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48,$A:W,Definitions!$Y:$Y,Definitions!$AB:$AB,1)&amp;CHAR(10)&amp;_xlpm._factorFunction($A48,$A:X,Definitions!$Y:$Y,Definitions!$AB:$AB,2)&amp;CHAR(10)&amp;_xlpm._factorFunction($A48,$A:Y,Definitions!$Y:$Y,Definitions!$AB:$AB,3)&amp;CHAR(10)&amp;_xlpm._factorFunction($A48,$A:Z,Definitions!$Y:$Y,Definitions!$AB:$AB,4)&amp;CHAR(10)&amp;_xlpm._factorFunction($A48,$A:AA,Definitions!$Y:$Y,Definitions!$AB:$AB,5)))</f>
        <v/>
      </c>
      <c r="F48" s="33" t="str">
        <f ca="1">IF($A48="","",IFERROR(VLOOKUP($AG48,Definitions!$V:$W,COLUMNS(Definitions!$V:$W),TRUE),""))</f>
        <v/>
      </c>
      <c r="G48" s="33" t="str">
        <f ca="1">IFERROR(IF(OR($D48="",$F48=""),"",VLOOKUP($D48,Definitions!$AH:$AM,MATCH($F48,Definitions!$AH$3:$AM$3,0),FALSE)),"")</f>
        <v/>
      </c>
      <c r="H48" s="23" cm="1">
        <f t="array" ca="1" aca="1" ref="H48">IF(ROW()=ROW($H$2)+1,0,INDEX($H:$H,ROW()-1))+IF($A48="",0,1)</f>
        <v>38</v>
      </c>
      <c r="I48" s="21" cm="1">
        <f t="array" ca="1" aca="1" ref="I48">IF(ROW()=ROW($I$2)+1,1,INDEX($I:$I,ROW()-1)+IF(INDEX($S:$S,ROW()-1),1,0))</f>
        <v>16</v>
      </c>
      <c r="J48" s="21">
        <f t="shared" ca="1" si="63"/>
        <v>8</v>
      </c>
      <c r="K48" s="21" t="str">
        <f t="shared" ca="1" si="68"/>
        <v/>
      </c>
      <c r="L48" s="21" t="str" cm="1">
        <f t="array" ca="1" aca="1" ref="L48">IF($P48="","",INDEX('Attack Steps'!$A:$A,$P48))</f>
        <v/>
      </c>
      <c r="M48" s="21" t="str" cm="1">
        <f t="array" ca="1" aca="1" ref="M48">IF($P48="","",INDEX('Attack Steps'!$T:$T,$P48))</f>
        <v/>
      </c>
      <c r="N48" s="21" t="str" cm="1">
        <f t="array" ca="1" aca="1" ref="N48">_xlfn.LET(_xlpm._dm,SanitizeInput(GetValuesWithFallback(SanitizeInput($AK48),Assumptions!$A:$I,Countermeasures!$A:$I,"",",",FALSE)),IF(_xlpm._dm="","",","&amp;_xlpm._dm))</f>
        <v/>
      </c>
      <c r="O48" s="21" t="str" cm="1">
        <f t="array" ca="1" aca="1" ref="O48">ApplyDamageMitigation($M48,$N48,"")</f>
        <v/>
      </c>
      <c r="P48" s="21" t="str">
        <f ca="1">IFERROR(MATCH($I48,'Attack Steps'!$V:$V,0),"")</f>
        <v/>
      </c>
      <c r="Q48" s="21" t="str" cm="1">
        <f t="array" ca="1" aca="1" ref="Q48">IF($P48="","","§"&amp;INDEX('Attack Steps'!$S:$S,$P48))</f>
        <v/>
      </c>
      <c r="R48" s="21" t="str" cm="1">
        <f t="array" ca="1" aca="1" ref="R48">IF($P48="","",INDEX('Attack Steps'!$W:$W,$P48))</f>
        <v/>
      </c>
      <c r="S48" s="21" t="b">
        <f t="shared" ca="1" si="69"/>
        <v>0</v>
      </c>
      <c r="T48" s="21" cm="1">
        <f t="array" ca="1" aca="1" ref="T48">_xlfn.LAMBDA(_xlpm._in,_xlpm._val,_xlpm._range,IF(_xlpm._in="",_xlpm._val,_xlfn.LET(_xlpm._id,LEFT(_xlpm._in,FIND(",",_xlpm._in)-1),CalculateMaxFromList(RemoveFirstElement(_xlpm._in),MAX(_xlpm._val,VLOOKUP(_xlpm._id,_xlpm._range,COLUMNS(_xlpm._range),FALSE)),_xlpm._range))))($M48,0,'Damage Scenarios'!$A:$U)</f>
        <v>0</v>
      </c>
      <c r="U48" s="21" cm="1">
        <f t="array" ca="1" aca="1" ref="U48">CalculateMaxFromList($O48,0,'Damage Scenarios'!$A:$U)</f>
        <v>0</v>
      </c>
      <c r="V48" s="21" t="str">
        <f ca="1">IF($U48=0,"",INDEX(Definitions!$Q:$Q,MATCH($U48,Definitions!$R:$R,0)))</f>
        <v/>
      </c>
      <c r="W48" s="21" t="str" cm="1">
        <f t="array" ca="1" aca="1" ref="W48">CalculateMaxAndElements($K48,0,"",'Attack Steps'!$A:X)</f>
        <v>0:</v>
      </c>
      <c r="X48" s="21" t="str" cm="1">
        <f t="array" ca="1" aca="1" ref="X48">CalculateMaxAndElements($K48,0,"",'Attack Steps'!$A:Y)</f>
        <v>0:</v>
      </c>
      <c r="Y48" s="21" t="str" cm="1">
        <f t="array" ca="1" aca="1" ref="Y48">CalculateMaxAndElements($K48,0,"",'Attack Steps'!$A:Z)</f>
        <v>0:</v>
      </c>
      <c r="Z48" s="21" t="str" cm="1">
        <f t="array" ca="1" aca="1" ref="Z48">CalculateMaxAndElements($K48,0,"",'Attack Steps'!$A:AA)</f>
        <v>0:</v>
      </c>
      <c r="AA48" s="21" t="str" cm="1">
        <f t="array" ca="1" aca="1" ref="AA48">CalculateMaxAndElements($K48,0,"",'Attack Steps'!$A:AB)</f>
        <v>0:</v>
      </c>
      <c r="AB48" s="21">
        <f t="shared" ca="1" si="70"/>
        <v>0</v>
      </c>
      <c r="AC48" s="21">
        <f t="shared" ca="1" si="71"/>
        <v>0</v>
      </c>
      <c r="AD48" s="21">
        <f t="shared" ca="1" si="72"/>
        <v>0</v>
      </c>
      <c r="AE48" s="21">
        <f t="shared" ca="1" si="73"/>
        <v>0</v>
      </c>
      <c r="AF48" s="21">
        <f t="shared" ca="1" si="74"/>
        <v>0</v>
      </c>
      <c r="AG48" s="21">
        <f t="shared" ca="1" si="64"/>
        <v>0</v>
      </c>
      <c r="AH48" s="21" t="str" cm="1">
        <f t="array" ca="1" aca="1" ref="AH48">IF(ROW()=ROW($AH$2)+1,"",INDEX($AH:$AH,ROW()-1))&amp;IF($A48="","",$A48&amp;",")</f>
        <v>R1-3,R2-3,R1-4,R2-4,R1-6,R2-6,R1-7,R2-7,R1-3-10,R2-3-10,R1-3-11,R2-3-11,R1-14,R1-16,R2-16,R21-23,R22-23,R1-29,R2-29,R31,R1-3-32,R2-3-32,R1-5-32,R2-5-32,R1-7-32,R2-7-32,R1-16-32,R2-16-32,R21-23-32,R22-23-32,R21-24-32,R22-24-32,R1-29-32,R2-29-32,R37,R38,R1-40,R2-40,</v>
      </c>
      <c r="AI48" s="21" t="str">
        <f t="shared" ca="1" si="75"/>
        <v/>
      </c>
      <c r="AJ48" s="21" cm="1">
        <f t="array" ca="1" aca="1" ref="AJ48">IF($G48="",0,SimpleLookup($G48,Definitions!$AE:$AF))</f>
        <v>0</v>
      </c>
      <c r="AK48" s="21" t="str" cm="1">
        <f t="array" ca="1" aca="1" ref="AK48">InverseLookup($A48,Mitigation!$U$2,Mitigation!$J$2,1,Helper!$B$5,",")</f>
        <v/>
      </c>
      <c r="AL48" s="21" t="str" cm="1">
        <f t="array" ca="1" aca="1" ref="AL48">CalculateMaxAndElementsWithFallback(SanitizeInput($AK48),0,"",Countermeasures!$A:Y,Assumptions!$A:Z)</f>
        <v>0:</v>
      </c>
      <c r="AM48" s="21" t="str" cm="1">
        <f t="array" ca="1" aca="1" ref="AM48">CalculateMaxAndElementsWithFallback(SanitizeInput($AK48),0,"",Countermeasures!$A:Z,Assumptions!$A:AA)</f>
        <v>0:</v>
      </c>
      <c r="AN48" s="21" t="str" cm="1">
        <f t="array" ca="1" aca="1" ref="AN48">CalculateMaxAndElementsWithFallback(SanitizeInput($AK48),0,"",Countermeasures!$A:AA,Assumptions!$A:AB)</f>
        <v>0:</v>
      </c>
      <c r="AO48" s="21" t="str" cm="1">
        <f t="array" ca="1" aca="1" ref="AO48">CalculateMaxAndElementsWithFallback(SanitizeInput($AK48),0,"",Countermeasures!$A:AB,Assumptions!$A:AC)</f>
        <v>0:</v>
      </c>
      <c r="AP48" s="21" t="str" cm="1">
        <f t="array" ca="1" aca="1" ref="AP48">CalculateMaxAndElementsWithFallback(SanitizeInput($AK48),0,"",Countermeasures!$A:AC,Assumptions!$A:AD)</f>
        <v>0:</v>
      </c>
      <c r="AQ48" s="21">
        <f t="shared" ca="1" si="76"/>
        <v>0</v>
      </c>
      <c r="AR48" s="21">
        <f t="shared" ca="1" si="77"/>
        <v>0</v>
      </c>
      <c r="AS48" s="21">
        <f t="shared" ca="1" si="78"/>
        <v>0</v>
      </c>
      <c r="AT48" s="21">
        <f t="shared" ca="1" si="79"/>
        <v>0</v>
      </c>
      <c r="AU48" s="21">
        <f t="shared" ca="1" si="80"/>
        <v>0</v>
      </c>
      <c r="AV48" s="21" t="str">
        <f t="shared" ca="1" si="81"/>
        <v>0:</v>
      </c>
      <c r="AW48" s="21" t="str">
        <f t="shared" ca="1" si="82"/>
        <v>0:</v>
      </c>
      <c r="AX48" s="21" t="str">
        <f t="shared" ca="1" si="83"/>
        <v>0:</v>
      </c>
      <c r="AY48" s="21" t="str">
        <f t="shared" ca="1" si="84"/>
        <v>0:</v>
      </c>
      <c r="AZ48" s="21" t="str">
        <f t="shared" ca="1" si="85"/>
        <v>0:</v>
      </c>
      <c r="BA48" s="21">
        <f t="shared" ca="1" si="86"/>
        <v>0</v>
      </c>
      <c r="BB48" s="21">
        <f t="shared" ca="1" si="87"/>
        <v>0</v>
      </c>
      <c r="BC48" s="21">
        <f t="shared" ca="1" si="88"/>
        <v>0</v>
      </c>
      <c r="BD48" s="21">
        <f t="shared" ca="1" si="89"/>
        <v>0</v>
      </c>
      <c r="BE48" s="21">
        <f t="shared" ca="1" si="90"/>
        <v>0</v>
      </c>
      <c r="BF48" s="21">
        <f t="shared" ca="1" si="65"/>
        <v>0</v>
      </c>
      <c r="BG48" s="21" t="str">
        <f ca="1">IFERROR(VLOOKUP($BF48,Definitions!$V:$W,COLUMNS(Definitions!$V:$W),TRUE),"")</f>
        <v>Basic</v>
      </c>
      <c r="BH48" s="21" t="str">
        <f ca="1">_xlfn.LET(_xlpm._comments,GetValues($K48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8" s="21" t="str" cm="1">
        <f t="array" ca="1" aca="1" ref="BI48">_xlfn.LET(_xlpm._rapRange,Definitions!$W:$W,_xlpm._calculatedRAP,$BG48,_xlpm._inlineRAP,$BH48,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8" s="21" t="str">
        <f ca="1">IFERROR(IF(OR($V48="",$BI48=""),Definitions!$AE$4,VLOOKUP($V48,Definitions!$AH:$AM,MATCH($BI48,Definitions!$AH$3:$AM$3,0),FALSE)),"")</f>
        <v>No Risk</v>
      </c>
      <c r="BK48" s="21" cm="1">
        <f t="array" ca="1" aca="1" ref="BK48">IF($BJ48="",0,SimpleLookup($BJ48,Definitions!$AE:$AF))</f>
        <v>0</v>
      </c>
      <c r="BL48" s="21" t="str" cm="1">
        <f t="array" ca="1" aca="1" ref="BL48">IFERROR(SimpleLookup($A48,Tracing!$B:$Z),"")</f>
        <v/>
      </c>
      <c r="BM48" s="21" t="str" cm="1">
        <f t="array" ca="1" aca="1" ref="BM48">_xlfn.LET(_xlpm._dm,SanitizeInput(GetValuesWithFallback(SanitizeInput($BL48),Assumptions!$A:$I,Countermeasures!$A:$I,"",",",FALSE)),IF(_xlpm._dm="","",","&amp;_xlpm._dm))</f>
        <v/>
      </c>
      <c r="BN48" s="21" t="str" cm="1">
        <f t="array" ca="1" aca="1" ref="BN48">ApplyDamageMitigation($M48,$BM48,"")</f>
        <v/>
      </c>
      <c r="BO48" s="21" cm="1">
        <f t="array" ca="1" aca="1" ref="BO48">CalculateMaxFromList($BN48,0,'Damage Scenarios'!$A:$U)</f>
        <v>0</v>
      </c>
      <c r="BP48" s="21" t="str">
        <f ca="1">IF($BO48=0,"",INDEX(Definitions!$Q:$Q,MATCH($BO48,Definitions!$R:$R,0)))</f>
        <v/>
      </c>
      <c r="BQ48" s="21" t="str" cm="1">
        <f t="array" ca="1" aca="1" ref="BQ48">CalculateMaxAndElementsWithFallback(SanitizeInput($BL48),0,"",Countermeasures!$A:Y,Assumptions!$A:Z)</f>
        <v>0:</v>
      </c>
      <c r="BR48" s="21" t="str" cm="1">
        <f t="array" ca="1" aca="1" ref="BR48">CalculateMaxAndElementsWithFallback(SanitizeInput($BL48),0,"",Countermeasures!$A:Z,Assumptions!$A:AA)</f>
        <v>0:</v>
      </c>
      <c r="BS48" s="21" t="str" cm="1">
        <f t="array" ca="1" aca="1" ref="BS48">CalculateMaxAndElementsWithFallback(SanitizeInput($BL48),0,"",Countermeasures!$A:AA,Assumptions!$A:AB)</f>
        <v>0:</v>
      </c>
      <c r="BT48" s="21" t="str" cm="1">
        <f t="array" ca="1" aca="1" ref="BT48">CalculateMaxAndElementsWithFallback(SanitizeInput($BL48),0,"",Countermeasures!$A:AB,Assumptions!$A:AC)</f>
        <v>0:</v>
      </c>
      <c r="BU48" s="21" t="str" cm="1">
        <f t="array" ca="1" aca="1" ref="BU48">CalculateMaxAndElementsWithFallback(SanitizeInput($BL48),0,"",Countermeasures!$A:AC,Assumptions!$A:AD)</f>
        <v>0:</v>
      </c>
      <c r="BV48" s="21">
        <f t="shared" ca="1" si="25"/>
        <v>0</v>
      </c>
      <c r="BW48" s="21">
        <f t="shared" ca="1" si="26"/>
        <v>0</v>
      </c>
      <c r="BX48" s="21">
        <f t="shared" ca="1" si="27"/>
        <v>0</v>
      </c>
      <c r="BY48" s="21">
        <f t="shared" ca="1" si="28"/>
        <v>0</v>
      </c>
      <c r="BZ48" s="21">
        <f t="shared" ca="1" si="29"/>
        <v>0</v>
      </c>
      <c r="CA48" s="21" t="str">
        <f t="shared" ca="1" si="30"/>
        <v>0:</v>
      </c>
      <c r="CB48" s="21" t="str">
        <f t="shared" ca="1" si="31"/>
        <v>0:</v>
      </c>
      <c r="CC48" s="21" t="str">
        <f t="shared" ca="1" si="32"/>
        <v>0:</v>
      </c>
      <c r="CD48" s="21" t="str">
        <f t="shared" ca="1" si="33"/>
        <v>0:</v>
      </c>
      <c r="CE48" s="21" t="str">
        <f t="shared" ca="1" si="34"/>
        <v>0:</v>
      </c>
      <c r="CF48" s="21">
        <f t="shared" ca="1" si="35"/>
        <v>0</v>
      </c>
      <c r="CG48" s="21">
        <f t="shared" ca="1" si="36"/>
        <v>0</v>
      </c>
      <c r="CH48" s="21">
        <f t="shared" ca="1" si="37"/>
        <v>0</v>
      </c>
      <c r="CI48" s="21">
        <f t="shared" ca="1" si="38"/>
        <v>0</v>
      </c>
      <c r="CJ48" s="21">
        <f t="shared" ca="1" si="39"/>
        <v>0</v>
      </c>
      <c r="CK48" s="21">
        <f t="shared" ca="1" si="66"/>
        <v>0</v>
      </c>
      <c r="CL48" s="21" t="str">
        <f ca="1">IFERROR(VLOOKUP($CK48,Definitions!$V:$W,COLUMNS(Definitions!$V:$W),TRUE),"")</f>
        <v>Basic</v>
      </c>
      <c r="CM48" s="21" t="str">
        <f ca="1">_xlfn.LET(_xlpm._comments,SimpleLookup($A48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8" s="21" t="str" cm="1">
        <f t="array" ca="1" aca="1" ref="CN48">_xlfn.LET(_xlpm._rapRange,Definitions!$W:$W,_xlpm._calculatedRAP,$CL48,_xlpm._inlineRAP,$CM48,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8" s="21" t="str">
        <f ca="1">IFERROR(IF(OR($BP48="",$CN48=""),Definitions!$AE$4,VLOOKUP($BP48,Definitions!$AH:$AM,MATCH($CN48,Definitions!$AH$3:$AM$3,0),FALSE)),"")</f>
        <v>No Risk</v>
      </c>
      <c r="CP48" s="21" cm="1">
        <f t="array" ca="1" aca="1" ref="CP48">IF($CO48="",0,SimpleLookup($CO48,Definitions!$AE:$AF))</f>
        <v>0</v>
      </c>
      <c r="CQ48" s="21" t="b">
        <f ca="1">OR(AND($S48,$I48=Helper!$B$7),$I48&gt;Helper!$B$7)</f>
        <v>1</v>
      </c>
      <c r="CR48" s="21" t="str">
        <f t="shared" ca="1" si="67"/>
        <v/>
      </c>
      <c r="CS48" s="21" cm="1">
        <f t="array" ca="1" aca="1" ref="CS48">CreateID($CS$2,$CV:$CV,$CR48&lt;&gt;"")</f>
        <v>0</v>
      </c>
      <c r="CT48" s="21" t="str">
        <f ca="1">IF(IFERROR(MATCH(","&amp;A48&amp;",",'Risk Treatment'!$AT:$AT,0)&gt;0,FALSE),"",$A48)</f>
        <v/>
      </c>
      <c r="CU48" s="21" cm="1">
        <f t="array" ca="1" aca="1" ref="CU48">CreateID($CU$2,$CU:$CU,$CT48&lt;&gt;"")</f>
        <v>38</v>
      </c>
    </row>
    <row r="49" spans="1:99" ht="15">
      <c r="A49" s="33" t="str" cm="1">
        <f t="array" ca="1" aca="1" ref="A49">IF($B49="","","R"&amp;RemoveDelimiter(SUBSTITUTE(SUBSTITUTE($K49,"AS",""),",","-"),"-"))</f>
        <v/>
      </c>
      <c r="B49" s="33" t="str" cm="1">
        <f t="array" ca="1" aca="1" ref="B49">IF($L49="","",_xlfn.LET(_xlpm._finalAttackStep,$L49,_xlpm._prepAttacks,RemoveFirstElement(_xlpm._finalAttackStep&amp;","&amp;$K49),_xlpm._prepAttackNames,IFERROR(LookupNames(_xlpm._prepAttacks,'Attack Steps'!$A:$B),""),_xlpm._delimiter,REPT(CHAR(150),55),$L49&amp;" "&amp;SimpleLookup($L49,'Attack Steps'!$A:$B)&amp;IF(_xlpm._prepAttackNames="","",CHAR(10)&amp;_xlpm._delimiter&amp;CHAR(10)&amp;_xlpm._prepAttackNames)))</f>
        <v/>
      </c>
      <c r="C49" s="34" t="str" cm="1">
        <f t="array" ca="1" aca="1" ref="C49">IFERROR(LookupNames($M49,'Damage Scenarios'!$A:$V),"")</f>
        <v/>
      </c>
      <c r="D49" s="33" t="str">
        <f ca="1">IFERROR(IF($T49=0,"",INDEX(Definitions!$Q:$Q,MATCH($T49,Definitions!$R:$R,0))),"")</f>
        <v/>
      </c>
      <c r="E49" s="34" t="str" cm="1">
        <f t="array" ca="1" aca="1" ref="E49">IF($A49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49,$A:W,Definitions!$Y:$Y,Definitions!$AB:$AB,1)&amp;CHAR(10)&amp;_xlpm._factorFunction($A49,$A:X,Definitions!$Y:$Y,Definitions!$AB:$AB,2)&amp;CHAR(10)&amp;_xlpm._factorFunction($A49,$A:Y,Definitions!$Y:$Y,Definitions!$AB:$AB,3)&amp;CHAR(10)&amp;_xlpm._factorFunction($A49,$A:Z,Definitions!$Y:$Y,Definitions!$AB:$AB,4)&amp;CHAR(10)&amp;_xlpm._factorFunction($A49,$A:AA,Definitions!$Y:$Y,Definitions!$AB:$AB,5)))</f>
        <v/>
      </c>
      <c r="F49" s="33" t="str">
        <f ca="1">IF($A49="","",IFERROR(VLOOKUP($AG49,Definitions!$V:$W,COLUMNS(Definitions!$V:$W),TRUE),""))</f>
        <v/>
      </c>
      <c r="G49" s="33" t="str">
        <f ca="1">IFERROR(IF(OR($D49="",$F49=""),"",VLOOKUP($D49,Definitions!$AH:$AM,MATCH($F49,Definitions!$AH$3:$AM$3,0),FALSE)),"")</f>
        <v/>
      </c>
      <c r="H49" s="23" cm="1">
        <f t="array" ca="1" aca="1" ref="H49">IF(ROW()=ROW($H$2)+1,0,INDEX($H:$H,ROW()-1))+IF($A49="",0,1)</f>
        <v>38</v>
      </c>
      <c r="I49" s="21" cm="1">
        <f t="array" ca="1" aca="1" ref="I49">IF(ROW()=ROW($I$2)+1,1,INDEX($I:$I,ROW()-1)+IF(INDEX($S:$S,ROW()-1),1,0))</f>
        <v>16</v>
      </c>
      <c r="J49" s="21">
        <f t="shared" ca="1" si="63"/>
        <v>9</v>
      </c>
      <c r="K49" s="21" t="str">
        <f t="shared" ca="1" si="68"/>
        <v/>
      </c>
      <c r="L49" s="21" t="str" cm="1">
        <f t="array" ca="1" aca="1" ref="L49">IF($P49="","",INDEX('Attack Steps'!$A:$A,$P49))</f>
        <v/>
      </c>
      <c r="M49" s="21" t="str" cm="1">
        <f t="array" ca="1" aca="1" ref="M49">IF($P49="","",INDEX('Attack Steps'!$T:$T,$P49))</f>
        <v/>
      </c>
      <c r="N49" s="21" t="str" cm="1">
        <f t="array" ca="1" aca="1" ref="N49">_xlfn.LET(_xlpm._dm,SanitizeInput(GetValuesWithFallback(SanitizeInput($AK49),Assumptions!$A:$I,Countermeasures!$A:$I,"",",",FALSE)),IF(_xlpm._dm="","",","&amp;_xlpm._dm))</f>
        <v/>
      </c>
      <c r="O49" s="21" t="str" cm="1">
        <f t="array" ca="1" aca="1" ref="O49">ApplyDamageMitigation($M49,$N49,"")</f>
        <v/>
      </c>
      <c r="P49" s="21" t="str">
        <f ca="1">IFERROR(MATCH($I49,'Attack Steps'!$V:$V,0),"")</f>
        <v/>
      </c>
      <c r="Q49" s="21" t="str" cm="1">
        <f t="array" ca="1" aca="1" ref="Q49">IF($P49="","","§"&amp;INDEX('Attack Steps'!$S:$S,$P49))</f>
        <v/>
      </c>
      <c r="R49" s="21" t="str" cm="1">
        <f t="array" ca="1" aca="1" ref="R49">IF($P49="","",INDEX('Attack Steps'!$W:$W,$P49))</f>
        <v/>
      </c>
      <c r="S49" s="21" t="b">
        <f t="shared" ca="1" si="69"/>
        <v>0</v>
      </c>
      <c r="T49" s="21" cm="1">
        <f t="array" ca="1" aca="1" ref="T49">_xlfn.LAMBDA(_xlpm._in,_xlpm._val,_xlpm._range,IF(_xlpm._in="",_xlpm._val,_xlfn.LET(_xlpm._id,LEFT(_xlpm._in,FIND(",",_xlpm._in)-1),CalculateMaxFromList(RemoveFirstElement(_xlpm._in),MAX(_xlpm._val,VLOOKUP(_xlpm._id,_xlpm._range,COLUMNS(_xlpm._range),FALSE)),_xlpm._range))))($M49,0,'Damage Scenarios'!$A:$U)</f>
        <v>0</v>
      </c>
      <c r="U49" s="21" cm="1">
        <f t="array" ca="1" aca="1" ref="U49">CalculateMaxFromList($O49,0,'Damage Scenarios'!$A:$U)</f>
        <v>0</v>
      </c>
      <c r="V49" s="21" t="str">
        <f ca="1">IF($U49=0,"",INDEX(Definitions!$Q:$Q,MATCH($U49,Definitions!$R:$R,0)))</f>
        <v/>
      </c>
      <c r="W49" s="21" t="str" cm="1">
        <f t="array" ca="1" aca="1" ref="W49">CalculateMaxAndElements($K49,0,"",'Attack Steps'!$A:X)</f>
        <v>0:</v>
      </c>
      <c r="X49" s="21" t="str" cm="1">
        <f t="array" ca="1" aca="1" ref="X49">CalculateMaxAndElements($K49,0,"",'Attack Steps'!$A:Y)</f>
        <v>0:</v>
      </c>
      <c r="Y49" s="21" t="str" cm="1">
        <f t="array" ca="1" aca="1" ref="Y49">CalculateMaxAndElements($K49,0,"",'Attack Steps'!$A:Z)</f>
        <v>0:</v>
      </c>
      <c r="Z49" s="21" t="str" cm="1">
        <f t="array" ca="1" aca="1" ref="Z49">CalculateMaxAndElements($K49,0,"",'Attack Steps'!$A:AA)</f>
        <v>0:</v>
      </c>
      <c r="AA49" s="21" t="str" cm="1">
        <f t="array" ca="1" aca="1" ref="AA49">CalculateMaxAndElements($K49,0,"",'Attack Steps'!$A:AB)</f>
        <v>0:</v>
      </c>
      <c r="AB49" s="21">
        <f t="shared" ca="1" si="70"/>
        <v>0</v>
      </c>
      <c r="AC49" s="21">
        <f t="shared" ca="1" si="71"/>
        <v>0</v>
      </c>
      <c r="AD49" s="21">
        <f t="shared" ca="1" si="72"/>
        <v>0</v>
      </c>
      <c r="AE49" s="21">
        <f t="shared" ca="1" si="73"/>
        <v>0</v>
      </c>
      <c r="AF49" s="21">
        <f t="shared" ca="1" si="74"/>
        <v>0</v>
      </c>
      <c r="AG49" s="21">
        <f t="shared" ca="1" si="64"/>
        <v>0</v>
      </c>
      <c r="AH49" s="21" t="str" cm="1">
        <f t="array" ca="1" aca="1" ref="AH49">IF(ROW()=ROW($AH$2)+1,"",INDEX($AH:$AH,ROW()-1))&amp;IF($A49="","",$A49&amp;",")</f>
        <v>R1-3,R2-3,R1-4,R2-4,R1-6,R2-6,R1-7,R2-7,R1-3-10,R2-3-10,R1-3-11,R2-3-11,R1-14,R1-16,R2-16,R21-23,R22-23,R1-29,R2-29,R31,R1-3-32,R2-3-32,R1-5-32,R2-5-32,R1-7-32,R2-7-32,R1-16-32,R2-16-32,R21-23-32,R22-23-32,R21-24-32,R22-24-32,R1-29-32,R2-29-32,R37,R38,R1-40,R2-40,</v>
      </c>
      <c r="AI49" s="21" t="str">
        <f t="shared" ca="1" si="75"/>
        <v/>
      </c>
      <c r="AJ49" s="21" cm="1">
        <f t="array" ca="1" aca="1" ref="AJ49">IF($G49="",0,SimpleLookup($G49,Definitions!$AE:$AF))</f>
        <v>0</v>
      </c>
      <c r="AK49" s="21" t="str" cm="1">
        <f t="array" ca="1" aca="1" ref="AK49">InverseLookup($A49,Mitigation!$U$2,Mitigation!$J$2,1,Helper!$B$5,",")</f>
        <v/>
      </c>
      <c r="AL49" s="21" t="str" cm="1">
        <f t="array" ca="1" aca="1" ref="AL49">CalculateMaxAndElementsWithFallback(SanitizeInput($AK49),0,"",Countermeasures!$A:Y,Assumptions!$A:Z)</f>
        <v>0:</v>
      </c>
      <c r="AM49" s="21" t="str" cm="1">
        <f t="array" ca="1" aca="1" ref="AM49">CalculateMaxAndElementsWithFallback(SanitizeInput($AK49),0,"",Countermeasures!$A:Z,Assumptions!$A:AA)</f>
        <v>0:</v>
      </c>
      <c r="AN49" s="21" t="str" cm="1">
        <f t="array" ca="1" aca="1" ref="AN49">CalculateMaxAndElementsWithFallback(SanitizeInput($AK49),0,"",Countermeasures!$A:AA,Assumptions!$A:AB)</f>
        <v>0:</v>
      </c>
      <c r="AO49" s="21" t="str" cm="1">
        <f t="array" ca="1" aca="1" ref="AO49">CalculateMaxAndElementsWithFallback(SanitizeInput($AK49),0,"",Countermeasures!$A:AB,Assumptions!$A:AC)</f>
        <v>0:</v>
      </c>
      <c r="AP49" s="21" t="str" cm="1">
        <f t="array" ca="1" aca="1" ref="AP49">CalculateMaxAndElementsWithFallback(SanitizeInput($AK49),0,"",Countermeasures!$A:AC,Assumptions!$A:AD)</f>
        <v>0:</v>
      </c>
      <c r="AQ49" s="21">
        <f t="shared" ca="1" si="76"/>
        <v>0</v>
      </c>
      <c r="AR49" s="21">
        <f t="shared" ca="1" si="77"/>
        <v>0</v>
      </c>
      <c r="AS49" s="21">
        <f t="shared" ca="1" si="78"/>
        <v>0</v>
      </c>
      <c r="AT49" s="21">
        <f t="shared" ca="1" si="79"/>
        <v>0</v>
      </c>
      <c r="AU49" s="21">
        <f t="shared" ca="1" si="80"/>
        <v>0</v>
      </c>
      <c r="AV49" s="21" t="str">
        <f t="shared" ca="1" si="81"/>
        <v>0:</v>
      </c>
      <c r="AW49" s="21" t="str">
        <f t="shared" ca="1" si="82"/>
        <v>0:</v>
      </c>
      <c r="AX49" s="21" t="str">
        <f t="shared" ca="1" si="83"/>
        <v>0:</v>
      </c>
      <c r="AY49" s="21" t="str">
        <f t="shared" ca="1" si="84"/>
        <v>0:</v>
      </c>
      <c r="AZ49" s="21" t="str">
        <f t="shared" ca="1" si="85"/>
        <v>0:</v>
      </c>
      <c r="BA49" s="21">
        <f t="shared" ca="1" si="86"/>
        <v>0</v>
      </c>
      <c r="BB49" s="21">
        <f t="shared" ca="1" si="87"/>
        <v>0</v>
      </c>
      <c r="BC49" s="21">
        <f t="shared" ca="1" si="88"/>
        <v>0</v>
      </c>
      <c r="BD49" s="21">
        <f t="shared" ca="1" si="89"/>
        <v>0</v>
      </c>
      <c r="BE49" s="21">
        <f t="shared" ca="1" si="90"/>
        <v>0</v>
      </c>
      <c r="BF49" s="21">
        <f t="shared" ca="1" si="65"/>
        <v>0</v>
      </c>
      <c r="BG49" s="21" t="str">
        <f ca="1">IFERROR(VLOOKUP($BF49,Definitions!$V:$W,COLUMNS(Definitions!$V:$W),TRUE),"")</f>
        <v>Basic</v>
      </c>
      <c r="BH49" s="21" t="str">
        <f ca="1">_xlfn.LET(_xlpm._comments,GetValues($K49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49" s="21" t="str" cm="1">
        <f t="array" ca="1" aca="1" ref="BI49">_xlfn.LET(_xlpm._rapRange,Definitions!$W:$W,_xlpm._calculatedRAP,$BG49,_xlpm._inlineRAP,$BH49,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49" s="21" t="str">
        <f ca="1">IFERROR(IF(OR($V49="",$BI49=""),Definitions!$AE$4,VLOOKUP($V49,Definitions!$AH:$AM,MATCH($BI49,Definitions!$AH$3:$AM$3,0),FALSE)),"")</f>
        <v>No Risk</v>
      </c>
      <c r="BK49" s="21" cm="1">
        <f t="array" ca="1" aca="1" ref="BK49">IF($BJ49="",0,SimpleLookup($BJ49,Definitions!$AE:$AF))</f>
        <v>0</v>
      </c>
      <c r="BL49" s="21" t="str" cm="1">
        <f t="array" ca="1" aca="1" ref="BL49">IFERROR(SimpleLookup($A49,Tracing!$B:$Z),"")</f>
        <v/>
      </c>
      <c r="BM49" s="21" t="str" cm="1">
        <f t="array" ca="1" aca="1" ref="BM49">_xlfn.LET(_xlpm._dm,SanitizeInput(GetValuesWithFallback(SanitizeInput($BL49),Assumptions!$A:$I,Countermeasures!$A:$I,"",",",FALSE)),IF(_xlpm._dm="","",","&amp;_xlpm._dm))</f>
        <v/>
      </c>
      <c r="BN49" s="21" t="str" cm="1">
        <f t="array" ca="1" aca="1" ref="BN49">ApplyDamageMitigation($M49,$BM49,"")</f>
        <v/>
      </c>
      <c r="BO49" s="21" cm="1">
        <f t="array" ca="1" aca="1" ref="BO49">CalculateMaxFromList($BN49,0,'Damage Scenarios'!$A:$U)</f>
        <v>0</v>
      </c>
      <c r="BP49" s="21" t="str">
        <f ca="1">IF($BO49=0,"",INDEX(Definitions!$Q:$Q,MATCH($BO49,Definitions!$R:$R,0)))</f>
        <v/>
      </c>
      <c r="BQ49" s="21" t="str" cm="1">
        <f t="array" ca="1" aca="1" ref="BQ49">CalculateMaxAndElementsWithFallback(SanitizeInput($BL49),0,"",Countermeasures!$A:Y,Assumptions!$A:Z)</f>
        <v>0:</v>
      </c>
      <c r="BR49" s="21" t="str" cm="1">
        <f t="array" ca="1" aca="1" ref="BR49">CalculateMaxAndElementsWithFallback(SanitizeInput($BL49),0,"",Countermeasures!$A:Z,Assumptions!$A:AA)</f>
        <v>0:</v>
      </c>
      <c r="BS49" s="21" t="str" cm="1">
        <f t="array" ca="1" aca="1" ref="BS49">CalculateMaxAndElementsWithFallback(SanitizeInput($BL49),0,"",Countermeasures!$A:AA,Assumptions!$A:AB)</f>
        <v>0:</v>
      </c>
      <c r="BT49" s="21" t="str" cm="1">
        <f t="array" ca="1" aca="1" ref="BT49">CalculateMaxAndElementsWithFallback(SanitizeInput($BL49),0,"",Countermeasures!$A:AB,Assumptions!$A:AC)</f>
        <v>0:</v>
      </c>
      <c r="BU49" s="21" t="str" cm="1">
        <f t="array" ca="1" aca="1" ref="BU49">CalculateMaxAndElementsWithFallback(SanitizeInput($BL49),0,"",Countermeasures!$A:AC,Assumptions!$A:AD)</f>
        <v>0:</v>
      </c>
      <c r="BV49" s="21">
        <f t="shared" ca="1" si="25"/>
        <v>0</v>
      </c>
      <c r="BW49" s="21">
        <f t="shared" ca="1" si="26"/>
        <v>0</v>
      </c>
      <c r="BX49" s="21">
        <f t="shared" ca="1" si="27"/>
        <v>0</v>
      </c>
      <c r="BY49" s="21">
        <f t="shared" ca="1" si="28"/>
        <v>0</v>
      </c>
      <c r="BZ49" s="21">
        <f t="shared" ca="1" si="29"/>
        <v>0</v>
      </c>
      <c r="CA49" s="21" t="str">
        <f t="shared" ca="1" si="30"/>
        <v>0:</v>
      </c>
      <c r="CB49" s="21" t="str">
        <f t="shared" ca="1" si="31"/>
        <v>0:</v>
      </c>
      <c r="CC49" s="21" t="str">
        <f t="shared" ca="1" si="32"/>
        <v>0:</v>
      </c>
      <c r="CD49" s="21" t="str">
        <f t="shared" ca="1" si="33"/>
        <v>0:</v>
      </c>
      <c r="CE49" s="21" t="str">
        <f t="shared" ca="1" si="34"/>
        <v>0:</v>
      </c>
      <c r="CF49" s="21">
        <f t="shared" ca="1" si="35"/>
        <v>0</v>
      </c>
      <c r="CG49" s="21">
        <f t="shared" ca="1" si="36"/>
        <v>0</v>
      </c>
      <c r="CH49" s="21">
        <f t="shared" ca="1" si="37"/>
        <v>0</v>
      </c>
      <c r="CI49" s="21">
        <f t="shared" ca="1" si="38"/>
        <v>0</v>
      </c>
      <c r="CJ49" s="21">
        <f t="shared" ca="1" si="39"/>
        <v>0</v>
      </c>
      <c r="CK49" s="21">
        <f t="shared" ca="1" si="66"/>
        <v>0</v>
      </c>
      <c r="CL49" s="21" t="str">
        <f ca="1">IFERROR(VLOOKUP($CK49,Definitions!$V:$W,COLUMNS(Definitions!$V:$W),TRUE),"")</f>
        <v>Basic</v>
      </c>
      <c r="CM49" s="21" t="str">
        <f ca="1">_xlfn.LET(_xlpm._comments,SimpleLookup($A49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49" s="21" t="str" cm="1">
        <f t="array" ca="1" aca="1" ref="CN49">_xlfn.LET(_xlpm._rapRange,Definitions!$W:$W,_xlpm._calculatedRAP,$CL49,_xlpm._inlineRAP,$CM49,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49" s="21" t="str">
        <f ca="1">IFERROR(IF(OR($BP49="",$CN49=""),Definitions!$AE$4,VLOOKUP($BP49,Definitions!$AH:$AM,MATCH($CN49,Definitions!$AH$3:$AM$3,0),FALSE)),"")</f>
        <v>No Risk</v>
      </c>
      <c r="CP49" s="21" cm="1">
        <f t="array" ca="1" aca="1" ref="CP49">IF($CO49="",0,SimpleLookup($CO49,Definitions!$AE:$AF))</f>
        <v>0</v>
      </c>
      <c r="CQ49" s="21" t="b">
        <f ca="1">OR(AND($S49,$I49=Helper!$B$7),$I49&gt;Helper!$B$7)</f>
        <v>1</v>
      </c>
      <c r="CR49" s="21" t="str">
        <f t="shared" ca="1" si="67"/>
        <v/>
      </c>
      <c r="CS49" s="21" cm="1">
        <f t="array" ca="1" aca="1" ref="CS49">CreateID($CS$2,$CV:$CV,$CR49&lt;&gt;"")</f>
        <v>0</v>
      </c>
      <c r="CT49" s="21" t="str">
        <f ca="1">IF(IFERROR(MATCH(","&amp;A49&amp;",",'Risk Treatment'!$AT:$AT,0)&gt;0,FALSE),"",$A49)</f>
        <v/>
      </c>
      <c r="CU49" s="21" cm="1">
        <f t="array" ca="1" aca="1" ref="CU49">CreateID($CU$2,$CU:$CU,$CT49&lt;&gt;"")</f>
        <v>38</v>
      </c>
    </row>
    <row r="50" spans="1:99" ht="15">
      <c r="A50" s="33" t="str" cm="1">
        <f t="array" ca="1" aca="1" ref="A50">IF($B50="","","R"&amp;RemoveDelimiter(SUBSTITUTE(SUBSTITUTE($K50,"AS",""),",","-"),"-"))</f>
        <v/>
      </c>
      <c r="B50" s="33" t="str" cm="1">
        <f t="array" ca="1" aca="1" ref="B50">IF($L50="","",_xlfn.LET(_xlpm._finalAttackStep,$L50,_xlpm._prepAttacks,RemoveFirstElement(_xlpm._finalAttackStep&amp;","&amp;$K50),_xlpm._prepAttackNames,IFERROR(LookupNames(_xlpm._prepAttacks,'Attack Steps'!$A:$B),""),_xlpm._delimiter,REPT(CHAR(150),55),$L50&amp;" "&amp;SimpleLookup($L50,'Attack Steps'!$A:$B)&amp;IF(_xlpm._prepAttackNames="","",CHAR(10)&amp;_xlpm._delimiter&amp;CHAR(10)&amp;_xlpm._prepAttackNames)))</f>
        <v/>
      </c>
      <c r="C50" s="34" t="str" cm="1">
        <f t="array" ca="1" aca="1" ref="C50">IFERROR(LookupNames($M50,'Damage Scenarios'!$A:$V),"")</f>
        <v/>
      </c>
      <c r="D50" s="33" t="str">
        <f ca="1">IFERROR(IF($T50=0,"",INDEX(Definitions!$Q:$Q,MATCH($T50,Definitions!$R:$R,0))),"")</f>
        <v/>
      </c>
      <c r="E50" s="34" t="str" cm="1">
        <f t="array" ca="1" aca="1" ref="E50">IF($A50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50,$A:W,Definitions!$Y:$Y,Definitions!$AB:$AB,1)&amp;CHAR(10)&amp;_xlpm._factorFunction($A50,$A:X,Definitions!$Y:$Y,Definitions!$AB:$AB,2)&amp;CHAR(10)&amp;_xlpm._factorFunction($A50,$A:Y,Definitions!$Y:$Y,Definitions!$AB:$AB,3)&amp;CHAR(10)&amp;_xlpm._factorFunction($A50,$A:Z,Definitions!$Y:$Y,Definitions!$AB:$AB,4)&amp;CHAR(10)&amp;_xlpm._factorFunction($A50,$A:AA,Definitions!$Y:$Y,Definitions!$AB:$AB,5)))</f>
        <v/>
      </c>
      <c r="F50" s="33" t="str">
        <f ca="1">IF($A50="","",IFERROR(VLOOKUP($AG50,Definitions!$V:$W,COLUMNS(Definitions!$V:$W),TRUE),""))</f>
        <v/>
      </c>
      <c r="G50" s="33" t="str">
        <f ca="1">IFERROR(IF(OR($D50="",$F50=""),"",VLOOKUP($D50,Definitions!$AH:$AM,MATCH($F50,Definitions!$AH$3:$AM$3,0),FALSE)),"")</f>
        <v/>
      </c>
      <c r="H50" s="23" cm="1">
        <f t="array" ca="1" aca="1" ref="H50">IF(ROW()=ROW($H$2)+1,0,INDEX($H:$H,ROW()-1))+IF($A50="",0,1)</f>
        <v>38</v>
      </c>
      <c r="I50" s="21" cm="1">
        <f t="array" ca="1" aca="1" ref="I50">IF(ROW()=ROW($I$2)+1,1,INDEX($I:$I,ROW()-1)+IF(INDEX($S:$S,ROW()-1),1,0))</f>
        <v>16</v>
      </c>
      <c r="J50" s="21">
        <f t="shared" ca="1" si="63"/>
        <v>10</v>
      </c>
      <c r="K50" s="21" t="str">
        <f t="shared" ca="1" si="68"/>
        <v/>
      </c>
      <c r="L50" s="21" t="str" cm="1">
        <f t="array" ca="1" aca="1" ref="L50">IF($P50="","",INDEX('Attack Steps'!$A:$A,$P50))</f>
        <v/>
      </c>
      <c r="M50" s="21" t="str" cm="1">
        <f t="array" ca="1" aca="1" ref="M50">IF($P50="","",INDEX('Attack Steps'!$T:$T,$P50))</f>
        <v/>
      </c>
      <c r="N50" s="21" t="str" cm="1">
        <f t="array" ca="1" aca="1" ref="N50">_xlfn.LET(_xlpm._dm,SanitizeInput(GetValuesWithFallback(SanitizeInput($AK50),Assumptions!$A:$I,Countermeasures!$A:$I,"",",",FALSE)),IF(_xlpm._dm="","",","&amp;_xlpm._dm))</f>
        <v/>
      </c>
      <c r="O50" s="21" t="str" cm="1">
        <f t="array" ca="1" aca="1" ref="O50">ApplyDamageMitigation($M50,$N50,"")</f>
        <v/>
      </c>
      <c r="P50" s="21" t="str">
        <f ca="1">IFERROR(MATCH($I50,'Attack Steps'!$V:$V,0),"")</f>
        <v/>
      </c>
      <c r="Q50" s="21" t="str" cm="1">
        <f t="array" ca="1" aca="1" ref="Q50">IF($P50="","","§"&amp;INDEX('Attack Steps'!$S:$S,$P50))</f>
        <v/>
      </c>
      <c r="R50" s="21" t="str" cm="1">
        <f t="array" ca="1" aca="1" ref="R50">IF($P50="","",INDEX('Attack Steps'!$W:$W,$P50))</f>
        <v/>
      </c>
      <c r="S50" s="21" t="b">
        <f t="shared" ca="1" si="69"/>
        <v>0</v>
      </c>
      <c r="T50" s="21" cm="1">
        <f t="array" ca="1" aca="1" ref="T50">_xlfn.LAMBDA(_xlpm._in,_xlpm._val,_xlpm._range,IF(_xlpm._in="",_xlpm._val,_xlfn.LET(_xlpm._id,LEFT(_xlpm._in,FIND(",",_xlpm._in)-1),CalculateMaxFromList(RemoveFirstElement(_xlpm._in),MAX(_xlpm._val,VLOOKUP(_xlpm._id,_xlpm._range,COLUMNS(_xlpm._range),FALSE)),_xlpm._range))))($M50,0,'Damage Scenarios'!$A:$U)</f>
        <v>0</v>
      </c>
      <c r="U50" s="21" cm="1">
        <f t="array" ca="1" aca="1" ref="U50">CalculateMaxFromList($O50,0,'Damage Scenarios'!$A:$U)</f>
        <v>0</v>
      </c>
      <c r="V50" s="21" t="str">
        <f ca="1">IF($U50=0,"",INDEX(Definitions!$Q:$Q,MATCH($U50,Definitions!$R:$R,0)))</f>
        <v/>
      </c>
      <c r="W50" s="21" t="str" cm="1">
        <f t="array" ca="1" aca="1" ref="W50">CalculateMaxAndElements($K50,0,"",'Attack Steps'!$A:X)</f>
        <v>0:</v>
      </c>
      <c r="X50" s="21" t="str" cm="1">
        <f t="array" ca="1" aca="1" ref="X50">CalculateMaxAndElements($K50,0,"",'Attack Steps'!$A:Y)</f>
        <v>0:</v>
      </c>
      <c r="Y50" s="21" t="str" cm="1">
        <f t="array" ca="1" aca="1" ref="Y50">CalculateMaxAndElements($K50,0,"",'Attack Steps'!$A:Z)</f>
        <v>0:</v>
      </c>
      <c r="Z50" s="21" t="str" cm="1">
        <f t="array" ca="1" aca="1" ref="Z50">CalculateMaxAndElements($K50,0,"",'Attack Steps'!$A:AA)</f>
        <v>0:</v>
      </c>
      <c r="AA50" s="21" t="str" cm="1">
        <f t="array" ca="1" aca="1" ref="AA50">CalculateMaxAndElements($K50,0,"",'Attack Steps'!$A:AB)</f>
        <v>0:</v>
      </c>
      <c r="AB50" s="21">
        <f t="shared" ca="1" si="70"/>
        <v>0</v>
      </c>
      <c r="AC50" s="21">
        <f t="shared" ca="1" si="71"/>
        <v>0</v>
      </c>
      <c r="AD50" s="21">
        <f t="shared" ca="1" si="72"/>
        <v>0</v>
      </c>
      <c r="AE50" s="21">
        <f t="shared" ca="1" si="73"/>
        <v>0</v>
      </c>
      <c r="AF50" s="21">
        <f t="shared" ca="1" si="74"/>
        <v>0</v>
      </c>
      <c r="AG50" s="21">
        <f t="shared" ca="1" si="64"/>
        <v>0</v>
      </c>
      <c r="AH50" s="21" t="str" cm="1">
        <f t="array" ca="1" aca="1" ref="AH50">IF(ROW()=ROW($AH$2)+1,"",INDEX($AH:$AH,ROW()-1))&amp;IF($A50="","",$A50&amp;",")</f>
        <v>R1-3,R2-3,R1-4,R2-4,R1-6,R2-6,R1-7,R2-7,R1-3-10,R2-3-10,R1-3-11,R2-3-11,R1-14,R1-16,R2-16,R21-23,R22-23,R1-29,R2-29,R31,R1-3-32,R2-3-32,R1-5-32,R2-5-32,R1-7-32,R2-7-32,R1-16-32,R2-16-32,R21-23-32,R22-23-32,R21-24-32,R22-24-32,R1-29-32,R2-29-32,R37,R38,R1-40,R2-40,</v>
      </c>
      <c r="AI50" s="21" t="str">
        <f t="shared" ca="1" si="75"/>
        <v/>
      </c>
      <c r="AJ50" s="21" cm="1">
        <f t="array" ca="1" aca="1" ref="AJ50">IF($G50="",0,SimpleLookup($G50,Definitions!$AE:$AF))</f>
        <v>0</v>
      </c>
      <c r="AK50" s="21" t="str" cm="1">
        <f t="array" ca="1" aca="1" ref="AK50">InverseLookup($A50,Mitigation!$U$2,Mitigation!$J$2,1,Helper!$B$5,",")</f>
        <v/>
      </c>
      <c r="AL50" s="21" t="str" cm="1">
        <f t="array" ca="1" aca="1" ref="AL50">CalculateMaxAndElementsWithFallback(SanitizeInput($AK50),0,"",Countermeasures!$A:Y,Assumptions!$A:Z)</f>
        <v>0:</v>
      </c>
      <c r="AM50" s="21" t="str" cm="1">
        <f t="array" ca="1" aca="1" ref="AM50">CalculateMaxAndElementsWithFallback(SanitizeInput($AK50),0,"",Countermeasures!$A:Z,Assumptions!$A:AA)</f>
        <v>0:</v>
      </c>
      <c r="AN50" s="21" t="str" cm="1">
        <f t="array" ca="1" aca="1" ref="AN50">CalculateMaxAndElementsWithFallback(SanitizeInput($AK50),0,"",Countermeasures!$A:AA,Assumptions!$A:AB)</f>
        <v>0:</v>
      </c>
      <c r="AO50" s="21" t="str" cm="1">
        <f t="array" ca="1" aca="1" ref="AO50">CalculateMaxAndElementsWithFallback(SanitizeInput($AK50),0,"",Countermeasures!$A:AB,Assumptions!$A:AC)</f>
        <v>0:</v>
      </c>
      <c r="AP50" s="21" t="str" cm="1">
        <f t="array" ca="1" aca="1" ref="AP50">CalculateMaxAndElementsWithFallback(SanitizeInput($AK50),0,"",Countermeasures!$A:AC,Assumptions!$A:AD)</f>
        <v>0:</v>
      </c>
      <c r="AQ50" s="21">
        <f t="shared" ca="1" si="76"/>
        <v>0</v>
      </c>
      <c r="AR50" s="21">
        <f t="shared" ca="1" si="77"/>
        <v>0</v>
      </c>
      <c r="AS50" s="21">
        <f t="shared" ca="1" si="78"/>
        <v>0</v>
      </c>
      <c r="AT50" s="21">
        <f t="shared" ca="1" si="79"/>
        <v>0</v>
      </c>
      <c r="AU50" s="21">
        <f t="shared" ca="1" si="80"/>
        <v>0</v>
      </c>
      <c r="AV50" s="21" t="str">
        <f t="shared" ca="1" si="81"/>
        <v>0:</v>
      </c>
      <c r="AW50" s="21" t="str">
        <f t="shared" ca="1" si="82"/>
        <v>0:</v>
      </c>
      <c r="AX50" s="21" t="str">
        <f t="shared" ca="1" si="83"/>
        <v>0:</v>
      </c>
      <c r="AY50" s="21" t="str">
        <f t="shared" ca="1" si="84"/>
        <v>0:</v>
      </c>
      <c r="AZ50" s="21" t="str">
        <f t="shared" ca="1" si="85"/>
        <v>0:</v>
      </c>
      <c r="BA50" s="21">
        <f t="shared" ca="1" si="86"/>
        <v>0</v>
      </c>
      <c r="BB50" s="21">
        <f t="shared" ca="1" si="87"/>
        <v>0</v>
      </c>
      <c r="BC50" s="21">
        <f t="shared" ca="1" si="88"/>
        <v>0</v>
      </c>
      <c r="BD50" s="21">
        <f t="shared" ca="1" si="89"/>
        <v>0</v>
      </c>
      <c r="BE50" s="21">
        <f t="shared" ca="1" si="90"/>
        <v>0</v>
      </c>
      <c r="BF50" s="21">
        <f t="shared" ca="1" si="65"/>
        <v>0</v>
      </c>
      <c r="BG50" s="21" t="str">
        <f ca="1">IFERROR(VLOOKUP($BF50,Definitions!$V:$W,COLUMNS(Definitions!$V:$W),TRUE),"")</f>
        <v>Basic</v>
      </c>
      <c r="BH50" s="21" t="str">
        <f ca="1">_xlfn.LET(_xlpm._comments,GetValues($K50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0" s="21" t="str" cm="1">
        <f t="array" ca="1" aca="1" ref="BI50">_xlfn.LET(_xlpm._rapRange,Definitions!$W:$W,_xlpm._calculatedRAP,$BG50,_xlpm._inlineRAP,$BH50,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0" s="21" t="str">
        <f ca="1">IFERROR(IF(OR($V50="",$BI50=""),Definitions!$AE$4,VLOOKUP($V50,Definitions!$AH:$AM,MATCH($BI50,Definitions!$AH$3:$AM$3,0),FALSE)),"")</f>
        <v>No Risk</v>
      </c>
      <c r="BK50" s="21" cm="1">
        <f t="array" ca="1" aca="1" ref="BK50">IF($BJ50="",0,SimpleLookup($BJ50,Definitions!$AE:$AF))</f>
        <v>0</v>
      </c>
      <c r="BL50" s="21" t="str" cm="1">
        <f t="array" ca="1" aca="1" ref="BL50">IFERROR(SimpleLookup($A50,Tracing!$B:$Z),"")</f>
        <v/>
      </c>
      <c r="BM50" s="21" t="str" cm="1">
        <f t="array" ca="1" aca="1" ref="BM50">_xlfn.LET(_xlpm._dm,SanitizeInput(GetValuesWithFallback(SanitizeInput($BL50),Assumptions!$A:$I,Countermeasures!$A:$I,"",",",FALSE)),IF(_xlpm._dm="","",","&amp;_xlpm._dm))</f>
        <v/>
      </c>
      <c r="BN50" s="21" t="str" cm="1">
        <f t="array" ca="1" aca="1" ref="BN50">ApplyDamageMitigation($M50,$BM50,"")</f>
        <v/>
      </c>
      <c r="BO50" s="21" cm="1">
        <f t="array" ca="1" aca="1" ref="BO50">CalculateMaxFromList($BN50,0,'Damage Scenarios'!$A:$U)</f>
        <v>0</v>
      </c>
      <c r="BP50" s="21" t="str">
        <f ca="1">IF($BO50=0,"",INDEX(Definitions!$Q:$Q,MATCH($BO50,Definitions!$R:$R,0)))</f>
        <v/>
      </c>
      <c r="BQ50" s="21" t="str" cm="1">
        <f t="array" ca="1" aca="1" ref="BQ50">CalculateMaxAndElementsWithFallback(SanitizeInput($BL50),0,"",Countermeasures!$A:Y,Assumptions!$A:Z)</f>
        <v>0:</v>
      </c>
      <c r="BR50" s="21" t="str" cm="1">
        <f t="array" ca="1" aca="1" ref="BR50">CalculateMaxAndElementsWithFallback(SanitizeInput($BL50),0,"",Countermeasures!$A:Z,Assumptions!$A:AA)</f>
        <v>0:</v>
      </c>
      <c r="BS50" s="21" t="str" cm="1">
        <f t="array" ca="1" aca="1" ref="BS50">CalculateMaxAndElementsWithFallback(SanitizeInput($BL50),0,"",Countermeasures!$A:AA,Assumptions!$A:AB)</f>
        <v>0:</v>
      </c>
      <c r="BT50" s="21" t="str" cm="1">
        <f t="array" ca="1" aca="1" ref="BT50">CalculateMaxAndElementsWithFallback(SanitizeInput($BL50),0,"",Countermeasures!$A:AB,Assumptions!$A:AC)</f>
        <v>0:</v>
      </c>
      <c r="BU50" s="21" t="str" cm="1">
        <f t="array" ca="1" aca="1" ref="BU50">CalculateMaxAndElementsWithFallback(SanitizeInput($BL50),0,"",Countermeasures!$A:AC,Assumptions!$A:AD)</f>
        <v>0:</v>
      </c>
      <c r="BV50" s="21">
        <f t="shared" ca="1" si="25"/>
        <v>0</v>
      </c>
      <c r="BW50" s="21">
        <f t="shared" ca="1" si="26"/>
        <v>0</v>
      </c>
      <c r="BX50" s="21">
        <f t="shared" ca="1" si="27"/>
        <v>0</v>
      </c>
      <c r="BY50" s="21">
        <f t="shared" ca="1" si="28"/>
        <v>0</v>
      </c>
      <c r="BZ50" s="21">
        <f t="shared" ca="1" si="29"/>
        <v>0</v>
      </c>
      <c r="CA50" s="21" t="str">
        <f t="shared" ca="1" si="30"/>
        <v>0:</v>
      </c>
      <c r="CB50" s="21" t="str">
        <f t="shared" ca="1" si="31"/>
        <v>0:</v>
      </c>
      <c r="CC50" s="21" t="str">
        <f t="shared" ca="1" si="32"/>
        <v>0:</v>
      </c>
      <c r="CD50" s="21" t="str">
        <f t="shared" ca="1" si="33"/>
        <v>0:</v>
      </c>
      <c r="CE50" s="21" t="str">
        <f t="shared" ca="1" si="34"/>
        <v>0:</v>
      </c>
      <c r="CF50" s="21">
        <f t="shared" ca="1" si="35"/>
        <v>0</v>
      </c>
      <c r="CG50" s="21">
        <f t="shared" ca="1" si="36"/>
        <v>0</v>
      </c>
      <c r="CH50" s="21">
        <f t="shared" ca="1" si="37"/>
        <v>0</v>
      </c>
      <c r="CI50" s="21">
        <f t="shared" ca="1" si="38"/>
        <v>0</v>
      </c>
      <c r="CJ50" s="21">
        <f t="shared" ca="1" si="39"/>
        <v>0</v>
      </c>
      <c r="CK50" s="21">
        <f t="shared" ca="1" si="66"/>
        <v>0</v>
      </c>
      <c r="CL50" s="21" t="str">
        <f ca="1">IFERROR(VLOOKUP($CK50,Definitions!$V:$W,COLUMNS(Definitions!$V:$W),TRUE),"")</f>
        <v>Basic</v>
      </c>
      <c r="CM50" s="21" t="str">
        <f ca="1">_xlfn.LET(_xlpm._comments,SimpleLookup($A50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0" s="21" t="str" cm="1">
        <f t="array" ca="1" aca="1" ref="CN50">_xlfn.LET(_xlpm._rapRange,Definitions!$W:$W,_xlpm._calculatedRAP,$CL50,_xlpm._inlineRAP,$CM50,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0" s="21" t="str">
        <f ca="1">IFERROR(IF(OR($BP50="",$CN50=""),Definitions!$AE$4,VLOOKUP($BP50,Definitions!$AH:$AM,MATCH($CN50,Definitions!$AH$3:$AM$3,0),FALSE)),"")</f>
        <v>No Risk</v>
      </c>
      <c r="CP50" s="21" cm="1">
        <f t="array" ca="1" aca="1" ref="CP50">IF($CO50="",0,SimpleLookup($CO50,Definitions!$AE:$AF))</f>
        <v>0</v>
      </c>
      <c r="CQ50" s="21" t="b">
        <f ca="1">OR(AND($S50,$I50=Helper!$B$7),$I50&gt;Helper!$B$7)</f>
        <v>1</v>
      </c>
      <c r="CR50" s="21" t="str">
        <f t="shared" ca="1" si="67"/>
        <v/>
      </c>
      <c r="CS50" s="21" cm="1">
        <f t="array" ca="1" aca="1" ref="CS50">CreateID($CS$2,$CV:$CV,$CR50&lt;&gt;"")</f>
        <v>0</v>
      </c>
      <c r="CT50" s="21" t="str">
        <f ca="1">IF(IFERROR(MATCH(","&amp;A50&amp;",",'Risk Treatment'!$AT:$AT,0)&gt;0,FALSE),"",$A50)</f>
        <v/>
      </c>
      <c r="CU50" s="21" cm="1">
        <f t="array" ca="1" aca="1" ref="CU50">CreateID($CU$2,$CU:$CU,$CT50&lt;&gt;"")</f>
        <v>38</v>
      </c>
    </row>
    <row r="51" spans="1:99" ht="15">
      <c r="A51" s="33" t="str" cm="1">
        <f t="array" ca="1" aca="1" ref="A51">IF($B51="","","R"&amp;RemoveDelimiter(SUBSTITUTE(SUBSTITUTE($K51,"AS",""),",","-"),"-"))</f>
        <v/>
      </c>
      <c r="B51" s="33" t="str" cm="1">
        <f t="array" ca="1" aca="1" ref="B51">IF($L51="","",_xlfn.LET(_xlpm._finalAttackStep,$L51,_xlpm._prepAttacks,RemoveFirstElement(_xlpm._finalAttackStep&amp;","&amp;$K51),_xlpm._prepAttackNames,IFERROR(LookupNames(_xlpm._prepAttacks,'Attack Steps'!$A:$B),""),_xlpm._delimiter,REPT(CHAR(150),55),$L51&amp;" "&amp;SimpleLookup($L51,'Attack Steps'!$A:$B)&amp;IF(_xlpm._prepAttackNames="","",CHAR(10)&amp;_xlpm._delimiter&amp;CHAR(10)&amp;_xlpm._prepAttackNames)))</f>
        <v/>
      </c>
      <c r="C51" s="34" t="str" cm="1">
        <f t="array" ca="1" aca="1" ref="C51">IFERROR(LookupNames($M51,'Damage Scenarios'!$A:$V),"")</f>
        <v/>
      </c>
      <c r="D51" s="33" t="str">
        <f ca="1">IFERROR(IF($T51=0,"",INDEX(Definitions!$Q:$Q,MATCH($T51,Definitions!$R:$R,0))),"")</f>
        <v/>
      </c>
      <c r="E51" s="34" t="str" cm="1">
        <f t="array" ca="1" aca="1" ref="E51">IF($A51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51,$A:W,Definitions!$Y:$Y,Definitions!$AB:$AB,1)&amp;CHAR(10)&amp;_xlpm._factorFunction($A51,$A:X,Definitions!$Y:$Y,Definitions!$AB:$AB,2)&amp;CHAR(10)&amp;_xlpm._factorFunction($A51,$A:Y,Definitions!$Y:$Y,Definitions!$AB:$AB,3)&amp;CHAR(10)&amp;_xlpm._factorFunction($A51,$A:Z,Definitions!$Y:$Y,Definitions!$AB:$AB,4)&amp;CHAR(10)&amp;_xlpm._factorFunction($A51,$A:AA,Definitions!$Y:$Y,Definitions!$AB:$AB,5)))</f>
        <v/>
      </c>
      <c r="F51" s="33" t="str">
        <f ca="1">IF($A51="","",IFERROR(VLOOKUP($AG51,Definitions!$V:$W,COLUMNS(Definitions!$V:$W),TRUE),""))</f>
        <v/>
      </c>
      <c r="G51" s="33" t="str">
        <f ca="1">IFERROR(IF(OR($D51="",$F51=""),"",VLOOKUP($D51,Definitions!$AH:$AM,MATCH($F51,Definitions!$AH$3:$AM$3,0),FALSE)),"")</f>
        <v/>
      </c>
      <c r="H51" s="23" cm="1">
        <f t="array" ca="1" aca="1" ref="H51">IF(ROW()=ROW($H$2)+1,0,INDEX($H:$H,ROW()-1))+IF($A51="",0,1)</f>
        <v>38</v>
      </c>
      <c r="I51" s="21" cm="1">
        <f t="array" ca="1" aca="1" ref="I51">IF(ROW()=ROW($I$2)+1,1,INDEX($I:$I,ROW()-1)+IF(INDEX($S:$S,ROW()-1),1,0))</f>
        <v>16</v>
      </c>
      <c r="J51" s="21">
        <f t="shared" ca="1" si="63"/>
        <v>11</v>
      </c>
      <c r="K51" s="21" t="str">
        <f t="shared" ca="1" si="68"/>
        <v/>
      </c>
      <c r="L51" s="21" t="str" cm="1">
        <f t="array" ca="1" aca="1" ref="L51">IF($P51="","",INDEX('Attack Steps'!$A:$A,$P51))</f>
        <v/>
      </c>
      <c r="M51" s="21" t="str" cm="1">
        <f t="array" ca="1" aca="1" ref="M51">IF($P51="","",INDEX('Attack Steps'!$T:$T,$P51))</f>
        <v/>
      </c>
      <c r="N51" s="21" t="str" cm="1">
        <f t="array" ca="1" aca="1" ref="N51">_xlfn.LET(_xlpm._dm,SanitizeInput(GetValuesWithFallback(SanitizeInput($AK51),Assumptions!$A:$I,Countermeasures!$A:$I,"",",",FALSE)),IF(_xlpm._dm="","",","&amp;_xlpm._dm))</f>
        <v/>
      </c>
      <c r="O51" s="21" t="str" cm="1">
        <f t="array" ca="1" aca="1" ref="O51">ApplyDamageMitigation($M51,$N51,"")</f>
        <v/>
      </c>
      <c r="P51" s="21" t="str">
        <f ca="1">IFERROR(MATCH($I51,'Attack Steps'!$V:$V,0),"")</f>
        <v/>
      </c>
      <c r="Q51" s="21" t="str" cm="1">
        <f t="array" ca="1" aca="1" ref="Q51">IF($P51="","","§"&amp;INDEX('Attack Steps'!$S:$S,$P51))</f>
        <v/>
      </c>
      <c r="R51" s="21" t="str" cm="1">
        <f t="array" ca="1" aca="1" ref="R51">IF($P51="","",INDEX('Attack Steps'!$W:$W,$P51))</f>
        <v/>
      </c>
      <c r="S51" s="21" t="b">
        <f t="shared" ca="1" si="69"/>
        <v>0</v>
      </c>
      <c r="T51" s="21" cm="1">
        <f t="array" ca="1" aca="1" ref="T51">_xlfn.LAMBDA(_xlpm._in,_xlpm._val,_xlpm._range,IF(_xlpm._in="",_xlpm._val,_xlfn.LET(_xlpm._id,LEFT(_xlpm._in,FIND(",",_xlpm._in)-1),CalculateMaxFromList(RemoveFirstElement(_xlpm._in),MAX(_xlpm._val,VLOOKUP(_xlpm._id,_xlpm._range,COLUMNS(_xlpm._range),FALSE)),_xlpm._range))))($M51,0,'Damage Scenarios'!$A:$U)</f>
        <v>0</v>
      </c>
      <c r="U51" s="21" cm="1">
        <f t="array" ca="1" aca="1" ref="U51">CalculateMaxFromList($O51,0,'Damage Scenarios'!$A:$U)</f>
        <v>0</v>
      </c>
      <c r="V51" s="21" t="str">
        <f ca="1">IF($U51=0,"",INDEX(Definitions!$Q:$Q,MATCH($U51,Definitions!$R:$R,0)))</f>
        <v/>
      </c>
      <c r="W51" s="21" t="str" cm="1">
        <f t="array" ca="1" aca="1" ref="W51">CalculateMaxAndElements($K51,0,"",'Attack Steps'!$A:X)</f>
        <v>0:</v>
      </c>
      <c r="X51" s="21" t="str" cm="1">
        <f t="array" ca="1" aca="1" ref="X51">CalculateMaxAndElements($K51,0,"",'Attack Steps'!$A:Y)</f>
        <v>0:</v>
      </c>
      <c r="Y51" s="21" t="str" cm="1">
        <f t="array" ca="1" aca="1" ref="Y51">CalculateMaxAndElements($K51,0,"",'Attack Steps'!$A:Z)</f>
        <v>0:</v>
      </c>
      <c r="Z51" s="21" t="str" cm="1">
        <f t="array" ca="1" aca="1" ref="Z51">CalculateMaxAndElements($K51,0,"",'Attack Steps'!$A:AA)</f>
        <v>0:</v>
      </c>
      <c r="AA51" s="21" t="str" cm="1">
        <f t="array" ca="1" aca="1" ref="AA51">CalculateMaxAndElements($K51,0,"",'Attack Steps'!$A:AB)</f>
        <v>0:</v>
      </c>
      <c r="AB51" s="21">
        <f t="shared" ca="1" si="70"/>
        <v>0</v>
      </c>
      <c r="AC51" s="21">
        <f t="shared" ca="1" si="71"/>
        <v>0</v>
      </c>
      <c r="AD51" s="21">
        <f t="shared" ca="1" si="72"/>
        <v>0</v>
      </c>
      <c r="AE51" s="21">
        <f t="shared" ca="1" si="73"/>
        <v>0</v>
      </c>
      <c r="AF51" s="21">
        <f t="shared" ca="1" si="74"/>
        <v>0</v>
      </c>
      <c r="AG51" s="21">
        <f t="shared" ca="1" si="64"/>
        <v>0</v>
      </c>
      <c r="AH51" s="21" t="str" cm="1">
        <f t="array" ca="1" aca="1" ref="AH51">IF(ROW()=ROW($AH$2)+1,"",INDEX($AH:$AH,ROW()-1))&amp;IF($A51="","",$A51&amp;",")</f>
        <v>R1-3,R2-3,R1-4,R2-4,R1-6,R2-6,R1-7,R2-7,R1-3-10,R2-3-10,R1-3-11,R2-3-11,R1-14,R1-16,R2-16,R21-23,R22-23,R1-29,R2-29,R31,R1-3-32,R2-3-32,R1-5-32,R2-5-32,R1-7-32,R2-7-32,R1-16-32,R2-16-32,R21-23-32,R22-23-32,R21-24-32,R22-24-32,R1-29-32,R2-29-32,R37,R38,R1-40,R2-40,</v>
      </c>
      <c r="AI51" s="21" t="str">
        <f t="shared" ca="1" si="75"/>
        <v/>
      </c>
      <c r="AJ51" s="21" cm="1">
        <f t="array" ca="1" aca="1" ref="AJ51">IF($G51="",0,SimpleLookup($G51,Definitions!$AE:$AF))</f>
        <v>0</v>
      </c>
      <c r="AK51" s="21" t="str" cm="1">
        <f t="array" ca="1" aca="1" ref="AK51">InverseLookup($A51,Mitigation!$U$2,Mitigation!$J$2,1,Helper!$B$5,",")</f>
        <v/>
      </c>
      <c r="AL51" s="21" t="str" cm="1">
        <f t="array" ca="1" aca="1" ref="AL51">CalculateMaxAndElementsWithFallback(SanitizeInput($AK51),0,"",Countermeasures!$A:Y,Assumptions!$A:Z)</f>
        <v>0:</v>
      </c>
      <c r="AM51" s="21" t="str" cm="1">
        <f t="array" ca="1" aca="1" ref="AM51">CalculateMaxAndElementsWithFallback(SanitizeInput($AK51),0,"",Countermeasures!$A:Z,Assumptions!$A:AA)</f>
        <v>0:</v>
      </c>
      <c r="AN51" s="21" t="str" cm="1">
        <f t="array" ca="1" aca="1" ref="AN51">CalculateMaxAndElementsWithFallback(SanitizeInput($AK51),0,"",Countermeasures!$A:AA,Assumptions!$A:AB)</f>
        <v>0:</v>
      </c>
      <c r="AO51" s="21" t="str" cm="1">
        <f t="array" ca="1" aca="1" ref="AO51">CalculateMaxAndElementsWithFallback(SanitizeInput($AK51),0,"",Countermeasures!$A:AB,Assumptions!$A:AC)</f>
        <v>0:</v>
      </c>
      <c r="AP51" s="21" t="str" cm="1">
        <f t="array" ca="1" aca="1" ref="AP51">CalculateMaxAndElementsWithFallback(SanitizeInput($AK51),0,"",Countermeasures!$A:AC,Assumptions!$A:AD)</f>
        <v>0:</v>
      </c>
      <c r="AQ51" s="21">
        <f t="shared" ca="1" si="76"/>
        <v>0</v>
      </c>
      <c r="AR51" s="21">
        <f t="shared" ca="1" si="77"/>
        <v>0</v>
      </c>
      <c r="AS51" s="21">
        <f t="shared" ca="1" si="78"/>
        <v>0</v>
      </c>
      <c r="AT51" s="21">
        <f t="shared" ca="1" si="79"/>
        <v>0</v>
      </c>
      <c r="AU51" s="21">
        <f t="shared" ca="1" si="80"/>
        <v>0</v>
      </c>
      <c r="AV51" s="21" t="str">
        <f t="shared" ca="1" si="81"/>
        <v>0:</v>
      </c>
      <c r="AW51" s="21" t="str">
        <f t="shared" ca="1" si="82"/>
        <v>0:</v>
      </c>
      <c r="AX51" s="21" t="str">
        <f t="shared" ca="1" si="83"/>
        <v>0:</v>
      </c>
      <c r="AY51" s="21" t="str">
        <f t="shared" ca="1" si="84"/>
        <v>0:</v>
      </c>
      <c r="AZ51" s="21" t="str">
        <f t="shared" ca="1" si="85"/>
        <v>0:</v>
      </c>
      <c r="BA51" s="21">
        <f t="shared" ca="1" si="86"/>
        <v>0</v>
      </c>
      <c r="BB51" s="21">
        <f t="shared" ca="1" si="87"/>
        <v>0</v>
      </c>
      <c r="BC51" s="21">
        <f t="shared" ca="1" si="88"/>
        <v>0</v>
      </c>
      <c r="BD51" s="21">
        <f t="shared" ca="1" si="89"/>
        <v>0</v>
      </c>
      <c r="BE51" s="21">
        <f t="shared" ca="1" si="90"/>
        <v>0</v>
      </c>
      <c r="BF51" s="21">
        <f t="shared" ca="1" si="65"/>
        <v>0</v>
      </c>
      <c r="BG51" s="21" t="str">
        <f ca="1">IFERROR(VLOOKUP($BF51,Definitions!$V:$W,COLUMNS(Definitions!$V:$W),TRUE),"")</f>
        <v>Basic</v>
      </c>
      <c r="BH51" s="21" t="str">
        <f ca="1">_xlfn.LET(_xlpm._comments,GetValues($K51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1" s="21" t="str" cm="1">
        <f t="array" ca="1" aca="1" ref="BI51">_xlfn.LET(_xlpm._rapRange,Definitions!$W:$W,_xlpm._calculatedRAP,$BG51,_xlpm._inlineRAP,$BH51,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1" s="21" t="str">
        <f ca="1">IFERROR(IF(OR($V51="",$BI51=""),Definitions!$AE$4,VLOOKUP($V51,Definitions!$AH:$AM,MATCH($BI51,Definitions!$AH$3:$AM$3,0),FALSE)),"")</f>
        <v>No Risk</v>
      </c>
      <c r="BK51" s="21" cm="1">
        <f t="array" ca="1" aca="1" ref="BK51">IF($BJ51="",0,SimpleLookup($BJ51,Definitions!$AE:$AF))</f>
        <v>0</v>
      </c>
      <c r="BL51" s="21" t="str" cm="1">
        <f t="array" ca="1" aca="1" ref="BL51">IFERROR(SimpleLookup($A51,Tracing!$B:$Z),"")</f>
        <v/>
      </c>
      <c r="BM51" s="21" t="str" cm="1">
        <f t="array" ca="1" aca="1" ref="BM51">_xlfn.LET(_xlpm._dm,SanitizeInput(GetValuesWithFallback(SanitizeInput($BL51),Assumptions!$A:$I,Countermeasures!$A:$I,"",",",FALSE)),IF(_xlpm._dm="","",","&amp;_xlpm._dm))</f>
        <v/>
      </c>
      <c r="BN51" s="21" t="str" cm="1">
        <f t="array" ca="1" aca="1" ref="BN51">ApplyDamageMitigation($M51,$BM51,"")</f>
        <v/>
      </c>
      <c r="BO51" s="21" cm="1">
        <f t="array" ca="1" aca="1" ref="BO51">CalculateMaxFromList($BN51,0,'Damage Scenarios'!$A:$U)</f>
        <v>0</v>
      </c>
      <c r="BP51" s="21" t="str">
        <f ca="1">IF($BO51=0,"",INDEX(Definitions!$Q:$Q,MATCH($BO51,Definitions!$R:$R,0)))</f>
        <v/>
      </c>
      <c r="BQ51" s="21" t="str" cm="1">
        <f t="array" ca="1" aca="1" ref="BQ51">CalculateMaxAndElementsWithFallback(SanitizeInput($BL51),0,"",Countermeasures!$A:Y,Assumptions!$A:Z)</f>
        <v>0:</v>
      </c>
      <c r="BR51" s="21" t="str" cm="1">
        <f t="array" ca="1" aca="1" ref="BR51">CalculateMaxAndElementsWithFallback(SanitizeInput($BL51),0,"",Countermeasures!$A:Z,Assumptions!$A:AA)</f>
        <v>0:</v>
      </c>
      <c r="BS51" s="21" t="str" cm="1">
        <f t="array" ca="1" aca="1" ref="BS51">CalculateMaxAndElementsWithFallback(SanitizeInput($BL51),0,"",Countermeasures!$A:AA,Assumptions!$A:AB)</f>
        <v>0:</v>
      </c>
      <c r="BT51" s="21" t="str" cm="1">
        <f t="array" ca="1" aca="1" ref="BT51">CalculateMaxAndElementsWithFallback(SanitizeInput($BL51),0,"",Countermeasures!$A:AB,Assumptions!$A:AC)</f>
        <v>0:</v>
      </c>
      <c r="BU51" s="21" t="str" cm="1">
        <f t="array" ca="1" aca="1" ref="BU51">CalculateMaxAndElementsWithFallback(SanitizeInput($BL51),0,"",Countermeasures!$A:AC,Assumptions!$A:AD)</f>
        <v>0:</v>
      </c>
      <c r="BV51" s="21">
        <f t="shared" ca="1" si="25"/>
        <v>0</v>
      </c>
      <c r="BW51" s="21">
        <f t="shared" ca="1" si="26"/>
        <v>0</v>
      </c>
      <c r="BX51" s="21">
        <f t="shared" ca="1" si="27"/>
        <v>0</v>
      </c>
      <c r="BY51" s="21">
        <f t="shared" ca="1" si="28"/>
        <v>0</v>
      </c>
      <c r="BZ51" s="21">
        <f t="shared" ca="1" si="29"/>
        <v>0</v>
      </c>
      <c r="CA51" s="21" t="str">
        <f t="shared" ca="1" si="30"/>
        <v>0:</v>
      </c>
      <c r="CB51" s="21" t="str">
        <f t="shared" ca="1" si="31"/>
        <v>0:</v>
      </c>
      <c r="CC51" s="21" t="str">
        <f t="shared" ca="1" si="32"/>
        <v>0:</v>
      </c>
      <c r="CD51" s="21" t="str">
        <f t="shared" ca="1" si="33"/>
        <v>0:</v>
      </c>
      <c r="CE51" s="21" t="str">
        <f t="shared" ca="1" si="34"/>
        <v>0:</v>
      </c>
      <c r="CF51" s="21">
        <f t="shared" ca="1" si="35"/>
        <v>0</v>
      </c>
      <c r="CG51" s="21">
        <f t="shared" ca="1" si="36"/>
        <v>0</v>
      </c>
      <c r="CH51" s="21">
        <f t="shared" ca="1" si="37"/>
        <v>0</v>
      </c>
      <c r="CI51" s="21">
        <f t="shared" ca="1" si="38"/>
        <v>0</v>
      </c>
      <c r="CJ51" s="21">
        <f t="shared" ca="1" si="39"/>
        <v>0</v>
      </c>
      <c r="CK51" s="21">
        <f t="shared" ca="1" si="66"/>
        <v>0</v>
      </c>
      <c r="CL51" s="21" t="str">
        <f ca="1">IFERROR(VLOOKUP($CK51,Definitions!$V:$W,COLUMNS(Definitions!$V:$W),TRUE),"")</f>
        <v>Basic</v>
      </c>
      <c r="CM51" s="21" t="str">
        <f ca="1">_xlfn.LET(_xlpm._comments,SimpleLookup($A51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1" s="21" t="str" cm="1">
        <f t="array" ca="1" aca="1" ref="CN51">_xlfn.LET(_xlpm._rapRange,Definitions!$W:$W,_xlpm._calculatedRAP,$CL51,_xlpm._inlineRAP,$CM51,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1" s="21" t="str">
        <f ca="1">IFERROR(IF(OR($BP51="",$CN51=""),Definitions!$AE$4,VLOOKUP($BP51,Definitions!$AH:$AM,MATCH($CN51,Definitions!$AH$3:$AM$3,0),FALSE)),"")</f>
        <v>No Risk</v>
      </c>
      <c r="CP51" s="21" cm="1">
        <f t="array" ca="1" aca="1" ref="CP51">IF($CO51="",0,SimpleLookup($CO51,Definitions!$AE:$AF))</f>
        <v>0</v>
      </c>
      <c r="CQ51" s="21" t="b">
        <f ca="1">OR(AND($S51,$I51=Helper!$B$7),$I51&gt;Helper!$B$7)</f>
        <v>1</v>
      </c>
      <c r="CR51" s="21" t="str">
        <f t="shared" ca="1" si="67"/>
        <v/>
      </c>
      <c r="CS51" s="21" cm="1">
        <f t="array" ca="1" aca="1" ref="CS51">CreateID($CS$2,$CV:$CV,$CR51&lt;&gt;"")</f>
        <v>0</v>
      </c>
      <c r="CT51" s="21" t="str">
        <f ca="1">IF(IFERROR(MATCH(","&amp;A51&amp;",",'Risk Treatment'!$AT:$AT,0)&gt;0,FALSE),"",$A51)</f>
        <v/>
      </c>
      <c r="CU51" s="21" cm="1">
        <f t="array" ca="1" aca="1" ref="CU51">CreateID($CU$2,$CU:$CU,$CT51&lt;&gt;"")</f>
        <v>38</v>
      </c>
    </row>
    <row r="52" spans="1:99" ht="15">
      <c r="A52" s="33" t="str" cm="1">
        <f t="array" ca="1" aca="1" ref="A52">IF($B52="","","R"&amp;RemoveDelimiter(SUBSTITUTE(SUBSTITUTE($K52,"AS",""),",","-"),"-"))</f>
        <v/>
      </c>
      <c r="B52" s="33" t="str" cm="1">
        <f t="array" ca="1" aca="1" ref="B52">IF($L52="","",_xlfn.LET(_xlpm._finalAttackStep,$L52,_xlpm._prepAttacks,RemoveFirstElement(_xlpm._finalAttackStep&amp;","&amp;$K52),_xlpm._prepAttackNames,IFERROR(LookupNames(_xlpm._prepAttacks,'Attack Steps'!$A:$B),""),_xlpm._delimiter,REPT(CHAR(150),55),$L52&amp;" "&amp;SimpleLookup($L52,'Attack Steps'!$A:$B)&amp;IF(_xlpm._prepAttackNames="","",CHAR(10)&amp;_xlpm._delimiter&amp;CHAR(10)&amp;_xlpm._prepAttackNames)))</f>
        <v/>
      </c>
      <c r="C52" s="34" t="str" cm="1">
        <f t="array" ca="1" aca="1" ref="C52">IFERROR(LookupNames($M52,'Damage Scenarios'!$A:$V),"")</f>
        <v/>
      </c>
      <c r="D52" s="33" t="str">
        <f ca="1">IFERROR(IF($T52=0,"",INDEX(Definitions!$Q:$Q,MATCH($T52,Definitions!$R:$R,0))),"")</f>
        <v/>
      </c>
      <c r="E52" s="34" t="str" cm="1">
        <f t="array" ca="1" aca="1" ref="E52">IF($A52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52,$A:W,Definitions!$Y:$Y,Definitions!$AB:$AB,1)&amp;CHAR(10)&amp;_xlpm._factorFunction($A52,$A:X,Definitions!$Y:$Y,Definitions!$AB:$AB,2)&amp;CHAR(10)&amp;_xlpm._factorFunction($A52,$A:Y,Definitions!$Y:$Y,Definitions!$AB:$AB,3)&amp;CHAR(10)&amp;_xlpm._factorFunction($A52,$A:Z,Definitions!$Y:$Y,Definitions!$AB:$AB,4)&amp;CHAR(10)&amp;_xlpm._factorFunction($A52,$A:AA,Definitions!$Y:$Y,Definitions!$AB:$AB,5)))</f>
        <v/>
      </c>
      <c r="F52" s="33" t="str">
        <f ca="1">IF($A52="","",IFERROR(VLOOKUP($AG52,Definitions!$V:$W,COLUMNS(Definitions!$V:$W),TRUE),""))</f>
        <v/>
      </c>
      <c r="G52" s="33" t="str">
        <f ca="1">IFERROR(IF(OR($D52="",$F52=""),"",VLOOKUP($D52,Definitions!$AH:$AM,MATCH($F52,Definitions!$AH$3:$AM$3,0),FALSE)),"")</f>
        <v/>
      </c>
      <c r="H52" s="23" cm="1">
        <f t="array" ca="1" aca="1" ref="H52">IF(ROW()=ROW($H$2)+1,0,INDEX($H:$H,ROW()-1))+IF($A52="",0,1)</f>
        <v>38</v>
      </c>
      <c r="I52" s="21" cm="1">
        <f t="array" ca="1" aca="1" ref="I52">IF(ROW()=ROW($I$2)+1,1,INDEX($I:$I,ROW()-1)+IF(INDEX($S:$S,ROW()-1),1,0))</f>
        <v>16</v>
      </c>
      <c r="J52" s="21">
        <f t="shared" ca="1" si="63"/>
        <v>12</v>
      </c>
      <c r="K52" s="21" t="str">
        <f t="shared" ca="1" si="68"/>
        <v/>
      </c>
      <c r="L52" s="21" t="str" cm="1">
        <f t="array" ca="1" aca="1" ref="L52">IF($P52="","",INDEX('Attack Steps'!$A:$A,$P52))</f>
        <v/>
      </c>
      <c r="M52" s="21" t="str" cm="1">
        <f t="array" ca="1" aca="1" ref="M52">IF($P52="","",INDEX('Attack Steps'!$T:$T,$P52))</f>
        <v/>
      </c>
      <c r="N52" s="21" t="str" cm="1">
        <f t="array" ca="1" aca="1" ref="N52">_xlfn.LET(_xlpm._dm,SanitizeInput(GetValuesWithFallback(SanitizeInput($AK52),Assumptions!$A:$I,Countermeasures!$A:$I,"",",",FALSE)),IF(_xlpm._dm="","",","&amp;_xlpm._dm))</f>
        <v/>
      </c>
      <c r="O52" s="21" t="str" cm="1">
        <f t="array" ca="1" aca="1" ref="O52">ApplyDamageMitigation($M52,$N52,"")</f>
        <v/>
      </c>
      <c r="P52" s="21" t="str">
        <f ca="1">IFERROR(MATCH($I52,'Attack Steps'!$V:$V,0),"")</f>
        <v/>
      </c>
      <c r="Q52" s="21" t="str" cm="1">
        <f t="array" ca="1" aca="1" ref="Q52">IF($P52="","","§"&amp;INDEX('Attack Steps'!$S:$S,$P52))</f>
        <v/>
      </c>
      <c r="R52" s="21" t="str" cm="1">
        <f t="array" ca="1" aca="1" ref="R52">IF($P52="","",INDEX('Attack Steps'!$W:$W,$P52))</f>
        <v/>
      </c>
      <c r="S52" s="21" t="b">
        <f t="shared" ca="1" si="69"/>
        <v>0</v>
      </c>
      <c r="T52" s="21" cm="1">
        <f t="array" ca="1" aca="1" ref="T52">_xlfn.LAMBDA(_xlpm._in,_xlpm._val,_xlpm._range,IF(_xlpm._in="",_xlpm._val,_xlfn.LET(_xlpm._id,LEFT(_xlpm._in,FIND(",",_xlpm._in)-1),CalculateMaxFromList(RemoveFirstElement(_xlpm._in),MAX(_xlpm._val,VLOOKUP(_xlpm._id,_xlpm._range,COLUMNS(_xlpm._range),FALSE)),_xlpm._range))))($M52,0,'Damage Scenarios'!$A:$U)</f>
        <v>0</v>
      </c>
      <c r="U52" s="21" cm="1">
        <f t="array" ca="1" aca="1" ref="U52">CalculateMaxFromList($O52,0,'Damage Scenarios'!$A:$U)</f>
        <v>0</v>
      </c>
      <c r="V52" s="21" t="str">
        <f ca="1">IF($U52=0,"",INDEX(Definitions!$Q:$Q,MATCH($U52,Definitions!$R:$R,0)))</f>
        <v/>
      </c>
      <c r="W52" s="21" t="str" cm="1">
        <f t="array" ca="1" aca="1" ref="W52">CalculateMaxAndElements($K52,0,"",'Attack Steps'!$A:X)</f>
        <v>0:</v>
      </c>
      <c r="X52" s="21" t="str" cm="1">
        <f t="array" ca="1" aca="1" ref="X52">CalculateMaxAndElements($K52,0,"",'Attack Steps'!$A:Y)</f>
        <v>0:</v>
      </c>
      <c r="Y52" s="21" t="str" cm="1">
        <f t="array" ca="1" aca="1" ref="Y52">CalculateMaxAndElements($K52,0,"",'Attack Steps'!$A:Z)</f>
        <v>0:</v>
      </c>
      <c r="Z52" s="21" t="str" cm="1">
        <f t="array" ca="1" aca="1" ref="Z52">CalculateMaxAndElements($K52,0,"",'Attack Steps'!$A:AA)</f>
        <v>0:</v>
      </c>
      <c r="AA52" s="21" t="str" cm="1">
        <f t="array" ca="1" aca="1" ref="AA52">CalculateMaxAndElements($K52,0,"",'Attack Steps'!$A:AB)</f>
        <v>0:</v>
      </c>
      <c r="AB52" s="21">
        <f t="shared" ca="1" si="70"/>
        <v>0</v>
      </c>
      <c r="AC52" s="21">
        <f t="shared" ca="1" si="71"/>
        <v>0</v>
      </c>
      <c r="AD52" s="21">
        <f t="shared" ca="1" si="72"/>
        <v>0</v>
      </c>
      <c r="AE52" s="21">
        <f t="shared" ca="1" si="73"/>
        <v>0</v>
      </c>
      <c r="AF52" s="21">
        <f t="shared" ca="1" si="74"/>
        <v>0</v>
      </c>
      <c r="AG52" s="21">
        <f t="shared" ca="1" si="64"/>
        <v>0</v>
      </c>
      <c r="AH52" s="21" t="str" cm="1">
        <f t="array" ca="1" aca="1" ref="AH52">IF(ROW()=ROW($AH$2)+1,"",INDEX($AH:$AH,ROW()-1))&amp;IF($A52="","",$A52&amp;",")</f>
        <v>R1-3,R2-3,R1-4,R2-4,R1-6,R2-6,R1-7,R2-7,R1-3-10,R2-3-10,R1-3-11,R2-3-11,R1-14,R1-16,R2-16,R21-23,R22-23,R1-29,R2-29,R31,R1-3-32,R2-3-32,R1-5-32,R2-5-32,R1-7-32,R2-7-32,R1-16-32,R2-16-32,R21-23-32,R22-23-32,R21-24-32,R22-24-32,R1-29-32,R2-29-32,R37,R38,R1-40,R2-40,</v>
      </c>
      <c r="AI52" s="21" t="str">
        <f t="shared" ca="1" si="75"/>
        <v/>
      </c>
      <c r="AJ52" s="21" cm="1">
        <f t="array" ca="1" aca="1" ref="AJ52">IF($G52="",0,SimpleLookup($G52,Definitions!$AE:$AF))</f>
        <v>0</v>
      </c>
      <c r="AK52" s="21" t="str" cm="1">
        <f t="array" ca="1" aca="1" ref="AK52">InverseLookup($A52,Mitigation!$U$2,Mitigation!$J$2,1,Helper!$B$5,",")</f>
        <v/>
      </c>
      <c r="AL52" s="21" t="str" cm="1">
        <f t="array" ca="1" aca="1" ref="AL52">CalculateMaxAndElementsWithFallback(SanitizeInput($AK52),0,"",Countermeasures!$A:Y,Assumptions!$A:Z)</f>
        <v>0:</v>
      </c>
      <c r="AM52" s="21" t="str" cm="1">
        <f t="array" ca="1" aca="1" ref="AM52">CalculateMaxAndElementsWithFallback(SanitizeInput($AK52),0,"",Countermeasures!$A:Z,Assumptions!$A:AA)</f>
        <v>0:</v>
      </c>
      <c r="AN52" s="21" t="str" cm="1">
        <f t="array" ca="1" aca="1" ref="AN52">CalculateMaxAndElementsWithFallback(SanitizeInput($AK52),0,"",Countermeasures!$A:AA,Assumptions!$A:AB)</f>
        <v>0:</v>
      </c>
      <c r="AO52" s="21" t="str" cm="1">
        <f t="array" ca="1" aca="1" ref="AO52">CalculateMaxAndElementsWithFallback(SanitizeInput($AK52),0,"",Countermeasures!$A:AB,Assumptions!$A:AC)</f>
        <v>0:</v>
      </c>
      <c r="AP52" s="21" t="str" cm="1">
        <f t="array" ca="1" aca="1" ref="AP52">CalculateMaxAndElementsWithFallback(SanitizeInput($AK52),0,"",Countermeasures!$A:AC,Assumptions!$A:AD)</f>
        <v>0:</v>
      </c>
      <c r="AQ52" s="21">
        <f t="shared" ca="1" si="76"/>
        <v>0</v>
      </c>
      <c r="AR52" s="21">
        <f t="shared" ca="1" si="77"/>
        <v>0</v>
      </c>
      <c r="AS52" s="21">
        <f t="shared" ca="1" si="78"/>
        <v>0</v>
      </c>
      <c r="AT52" s="21">
        <f t="shared" ca="1" si="79"/>
        <v>0</v>
      </c>
      <c r="AU52" s="21">
        <f t="shared" ca="1" si="80"/>
        <v>0</v>
      </c>
      <c r="AV52" s="21" t="str">
        <f t="shared" ca="1" si="81"/>
        <v>0:</v>
      </c>
      <c r="AW52" s="21" t="str">
        <f t="shared" ca="1" si="82"/>
        <v>0:</v>
      </c>
      <c r="AX52" s="21" t="str">
        <f t="shared" ca="1" si="83"/>
        <v>0:</v>
      </c>
      <c r="AY52" s="21" t="str">
        <f t="shared" ca="1" si="84"/>
        <v>0:</v>
      </c>
      <c r="AZ52" s="21" t="str">
        <f t="shared" ca="1" si="85"/>
        <v>0:</v>
      </c>
      <c r="BA52" s="21">
        <f t="shared" ca="1" si="86"/>
        <v>0</v>
      </c>
      <c r="BB52" s="21">
        <f t="shared" ca="1" si="87"/>
        <v>0</v>
      </c>
      <c r="BC52" s="21">
        <f t="shared" ca="1" si="88"/>
        <v>0</v>
      </c>
      <c r="BD52" s="21">
        <f t="shared" ca="1" si="89"/>
        <v>0</v>
      </c>
      <c r="BE52" s="21">
        <f t="shared" ca="1" si="90"/>
        <v>0</v>
      </c>
      <c r="BF52" s="21">
        <f t="shared" ca="1" si="65"/>
        <v>0</v>
      </c>
      <c r="BG52" s="21" t="str">
        <f ca="1">IFERROR(VLOOKUP($BF52,Definitions!$V:$W,COLUMNS(Definitions!$V:$W),TRUE),"")</f>
        <v>Basic</v>
      </c>
      <c r="BH52" s="21" t="str">
        <f ca="1">_xlfn.LET(_xlpm._comments,GetValues($K52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2" s="21" t="str" cm="1">
        <f t="array" ca="1" aca="1" ref="BI52">_xlfn.LET(_xlpm._rapRange,Definitions!$W:$W,_xlpm._calculatedRAP,$BG52,_xlpm._inlineRAP,$BH52,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2" s="21" t="str">
        <f ca="1">IFERROR(IF(OR($V52="",$BI52=""),Definitions!$AE$4,VLOOKUP($V52,Definitions!$AH:$AM,MATCH($BI52,Definitions!$AH$3:$AM$3,0),FALSE)),"")</f>
        <v>No Risk</v>
      </c>
      <c r="BK52" s="21" cm="1">
        <f t="array" ca="1" aca="1" ref="BK52">IF($BJ52="",0,SimpleLookup($BJ52,Definitions!$AE:$AF))</f>
        <v>0</v>
      </c>
      <c r="BL52" s="21" t="str" cm="1">
        <f t="array" ca="1" aca="1" ref="BL52">IFERROR(SimpleLookup($A52,Tracing!$B:$Z),"")</f>
        <v/>
      </c>
      <c r="BM52" s="21" t="str" cm="1">
        <f t="array" ca="1" aca="1" ref="BM52">_xlfn.LET(_xlpm._dm,SanitizeInput(GetValuesWithFallback(SanitizeInput($BL52),Assumptions!$A:$I,Countermeasures!$A:$I,"",",",FALSE)),IF(_xlpm._dm="","",","&amp;_xlpm._dm))</f>
        <v/>
      </c>
      <c r="BN52" s="21" t="str" cm="1">
        <f t="array" ca="1" aca="1" ref="BN52">ApplyDamageMitigation($M52,$BM52,"")</f>
        <v/>
      </c>
      <c r="BO52" s="21" cm="1">
        <f t="array" ca="1" aca="1" ref="BO52">CalculateMaxFromList($BN52,0,'Damage Scenarios'!$A:$U)</f>
        <v>0</v>
      </c>
      <c r="BP52" s="21" t="str">
        <f ca="1">IF($BO52=0,"",INDEX(Definitions!$Q:$Q,MATCH($BO52,Definitions!$R:$R,0)))</f>
        <v/>
      </c>
      <c r="BQ52" s="21" t="str" cm="1">
        <f t="array" ca="1" aca="1" ref="BQ52">CalculateMaxAndElementsWithFallback(SanitizeInput($BL52),0,"",Countermeasures!$A:Y,Assumptions!$A:Z)</f>
        <v>0:</v>
      </c>
      <c r="BR52" s="21" t="str" cm="1">
        <f t="array" ca="1" aca="1" ref="BR52">CalculateMaxAndElementsWithFallback(SanitizeInput($BL52),0,"",Countermeasures!$A:Z,Assumptions!$A:AA)</f>
        <v>0:</v>
      </c>
      <c r="BS52" s="21" t="str" cm="1">
        <f t="array" ca="1" aca="1" ref="BS52">CalculateMaxAndElementsWithFallback(SanitizeInput($BL52),0,"",Countermeasures!$A:AA,Assumptions!$A:AB)</f>
        <v>0:</v>
      </c>
      <c r="BT52" s="21" t="str" cm="1">
        <f t="array" ca="1" aca="1" ref="BT52">CalculateMaxAndElementsWithFallback(SanitizeInput($BL52),0,"",Countermeasures!$A:AB,Assumptions!$A:AC)</f>
        <v>0:</v>
      </c>
      <c r="BU52" s="21" t="str" cm="1">
        <f t="array" ca="1" aca="1" ref="BU52">CalculateMaxAndElementsWithFallback(SanitizeInput($BL52),0,"",Countermeasures!$A:AC,Assumptions!$A:AD)</f>
        <v>0:</v>
      </c>
      <c r="BV52" s="21">
        <f t="shared" ca="1" si="25"/>
        <v>0</v>
      </c>
      <c r="BW52" s="21">
        <f t="shared" ca="1" si="26"/>
        <v>0</v>
      </c>
      <c r="BX52" s="21">
        <f t="shared" ca="1" si="27"/>
        <v>0</v>
      </c>
      <c r="BY52" s="21">
        <f t="shared" ca="1" si="28"/>
        <v>0</v>
      </c>
      <c r="BZ52" s="21">
        <f t="shared" ca="1" si="29"/>
        <v>0</v>
      </c>
      <c r="CA52" s="21" t="str">
        <f t="shared" ca="1" si="30"/>
        <v>0:</v>
      </c>
      <c r="CB52" s="21" t="str">
        <f t="shared" ca="1" si="31"/>
        <v>0:</v>
      </c>
      <c r="CC52" s="21" t="str">
        <f t="shared" ca="1" si="32"/>
        <v>0:</v>
      </c>
      <c r="CD52" s="21" t="str">
        <f t="shared" ca="1" si="33"/>
        <v>0:</v>
      </c>
      <c r="CE52" s="21" t="str">
        <f t="shared" ca="1" si="34"/>
        <v>0:</v>
      </c>
      <c r="CF52" s="21">
        <f t="shared" ca="1" si="35"/>
        <v>0</v>
      </c>
      <c r="CG52" s="21">
        <f t="shared" ca="1" si="36"/>
        <v>0</v>
      </c>
      <c r="CH52" s="21">
        <f t="shared" ca="1" si="37"/>
        <v>0</v>
      </c>
      <c r="CI52" s="21">
        <f t="shared" ca="1" si="38"/>
        <v>0</v>
      </c>
      <c r="CJ52" s="21">
        <f t="shared" ca="1" si="39"/>
        <v>0</v>
      </c>
      <c r="CK52" s="21">
        <f t="shared" ca="1" si="66"/>
        <v>0</v>
      </c>
      <c r="CL52" s="21" t="str">
        <f ca="1">IFERROR(VLOOKUP($CK52,Definitions!$V:$W,COLUMNS(Definitions!$V:$W),TRUE),"")</f>
        <v>Basic</v>
      </c>
      <c r="CM52" s="21" t="str">
        <f ca="1">_xlfn.LET(_xlpm._comments,SimpleLookup($A52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2" s="21" t="str" cm="1">
        <f t="array" ca="1" aca="1" ref="CN52">_xlfn.LET(_xlpm._rapRange,Definitions!$W:$W,_xlpm._calculatedRAP,$CL52,_xlpm._inlineRAP,$CM52,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2" s="21" t="str">
        <f ca="1">IFERROR(IF(OR($BP52="",$CN52=""),Definitions!$AE$4,VLOOKUP($BP52,Definitions!$AH:$AM,MATCH($CN52,Definitions!$AH$3:$AM$3,0),FALSE)),"")</f>
        <v>No Risk</v>
      </c>
      <c r="CP52" s="21" cm="1">
        <f t="array" ca="1" aca="1" ref="CP52">IF($CO52="",0,SimpleLookup($CO52,Definitions!$AE:$AF))</f>
        <v>0</v>
      </c>
      <c r="CQ52" s="21" t="b">
        <f ca="1">OR(AND($S52,$I52=Helper!$B$7),$I52&gt;Helper!$B$7)</f>
        <v>1</v>
      </c>
      <c r="CR52" s="21" t="str">
        <f t="shared" ca="1" si="67"/>
        <v/>
      </c>
      <c r="CS52" s="21" cm="1">
        <f t="array" ca="1" aca="1" ref="CS52">CreateID($CS$2,$CV:$CV,$CR52&lt;&gt;"")</f>
        <v>0</v>
      </c>
      <c r="CT52" s="21" t="str">
        <f ca="1">IF(IFERROR(MATCH(","&amp;A52&amp;",",'Risk Treatment'!$AT:$AT,0)&gt;0,FALSE),"",$A52)</f>
        <v/>
      </c>
      <c r="CU52" s="21" cm="1">
        <f t="array" ca="1" aca="1" ref="CU52">CreateID($CU$2,$CU:$CU,$CT52&lt;&gt;"")</f>
        <v>38</v>
      </c>
    </row>
    <row r="53" spans="1:99" ht="15">
      <c r="A53" s="33" t="str" cm="1">
        <f t="array" ca="1" aca="1" ref="A53">IF($B53="","","R"&amp;RemoveDelimiter(SUBSTITUTE(SUBSTITUTE($K53,"AS",""),",","-"),"-"))</f>
        <v/>
      </c>
      <c r="B53" s="33" t="str" cm="1">
        <f t="array" ca="1" aca="1" ref="B53">IF($L53="","",_xlfn.LET(_xlpm._finalAttackStep,$L53,_xlpm._prepAttacks,RemoveFirstElement(_xlpm._finalAttackStep&amp;","&amp;$K53),_xlpm._prepAttackNames,IFERROR(LookupNames(_xlpm._prepAttacks,'Attack Steps'!$A:$B),""),_xlpm._delimiter,REPT(CHAR(150),55),$L53&amp;" "&amp;SimpleLookup($L53,'Attack Steps'!$A:$B)&amp;IF(_xlpm._prepAttackNames="","",CHAR(10)&amp;_xlpm._delimiter&amp;CHAR(10)&amp;_xlpm._prepAttackNames)))</f>
        <v/>
      </c>
      <c r="C53" s="34" t="str" cm="1">
        <f t="array" ca="1" aca="1" ref="C53">IFERROR(LookupNames($M53,'Damage Scenarios'!$A:$V),"")</f>
        <v/>
      </c>
      <c r="D53" s="33" t="str">
        <f ca="1">IFERROR(IF($T53=0,"",INDEX(Definitions!$Q:$Q,MATCH($T53,Definitions!$R:$R,0))),"")</f>
        <v/>
      </c>
      <c r="E53" s="34" t="str" cm="1">
        <f t="array" ca="1" aca="1" ref="E53">IF($A53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53,$A:W,Definitions!$Y:$Y,Definitions!$AB:$AB,1)&amp;CHAR(10)&amp;_xlpm._factorFunction($A53,$A:X,Definitions!$Y:$Y,Definitions!$AB:$AB,2)&amp;CHAR(10)&amp;_xlpm._factorFunction($A53,$A:Y,Definitions!$Y:$Y,Definitions!$AB:$AB,3)&amp;CHAR(10)&amp;_xlpm._factorFunction($A53,$A:Z,Definitions!$Y:$Y,Definitions!$AB:$AB,4)&amp;CHAR(10)&amp;_xlpm._factorFunction($A53,$A:AA,Definitions!$Y:$Y,Definitions!$AB:$AB,5)))</f>
        <v/>
      </c>
      <c r="F53" s="33" t="str">
        <f ca="1">IF($A53="","",IFERROR(VLOOKUP($AG53,Definitions!$V:$W,COLUMNS(Definitions!$V:$W),TRUE),""))</f>
        <v/>
      </c>
      <c r="G53" s="33" t="str">
        <f ca="1">IFERROR(IF(OR($D53="",$F53=""),"",VLOOKUP($D53,Definitions!$AH:$AM,MATCH($F53,Definitions!$AH$3:$AM$3,0),FALSE)),"")</f>
        <v/>
      </c>
      <c r="H53" s="23" cm="1">
        <f t="array" ca="1" aca="1" ref="H53">IF(ROW()=ROW($H$2)+1,0,INDEX($H:$H,ROW()-1))+IF($A53="",0,1)</f>
        <v>38</v>
      </c>
      <c r="I53" s="21" cm="1">
        <f t="array" ca="1" aca="1" ref="I53">IF(ROW()=ROW($I$2)+1,1,INDEX($I:$I,ROW()-1)+IF(INDEX($S:$S,ROW()-1),1,0))</f>
        <v>16</v>
      </c>
      <c r="J53" s="21">
        <f t="shared" ca="1" si="63"/>
        <v>13</v>
      </c>
      <c r="K53" s="21" t="str">
        <f t="shared" ca="1" si="68"/>
        <v/>
      </c>
      <c r="L53" s="21" t="str" cm="1">
        <f t="array" ca="1" aca="1" ref="L53">IF($P53="","",INDEX('Attack Steps'!$A:$A,$P53))</f>
        <v/>
      </c>
      <c r="M53" s="21" t="str" cm="1">
        <f t="array" ca="1" aca="1" ref="M53">IF($P53="","",INDEX('Attack Steps'!$T:$T,$P53))</f>
        <v/>
      </c>
      <c r="N53" s="21" t="str" cm="1">
        <f t="array" ca="1" aca="1" ref="N53">_xlfn.LET(_xlpm._dm,SanitizeInput(GetValuesWithFallback(SanitizeInput($AK53),Assumptions!$A:$I,Countermeasures!$A:$I,"",",",FALSE)),IF(_xlpm._dm="","",","&amp;_xlpm._dm))</f>
        <v/>
      </c>
      <c r="O53" s="21" t="str" cm="1">
        <f t="array" ca="1" aca="1" ref="O53">ApplyDamageMitigation($M53,$N53,"")</f>
        <v/>
      </c>
      <c r="P53" s="21" t="str">
        <f ca="1">IFERROR(MATCH($I53,'Attack Steps'!$V:$V,0),"")</f>
        <v/>
      </c>
      <c r="Q53" s="21" t="str" cm="1">
        <f t="array" ca="1" aca="1" ref="Q53">IF($P53="","","§"&amp;INDEX('Attack Steps'!$S:$S,$P53))</f>
        <v/>
      </c>
      <c r="R53" s="21" t="str" cm="1">
        <f t="array" ca="1" aca="1" ref="R53">IF($P53="","",INDEX('Attack Steps'!$W:$W,$P53))</f>
        <v/>
      </c>
      <c r="S53" s="21" t="b">
        <f t="shared" ca="1" si="69"/>
        <v>0</v>
      </c>
      <c r="T53" s="21" cm="1">
        <f t="array" ca="1" aca="1" ref="T53">_xlfn.LAMBDA(_xlpm._in,_xlpm._val,_xlpm._range,IF(_xlpm._in="",_xlpm._val,_xlfn.LET(_xlpm._id,LEFT(_xlpm._in,FIND(",",_xlpm._in)-1),CalculateMaxFromList(RemoveFirstElement(_xlpm._in),MAX(_xlpm._val,VLOOKUP(_xlpm._id,_xlpm._range,COLUMNS(_xlpm._range),FALSE)),_xlpm._range))))($M53,0,'Damage Scenarios'!$A:$U)</f>
        <v>0</v>
      </c>
      <c r="U53" s="21" cm="1">
        <f t="array" ca="1" aca="1" ref="U53">CalculateMaxFromList($O53,0,'Damage Scenarios'!$A:$U)</f>
        <v>0</v>
      </c>
      <c r="V53" s="21" t="str">
        <f ca="1">IF($U53=0,"",INDEX(Definitions!$Q:$Q,MATCH($U53,Definitions!$R:$R,0)))</f>
        <v/>
      </c>
      <c r="W53" s="21" t="str" cm="1">
        <f t="array" ca="1" aca="1" ref="W53">CalculateMaxAndElements($K53,0,"",'Attack Steps'!$A:X)</f>
        <v>0:</v>
      </c>
      <c r="X53" s="21" t="str" cm="1">
        <f t="array" ca="1" aca="1" ref="X53">CalculateMaxAndElements($K53,0,"",'Attack Steps'!$A:Y)</f>
        <v>0:</v>
      </c>
      <c r="Y53" s="21" t="str" cm="1">
        <f t="array" ca="1" aca="1" ref="Y53">CalculateMaxAndElements($K53,0,"",'Attack Steps'!$A:Z)</f>
        <v>0:</v>
      </c>
      <c r="Z53" s="21" t="str" cm="1">
        <f t="array" ca="1" aca="1" ref="Z53">CalculateMaxAndElements($K53,0,"",'Attack Steps'!$A:AA)</f>
        <v>0:</v>
      </c>
      <c r="AA53" s="21" t="str" cm="1">
        <f t="array" ca="1" aca="1" ref="AA53">CalculateMaxAndElements($K53,0,"",'Attack Steps'!$A:AB)</f>
        <v>0:</v>
      </c>
      <c r="AB53" s="21">
        <f t="shared" ca="1" si="70"/>
        <v>0</v>
      </c>
      <c r="AC53" s="21">
        <f t="shared" ca="1" si="71"/>
        <v>0</v>
      </c>
      <c r="AD53" s="21">
        <f t="shared" ca="1" si="72"/>
        <v>0</v>
      </c>
      <c r="AE53" s="21">
        <f t="shared" ca="1" si="73"/>
        <v>0</v>
      </c>
      <c r="AF53" s="21">
        <f t="shared" ca="1" si="74"/>
        <v>0</v>
      </c>
      <c r="AG53" s="21">
        <f t="shared" ca="1" si="64"/>
        <v>0</v>
      </c>
      <c r="AH53" s="21" t="str" cm="1">
        <f t="array" ca="1" aca="1" ref="AH53">IF(ROW()=ROW($AH$2)+1,"",INDEX($AH:$AH,ROW()-1))&amp;IF($A53="","",$A53&amp;",")</f>
        <v>R1-3,R2-3,R1-4,R2-4,R1-6,R2-6,R1-7,R2-7,R1-3-10,R2-3-10,R1-3-11,R2-3-11,R1-14,R1-16,R2-16,R21-23,R22-23,R1-29,R2-29,R31,R1-3-32,R2-3-32,R1-5-32,R2-5-32,R1-7-32,R2-7-32,R1-16-32,R2-16-32,R21-23-32,R22-23-32,R21-24-32,R22-24-32,R1-29-32,R2-29-32,R37,R38,R1-40,R2-40,</v>
      </c>
      <c r="AI53" s="21" t="str">
        <f t="shared" ca="1" si="75"/>
        <v/>
      </c>
      <c r="AJ53" s="21" cm="1">
        <f t="array" ca="1" aca="1" ref="AJ53">IF($G53="",0,SimpleLookup($G53,Definitions!$AE:$AF))</f>
        <v>0</v>
      </c>
      <c r="AK53" s="21" t="str" cm="1">
        <f t="array" ca="1" aca="1" ref="AK53">InverseLookup($A53,Mitigation!$U$2,Mitigation!$J$2,1,Helper!$B$5,",")</f>
        <v/>
      </c>
      <c r="AL53" s="21" t="str" cm="1">
        <f t="array" ca="1" aca="1" ref="AL53">CalculateMaxAndElementsWithFallback(SanitizeInput($AK53),0,"",Countermeasures!$A:Y,Assumptions!$A:Z)</f>
        <v>0:</v>
      </c>
      <c r="AM53" s="21" t="str" cm="1">
        <f t="array" ca="1" aca="1" ref="AM53">CalculateMaxAndElementsWithFallback(SanitizeInput($AK53),0,"",Countermeasures!$A:Z,Assumptions!$A:AA)</f>
        <v>0:</v>
      </c>
      <c r="AN53" s="21" t="str" cm="1">
        <f t="array" ca="1" aca="1" ref="AN53">CalculateMaxAndElementsWithFallback(SanitizeInput($AK53),0,"",Countermeasures!$A:AA,Assumptions!$A:AB)</f>
        <v>0:</v>
      </c>
      <c r="AO53" s="21" t="str" cm="1">
        <f t="array" ca="1" aca="1" ref="AO53">CalculateMaxAndElementsWithFallback(SanitizeInput($AK53),0,"",Countermeasures!$A:AB,Assumptions!$A:AC)</f>
        <v>0:</v>
      </c>
      <c r="AP53" s="21" t="str" cm="1">
        <f t="array" ca="1" aca="1" ref="AP53">CalculateMaxAndElementsWithFallback(SanitizeInput($AK53),0,"",Countermeasures!$A:AC,Assumptions!$A:AD)</f>
        <v>0:</v>
      </c>
      <c r="AQ53" s="21">
        <f t="shared" ca="1" si="76"/>
        <v>0</v>
      </c>
      <c r="AR53" s="21">
        <f t="shared" ca="1" si="77"/>
        <v>0</v>
      </c>
      <c r="AS53" s="21">
        <f t="shared" ca="1" si="78"/>
        <v>0</v>
      </c>
      <c r="AT53" s="21">
        <f t="shared" ca="1" si="79"/>
        <v>0</v>
      </c>
      <c r="AU53" s="21">
        <f t="shared" ca="1" si="80"/>
        <v>0</v>
      </c>
      <c r="AV53" s="21" t="str">
        <f t="shared" ca="1" si="81"/>
        <v>0:</v>
      </c>
      <c r="AW53" s="21" t="str">
        <f t="shared" ca="1" si="82"/>
        <v>0:</v>
      </c>
      <c r="AX53" s="21" t="str">
        <f t="shared" ca="1" si="83"/>
        <v>0:</v>
      </c>
      <c r="AY53" s="21" t="str">
        <f t="shared" ca="1" si="84"/>
        <v>0:</v>
      </c>
      <c r="AZ53" s="21" t="str">
        <f t="shared" ca="1" si="85"/>
        <v>0:</v>
      </c>
      <c r="BA53" s="21">
        <f t="shared" ca="1" si="86"/>
        <v>0</v>
      </c>
      <c r="BB53" s="21">
        <f t="shared" ca="1" si="87"/>
        <v>0</v>
      </c>
      <c r="BC53" s="21">
        <f t="shared" ca="1" si="88"/>
        <v>0</v>
      </c>
      <c r="BD53" s="21">
        <f t="shared" ca="1" si="89"/>
        <v>0</v>
      </c>
      <c r="BE53" s="21">
        <f t="shared" ca="1" si="90"/>
        <v>0</v>
      </c>
      <c r="BF53" s="21">
        <f t="shared" ca="1" si="65"/>
        <v>0</v>
      </c>
      <c r="BG53" s="21" t="str">
        <f ca="1">IFERROR(VLOOKUP($BF53,Definitions!$V:$W,COLUMNS(Definitions!$V:$W),TRUE),"")</f>
        <v>Basic</v>
      </c>
      <c r="BH53" s="21" t="str">
        <f ca="1">_xlfn.LET(_xlpm._comments,GetValues($K53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3" s="21" t="str" cm="1">
        <f t="array" ca="1" aca="1" ref="BI53">_xlfn.LET(_xlpm._rapRange,Definitions!$W:$W,_xlpm._calculatedRAP,$BG53,_xlpm._inlineRAP,$BH53,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3" s="21" t="str">
        <f ca="1">IFERROR(IF(OR($V53="",$BI53=""),Definitions!$AE$4,VLOOKUP($V53,Definitions!$AH:$AM,MATCH($BI53,Definitions!$AH$3:$AM$3,0),FALSE)),"")</f>
        <v>No Risk</v>
      </c>
      <c r="BK53" s="21" cm="1">
        <f t="array" ca="1" aca="1" ref="BK53">IF($BJ53="",0,SimpleLookup($BJ53,Definitions!$AE:$AF))</f>
        <v>0</v>
      </c>
      <c r="BL53" s="21" t="str" cm="1">
        <f t="array" ca="1" aca="1" ref="BL53">IFERROR(SimpleLookup($A53,Tracing!$B:$Z),"")</f>
        <v/>
      </c>
      <c r="BM53" s="21" t="str" cm="1">
        <f t="array" ca="1" aca="1" ref="BM53">_xlfn.LET(_xlpm._dm,SanitizeInput(GetValuesWithFallback(SanitizeInput($BL53),Assumptions!$A:$I,Countermeasures!$A:$I,"",",",FALSE)),IF(_xlpm._dm="","",","&amp;_xlpm._dm))</f>
        <v/>
      </c>
      <c r="BN53" s="21" t="str" cm="1">
        <f t="array" ca="1" aca="1" ref="BN53">ApplyDamageMitigation($M53,$BM53,"")</f>
        <v/>
      </c>
      <c r="BO53" s="21" cm="1">
        <f t="array" ca="1" aca="1" ref="BO53">CalculateMaxFromList($BN53,0,'Damage Scenarios'!$A:$U)</f>
        <v>0</v>
      </c>
      <c r="BP53" s="21" t="str">
        <f ca="1">IF($BO53=0,"",INDEX(Definitions!$Q:$Q,MATCH($BO53,Definitions!$R:$R,0)))</f>
        <v/>
      </c>
      <c r="BQ53" s="21" t="str" cm="1">
        <f t="array" ca="1" aca="1" ref="BQ53">CalculateMaxAndElementsWithFallback(SanitizeInput($BL53),0,"",Countermeasures!$A:Y,Assumptions!$A:Z)</f>
        <v>0:</v>
      </c>
      <c r="BR53" s="21" t="str" cm="1">
        <f t="array" ca="1" aca="1" ref="BR53">CalculateMaxAndElementsWithFallback(SanitizeInput($BL53),0,"",Countermeasures!$A:Z,Assumptions!$A:AA)</f>
        <v>0:</v>
      </c>
      <c r="BS53" s="21" t="str" cm="1">
        <f t="array" ca="1" aca="1" ref="BS53">CalculateMaxAndElementsWithFallback(SanitizeInput($BL53),0,"",Countermeasures!$A:AA,Assumptions!$A:AB)</f>
        <v>0:</v>
      </c>
      <c r="BT53" s="21" t="str" cm="1">
        <f t="array" ca="1" aca="1" ref="BT53">CalculateMaxAndElementsWithFallback(SanitizeInput($BL53),0,"",Countermeasures!$A:AB,Assumptions!$A:AC)</f>
        <v>0:</v>
      </c>
      <c r="BU53" s="21" t="str" cm="1">
        <f t="array" ca="1" aca="1" ref="BU53">CalculateMaxAndElementsWithFallback(SanitizeInput($BL53),0,"",Countermeasures!$A:AC,Assumptions!$A:AD)</f>
        <v>0:</v>
      </c>
      <c r="BV53" s="21">
        <f t="shared" ca="1" si="25"/>
        <v>0</v>
      </c>
      <c r="BW53" s="21">
        <f t="shared" ca="1" si="26"/>
        <v>0</v>
      </c>
      <c r="BX53" s="21">
        <f t="shared" ca="1" si="27"/>
        <v>0</v>
      </c>
      <c r="BY53" s="21">
        <f t="shared" ca="1" si="28"/>
        <v>0</v>
      </c>
      <c r="BZ53" s="21">
        <f t="shared" ca="1" si="29"/>
        <v>0</v>
      </c>
      <c r="CA53" s="21" t="str">
        <f t="shared" ca="1" si="30"/>
        <v>0:</v>
      </c>
      <c r="CB53" s="21" t="str">
        <f t="shared" ca="1" si="31"/>
        <v>0:</v>
      </c>
      <c r="CC53" s="21" t="str">
        <f t="shared" ca="1" si="32"/>
        <v>0:</v>
      </c>
      <c r="CD53" s="21" t="str">
        <f t="shared" ca="1" si="33"/>
        <v>0:</v>
      </c>
      <c r="CE53" s="21" t="str">
        <f t="shared" ca="1" si="34"/>
        <v>0:</v>
      </c>
      <c r="CF53" s="21">
        <f t="shared" ca="1" si="35"/>
        <v>0</v>
      </c>
      <c r="CG53" s="21">
        <f t="shared" ca="1" si="36"/>
        <v>0</v>
      </c>
      <c r="CH53" s="21">
        <f t="shared" ca="1" si="37"/>
        <v>0</v>
      </c>
      <c r="CI53" s="21">
        <f t="shared" ca="1" si="38"/>
        <v>0</v>
      </c>
      <c r="CJ53" s="21">
        <f t="shared" ca="1" si="39"/>
        <v>0</v>
      </c>
      <c r="CK53" s="21">
        <f t="shared" ca="1" si="66"/>
        <v>0</v>
      </c>
      <c r="CL53" s="21" t="str">
        <f ca="1">IFERROR(VLOOKUP($CK53,Definitions!$V:$W,COLUMNS(Definitions!$V:$W),TRUE),"")</f>
        <v>Basic</v>
      </c>
      <c r="CM53" s="21" t="str">
        <f ca="1">_xlfn.LET(_xlpm._comments,SimpleLookup($A53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3" s="21" t="str" cm="1">
        <f t="array" ca="1" aca="1" ref="CN53">_xlfn.LET(_xlpm._rapRange,Definitions!$W:$W,_xlpm._calculatedRAP,$CL53,_xlpm._inlineRAP,$CM53,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3" s="21" t="str">
        <f ca="1">IFERROR(IF(OR($BP53="",$CN53=""),Definitions!$AE$4,VLOOKUP($BP53,Definitions!$AH:$AM,MATCH($CN53,Definitions!$AH$3:$AM$3,0),FALSE)),"")</f>
        <v>No Risk</v>
      </c>
      <c r="CP53" s="21" cm="1">
        <f t="array" ca="1" aca="1" ref="CP53">IF($CO53="",0,SimpleLookup($CO53,Definitions!$AE:$AF))</f>
        <v>0</v>
      </c>
      <c r="CQ53" s="21" t="b">
        <f ca="1">OR(AND($S53,$I53=Helper!$B$7),$I53&gt;Helper!$B$7)</f>
        <v>1</v>
      </c>
      <c r="CR53" s="21" t="str">
        <f t="shared" ca="1" si="67"/>
        <v/>
      </c>
      <c r="CS53" s="21" cm="1">
        <f t="array" ca="1" aca="1" ref="CS53">CreateID($CS$2,$CV:$CV,$CR53&lt;&gt;"")</f>
        <v>0</v>
      </c>
      <c r="CT53" s="21" t="str">
        <f ca="1">IF(IFERROR(MATCH(","&amp;A53&amp;",",'Risk Treatment'!$AT:$AT,0)&gt;0,FALSE),"",$A53)</f>
        <v/>
      </c>
      <c r="CU53" s="21" cm="1">
        <f t="array" ca="1" aca="1" ref="CU53">CreateID($CU$2,$CU:$CU,$CT53&lt;&gt;"")</f>
        <v>38</v>
      </c>
    </row>
    <row r="54" spans="1:99" ht="15">
      <c r="A54" s="33" t="str" cm="1">
        <f t="array" ca="1" aca="1" ref="A54">IF($B54="","","R"&amp;RemoveDelimiter(SUBSTITUTE(SUBSTITUTE($K54,"AS",""),",","-"),"-"))</f>
        <v/>
      </c>
      <c r="B54" s="33" t="str" cm="1">
        <f t="array" ca="1" aca="1" ref="B54">IF($L54="","",_xlfn.LET(_xlpm._finalAttackStep,$L54,_xlpm._prepAttacks,RemoveFirstElement(_xlpm._finalAttackStep&amp;","&amp;$K54),_xlpm._prepAttackNames,IFERROR(LookupNames(_xlpm._prepAttacks,'Attack Steps'!$A:$B),""),_xlpm._delimiter,REPT(CHAR(150),55),$L54&amp;" "&amp;SimpleLookup($L54,'Attack Steps'!$A:$B)&amp;IF(_xlpm._prepAttackNames="","",CHAR(10)&amp;_xlpm._delimiter&amp;CHAR(10)&amp;_xlpm._prepAttackNames)))</f>
        <v/>
      </c>
      <c r="C54" s="34" t="str" cm="1">
        <f t="array" ca="1" aca="1" ref="C54">IFERROR(LookupNames($M54,'Damage Scenarios'!$A:$V),"")</f>
        <v/>
      </c>
      <c r="D54" s="33" t="str">
        <f ca="1">IFERROR(IF($T54=0,"",INDEX(Definitions!$Q:$Q,MATCH($T54,Definitions!$R:$R,0))),"")</f>
        <v/>
      </c>
      <c r="E54" s="34" t="str" cm="1">
        <f t="array" ca="1" aca="1" ref="E54">IF($A54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54,$A:W,Definitions!$Y:$Y,Definitions!$AB:$AB,1)&amp;CHAR(10)&amp;_xlpm._factorFunction($A54,$A:X,Definitions!$Y:$Y,Definitions!$AB:$AB,2)&amp;CHAR(10)&amp;_xlpm._factorFunction($A54,$A:Y,Definitions!$Y:$Y,Definitions!$AB:$AB,3)&amp;CHAR(10)&amp;_xlpm._factorFunction($A54,$A:Z,Definitions!$Y:$Y,Definitions!$AB:$AB,4)&amp;CHAR(10)&amp;_xlpm._factorFunction($A54,$A:AA,Definitions!$Y:$Y,Definitions!$AB:$AB,5)))</f>
        <v/>
      </c>
      <c r="F54" s="33" t="str">
        <f ca="1">IF($A54="","",IFERROR(VLOOKUP($AG54,Definitions!$V:$W,COLUMNS(Definitions!$V:$W),TRUE),""))</f>
        <v/>
      </c>
      <c r="G54" s="33" t="str">
        <f ca="1">IFERROR(IF(OR($D54="",$F54=""),"",VLOOKUP($D54,Definitions!$AH:$AM,MATCH($F54,Definitions!$AH$3:$AM$3,0),FALSE)),"")</f>
        <v/>
      </c>
      <c r="H54" s="23" cm="1">
        <f t="array" ca="1" aca="1" ref="H54">IF(ROW()=ROW($H$2)+1,0,INDEX($H:$H,ROW()-1))+IF($A54="",0,1)</f>
        <v>38</v>
      </c>
      <c r="I54" s="21" cm="1">
        <f t="array" ca="1" aca="1" ref="I54">IF(ROW()=ROW($I$2)+1,1,INDEX($I:$I,ROW()-1)+IF(INDEX($S:$S,ROW()-1),1,0))</f>
        <v>16</v>
      </c>
      <c r="J54" s="21">
        <f t="shared" ca="1" si="63"/>
        <v>14</v>
      </c>
      <c r="K54" s="21" t="str">
        <f t="shared" ca="1" si="68"/>
        <v/>
      </c>
      <c r="L54" s="21" t="str" cm="1">
        <f t="array" ca="1" aca="1" ref="L54">IF($P54="","",INDEX('Attack Steps'!$A:$A,$P54))</f>
        <v/>
      </c>
      <c r="M54" s="21" t="str" cm="1">
        <f t="array" ca="1" aca="1" ref="M54">IF($P54="","",INDEX('Attack Steps'!$T:$T,$P54))</f>
        <v/>
      </c>
      <c r="N54" s="21" t="str" cm="1">
        <f t="array" ca="1" aca="1" ref="N54">_xlfn.LET(_xlpm._dm,SanitizeInput(GetValuesWithFallback(SanitizeInput($AK54),Assumptions!$A:$I,Countermeasures!$A:$I,"",",",FALSE)),IF(_xlpm._dm="","",","&amp;_xlpm._dm))</f>
        <v/>
      </c>
      <c r="O54" s="21" t="str" cm="1">
        <f t="array" ca="1" aca="1" ref="O54">ApplyDamageMitigation($M54,$N54,"")</f>
        <v/>
      </c>
      <c r="P54" s="21" t="str">
        <f ca="1">IFERROR(MATCH($I54,'Attack Steps'!$V:$V,0),"")</f>
        <v/>
      </c>
      <c r="Q54" s="21" t="str" cm="1">
        <f t="array" ca="1" aca="1" ref="Q54">IF($P54="","","§"&amp;INDEX('Attack Steps'!$S:$S,$P54))</f>
        <v/>
      </c>
      <c r="R54" s="21" t="str" cm="1">
        <f t="array" ca="1" aca="1" ref="R54">IF($P54="","",INDEX('Attack Steps'!$W:$W,$P54))</f>
        <v/>
      </c>
      <c r="S54" s="21" t="b">
        <f t="shared" ca="1" si="69"/>
        <v>0</v>
      </c>
      <c r="T54" s="21" cm="1">
        <f t="array" ca="1" aca="1" ref="T54">_xlfn.LAMBDA(_xlpm._in,_xlpm._val,_xlpm._range,IF(_xlpm._in="",_xlpm._val,_xlfn.LET(_xlpm._id,LEFT(_xlpm._in,FIND(",",_xlpm._in)-1),CalculateMaxFromList(RemoveFirstElement(_xlpm._in),MAX(_xlpm._val,VLOOKUP(_xlpm._id,_xlpm._range,COLUMNS(_xlpm._range),FALSE)),_xlpm._range))))($M54,0,'Damage Scenarios'!$A:$U)</f>
        <v>0</v>
      </c>
      <c r="U54" s="21" cm="1">
        <f t="array" ca="1" aca="1" ref="U54">CalculateMaxFromList($O54,0,'Damage Scenarios'!$A:$U)</f>
        <v>0</v>
      </c>
      <c r="V54" s="21" t="str">
        <f ca="1">IF($U54=0,"",INDEX(Definitions!$Q:$Q,MATCH($U54,Definitions!$R:$R,0)))</f>
        <v/>
      </c>
      <c r="W54" s="21" t="str" cm="1">
        <f t="array" ca="1" aca="1" ref="W54">CalculateMaxAndElements($K54,0,"",'Attack Steps'!$A:X)</f>
        <v>0:</v>
      </c>
      <c r="X54" s="21" t="str" cm="1">
        <f t="array" ca="1" aca="1" ref="X54">CalculateMaxAndElements($K54,0,"",'Attack Steps'!$A:Y)</f>
        <v>0:</v>
      </c>
      <c r="Y54" s="21" t="str" cm="1">
        <f t="array" ca="1" aca="1" ref="Y54">CalculateMaxAndElements($K54,0,"",'Attack Steps'!$A:Z)</f>
        <v>0:</v>
      </c>
      <c r="Z54" s="21" t="str" cm="1">
        <f t="array" ca="1" aca="1" ref="Z54">CalculateMaxAndElements($K54,0,"",'Attack Steps'!$A:AA)</f>
        <v>0:</v>
      </c>
      <c r="AA54" s="21" t="str" cm="1">
        <f t="array" ca="1" aca="1" ref="AA54">CalculateMaxAndElements($K54,0,"",'Attack Steps'!$A:AB)</f>
        <v>0:</v>
      </c>
      <c r="AB54" s="21">
        <f t="shared" ca="1" si="70"/>
        <v>0</v>
      </c>
      <c r="AC54" s="21">
        <f t="shared" ca="1" si="71"/>
        <v>0</v>
      </c>
      <c r="AD54" s="21">
        <f t="shared" ca="1" si="72"/>
        <v>0</v>
      </c>
      <c r="AE54" s="21">
        <f t="shared" ca="1" si="73"/>
        <v>0</v>
      </c>
      <c r="AF54" s="21">
        <f t="shared" ca="1" si="74"/>
        <v>0</v>
      </c>
      <c r="AG54" s="21">
        <f t="shared" ca="1" si="64"/>
        <v>0</v>
      </c>
      <c r="AH54" s="21" t="str" cm="1">
        <f t="array" ca="1" aca="1" ref="AH54">IF(ROW()=ROW($AH$2)+1,"",INDEX($AH:$AH,ROW()-1))&amp;IF($A54="","",$A54&amp;",")</f>
        <v>R1-3,R2-3,R1-4,R2-4,R1-6,R2-6,R1-7,R2-7,R1-3-10,R2-3-10,R1-3-11,R2-3-11,R1-14,R1-16,R2-16,R21-23,R22-23,R1-29,R2-29,R31,R1-3-32,R2-3-32,R1-5-32,R2-5-32,R1-7-32,R2-7-32,R1-16-32,R2-16-32,R21-23-32,R22-23-32,R21-24-32,R22-24-32,R1-29-32,R2-29-32,R37,R38,R1-40,R2-40,</v>
      </c>
      <c r="AI54" s="21" t="str">
        <f t="shared" ca="1" si="75"/>
        <v/>
      </c>
      <c r="AJ54" s="21" cm="1">
        <f t="array" ca="1" aca="1" ref="AJ54">IF($G54="",0,SimpleLookup($G54,Definitions!$AE:$AF))</f>
        <v>0</v>
      </c>
      <c r="AK54" s="21" t="str" cm="1">
        <f t="array" ca="1" aca="1" ref="AK54">InverseLookup($A54,Mitigation!$U$2,Mitigation!$J$2,1,Helper!$B$5,",")</f>
        <v/>
      </c>
      <c r="AL54" s="21" t="str" cm="1">
        <f t="array" ca="1" aca="1" ref="AL54">CalculateMaxAndElementsWithFallback(SanitizeInput($AK54),0,"",Countermeasures!$A:Y,Assumptions!$A:Z)</f>
        <v>0:</v>
      </c>
      <c r="AM54" s="21" t="str" cm="1">
        <f t="array" ca="1" aca="1" ref="AM54">CalculateMaxAndElementsWithFallback(SanitizeInput($AK54),0,"",Countermeasures!$A:Z,Assumptions!$A:AA)</f>
        <v>0:</v>
      </c>
      <c r="AN54" s="21" t="str" cm="1">
        <f t="array" ca="1" aca="1" ref="AN54">CalculateMaxAndElementsWithFallback(SanitizeInput($AK54),0,"",Countermeasures!$A:AA,Assumptions!$A:AB)</f>
        <v>0:</v>
      </c>
      <c r="AO54" s="21" t="str" cm="1">
        <f t="array" ca="1" aca="1" ref="AO54">CalculateMaxAndElementsWithFallback(SanitizeInput($AK54),0,"",Countermeasures!$A:AB,Assumptions!$A:AC)</f>
        <v>0:</v>
      </c>
      <c r="AP54" s="21" t="str" cm="1">
        <f t="array" ca="1" aca="1" ref="AP54">CalculateMaxAndElementsWithFallback(SanitizeInput($AK54),0,"",Countermeasures!$A:AC,Assumptions!$A:AD)</f>
        <v>0:</v>
      </c>
      <c r="AQ54" s="21">
        <f t="shared" ca="1" si="76"/>
        <v>0</v>
      </c>
      <c r="AR54" s="21">
        <f t="shared" ca="1" si="77"/>
        <v>0</v>
      </c>
      <c r="AS54" s="21">
        <f t="shared" ca="1" si="78"/>
        <v>0</v>
      </c>
      <c r="AT54" s="21">
        <f t="shared" ca="1" si="79"/>
        <v>0</v>
      </c>
      <c r="AU54" s="21">
        <f t="shared" ca="1" si="80"/>
        <v>0</v>
      </c>
      <c r="AV54" s="21" t="str">
        <f t="shared" ca="1" si="81"/>
        <v>0:</v>
      </c>
      <c r="AW54" s="21" t="str">
        <f t="shared" ca="1" si="82"/>
        <v>0:</v>
      </c>
      <c r="AX54" s="21" t="str">
        <f t="shared" ca="1" si="83"/>
        <v>0:</v>
      </c>
      <c r="AY54" s="21" t="str">
        <f t="shared" ca="1" si="84"/>
        <v>0:</v>
      </c>
      <c r="AZ54" s="21" t="str">
        <f t="shared" ca="1" si="85"/>
        <v>0:</v>
      </c>
      <c r="BA54" s="21">
        <f t="shared" ca="1" si="86"/>
        <v>0</v>
      </c>
      <c r="BB54" s="21">
        <f t="shared" ca="1" si="87"/>
        <v>0</v>
      </c>
      <c r="BC54" s="21">
        <f t="shared" ca="1" si="88"/>
        <v>0</v>
      </c>
      <c r="BD54" s="21">
        <f t="shared" ca="1" si="89"/>
        <v>0</v>
      </c>
      <c r="BE54" s="21">
        <f t="shared" ca="1" si="90"/>
        <v>0</v>
      </c>
      <c r="BF54" s="21">
        <f t="shared" ca="1" si="65"/>
        <v>0</v>
      </c>
      <c r="BG54" s="21" t="str">
        <f ca="1">IFERROR(VLOOKUP($BF54,Definitions!$V:$W,COLUMNS(Definitions!$V:$W),TRUE),"")</f>
        <v>Basic</v>
      </c>
      <c r="BH54" s="21" t="str">
        <f ca="1">_xlfn.LET(_xlpm._comments,GetValues($K54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4" s="21" t="str" cm="1">
        <f t="array" ca="1" aca="1" ref="BI54">_xlfn.LET(_xlpm._rapRange,Definitions!$W:$W,_xlpm._calculatedRAP,$BG54,_xlpm._inlineRAP,$BH54,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4" s="21" t="str">
        <f ca="1">IFERROR(IF(OR($V54="",$BI54=""),Definitions!$AE$4,VLOOKUP($V54,Definitions!$AH:$AM,MATCH($BI54,Definitions!$AH$3:$AM$3,0),FALSE)),"")</f>
        <v>No Risk</v>
      </c>
      <c r="BK54" s="21" cm="1">
        <f t="array" ca="1" aca="1" ref="BK54">IF($BJ54="",0,SimpleLookup($BJ54,Definitions!$AE:$AF))</f>
        <v>0</v>
      </c>
      <c r="BL54" s="21" t="str" cm="1">
        <f t="array" ca="1" aca="1" ref="BL54">IFERROR(SimpleLookup($A54,Tracing!$B:$Z),"")</f>
        <v/>
      </c>
      <c r="BM54" s="21" t="str" cm="1">
        <f t="array" ca="1" aca="1" ref="BM54">_xlfn.LET(_xlpm._dm,SanitizeInput(GetValuesWithFallback(SanitizeInput($BL54),Assumptions!$A:$I,Countermeasures!$A:$I,"",",",FALSE)),IF(_xlpm._dm="","",","&amp;_xlpm._dm))</f>
        <v/>
      </c>
      <c r="BN54" s="21" t="str" cm="1">
        <f t="array" ca="1" aca="1" ref="BN54">ApplyDamageMitigation($M54,$BM54,"")</f>
        <v/>
      </c>
      <c r="BO54" s="21" cm="1">
        <f t="array" ca="1" aca="1" ref="BO54">CalculateMaxFromList($BN54,0,'Damage Scenarios'!$A:$U)</f>
        <v>0</v>
      </c>
      <c r="BP54" s="21" t="str">
        <f ca="1">IF($BO54=0,"",INDEX(Definitions!$Q:$Q,MATCH($BO54,Definitions!$R:$R,0)))</f>
        <v/>
      </c>
      <c r="BQ54" s="21" t="str" cm="1">
        <f t="array" ca="1" aca="1" ref="BQ54">CalculateMaxAndElementsWithFallback(SanitizeInput($BL54),0,"",Countermeasures!$A:Y,Assumptions!$A:Z)</f>
        <v>0:</v>
      </c>
      <c r="BR54" s="21" t="str" cm="1">
        <f t="array" ca="1" aca="1" ref="BR54">CalculateMaxAndElementsWithFallback(SanitizeInput($BL54),0,"",Countermeasures!$A:Z,Assumptions!$A:AA)</f>
        <v>0:</v>
      </c>
      <c r="BS54" s="21" t="str" cm="1">
        <f t="array" ca="1" aca="1" ref="BS54">CalculateMaxAndElementsWithFallback(SanitizeInput($BL54),0,"",Countermeasures!$A:AA,Assumptions!$A:AB)</f>
        <v>0:</v>
      </c>
      <c r="BT54" s="21" t="str" cm="1">
        <f t="array" ca="1" aca="1" ref="BT54">CalculateMaxAndElementsWithFallback(SanitizeInput($BL54),0,"",Countermeasures!$A:AB,Assumptions!$A:AC)</f>
        <v>0:</v>
      </c>
      <c r="BU54" s="21" t="str" cm="1">
        <f t="array" ca="1" aca="1" ref="BU54">CalculateMaxAndElementsWithFallback(SanitizeInput($BL54),0,"",Countermeasures!$A:AC,Assumptions!$A:AD)</f>
        <v>0:</v>
      </c>
      <c r="BV54" s="21">
        <f t="shared" ca="1" si="25"/>
        <v>0</v>
      </c>
      <c r="BW54" s="21">
        <f t="shared" ca="1" si="26"/>
        <v>0</v>
      </c>
      <c r="BX54" s="21">
        <f t="shared" ca="1" si="27"/>
        <v>0</v>
      </c>
      <c r="BY54" s="21">
        <f t="shared" ca="1" si="28"/>
        <v>0</v>
      </c>
      <c r="BZ54" s="21">
        <f t="shared" ca="1" si="29"/>
        <v>0</v>
      </c>
      <c r="CA54" s="21" t="str">
        <f t="shared" ca="1" si="30"/>
        <v>0:</v>
      </c>
      <c r="CB54" s="21" t="str">
        <f t="shared" ca="1" si="31"/>
        <v>0:</v>
      </c>
      <c r="CC54" s="21" t="str">
        <f t="shared" ca="1" si="32"/>
        <v>0:</v>
      </c>
      <c r="CD54" s="21" t="str">
        <f t="shared" ca="1" si="33"/>
        <v>0:</v>
      </c>
      <c r="CE54" s="21" t="str">
        <f t="shared" ca="1" si="34"/>
        <v>0:</v>
      </c>
      <c r="CF54" s="21">
        <f t="shared" ca="1" si="35"/>
        <v>0</v>
      </c>
      <c r="CG54" s="21">
        <f t="shared" ca="1" si="36"/>
        <v>0</v>
      </c>
      <c r="CH54" s="21">
        <f t="shared" ca="1" si="37"/>
        <v>0</v>
      </c>
      <c r="CI54" s="21">
        <f t="shared" ca="1" si="38"/>
        <v>0</v>
      </c>
      <c r="CJ54" s="21">
        <f t="shared" ca="1" si="39"/>
        <v>0</v>
      </c>
      <c r="CK54" s="21">
        <f t="shared" ca="1" si="66"/>
        <v>0</v>
      </c>
      <c r="CL54" s="21" t="str">
        <f ca="1">IFERROR(VLOOKUP($CK54,Definitions!$V:$W,COLUMNS(Definitions!$V:$W),TRUE),"")</f>
        <v>Basic</v>
      </c>
      <c r="CM54" s="21" t="str">
        <f ca="1">_xlfn.LET(_xlpm._comments,SimpleLookup($A54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4" s="21" t="str" cm="1">
        <f t="array" ca="1" aca="1" ref="CN54">_xlfn.LET(_xlpm._rapRange,Definitions!$W:$W,_xlpm._calculatedRAP,$CL54,_xlpm._inlineRAP,$CM54,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4" s="21" t="str">
        <f ca="1">IFERROR(IF(OR($BP54="",$CN54=""),Definitions!$AE$4,VLOOKUP($BP54,Definitions!$AH:$AM,MATCH($CN54,Definitions!$AH$3:$AM$3,0),FALSE)),"")</f>
        <v>No Risk</v>
      </c>
      <c r="CP54" s="21" cm="1">
        <f t="array" ca="1" aca="1" ref="CP54">IF($CO54="",0,SimpleLookup($CO54,Definitions!$AE:$AF))</f>
        <v>0</v>
      </c>
      <c r="CQ54" s="21" t="b">
        <f ca="1">OR(AND($S54,$I54=Helper!$B$7),$I54&gt;Helper!$B$7)</f>
        <v>1</v>
      </c>
      <c r="CR54" s="21" t="str">
        <f t="shared" ca="1" si="67"/>
        <v/>
      </c>
      <c r="CS54" s="21" cm="1">
        <f t="array" ca="1" aca="1" ref="CS54">CreateID($CS$2,$CV:$CV,$CR54&lt;&gt;"")</f>
        <v>0</v>
      </c>
      <c r="CT54" s="21" t="str">
        <f ca="1">IF(IFERROR(MATCH(","&amp;A54&amp;",",'Risk Treatment'!$AT:$AT,0)&gt;0,FALSE),"",$A54)</f>
        <v/>
      </c>
      <c r="CU54" s="21" cm="1">
        <f t="array" ca="1" aca="1" ref="CU54">CreateID($CU$2,$CU:$CU,$CT54&lt;&gt;"")</f>
        <v>38</v>
      </c>
    </row>
    <row r="55" spans="1:99" ht="15">
      <c r="A55" s="33" t="str" cm="1">
        <f t="array" ca="1" aca="1" ref="A55">IF($B55="","","R"&amp;RemoveDelimiter(SUBSTITUTE(SUBSTITUTE($K55,"AS",""),",","-"),"-"))</f>
        <v/>
      </c>
      <c r="B55" s="33" t="str" cm="1">
        <f t="array" ca="1" aca="1" ref="B55">IF($L55="","",_xlfn.LET(_xlpm._finalAttackStep,$L55,_xlpm._prepAttacks,RemoveFirstElement(_xlpm._finalAttackStep&amp;","&amp;$K55),_xlpm._prepAttackNames,IFERROR(LookupNames(_xlpm._prepAttacks,'Attack Steps'!$A:$B),""),_xlpm._delimiter,REPT(CHAR(150),55),$L55&amp;" "&amp;SimpleLookup($L55,'Attack Steps'!$A:$B)&amp;IF(_xlpm._prepAttackNames="","",CHAR(10)&amp;_xlpm._delimiter&amp;CHAR(10)&amp;_xlpm._prepAttackNames)))</f>
        <v/>
      </c>
      <c r="C55" s="34" t="str" cm="1">
        <f t="array" ca="1" aca="1" ref="C55">IFERROR(LookupNames($M55,'Damage Scenarios'!$A:$V),"")</f>
        <v/>
      </c>
      <c r="D55" s="33" t="str">
        <f ca="1">IFERROR(IF($T55=0,"",INDEX(Definitions!$Q:$Q,MATCH($T55,Definitions!$R:$R,0))),"")</f>
        <v/>
      </c>
      <c r="E55" s="34" t="str" cm="1">
        <f t="array" ca="1" aca="1" ref="E55">IF($A55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55,$A:W,Definitions!$Y:$Y,Definitions!$AB:$AB,1)&amp;CHAR(10)&amp;_xlpm._factorFunction($A55,$A:X,Definitions!$Y:$Y,Definitions!$AB:$AB,2)&amp;CHAR(10)&amp;_xlpm._factorFunction($A55,$A:Y,Definitions!$Y:$Y,Definitions!$AB:$AB,3)&amp;CHAR(10)&amp;_xlpm._factorFunction($A55,$A:Z,Definitions!$Y:$Y,Definitions!$AB:$AB,4)&amp;CHAR(10)&amp;_xlpm._factorFunction($A55,$A:AA,Definitions!$Y:$Y,Definitions!$AB:$AB,5)))</f>
        <v/>
      </c>
      <c r="F55" s="33" t="str">
        <f ca="1">IF($A55="","",IFERROR(VLOOKUP($AG55,Definitions!$V:$W,COLUMNS(Definitions!$V:$W),TRUE),""))</f>
        <v/>
      </c>
      <c r="G55" s="33" t="str">
        <f ca="1">IFERROR(IF(OR($D55="",$F55=""),"",VLOOKUP($D55,Definitions!$AH:$AM,MATCH($F55,Definitions!$AH$3:$AM$3,0),FALSE)),"")</f>
        <v/>
      </c>
      <c r="H55" s="23" cm="1">
        <f t="array" ca="1" aca="1" ref="H55">IF(ROW()=ROW($H$2)+1,0,INDEX($H:$H,ROW()-1))+IF($A55="",0,1)</f>
        <v>38</v>
      </c>
      <c r="I55" s="21" cm="1">
        <f t="array" ca="1" aca="1" ref="I55">IF(ROW()=ROW($I$2)+1,1,INDEX($I:$I,ROW()-1)+IF(INDEX($S:$S,ROW()-1),1,0))</f>
        <v>16</v>
      </c>
      <c r="J55" s="21">
        <f t="shared" ca="1" si="63"/>
        <v>15</v>
      </c>
      <c r="K55" s="21" t="str">
        <f t="shared" ca="1" si="68"/>
        <v/>
      </c>
      <c r="L55" s="21" t="str" cm="1">
        <f t="array" ca="1" aca="1" ref="L55">IF($P55="","",INDEX('Attack Steps'!$A:$A,$P55))</f>
        <v/>
      </c>
      <c r="M55" s="21" t="str" cm="1">
        <f t="array" ca="1" aca="1" ref="M55">IF($P55="","",INDEX('Attack Steps'!$T:$T,$P55))</f>
        <v/>
      </c>
      <c r="N55" s="21" t="str" cm="1">
        <f t="array" ca="1" aca="1" ref="N55">_xlfn.LET(_xlpm._dm,SanitizeInput(GetValuesWithFallback(SanitizeInput($AK55),Assumptions!$A:$I,Countermeasures!$A:$I,"",",",FALSE)),IF(_xlpm._dm="","",","&amp;_xlpm._dm))</f>
        <v/>
      </c>
      <c r="O55" s="21" t="str" cm="1">
        <f t="array" ca="1" aca="1" ref="O55">ApplyDamageMitigation($M55,$N55,"")</f>
        <v/>
      </c>
      <c r="P55" s="21" t="str">
        <f ca="1">IFERROR(MATCH($I55,'Attack Steps'!$V:$V,0),"")</f>
        <v/>
      </c>
      <c r="Q55" s="21" t="str" cm="1">
        <f t="array" ca="1" aca="1" ref="Q55">IF($P55="","","§"&amp;INDEX('Attack Steps'!$S:$S,$P55))</f>
        <v/>
      </c>
      <c r="R55" s="21" t="str" cm="1">
        <f t="array" ca="1" aca="1" ref="R55">IF($P55="","",INDEX('Attack Steps'!$W:$W,$P55))</f>
        <v/>
      </c>
      <c r="S55" s="21" t="b">
        <f t="shared" ca="1" si="69"/>
        <v>0</v>
      </c>
      <c r="T55" s="21" cm="1">
        <f t="array" ca="1" aca="1" ref="T55">_xlfn.LAMBDA(_xlpm._in,_xlpm._val,_xlpm._range,IF(_xlpm._in="",_xlpm._val,_xlfn.LET(_xlpm._id,LEFT(_xlpm._in,FIND(",",_xlpm._in)-1),CalculateMaxFromList(RemoveFirstElement(_xlpm._in),MAX(_xlpm._val,VLOOKUP(_xlpm._id,_xlpm._range,COLUMNS(_xlpm._range),FALSE)),_xlpm._range))))($M55,0,'Damage Scenarios'!$A:$U)</f>
        <v>0</v>
      </c>
      <c r="U55" s="21" cm="1">
        <f t="array" ca="1" aca="1" ref="U55">CalculateMaxFromList($O55,0,'Damage Scenarios'!$A:$U)</f>
        <v>0</v>
      </c>
      <c r="V55" s="21" t="str">
        <f ca="1">IF($U55=0,"",INDEX(Definitions!$Q:$Q,MATCH($U55,Definitions!$R:$R,0)))</f>
        <v/>
      </c>
      <c r="W55" s="21" t="str" cm="1">
        <f t="array" ca="1" aca="1" ref="W55">CalculateMaxAndElements($K55,0,"",'Attack Steps'!$A:X)</f>
        <v>0:</v>
      </c>
      <c r="X55" s="21" t="str" cm="1">
        <f t="array" ca="1" aca="1" ref="X55">CalculateMaxAndElements($K55,0,"",'Attack Steps'!$A:Y)</f>
        <v>0:</v>
      </c>
      <c r="Y55" s="21" t="str" cm="1">
        <f t="array" ca="1" aca="1" ref="Y55">CalculateMaxAndElements($K55,0,"",'Attack Steps'!$A:Z)</f>
        <v>0:</v>
      </c>
      <c r="Z55" s="21" t="str" cm="1">
        <f t="array" ca="1" aca="1" ref="Z55">CalculateMaxAndElements($K55,0,"",'Attack Steps'!$A:AA)</f>
        <v>0:</v>
      </c>
      <c r="AA55" s="21" t="str" cm="1">
        <f t="array" ca="1" aca="1" ref="AA55">CalculateMaxAndElements($K55,0,"",'Attack Steps'!$A:AB)</f>
        <v>0:</v>
      </c>
      <c r="AB55" s="21">
        <f t="shared" ca="1" si="70"/>
        <v>0</v>
      </c>
      <c r="AC55" s="21">
        <f t="shared" ca="1" si="71"/>
        <v>0</v>
      </c>
      <c r="AD55" s="21">
        <f t="shared" ca="1" si="72"/>
        <v>0</v>
      </c>
      <c r="AE55" s="21">
        <f t="shared" ca="1" si="73"/>
        <v>0</v>
      </c>
      <c r="AF55" s="21">
        <f t="shared" ca="1" si="74"/>
        <v>0</v>
      </c>
      <c r="AG55" s="21">
        <f t="shared" ca="1" si="64"/>
        <v>0</v>
      </c>
      <c r="AH55" s="21" t="str" cm="1">
        <f t="array" ca="1" aca="1" ref="AH55">IF(ROW()=ROW($AH$2)+1,"",INDEX($AH:$AH,ROW()-1))&amp;IF($A55="","",$A55&amp;",")</f>
        <v>R1-3,R2-3,R1-4,R2-4,R1-6,R2-6,R1-7,R2-7,R1-3-10,R2-3-10,R1-3-11,R2-3-11,R1-14,R1-16,R2-16,R21-23,R22-23,R1-29,R2-29,R31,R1-3-32,R2-3-32,R1-5-32,R2-5-32,R1-7-32,R2-7-32,R1-16-32,R2-16-32,R21-23-32,R22-23-32,R21-24-32,R22-24-32,R1-29-32,R2-29-32,R37,R38,R1-40,R2-40,</v>
      </c>
      <c r="AI55" s="21" t="str">
        <f t="shared" ca="1" si="75"/>
        <v/>
      </c>
      <c r="AJ55" s="21" cm="1">
        <f t="array" ca="1" aca="1" ref="AJ55">IF($G55="",0,SimpleLookup($G55,Definitions!$AE:$AF))</f>
        <v>0</v>
      </c>
      <c r="AK55" s="21" t="str" cm="1">
        <f t="array" ca="1" aca="1" ref="AK55">InverseLookup($A55,Mitigation!$U$2,Mitigation!$J$2,1,Helper!$B$5,",")</f>
        <v/>
      </c>
      <c r="AL55" s="21" t="str" cm="1">
        <f t="array" ca="1" aca="1" ref="AL55">CalculateMaxAndElementsWithFallback(SanitizeInput($AK55),0,"",Countermeasures!$A:Y,Assumptions!$A:Z)</f>
        <v>0:</v>
      </c>
      <c r="AM55" s="21" t="str" cm="1">
        <f t="array" ca="1" aca="1" ref="AM55">CalculateMaxAndElementsWithFallback(SanitizeInput($AK55),0,"",Countermeasures!$A:Z,Assumptions!$A:AA)</f>
        <v>0:</v>
      </c>
      <c r="AN55" s="21" t="str" cm="1">
        <f t="array" ca="1" aca="1" ref="AN55">CalculateMaxAndElementsWithFallback(SanitizeInput($AK55),0,"",Countermeasures!$A:AA,Assumptions!$A:AB)</f>
        <v>0:</v>
      </c>
      <c r="AO55" s="21" t="str" cm="1">
        <f t="array" ca="1" aca="1" ref="AO55">CalculateMaxAndElementsWithFallback(SanitizeInput($AK55),0,"",Countermeasures!$A:AB,Assumptions!$A:AC)</f>
        <v>0:</v>
      </c>
      <c r="AP55" s="21" t="str" cm="1">
        <f t="array" ca="1" aca="1" ref="AP55">CalculateMaxAndElementsWithFallback(SanitizeInput($AK55),0,"",Countermeasures!$A:AC,Assumptions!$A:AD)</f>
        <v>0:</v>
      </c>
      <c r="AQ55" s="21">
        <f t="shared" ca="1" si="76"/>
        <v>0</v>
      </c>
      <c r="AR55" s="21">
        <f t="shared" ca="1" si="77"/>
        <v>0</v>
      </c>
      <c r="AS55" s="21">
        <f t="shared" ca="1" si="78"/>
        <v>0</v>
      </c>
      <c r="AT55" s="21">
        <f t="shared" ca="1" si="79"/>
        <v>0</v>
      </c>
      <c r="AU55" s="21">
        <f t="shared" ca="1" si="80"/>
        <v>0</v>
      </c>
      <c r="AV55" s="21" t="str">
        <f t="shared" ca="1" si="81"/>
        <v>0:</v>
      </c>
      <c r="AW55" s="21" t="str">
        <f t="shared" ca="1" si="82"/>
        <v>0:</v>
      </c>
      <c r="AX55" s="21" t="str">
        <f t="shared" ca="1" si="83"/>
        <v>0:</v>
      </c>
      <c r="AY55" s="21" t="str">
        <f t="shared" ca="1" si="84"/>
        <v>0:</v>
      </c>
      <c r="AZ55" s="21" t="str">
        <f t="shared" ca="1" si="85"/>
        <v>0:</v>
      </c>
      <c r="BA55" s="21">
        <f t="shared" ca="1" si="86"/>
        <v>0</v>
      </c>
      <c r="BB55" s="21">
        <f t="shared" ca="1" si="87"/>
        <v>0</v>
      </c>
      <c r="BC55" s="21">
        <f t="shared" ca="1" si="88"/>
        <v>0</v>
      </c>
      <c r="BD55" s="21">
        <f t="shared" ca="1" si="89"/>
        <v>0</v>
      </c>
      <c r="BE55" s="21">
        <f t="shared" ca="1" si="90"/>
        <v>0</v>
      </c>
      <c r="BF55" s="21">
        <f t="shared" ca="1" si="65"/>
        <v>0</v>
      </c>
      <c r="BG55" s="21" t="str">
        <f ca="1">IFERROR(VLOOKUP($BF55,Definitions!$V:$W,COLUMNS(Definitions!$V:$W),TRUE),"")</f>
        <v>Basic</v>
      </c>
      <c r="BH55" s="21" t="str">
        <f ca="1">_xlfn.LET(_xlpm._comments,GetValues($K55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5" s="21" t="str" cm="1">
        <f t="array" ca="1" aca="1" ref="BI55">_xlfn.LET(_xlpm._rapRange,Definitions!$W:$W,_xlpm._calculatedRAP,$BG55,_xlpm._inlineRAP,$BH55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5" s="21" t="str">
        <f ca="1">IFERROR(IF(OR($V55="",$BI55=""),Definitions!$AE$4,VLOOKUP($V55,Definitions!$AH:$AM,MATCH($BI55,Definitions!$AH$3:$AM$3,0),FALSE)),"")</f>
        <v>No Risk</v>
      </c>
      <c r="BK55" s="21" cm="1">
        <f t="array" ca="1" aca="1" ref="BK55">IF($BJ55="",0,SimpleLookup($BJ55,Definitions!$AE:$AF))</f>
        <v>0</v>
      </c>
      <c r="BL55" s="21" t="str" cm="1">
        <f t="array" ca="1" aca="1" ref="BL55">IFERROR(SimpleLookup($A55,Tracing!$B:$Z),"")</f>
        <v/>
      </c>
      <c r="BM55" s="21" t="str" cm="1">
        <f t="array" ca="1" aca="1" ref="BM55">_xlfn.LET(_xlpm._dm,SanitizeInput(GetValuesWithFallback(SanitizeInput($BL55),Assumptions!$A:$I,Countermeasures!$A:$I,"",",",FALSE)),IF(_xlpm._dm="","",","&amp;_xlpm._dm))</f>
        <v/>
      </c>
      <c r="BN55" s="21" t="str" cm="1">
        <f t="array" ca="1" aca="1" ref="BN55">ApplyDamageMitigation($M55,$BM55,"")</f>
        <v/>
      </c>
      <c r="BO55" s="21" cm="1">
        <f t="array" ca="1" aca="1" ref="BO55">CalculateMaxFromList($BN55,0,'Damage Scenarios'!$A:$U)</f>
        <v>0</v>
      </c>
      <c r="BP55" s="21" t="str">
        <f ca="1">IF($BO55=0,"",INDEX(Definitions!$Q:$Q,MATCH($BO55,Definitions!$R:$R,0)))</f>
        <v/>
      </c>
      <c r="BQ55" s="21" t="str" cm="1">
        <f t="array" ca="1" aca="1" ref="BQ55">CalculateMaxAndElementsWithFallback(SanitizeInput($BL55),0,"",Countermeasures!$A:Y,Assumptions!$A:Z)</f>
        <v>0:</v>
      </c>
      <c r="BR55" s="21" t="str" cm="1">
        <f t="array" ca="1" aca="1" ref="BR55">CalculateMaxAndElementsWithFallback(SanitizeInput($BL55),0,"",Countermeasures!$A:Z,Assumptions!$A:AA)</f>
        <v>0:</v>
      </c>
      <c r="BS55" s="21" t="str" cm="1">
        <f t="array" ca="1" aca="1" ref="BS55">CalculateMaxAndElementsWithFallback(SanitizeInput($BL55),0,"",Countermeasures!$A:AA,Assumptions!$A:AB)</f>
        <v>0:</v>
      </c>
      <c r="BT55" s="21" t="str" cm="1">
        <f t="array" ca="1" aca="1" ref="BT55">CalculateMaxAndElementsWithFallback(SanitizeInput($BL55),0,"",Countermeasures!$A:AB,Assumptions!$A:AC)</f>
        <v>0:</v>
      </c>
      <c r="BU55" s="21" t="str" cm="1">
        <f t="array" ca="1" aca="1" ref="BU55">CalculateMaxAndElementsWithFallback(SanitizeInput($BL55),0,"",Countermeasures!$A:AC,Assumptions!$A:AD)</f>
        <v>0:</v>
      </c>
      <c r="BV55" s="21">
        <f t="shared" ca="1" si="25"/>
        <v>0</v>
      </c>
      <c r="BW55" s="21">
        <f t="shared" ca="1" si="26"/>
        <v>0</v>
      </c>
      <c r="BX55" s="21">
        <f t="shared" ca="1" si="27"/>
        <v>0</v>
      </c>
      <c r="BY55" s="21">
        <f t="shared" ca="1" si="28"/>
        <v>0</v>
      </c>
      <c r="BZ55" s="21">
        <f t="shared" ca="1" si="29"/>
        <v>0</v>
      </c>
      <c r="CA55" s="21" t="str">
        <f t="shared" ca="1" si="30"/>
        <v>0:</v>
      </c>
      <c r="CB55" s="21" t="str">
        <f t="shared" ca="1" si="31"/>
        <v>0:</v>
      </c>
      <c r="CC55" s="21" t="str">
        <f t="shared" ca="1" si="32"/>
        <v>0:</v>
      </c>
      <c r="CD55" s="21" t="str">
        <f t="shared" ca="1" si="33"/>
        <v>0:</v>
      </c>
      <c r="CE55" s="21" t="str">
        <f t="shared" ca="1" si="34"/>
        <v>0:</v>
      </c>
      <c r="CF55" s="21">
        <f t="shared" ca="1" si="35"/>
        <v>0</v>
      </c>
      <c r="CG55" s="21">
        <f t="shared" ca="1" si="36"/>
        <v>0</v>
      </c>
      <c r="CH55" s="21">
        <f t="shared" ca="1" si="37"/>
        <v>0</v>
      </c>
      <c r="CI55" s="21">
        <f t="shared" ca="1" si="38"/>
        <v>0</v>
      </c>
      <c r="CJ55" s="21">
        <f t="shared" ca="1" si="39"/>
        <v>0</v>
      </c>
      <c r="CK55" s="21">
        <f t="shared" ca="1" si="66"/>
        <v>0</v>
      </c>
      <c r="CL55" s="21" t="str">
        <f ca="1">IFERROR(VLOOKUP($CK55,Definitions!$V:$W,COLUMNS(Definitions!$V:$W),TRUE),"")</f>
        <v>Basic</v>
      </c>
      <c r="CM55" s="21" t="str">
        <f ca="1">_xlfn.LET(_xlpm._comments,SimpleLookup($A55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5" s="21" t="str" cm="1">
        <f t="array" ca="1" aca="1" ref="CN55">_xlfn.LET(_xlpm._rapRange,Definitions!$W:$W,_xlpm._calculatedRAP,$CL55,_xlpm._inlineRAP,$CM55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5" s="21" t="str">
        <f ca="1">IFERROR(IF(OR($BP55="",$CN55=""),Definitions!$AE$4,VLOOKUP($BP55,Definitions!$AH:$AM,MATCH($CN55,Definitions!$AH$3:$AM$3,0),FALSE)),"")</f>
        <v>No Risk</v>
      </c>
      <c r="CP55" s="21" cm="1">
        <f t="array" ca="1" aca="1" ref="CP55">IF($CO55="",0,SimpleLookup($CO55,Definitions!$AE:$AF))</f>
        <v>0</v>
      </c>
      <c r="CQ55" s="21" t="b">
        <f ca="1">OR(AND($S55,$I55=Helper!$B$7),$I55&gt;Helper!$B$7)</f>
        <v>1</v>
      </c>
      <c r="CR55" s="21" t="str">
        <f t="shared" ca="1" si="67"/>
        <v/>
      </c>
      <c r="CS55" s="21" cm="1">
        <f t="array" ca="1" aca="1" ref="CS55">CreateID($CS$2,$CV:$CV,$CR55&lt;&gt;"")</f>
        <v>0</v>
      </c>
      <c r="CT55" s="21" t="str">
        <f ca="1">IF(IFERROR(MATCH(","&amp;A55&amp;",",'Risk Treatment'!$AT:$AT,0)&gt;0,FALSE),"",$A55)</f>
        <v/>
      </c>
      <c r="CU55" s="21" cm="1">
        <f t="array" ca="1" aca="1" ref="CU55">CreateID($CU$2,$CU:$CU,$CT55&lt;&gt;"")</f>
        <v>38</v>
      </c>
    </row>
    <row r="56" spans="1:99" ht="15">
      <c r="A56" s="33" t="str" cm="1">
        <f t="array" ca="1" aca="1" ref="A56">IF($B56="","","R"&amp;RemoveDelimiter(SUBSTITUTE(SUBSTITUTE($K56,"AS",""),",","-"),"-"))</f>
        <v/>
      </c>
      <c r="B56" s="33" t="str" cm="1">
        <f t="array" ca="1" aca="1" ref="B56">IF($L56="","",_xlfn.LET(_xlpm._finalAttackStep,$L56,_xlpm._prepAttacks,RemoveFirstElement(_xlpm._finalAttackStep&amp;","&amp;$K56),_xlpm._prepAttackNames,IFERROR(LookupNames(_xlpm._prepAttacks,'Attack Steps'!$A:$B),""),_xlpm._delimiter,REPT(CHAR(150),55),$L56&amp;" "&amp;SimpleLookup($L56,'Attack Steps'!$A:$B)&amp;IF(_xlpm._prepAttackNames="","",CHAR(10)&amp;_xlpm._delimiter&amp;CHAR(10)&amp;_xlpm._prepAttackNames)))</f>
        <v/>
      </c>
      <c r="C56" s="34" t="str" cm="1">
        <f t="array" ca="1" aca="1" ref="C56">IFERROR(LookupNames($M56,'Damage Scenarios'!$A:$V),"")</f>
        <v/>
      </c>
      <c r="D56" s="33" t="str">
        <f ca="1">IFERROR(IF($T56=0,"",INDEX(Definitions!$Q:$Q,MATCH($T56,Definitions!$R:$R,0))),"")</f>
        <v/>
      </c>
      <c r="E56" s="34" t="str" cm="1">
        <f t="array" ca="1" aca="1" ref="E56">IF($A56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56,$A:W,Definitions!$Y:$Y,Definitions!$AB:$AB,1)&amp;CHAR(10)&amp;_xlpm._factorFunction($A56,$A:X,Definitions!$Y:$Y,Definitions!$AB:$AB,2)&amp;CHAR(10)&amp;_xlpm._factorFunction($A56,$A:Y,Definitions!$Y:$Y,Definitions!$AB:$AB,3)&amp;CHAR(10)&amp;_xlpm._factorFunction($A56,$A:Z,Definitions!$Y:$Y,Definitions!$AB:$AB,4)&amp;CHAR(10)&amp;_xlpm._factorFunction($A56,$A:AA,Definitions!$Y:$Y,Definitions!$AB:$AB,5)))</f>
        <v/>
      </c>
      <c r="F56" s="33" t="str">
        <f ca="1">IF($A56="","",IFERROR(VLOOKUP($AG56,Definitions!$V:$W,COLUMNS(Definitions!$V:$W),TRUE),""))</f>
        <v/>
      </c>
      <c r="G56" s="33" t="str">
        <f ca="1">IFERROR(IF(OR($D56="",$F56=""),"",VLOOKUP($D56,Definitions!$AH:$AM,MATCH($F56,Definitions!$AH$3:$AM$3,0),FALSE)),"")</f>
        <v/>
      </c>
      <c r="H56" s="23" cm="1">
        <f t="array" ca="1" aca="1" ref="H56">IF(ROW()=ROW($H$2)+1,0,INDEX($H:$H,ROW()-1))+IF($A56="",0,1)</f>
        <v>38</v>
      </c>
      <c r="I56" s="21" cm="1">
        <f t="array" ca="1" aca="1" ref="I56">IF(ROW()=ROW($I$2)+1,1,INDEX($I:$I,ROW()-1)+IF(INDEX($S:$S,ROW()-1),1,0))</f>
        <v>16</v>
      </c>
      <c r="J56" s="21">
        <f t="shared" ca="1" si="63"/>
        <v>16</v>
      </c>
      <c r="K56" s="21" t="str">
        <f t="shared" ca="1" si="68"/>
        <v/>
      </c>
      <c r="L56" s="21" t="str" cm="1">
        <f t="array" ca="1" aca="1" ref="L56">IF($P56="","",INDEX('Attack Steps'!$A:$A,$P56))</f>
        <v/>
      </c>
      <c r="M56" s="21" t="str" cm="1">
        <f t="array" ca="1" aca="1" ref="M56">IF($P56="","",INDEX('Attack Steps'!$T:$T,$P56))</f>
        <v/>
      </c>
      <c r="N56" s="21" t="str" cm="1">
        <f t="array" ca="1" aca="1" ref="N56">_xlfn.LET(_xlpm._dm,SanitizeInput(GetValuesWithFallback(SanitizeInput($AK56),Assumptions!$A:$I,Countermeasures!$A:$I,"",",",FALSE)),IF(_xlpm._dm="","",","&amp;_xlpm._dm))</f>
        <v/>
      </c>
      <c r="O56" s="21" t="str" cm="1">
        <f t="array" ca="1" aca="1" ref="O56">ApplyDamageMitigation($M56,$N56,"")</f>
        <v/>
      </c>
      <c r="P56" s="21" t="str">
        <f ca="1">IFERROR(MATCH($I56,'Attack Steps'!$V:$V,0),"")</f>
        <v/>
      </c>
      <c r="Q56" s="21" t="str" cm="1">
        <f t="array" ca="1" aca="1" ref="Q56">IF($P56="","","§"&amp;INDEX('Attack Steps'!$S:$S,$P56))</f>
        <v/>
      </c>
      <c r="R56" s="21" t="str" cm="1">
        <f t="array" ca="1" aca="1" ref="R56">IF($P56="","",INDEX('Attack Steps'!$W:$W,$P56))</f>
        <v/>
      </c>
      <c r="S56" s="21" t="b">
        <f t="shared" ca="1" si="69"/>
        <v>0</v>
      </c>
      <c r="T56" s="21" cm="1">
        <f t="array" ca="1" aca="1" ref="T56">_xlfn.LAMBDA(_xlpm._in,_xlpm._val,_xlpm._range,IF(_xlpm._in="",_xlpm._val,_xlfn.LET(_xlpm._id,LEFT(_xlpm._in,FIND(",",_xlpm._in)-1),CalculateMaxFromList(RemoveFirstElement(_xlpm._in),MAX(_xlpm._val,VLOOKUP(_xlpm._id,_xlpm._range,COLUMNS(_xlpm._range),FALSE)),_xlpm._range))))($M56,0,'Damage Scenarios'!$A:$U)</f>
        <v>0</v>
      </c>
      <c r="U56" s="21" cm="1">
        <f t="array" ca="1" aca="1" ref="U56">CalculateMaxFromList($O56,0,'Damage Scenarios'!$A:$U)</f>
        <v>0</v>
      </c>
      <c r="V56" s="21" t="str">
        <f ca="1">IF($U56=0,"",INDEX(Definitions!$Q:$Q,MATCH($U56,Definitions!$R:$R,0)))</f>
        <v/>
      </c>
      <c r="W56" s="21" t="str" cm="1">
        <f t="array" ca="1" aca="1" ref="W56">CalculateMaxAndElements($K56,0,"",'Attack Steps'!$A:X)</f>
        <v>0:</v>
      </c>
      <c r="X56" s="21" t="str" cm="1">
        <f t="array" ca="1" aca="1" ref="X56">CalculateMaxAndElements($K56,0,"",'Attack Steps'!$A:Y)</f>
        <v>0:</v>
      </c>
      <c r="Y56" s="21" t="str" cm="1">
        <f t="array" ca="1" aca="1" ref="Y56">CalculateMaxAndElements($K56,0,"",'Attack Steps'!$A:Z)</f>
        <v>0:</v>
      </c>
      <c r="Z56" s="21" t="str" cm="1">
        <f t="array" ca="1" aca="1" ref="Z56">CalculateMaxAndElements($K56,0,"",'Attack Steps'!$A:AA)</f>
        <v>0:</v>
      </c>
      <c r="AA56" s="21" t="str" cm="1">
        <f t="array" ca="1" aca="1" ref="AA56">CalculateMaxAndElements($K56,0,"",'Attack Steps'!$A:AB)</f>
        <v>0:</v>
      </c>
      <c r="AB56" s="21">
        <f t="shared" ca="1" si="70"/>
        <v>0</v>
      </c>
      <c r="AC56" s="21">
        <f t="shared" ca="1" si="71"/>
        <v>0</v>
      </c>
      <c r="AD56" s="21">
        <f t="shared" ca="1" si="72"/>
        <v>0</v>
      </c>
      <c r="AE56" s="21">
        <f t="shared" ca="1" si="73"/>
        <v>0</v>
      </c>
      <c r="AF56" s="21">
        <f t="shared" ca="1" si="74"/>
        <v>0</v>
      </c>
      <c r="AG56" s="21">
        <f t="shared" ca="1" si="64"/>
        <v>0</v>
      </c>
      <c r="AH56" s="21" t="str" cm="1">
        <f t="array" ca="1" aca="1" ref="AH56">IF(ROW()=ROW($AH$2)+1,"",INDEX($AH:$AH,ROW()-1))&amp;IF($A56="","",$A56&amp;",")</f>
        <v>R1-3,R2-3,R1-4,R2-4,R1-6,R2-6,R1-7,R2-7,R1-3-10,R2-3-10,R1-3-11,R2-3-11,R1-14,R1-16,R2-16,R21-23,R22-23,R1-29,R2-29,R31,R1-3-32,R2-3-32,R1-5-32,R2-5-32,R1-7-32,R2-7-32,R1-16-32,R2-16-32,R21-23-32,R22-23-32,R21-24-32,R22-24-32,R1-29-32,R2-29-32,R37,R38,R1-40,R2-40,</v>
      </c>
      <c r="AI56" s="21" t="str">
        <f t="shared" ca="1" si="75"/>
        <v/>
      </c>
      <c r="AJ56" s="21" cm="1">
        <f t="array" ca="1" aca="1" ref="AJ56">IF($G56="",0,SimpleLookup($G56,Definitions!$AE:$AF))</f>
        <v>0</v>
      </c>
      <c r="AK56" s="21" t="str" cm="1">
        <f t="array" ca="1" aca="1" ref="AK56">InverseLookup($A56,Mitigation!$U$2,Mitigation!$J$2,1,Helper!$B$5,",")</f>
        <v/>
      </c>
      <c r="AL56" s="21" t="str" cm="1">
        <f t="array" ca="1" aca="1" ref="AL56">CalculateMaxAndElementsWithFallback(SanitizeInput($AK56),0,"",Countermeasures!$A:Y,Assumptions!$A:Z)</f>
        <v>0:</v>
      </c>
      <c r="AM56" s="21" t="str" cm="1">
        <f t="array" ca="1" aca="1" ref="AM56">CalculateMaxAndElementsWithFallback(SanitizeInput($AK56),0,"",Countermeasures!$A:Z,Assumptions!$A:AA)</f>
        <v>0:</v>
      </c>
      <c r="AN56" s="21" t="str" cm="1">
        <f t="array" ca="1" aca="1" ref="AN56">CalculateMaxAndElementsWithFallback(SanitizeInput($AK56),0,"",Countermeasures!$A:AA,Assumptions!$A:AB)</f>
        <v>0:</v>
      </c>
      <c r="AO56" s="21" t="str" cm="1">
        <f t="array" ca="1" aca="1" ref="AO56">CalculateMaxAndElementsWithFallback(SanitizeInput($AK56),0,"",Countermeasures!$A:AB,Assumptions!$A:AC)</f>
        <v>0:</v>
      </c>
      <c r="AP56" s="21" t="str" cm="1">
        <f t="array" ca="1" aca="1" ref="AP56">CalculateMaxAndElementsWithFallback(SanitizeInput($AK56),0,"",Countermeasures!$A:AC,Assumptions!$A:AD)</f>
        <v>0:</v>
      </c>
      <c r="AQ56" s="21">
        <f t="shared" ca="1" si="76"/>
        <v>0</v>
      </c>
      <c r="AR56" s="21">
        <f t="shared" ca="1" si="77"/>
        <v>0</v>
      </c>
      <c r="AS56" s="21">
        <f t="shared" ca="1" si="78"/>
        <v>0</v>
      </c>
      <c r="AT56" s="21">
        <f t="shared" ca="1" si="79"/>
        <v>0</v>
      </c>
      <c r="AU56" s="21">
        <f t="shared" ca="1" si="80"/>
        <v>0</v>
      </c>
      <c r="AV56" s="21" t="str">
        <f t="shared" ca="1" si="81"/>
        <v>0:</v>
      </c>
      <c r="AW56" s="21" t="str">
        <f t="shared" ca="1" si="82"/>
        <v>0:</v>
      </c>
      <c r="AX56" s="21" t="str">
        <f t="shared" ca="1" si="83"/>
        <v>0:</v>
      </c>
      <c r="AY56" s="21" t="str">
        <f t="shared" ca="1" si="84"/>
        <v>0:</v>
      </c>
      <c r="AZ56" s="21" t="str">
        <f t="shared" ca="1" si="85"/>
        <v>0:</v>
      </c>
      <c r="BA56" s="21">
        <f t="shared" ca="1" si="86"/>
        <v>0</v>
      </c>
      <c r="BB56" s="21">
        <f t="shared" ca="1" si="87"/>
        <v>0</v>
      </c>
      <c r="BC56" s="21">
        <f t="shared" ca="1" si="88"/>
        <v>0</v>
      </c>
      <c r="BD56" s="21">
        <f t="shared" ca="1" si="89"/>
        <v>0</v>
      </c>
      <c r="BE56" s="21">
        <f t="shared" ca="1" si="90"/>
        <v>0</v>
      </c>
      <c r="BF56" s="21">
        <f t="shared" ca="1" si="65"/>
        <v>0</v>
      </c>
      <c r="BG56" s="21" t="str">
        <f ca="1">IFERROR(VLOOKUP($BF56,Definitions!$V:$W,COLUMNS(Definitions!$V:$W),TRUE),"")</f>
        <v>Basic</v>
      </c>
      <c r="BH56" s="21" t="str">
        <f ca="1">_xlfn.LET(_xlpm._comments,GetValues($K56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6" s="21" t="str" cm="1">
        <f t="array" ca="1" aca="1" ref="BI56">_xlfn.LET(_xlpm._rapRange,Definitions!$W:$W,_xlpm._calculatedRAP,$BG56,_xlpm._inlineRAP,$BH56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6" s="21" t="str">
        <f ca="1">IFERROR(IF(OR($V56="",$BI56=""),Definitions!$AE$4,VLOOKUP($V56,Definitions!$AH:$AM,MATCH($BI56,Definitions!$AH$3:$AM$3,0),FALSE)),"")</f>
        <v>No Risk</v>
      </c>
      <c r="BK56" s="21" cm="1">
        <f t="array" ca="1" aca="1" ref="BK56">IF($BJ56="",0,SimpleLookup($BJ56,Definitions!$AE:$AF))</f>
        <v>0</v>
      </c>
      <c r="BL56" s="21" t="str" cm="1">
        <f t="array" ca="1" aca="1" ref="BL56">IFERROR(SimpleLookup($A56,Tracing!$B:$Z),"")</f>
        <v/>
      </c>
      <c r="BM56" s="21" t="str" cm="1">
        <f t="array" ca="1" aca="1" ref="BM56">_xlfn.LET(_xlpm._dm,SanitizeInput(GetValuesWithFallback(SanitizeInput($BL56),Assumptions!$A:$I,Countermeasures!$A:$I,"",",",FALSE)),IF(_xlpm._dm="","",","&amp;_xlpm._dm))</f>
        <v/>
      </c>
      <c r="BN56" s="21" t="str" cm="1">
        <f t="array" ca="1" aca="1" ref="BN56">ApplyDamageMitigation($M56,$BM56,"")</f>
        <v/>
      </c>
      <c r="BO56" s="21" cm="1">
        <f t="array" ca="1" aca="1" ref="BO56">CalculateMaxFromList($BN56,0,'Damage Scenarios'!$A:$U)</f>
        <v>0</v>
      </c>
      <c r="BP56" s="21" t="str">
        <f ca="1">IF($BO56=0,"",INDEX(Definitions!$Q:$Q,MATCH($BO56,Definitions!$R:$R,0)))</f>
        <v/>
      </c>
      <c r="BQ56" s="21" t="str" cm="1">
        <f t="array" ca="1" aca="1" ref="BQ56">CalculateMaxAndElementsWithFallback(SanitizeInput($BL56),0,"",Countermeasures!$A:Y,Assumptions!$A:Z)</f>
        <v>0:</v>
      </c>
      <c r="BR56" s="21" t="str" cm="1">
        <f t="array" ca="1" aca="1" ref="BR56">CalculateMaxAndElementsWithFallback(SanitizeInput($BL56),0,"",Countermeasures!$A:Z,Assumptions!$A:AA)</f>
        <v>0:</v>
      </c>
      <c r="BS56" s="21" t="str" cm="1">
        <f t="array" ca="1" aca="1" ref="BS56">CalculateMaxAndElementsWithFallback(SanitizeInput($BL56),0,"",Countermeasures!$A:AA,Assumptions!$A:AB)</f>
        <v>0:</v>
      </c>
      <c r="BT56" s="21" t="str" cm="1">
        <f t="array" ca="1" aca="1" ref="BT56">CalculateMaxAndElementsWithFallback(SanitizeInput($BL56),0,"",Countermeasures!$A:AB,Assumptions!$A:AC)</f>
        <v>0:</v>
      </c>
      <c r="BU56" s="21" t="str" cm="1">
        <f t="array" ca="1" aca="1" ref="BU56">CalculateMaxAndElementsWithFallback(SanitizeInput($BL56),0,"",Countermeasures!$A:AC,Assumptions!$A:AD)</f>
        <v>0:</v>
      </c>
      <c r="BV56" s="21">
        <f t="shared" ca="1" si="25"/>
        <v>0</v>
      </c>
      <c r="BW56" s="21">
        <f t="shared" ca="1" si="26"/>
        <v>0</v>
      </c>
      <c r="BX56" s="21">
        <f t="shared" ca="1" si="27"/>
        <v>0</v>
      </c>
      <c r="BY56" s="21">
        <f t="shared" ca="1" si="28"/>
        <v>0</v>
      </c>
      <c r="BZ56" s="21">
        <f t="shared" ca="1" si="29"/>
        <v>0</v>
      </c>
      <c r="CA56" s="21" t="str">
        <f t="shared" ca="1" si="30"/>
        <v>0:</v>
      </c>
      <c r="CB56" s="21" t="str">
        <f t="shared" ca="1" si="31"/>
        <v>0:</v>
      </c>
      <c r="CC56" s="21" t="str">
        <f t="shared" ca="1" si="32"/>
        <v>0:</v>
      </c>
      <c r="CD56" s="21" t="str">
        <f t="shared" ca="1" si="33"/>
        <v>0:</v>
      </c>
      <c r="CE56" s="21" t="str">
        <f t="shared" ca="1" si="34"/>
        <v>0:</v>
      </c>
      <c r="CF56" s="21">
        <f t="shared" ca="1" si="35"/>
        <v>0</v>
      </c>
      <c r="CG56" s="21">
        <f t="shared" ca="1" si="36"/>
        <v>0</v>
      </c>
      <c r="CH56" s="21">
        <f t="shared" ca="1" si="37"/>
        <v>0</v>
      </c>
      <c r="CI56" s="21">
        <f t="shared" ca="1" si="38"/>
        <v>0</v>
      </c>
      <c r="CJ56" s="21">
        <f t="shared" ca="1" si="39"/>
        <v>0</v>
      </c>
      <c r="CK56" s="21">
        <f t="shared" ca="1" si="66"/>
        <v>0</v>
      </c>
      <c r="CL56" s="21" t="str">
        <f ca="1">IFERROR(VLOOKUP($CK56,Definitions!$V:$W,COLUMNS(Definitions!$V:$W),TRUE),"")</f>
        <v>Basic</v>
      </c>
      <c r="CM56" s="21" t="str">
        <f ca="1">_xlfn.LET(_xlpm._comments,SimpleLookup($A56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6" s="21" t="str" cm="1">
        <f t="array" ca="1" aca="1" ref="CN56">_xlfn.LET(_xlpm._rapRange,Definitions!$W:$W,_xlpm._calculatedRAP,$CL56,_xlpm._inlineRAP,$CM56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6" s="21" t="str">
        <f ca="1">IFERROR(IF(OR($BP56="",$CN56=""),Definitions!$AE$4,VLOOKUP($BP56,Definitions!$AH:$AM,MATCH($CN56,Definitions!$AH$3:$AM$3,0),FALSE)),"")</f>
        <v>No Risk</v>
      </c>
      <c r="CP56" s="21" cm="1">
        <f t="array" ca="1" aca="1" ref="CP56">IF($CO56="",0,SimpleLookup($CO56,Definitions!$AE:$AF))</f>
        <v>0</v>
      </c>
      <c r="CQ56" s="21" t="b">
        <f ca="1">OR(AND($S56,$I56=Helper!$B$7),$I56&gt;Helper!$B$7)</f>
        <v>1</v>
      </c>
      <c r="CR56" s="21" t="str">
        <f t="shared" ca="1" si="67"/>
        <v/>
      </c>
      <c r="CS56" s="21" cm="1">
        <f t="array" ca="1" aca="1" ref="CS56">CreateID($CS$2,$CV:$CV,$CR56&lt;&gt;"")</f>
        <v>0</v>
      </c>
      <c r="CT56" s="21" t="str">
        <f ca="1">IF(IFERROR(MATCH(","&amp;A56&amp;",",'Risk Treatment'!$AT:$AT,0)&gt;0,FALSE),"",$A56)</f>
        <v/>
      </c>
      <c r="CU56" s="21" cm="1">
        <f t="array" ca="1" aca="1" ref="CU56">CreateID($CU$2,$CU:$CU,$CT56&lt;&gt;"")</f>
        <v>38</v>
      </c>
    </row>
    <row r="57" spans="1:99" ht="15">
      <c r="A57" s="33" t="str" cm="1">
        <f t="array" ca="1" aca="1" ref="A57">IF($B57="","","R"&amp;RemoveDelimiter(SUBSTITUTE(SUBSTITUTE($K57,"AS",""),",","-"),"-"))</f>
        <v/>
      </c>
      <c r="B57" s="33" t="str" cm="1">
        <f t="array" ca="1" aca="1" ref="B57">IF($L57="","",_xlfn.LET(_xlpm._finalAttackStep,$L57,_xlpm._prepAttacks,RemoveFirstElement(_xlpm._finalAttackStep&amp;","&amp;$K57),_xlpm._prepAttackNames,IFERROR(LookupNames(_xlpm._prepAttacks,'Attack Steps'!$A:$B),""),_xlpm._delimiter,REPT(CHAR(150),55),$L57&amp;" "&amp;SimpleLookup($L57,'Attack Steps'!$A:$B)&amp;IF(_xlpm._prepAttackNames="","",CHAR(10)&amp;_xlpm._delimiter&amp;CHAR(10)&amp;_xlpm._prepAttackNames)))</f>
        <v/>
      </c>
      <c r="C57" s="34" t="str" cm="1">
        <f t="array" ca="1" aca="1" ref="C57">IFERROR(LookupNames($M57,'Damage Scenarios'!$A:$V),"")</f>
        <v/>
      </c>
      <c r="D57" s="33" t="str">
        <f ca="1">IFERROR(IF($T57=0,"",INDEX(Definitions!$Q:$Q,MATCH($T57,Definitions!$R:$R,0))),"")</f>
        <v/>
      </c>
      <c r="E57" s="34" t="str" cm="1">
        <f t="array" ca="1" aca="1" ref="E57">IF($A57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57,$A:W,Definitions!$Y:$Y,Definitions!$AB:$AB,1)&amp;CHAR(10)&amp;_xlpm._factorFunction($A57,$A:X,Definitions!$Y:$Y,Definitions!$AB:$AB,2)&amp;CHAR(10)&amp;_xlpm._factorFunction($A57,$A:Y,Definitions!$Y:$Y,Definitions!$AB:$AB,3)&amp;CHAR(10)&amp;_xlpm._factorFunction($A57,$A:Z,Definitions!$Y:$Y,Definitions!$AB:$AB,4)&amp;CHAR(10)&amp;_xlpm._factorFunction($A57,$A:AA,Definitions!$Y:$Y,Definitions!$AB:$AB,5)))</f>
        <v/>
      </c>
      <c r="F57" s="33" t="str">
        <f ca="1">IF($A57="","",IFERROR(VLOOKUP($AG57,Definitions!$V:$W,COLUMNS(Definitions!$V:$W),TRUE),""))</f>
        <v/>
      </c>
      <c r="G57" s="33" t="str">
        <f ca="1">IFERROR(IF(OR($D57="",$F57=""),"",VLOOKUP($D57,Definitions!$AH:$AM,MATCH($F57,Definitions!$AH$3:$AM$3,0),FALSE)),"")</f>
        <v/>
      </c>
      <c r="H57" s="23" cm="1">
        <f t="array" ca="1" aca="1" ref="H57">IF(ROW()=ROW($H$2)+1,0,INDEX($H:$H,ROW()-1))+IF($A57="",0,1)</f>
        <v>38</v>
      </c>
      <c r="I57" s="21" cm="1">
        <f t="array" ca="1" aca="1" ref="I57">IF(ROW()=ROW($I$2)+1,1,INDEX($I:$I,ROW()-1)+IF(INDEX($S:$S,ROW()-1),1,0))</f>
        <v>16</v>
      </c>
      <c r="J57" s="21">
        <f t="shared" ca="1" si="63"/>
        <v>17</v>
      </c>
      <c r="K57" s="21" t="str">
        <f t="shared" ca="1" si="68"/>
        <v/>
      </c>
      <c r="L57" s="21" t="str" cm="1">
        <f t="array" ca="1" aca="1" ref="L57">IF($P57="","",INDEX('Attack Steps'!$A:$A,$P57))</f>
        <v/>
      </c>
      <c r="M57" s="21" t="str" cm="1">
        <f t="array" ca="1" aca="1" ref="M57">IF($P57="","",INDEX('Attack Steps'!$T:$T,$P57))</f>
        <v/>
      </c>
      <c r="N57" s="21" t="str" cm="1">
        <f t="array" ca="1" aca="1" ref="N57">_xlfn.LET(_xlpm._dm,SanitizeInput(GetValuesWithFallback(SanitizeInput($AK57),Assumptions!$A:$I,Countermeasures!$A:$I,"",",",FALSE)),IF(_xlpm._dm="","",","&amp;_xlpm._dm))</f>
        <v/>
      </c>
      <c r="O57" s="21" t="str" cm="1">
        <f t="array" ca="1" aca="1" ref="O57">ApplyDamageMitigation($M57,$N57,"")</f>
        <v/>
      </c>
      <c r="P57" s="21" t="str">
        <f ca="1">IFERROR(MATCH($I57,'Attack Steps'!$V:$V,0),"")</f>
        <v/>
      </c>
      <c r="Q57" s="21" t="str" cm="1">
        <f t="array" ca="1" aca="1" ref="Q57">IF($P57="","","§"&amp;INDEX('Attack Steps'!$S:$S,$P57))</f>
        <v/>
      </c>
      <c r="R57" s="21" t="str" cm="1">
        <f t="array" ca="1" aca="1" ref="R57">IF($P57="","",INDEX('Attack Steps'!$W:$W,$P57))</f>
        <v/>
      </c>
      <c r="S57" s="21" t="b">
        <f t="shared" ca="1" si="69"/>
        <v>0</v>
      </c>
      <c r="T57" s="21" cm="1">
        <f t="array" ca="1" aca="1" ref="T57">_xlfn.LAMBDA(_xlpm._in,_xlpm._val,_xlpm._range,IF(_xlpm._in="",_xlpm._val,_xlfn.LET(_xlpm._id,LEFT(_xlpm._in,FIND(",",_xlpm._in)-1),CalculateMaxFromList(RemoveFirstElement(_xlpm._in),MAX(_xlpm._val,VLOOKUP(_xlpm._id,_xlpm._range,COLUMNS(_xlpm._range),FALSE)),_xlpm._range))))($M57,0,'Damage Scenarios'!$A:$U)</f>
        <v>0</v>
      </c>
      <c r="U57" s="21" cm="1">
        <f t="array" ca="1" aca="1" ref="U57">CalculateMaxFromList($O57,0,'Damage Scenarios'!$A:$U)</f>
        <v>0</v>
      </c>
      <c r="V57" s="21" t="str">
        <f ca="1">IF($U57=0,"",INDEX(Definitions!$Q:$Q,MATCH($U57,Definitions!$R:$R,0)))</f>
        <v/>
      </c>
      <c r="W57" s="21" t="str" cm="1">
        <f t="array" ca="1" aca="1" ref="W57">CalculateMaxAndElements($K57,0,"",'Attack Steps'!$A:X)</f>
        <v>0:</v>
      </c>
      <c r="X57" s="21" t="str" cm="1">
        <f t="array" ca="1" aca="1" ref="X57">CalculateMaxAndElements($K57,0,"",'Attack Steps'!$A:Y)</f>
        <v>0:</v>
      </c>
      <c r="Y57" s="21" t="str" cm="1">
        <f t="array" ca="1" aca="1" ref="Y57">CalculateMaxAndElements($K57,0,"",'Attack Steps'!$A:Z)</f>
        <v>0:</v>
      </c>
      <c r="Z57" s="21" t="str" cm="1">
        <f t="array" ca="1" aca="1" ref="Z57">CalculateMaxAndElements($K57,0,"",'Attack Steps'!$A:AA)</f>
        <v>0:</v>
      </c>
      <c r="AA57" s="21" t="str" cm="1">
        <f t="array" ca="1" aca="1" ref="AA57">CalculateMaxAndElements($K57,0,"",'Attack Steps'!$A:AB)</f>
        <v>0:</v>
      </c>
      <c r="AB57" s="21">
        <f t="shared" ca="1" si="70"/>
        <v>0</v>
      </c>
      <c r="AC57" s="21">
        <f t="shared" ca="1" si="71"/>
        <v>0</v>
      </c>
      <c r="AD57" s="21">
        <f t="shared" ca="1" si="72"/>
        <v>0</v>
      </c>
      <c r="AE57" s="21">
        <f t="shared" ca="1" si="73"/>
        <v>0</v>
      </c>
      <c r="AF57" s="21">
        <f t="shared" ca="1" si="74"/>
        <v>0</v>
      </c>
      <c r="AG57" s="21">
        <f t="shared" ca="1" si="64"/>
        <v>0</v>
      </c>
      <c r="AH57" s="21" t="str" cm="1">
        <f t="array" ca="1" aca="1" ref="AH57">IF(ROW()=ROW($AH$2)+1,"",INDEX($AH:$AH,ROW()-1))&amp;IF($A57="","",$A57&amp;",")</f>
        <v>R1-3,R2-3,R1-4,R2-4,R1-6,R2-6,R1-7,R2-7,R1-3-10,R2-3-10,R1-3-11,R2-3-11,R1-14,R1-16,R2-16,R21-23,R22-23,R1-29,R2-29,R31,R1-3-32,R2-3-32,R1-5-32,R2-5-32,R1-7-32,R2-7-32,R1-16-32,R2-16-32,R21-23-32,R22-23-32,R21-24-32,R22-24-32,R1-29-32,R2-29-32,R37,R38,R1-40,R2-40,</v>
      </c>
      <c r="AI57" s="21" t="str">
        <f t="shared" ca="1" si="75"/>
        <v/>
      </c>
      <c r="AJ57" s="21" cm="1">
        <f t="array" ca="1" aca="1" ref="AJ57">IF($G57="",0,SimpleLookup($G57,Definitions!$AE:$AF))</f>
        <v>0</v>
      </c>
      <c r="AK57" s="21" t="str" cm="1">
        <f t="array" ca="1" aca="1" ref="AK57">InverseLookup($A57,Mitigation!$U$2,Mitigation!$J$2,1,Helper!$B$5,",")</f>
        <v/>
      </c>
      <c r="AL57" s="21" t="str" cm="1">
        <f t="array" ca="1" aca="1" ref="AL57">CalculateMaxAndElementsWithFallback(SanitizeInput($AK57),0,"",Countermeasures!$A:Y,Assumptions!$A:Z)</f>
        <v>0:</v>
      </c>
      <c r="AM57" s="21" t="str" cm="1">
        <f t="array" ca="1" aca="1" ref="AM57">CalculateMaxAndElementsWithFallback(SanitizeInput($AK57),0,"",Countermeasures!$A:Z,Assumptions!$A:AA)</f>
        <v>0:</v>
      </c>
      <c r="AN57" s="21" t="str" cm="1">
        <f t="array" ca="1" aca="1" ref="AN57">CalculateMaxAndElementsWithFallback(SanitizeInput($AK57),0,"",Countermeasures!$A:AA,Assumptions!$A:AB)</f>
        <v>0:</v>
      </c>
      <c r="AO57" s="21" t="str" cm="1">
        <f t="array" ca="1" aca="1" ref="AO57">CalculateMaxAndElementsWithFallback(SanitizeInput($AK57),0,"",Countermeasures!$A:AB,Assumptions!$A:AC)</f>
        <v>0:</v>
      </c>
      <c r="AP57" s="21" t="str" cm="1">
        <f t="array" ca="1" aca="1" ref="AP57">CalculateMaxAndElementsWithFallback(SanitizeInput($AK57),0,"",Countermeasures!$A:AC,Assumptions!$A:AD)</f>
        <v>0:</v>
      </c>
      <c r="AQ57" s="21">
        <f t="shared" ca="1" si="76"/>
        <v>0</v>
      </c>
      <c r="AR57" s="21">
        <f t="shared" ca="1" si="77"/>
        <v>0</v>
      </c>
      <c r="AS57" s="21">
        <f t="shared" ca="1" si="78"/>
        <v>0</v>
      </c>
      <c r="AT57" s="21">
        <f t="shared" ca="1" si="79"/>
        <v>0</v>
      </c>
      <c r="AU57" s="21">
        <f t="shared" ca="1" si="80"/>
        <v>0</v>
      </c>
      <c r="AV57" s="21" t="str">
        <f t="shared" ca="1" si="81"/>
        <v>0:</v>
      </c>
      <c r="AW57" s="21" t="str">
        <f t="shared" ca="1" si="82"/>
        <v>0:</v>
      </c>
      <c r="AX57" s="21" t="str">
        <f t="shared" ca="1" si="83"/>
        <v>0:</v>
      </c>
      <c r="AY57" s="21" t="str">
        <f t="shared" ca="1" si="84"/>
        <v>0:</v>
      </c>
      <c r="AZ57" s="21" t="str">
        <f t="shared" ca="1" si="85"/>
        <v>0:</v>
      </c>
      <c r="BA57" s="21">
        <f t="shared" ca="1" si="86"/>
        <v>0</v>
      </c>
      <c r="BB57" s="21">
        <f t="shared" ca="1" si="87"/>
        <v>0</v>
      </c>
      <c r="BC57" s="21">
        <f t="shared" ca="1" si="88"/>
        <v>0</v>
      </c>
      <c r="BD57" s="21">
        <f t="shared" ca="1" si="89"/>
        <v>0</v>
      </c>
      <c r="BE57" s="21">
        <f t="shared" ca="1" si="90"/>
        <v>0</v>
      </c>
      <c r="BF57" s="21">
        <f t="shared" ca="1" si="65"/>
        <v>0</v>
      </c>
      <c r="BG57" s="21" t="str">
        <f ca="1">IFERROR(VLOOKUP($BF57,Definitions!$V:$W,COLUMNS(Definitions!$V:$W),TRUE),"")</f>
        <v>Basic</v>
      </c>
      <c r="BH57" s="21" t="str">
        <f ca="1">_xlfn.LET(_xlpm._comments,GetValues($K57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7" s="21" t="str" cm="1">
        <f t="array" ca="1" aca="1" ref="BI57">_xlfn.LET(_xlpm._rapRange,Definitions!$W:$W,_xlpm._calculatedRAP,$BG57,_xlpm._inlineRAP,$BH57,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7" s="21" t="str">
        <f ca="1">IFERROR(IF(OR($V57="",$BI57=""),Definitions!$AE$4,VLOOKUP($V57,Definitions!$AH:$AM,MATCH($BI57,Definitions!$AH$3:$AM$3,0),FALSE)),"")</f>
        <v>No Risk</v>
      </c>
      <c r="BK57" s="21" cm="1">
        <f t="array" ca="1" aca="1" ref="BK57">IF($BJ57="",0,SimpleLookup($BJ57,Definitions!$AE:$AF))</f>
        <v>0</v>
      </c>
      <c r="BL57" s="21" t="str" cm="1">
        <f t="array" ca="1" aca="1" ref="BL57">IFERROR(SimpleLookup($A57,Tracing!$B:$Z),"")</f>
        <v/>
      </c>
      <c r="BM57" s="21" t="str" cm="1">
        <f t="array" ca="1" aca="1" ref="BM57">_xlfn.LET(_xlpm._dm,SanitizeInput(GetValuesWithFallback(SanitizeInput($BL57),Assumptions!$A:$I,Countermeasures!$A:$I,"",",",FALSE)),IF(_xlpm._dm="","",","&amp;_xlpm._dm))</f>
        <v/>
      </c>
      <c r="BN57" s="21" t="str" cm="1">
        <f t="array" ca="1" aca="1" ref="BN57">ApplyDamageMitigation($M57,$BM57,"")</f>
        <v/>
      </c>
      <c r="BO57" s="21" cm="1">
        <f t="array" ca="1" aca="1" ref="BO57">CalculateMaxFromList($BN57,0,'Damage Scenarios'!$A:$U)</f>
        <v>0</v>
      </c>
      <c r="BP57" s="21" t="str">
        <f ca="1">IF($BO57=0,"",INDEX(Definitions!$Q:$Q,MATCH($BO57,Definitions!$R:$R,0)))</f>
        <v/>
      </c>
      <c r="BQ57" s="21" t="str" cm="1">
        <f t="array" ca="1" aca="1" ref="BQ57">CalculateMaxAndElementsWithFallback(SanitizeInput($BL57),0,"",Countermeasures!$A:Y,Assumptions!$A:Z)</f>
        <v>0:</v>
      </c>
      <c r="BR57" s="21" t="str" cm="1">
        <f t="array" ca="1" aca="1" ref="BR57">CalculateMaxAndElementsWithFallback(SanitizeInput($BL57),0,"",Countermeasures!$A:Z,Assumptions!$A:AA)</f>
        <v>0:</v>
      </c>
      <c r="BS57" s="21" t="str" cm="1">
        <f t="array" ca="1" aca="1" ref="BS57">CalculateMaxAndElementsWithFallback(SanitizeInput($BL57),0,"",Countermeasures!$A:AA,Assumptions!$A:AB)</f>
        <v>0:</v>
      </c>
      <c r="BT57" s="21" t="str" cm="1">
        <f t="array" ca="1" aca="1" ref="BT57">CalculateMaxAndElementsWithFallback(SanitizeInput($BL57),0,"",Countermeasures!$A:AB,Assumptions!$A:AC)</f>
        <v>0:</v>
      </c>
      <c r="BU57" s="21" t="str" cm="1">
        <f t="array" ca="1" aca="1" ref="BU57">CalculateMaxAndElementsWithFallback(SanitizeInput($BL57),0,"",Countermeasures!$A:AC,Assumptions!$A:AD)</f>
        <v>0:</v>
      </c>
      <c r="BV57" s="21">
        <f t="shared" ca="1" si="25"/>
        <v>0</v>
      </c>
      <c r="BW57" s="21">
        <f t="shared" ca="1" si="26"/>
        <v>0</v>
      </c>
      <c r="BX57" s="21">
        <f t="shared" ca="1" si="27"/>
        <v>0</v>
      </c>
      <c r="BY57" s="21">
        <f t="shared" ca="1" si="28"/>
        <v>0</v>
      </c>
      <c r="BZ57" s="21">
        <f t="shared" ca="1" si="29"/>
        <v>0</v>
      </c>
      <c r="CA57" s="21" t="str">
        <f t="shared" ca="1" si="30"/>
        <v>0:</v>
      </c>
      <c r="CB57" s="21" t="str">
        <f t="shared" ca="1" si="31"/>
        <v>0:</v>
      </c>
      <c r="CC57" s="21" t="str">
        <f t="shared" ca="1" si="32"/>
        <v>0:</v>
      </c>
      <c r="CD57" s="21" t="str">
        <f t="shared" ca="1" si="33"/>
        <v>0:</v>
      </c>
      <c r="CE57" s="21" t="str">
        <f t="shared" ca="1" si="34"/>
        <v>0:</v>
      </c>
      <c r="CF57" s="21">
        <f t="shared" ca="1" si="35"/>
        <v>0</v>
      </c>
      <c r="CG57" s="21">
        <f t="shared" ca="1" si="36"/>
        <v>0</v>
      </c>
      <c r="CH57" s="21">
        <f t="shared" ca="1" si="37"/>
        <v>0</v>
      </c>
      <c r="CI57" s="21">
        <f t="shared" ca="1" si="38"/>
        <v>0</v>
      </c>
      <c r="CJ57" s="21">
        <f t="shared" ca="1" si="39"/>
        <v>0</v>
      </c>
      <c r="CK57" s="21">
        <f t="shared" ca="1" si="66"/>
        <v>0</v>
      </c>
      <c r="CL57" s="21" t="str">
        <f ca="1">IFERROR(VLOOKUP($CK57,Definitions!$V:$W,COLUMNS(Definitions!$V:$W),TRUE),"")</f>
        <v>Basic</v>
      </c>
      <c r="CM57" s="21" t="str">
        <f ca="1">_xlfn.LET(_xlpm._comments,SimpleLookup($A57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7" s="21" t="str" cm="1">
        <f t="array" ca="1" aca="1" ref="CN57">_xlfn.LET(_xlpm._rapRange,Definitions!$W:$W,_xlpm._calculatedRAP,$CL57,_xlpm._inlineRAP,$CM57,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7" s="21" t="str">
        <f ca="1">IFERROR(IF(OR($BP57="",$CN57=""),Definitions!$AE$4,VLOOKUP($BP57,Definitions!$AH:$AM,MATCH($CN57,Definitions!$AH$3:$AM$3,0),FALSE)),"")</f>
        <v>No Risk</v>
      </c>
      <c r="CP57" s="21" cm="1">
        <f t="array" ca="1" aca="1" ref="CP57">IF($CO57="",0,SimpleLookup($CO57,Definitions!$AE:$AF))</f>
        <v>0</v>
      </c>
      <c r="CQ57" s="21" t="b">
        <f ca="1">OR(AND($S57,$I57=Helper!$B$7),$I57&gt;Helper!$B$7)</f>
        <v>1</v>
      </c>
      <c r="CR57" s="21" t="str">
        <f t="shared" ca="1" si="67"/>
        <v/>
      </c>
      <c r="CS57" s="21" cm="1">
        <f t="array" ca="1" aca="1" ref="CS57">CreateID($CS$2,$CV:$CV,$CR57&lt;&gt;"")</f>
        <v>0</v>
      </c>
      <c r="CT57" s="21" t="str">
        <f ca="1">IF(IFERROR(MATCH(","&amp;A57&amp;",",'Risk Treatment'!$AT:$AT,0)&gt;0,FALSE),"",$A57)</f>
        <v/>
      </c>
      <c r="CU57" s="21" cm="1">
        <f t="array" ca="1" aca="1" ref="CU57">CreateID($CU$2,$CU:$CU,$CT57&lt;&gt;"")</f>
        <v>38</v>
      </c>
    </row>
    <row r="58" spans="1:99" ht="15">
      <c r="A58" s="33" t="str" cm="1">
        <f t="array" ca="1" aca="1" ref="A58">IF($B58="","","R"&amp;RemoveDelimiter(SUBSTITUTE(SUBSTITUTE($K58,"AS",""),",","-"),"-"))</f>
        <v/>
      </c>
      <c r="B58" s="33" t="str" cm="1">
        <f t="array" ca="1" aca="1" ref="B58">IF($L58="","",_xlfn.LET(_xlpm._finalAttackStep,$L58,_xlpm._prepAttacks,RemoveFirstElement(_xlpm._finalAttackStep&amp;","&amp;$K58),_xlpm._prepAttackNames,IFERROR(LookupNames(_xlpm._prepAttacks,'Attack Steps'!$A:$B),""),_xlpm._delimiter,REPT(CHAR(150),55),$L58&amp;" "&amp;SimpleLookup($L58,'Attack Steps'!$A:$B)&amp;IF(_xlpm._prepAttackNames="","",CHAR(10)&amp;_xlpm._delimiter&amp;CHAR(10)&amp;_xlpm._prepAttackNames)))</f>
        <v/>
      </c>
      <c r="C58" s="34" t="str" cm="1">
        <f t="array" ca="1" aca="1" ref="C58">IFERROR(LookupNames($M58,'Damage Scenarios'!$A:$V),"")</f>
        <v/>
      </c>
      <c r="D58" s="33" t="str">
        <f ca="1">IFERROR(IF($T58=0,"",INDEX(Definitions!$Q:$Q,MATCH($T58,Definitions!$R:$R,0))),"")</f>
        <v/>
      </c>
      <c r="E58" s="34" t="str" cm="1">
        <f t="array" ca="1" aca="1" ref="E58">IF($A58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58,$A:W,Definitions!$Y:$Y,Definitions!$AB:$AB,1)&amp;CHAR(10)&amp;_xlpm._factorFunction($A58,$A:X,Definitions!$Y:$Y,Definitions!$AB:$AB,2)&amp;CHAR(10)&amp;_xlpm._factorFunction($A58,$A:Y,Definitions!$Y:$Y,Definitions!$AB:$AB,3)&amp;CHAR(10)&amp;_xlpm._factorFunction($A58,$A:Z,Definitions!$Y:$Y,Definitions!$AB:$AB,4)&amp;CHAR(10)&amp;_xlpm._factorFunction($A58,$A:AA,Definitions!$Y:$Y,Definitions!$AB:$AB,5)))</f>
        <v/>
      </c>
      <c r="F58" s="33" t="str">
        <f ca="1">IF($A58="","",IFERROR(VLOOKUP($AG58,Definitions!$V:$W,COLUMNS(Definitions!$V:$W),TRUE),""))</f>
        <v/>
      </c>
      <c r="G58" s="33" t="str">
        <f ca="1">IFERROR(IF(OR($D58="",$F58=""),"",VLOOKUP($D58,Definitions!$AH:$AM,MATCH($F58,Definitions!$AH$3:$AM$3,0),FALSE)),"")</f>
        <v/>
      </c>
      <c r="H58" s="23" cm="1">
        <f t="array" ca="1" aca="1" ref="H58">IF(ROW()=ROW($H$2)+1,0,INDEX($H:$H,ROW()-1))+IF($A58="",0,1)</f>
        <v>38</v>
      </c>
      <c r="I58" s="21" cm="1">
        <f t="array" ca="1" aca="1" ref="I58">IF(ROW()=ROW($I$2)+1,1,INDEX($I:$I,ROW()-1)+IF(INDEX($S:$S,ROW()-1),1,0))</f>
        <v>16</v>
      </c>
      <c r="J58" s="21">
        <f t="shared" ca="1" si="63"/>
        <v>18</v>
      </c>
      <c r="K58" s="21" t="str">
        <f t="shared" ca="1" si="68"/>
        <v/>
      </c>
      <c r="L58" s="21" t="str" cm="1">
        <f t="array" ca="1" aca="1" ref="L58">IF($P58="","",INDEX('Attack Steps'!$A:$A,$P58))</f>
        <v/>
      </c>
      <c r="M58" s="21" t="str" cm="1">
        <f t="array" ca="1" aca="1" ref="M58">IF($P58="","",INDEX('Attack Steps'!$T:$T,$P58))</f>
        <v/>
      </c>
      <c r="N58" s="21" t="str" cm="1">
        <f t="array" ca="1" aca="1" ref="N58">_xlfn.LET(_xlpm._dm,SanitizeInput(GetValuesWithFallback(SanitizeInput($AK58),Assumptions!$A:$I,Countermeasures!$A:$I,"",",",FALSE)),IF(_xlpm._dm="","",","&amp;_xlpm._dm))</f>
        <v/>
      </c>
      <c r="O58" s="21" t="str" cm="1">
        <f t="array" ca="1" aca="1" ref="O58">ApplyDamageMitigation($M58,$N58,"")</f>
        <v/>
      </c>
      <c r="P58" s="21" t="str">
        <f ca="1">IFERROR(MATCH($I58,'Attack Steps'!$V:$V,0),"")</f>
        <v/>
      </c>
      <c r="Q58" s="21" t="str" cm="1">
        <f t="array" ca="1" aca="1" ref="Q58">IF($P58="","","§"&amp;INDEX('Attack Steps'!$S:$S,$P58))</f>
        <v/>
      </c>
      <c r="R58" s="21" t="str" cm="1">
        <f t="array" ca="1" aca="1" ref="R58">IF($P58="","",INDEX('Attack Steps'!$W:$W,$P58))</f>
        <v/>
      </c>
      <c r="S58" s="21" t="b">
        <f t="shared" ca="1" si="69"/>
        <v>0</v>
      </c>
      <c r="T58" s="21" cm="1">
        <f t="array" ca="1" aca="1" ref="T58">_xlfn.LAMBDA(_xlpm._in,_xlpm._val,_xlpm._range,IF(_xlpm._in="",_xlpm._val,_xlfn.LET(_xlpm._id,LEFT(_xlpm._in,FIND(",",_xlpm._in)-1),CalculateMaxFromList(RemoveFirstElement(_xlpm._in),MAX(_xlpm._val,VLOOKUP(_xlpm._id,_xlpm._range,COLUMNS(_xlpm._range),FALSE)),_xlpm._range))))($M58,0,'Damage Scenarios'!$A:$U)</f>
        <v>0</v>
      </c>
      <c r="U58" s="21" cm="1">
        <f t="array" ca="1" aca="1" ref="U58">CalculateMaxFromList($O58,0,'Damage Scenarios'!$A:$U)</f>
        <v>0</v>
      </c>
      <c r="V58" s="21" t="str">
        <f ca="1">IF($U58=0,"",INDEX(Definitions!$Q:$Q,MATCH($U58,Definitions!$R:$R,0)))</f>
        <v/>
      </c>
      <c r="W58" s="21" t="str" cm="1">
        <f t="array" ca="1" aca="1" ref="W58">CalculateMaxAndElements($K58,0,"",'Attack Steps'!$A:X)</f>
        <v>0:</v>
      </c>
      <c r="X58" s="21" t="str" cm="1">
        <f t="array" ca="1" aca="1" ref="X58">CalculateMaxAndElements($K58,0,"",'Attack Steps'!$A:Y)</f>
        <v>0:</v>
      </c>
      <c r="Y58" s="21" t="str" cm="1">
        <f t="array" ca="1" aca="1" ref="Y58">CalculateMaxAndElements($K58,0,"",'Attack Steps'!$A:Z)</f>
        <v>0:</v>
      </c>
      <c r="Z58" s="21" t="str" cm="1">
        <f t="array" ca="1" aca="1" ref="Z58">CalculateMaxAndElements($K58,0,"",'Attack Steps'!$A:AA)</f>
        <v>0:</v>
      </c>
      <c r="AA58" s="21" t="str" cm="1">
        <f t="array" ca="1" aca="1" ref="AA58">CalculateMaxAndElements($K58,0,"",'Attack Steps'!$A:AB)</f>
        <v>0:</v>
      </c>
      <c r="AB58" s="21">
        <f t="shared" ca="1" si="70"/>
        <v>0</v>
      </c>
      <c r="AC58" s="21">
        <f t="shared" ca="1" si="71"/>
        <v>0</v>
      </c>
      <c r="AD58" s="21">
        <f t="shared" ca="1" si="72"/>
        <v>0</v>
      </c>
      <c r="AE58" s="21">
        <f t="shared" ca="1" si="73"/>
        <v>0</v>
      </c>
      <c r="AF58" s="21">
        <f t="shared" ca="1" si="74"/>
        <v>0</v>
      </c>
      <c r="AG58" s="21">
        <f t="shared" ca="1" si="64"/>
        <v>0</v>
      </c>
      <c r="AH58" s="21" t="str" cm="1">
        <f t="array" ca="1" aca="1" ref="AH58">IF(ROW()=ROW($AH$2)+1,"",INDEX($AH:$AH,ROW()-1))&amp;IF($A58="","",$A58&amp;",")</f>
        <v>R1-3,R2-3,R1-4,R2-4,R1-6,R2-6,R1-7,R2-7,R1-3-10,R2-3-10,R1-3-11,R2-3-11,R1-14,R1-16,R2-16,R21-23,R22-23,R1-29,R2-29,R31,R1-3-32,R2-3-32,R1-5-32,R2-5-32,R1-7-32,R2-7-32,R1-16-32,R2-16-32,R21-23-32,R22-23-32,R21-24-32,R22-24-32,R1-29-32,R2-29-32,R37,R38,R1-40,R2-40,</v>
      </c>
      <c r="AI58" s="21" t="str">
        <f t="shared" ca="1" si="75"/>
        <v/>
      </c>
      <c r="AJ58" s="21" cm="1">
        <f t="array" ca="1" aca="1" ref="AJ58">IF($G58="",0,SimpleLookup($G58,Definitions!$AE:$AF))</f>
        <v>0</v>
      </c>
      <c r="AK58" s="21" t="str" cm="1">
        <f t="array" ca="1" aca="1" ref="AK58">InverseLookup($A58,Mitigation!$U$2,Mitigation!$J$2,1,Helper!$B$5,",")</f>
        <v/>
      </c>
      <c r="AL58" s="21" t="str" cm="1">
        <f t="array" ca="1" aca="1" ref="AL58">CalculateMaxAndElementsWithFallback(SanitizeInput($AK58),0,"",Countermeasures!$A:Y,Assumptions!$A:Z)</f>
        <v>0:</v>
      </c>
      <c r="AM58" s="21" t="str" cm="1">
        <f t="array" ca="1" aca="1" ref="AM58">CalculateMaxAndElementsWithFallback(SanitizeInput($AK58),0,"",Countermeasures!$A:Z,Assumptions!$A:AA)</f>
        <v>0:</v>
      </c>
      <c r="AN58" s="21" t="str" cm="1">
        <f t="array" ca="1" aca="1" ref="AN58">CalculateMaxAndElementsWithFallback(SanitizeInput($AK58),0,"",Countermeasures!$A:AA,Assumptions!$A:AB)</f>
        <v>0:</v>
      </c>
      <c r="AO58" s="21" t="str" cm="1">
        <f t="array" ca="1" aca="1" ref="AO58">CalculateMaxAndElementsWithFallback(SanitizeInput($AK58),0,"",Countermeasures!$A:AB,Assumptions!$A:AC)</f>
        <v>0:</v>
      </c>
      <c r="AP58" s="21" t="str" cm="1">
        <f t="array" ca="1" aca="1" ref="AP58">CalculateMaxAndElementsWithFallback(SanitizeInput($AK58),0,"",Countermeasures!$A:AC,Assumptions!$A:AD)</f>
        <v>0:</v>
      </c>
      <c r="AQ58" s="21">
        <f t="shared" ca="1" si="76"/>
        <v>0</v>
      </c>
      <c r="AR58" s="21">
        <f t="shared" ca="1" si="77"/>
        <v>0</v>
      </c>
      <c r="AS58" s="21">
        <f t="shared" ca="1" si="78"/>
        <v>0</v>
      </c>
      <c r="AT58" s="21">
        <f t="shared" ca="1" si="79"/>
        <v>0</v>
      </c>
      <c r="AU58" s="21">
        <f t="shared" ca="1" si="80"/>
        <v>0</v>
      </c>
      <c r="AV58" s="21" t="str">
        <f t="shared" ca="1" si="81"/>
        <v>0:</v>
      </c>
      <c r="AW58" s="21" t="str">
        <f t="shared" ca="1" si="82"/>
        <v>0:</v>
      </c>
      <c r="AX58" s="21" t="str">
        <f t="shared" ca="1" si="83"/>
        <v>0:</v>
      </c>
      <c r="AY58" s="21" t="str">
        <f t="shared" ca="1" si="84"/>
        <v>0:</v>
      </c>
      <c r="AZ58" s="21" t="str">
        <f t="shared" ca="1" si="85"/>
        <v>0:</v>
      </c>
      <c r="BA58" s="21">
        <f t="shared" ca="1" si="86"/>
        <v>0</v>
      </c>
      <c r="BB58" s="21">
        <f t="shared" ca="1" si="87"/>
        <v>0</v>
      </c>
      <c r="BC58" s="21">
        <f t="shared" ca="1" si="88"/>
        <v>0</v>
      </c>
      <c r="BD58" s="21">
        <f t="shared" ca="1" si="89"/>
        <v>0</v>
      </c>
      <c r="BE58" s="21">
        <f t="shared" ca="1" si="90"/>
        <v>0</v>
      </c>
      <c r="BF58" s="21">
        <f t="shared" ca="1" si="65"/>
        <v>0</v>
      </c>
      <c r="BG58" s="21" t="str">
        <f ca="1">IFERROR(VLOOKUP($BF58,Definitions!$V:$W,COLUMNS(Definitions!$V:$W),TRUE),"")</f>
        <v>Basic</v>
      </c>
      <c r="BH58" s="21" t="str">
        <f ca="1">_xlfn.LET(_xlpm._comments,GetValues($K58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8" s="21" t="str" cm="1">
        <f t="array" ca="1" aca="1" ref="BI58">_xlfn.LET(_xlpm._rapRange,Definitions!$W:$W,_xlpm._calculatedRAP,$BG58,_xlpm._inlineRAP,$BH58,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8" s="21" t="str">
        <f ca="1">IFERROR(IF(OR($V58="",$BI58=""),Definitions!$AE$4,VLOOKUP($V58,Definitions!$AH:$AM,MATCH($BI58,Definitions!$AH$3:$AM$3,0),FALSE)),"")</f>
        <v>No Risk</v>
      </c>
      <c r="BK58" s="21" cm="1">
        <f t="array" ca="1" aca="1" ref="BK58">IF($BJ58="",0,SimpleLookup($BJ58,Definitions!$AE:$AF))</f>
        <v>0</v>
      </c>
      <c r="BL58" s="21" t="str" cm="1">
        <f t="array" ca="1" aca="1" ref="BL58">IFERROR(SimpleLookup($A58,Tracing!$B:$Z),"")</f>
        <v/>
      </c>
      <c r="BM58" s="21" t="str" cm="1">
        <f t="array" ca="1" aca="1" ref="BM58">_xlfn.LET(_xlpm._dm,SanitizeInput(GetValuesWithFallback(SanitizeInput($BL58),Assumptions!$A:$I,Countermeasures!$A:$I,"",",",FALSE)),IF(_xlpm._dm="","",","&amp;_xlpm._dm))</f>
        <v/>
      </c>
      <c r="BN58" s="21" t="str" cm="1">
        <f t="array" ca="1" aca="1" ref="BN58">ApplyDamageMitigation($M58,$BM58,"")</f>
        <v/>
      </c>
      <c r="BO58" s="21" cm="1">
        <f t="array" ca="1" aca="1" ref="BO58">CalculateMaxFromList($BN58,0,'Damage Scenarios'!$A:$U)</f>
        <v>0</v>
      </c>
      <c r="BP58" s="21" t="str">
        <f ca="1">IF($BO58=0,"",INDEX(Definitions!$Q:$Q,MATCH($BO58,Definitions!$R:$R,0)))</f>
        <v/>
      </c>
      <c r="BQ58" s="21" t="str" cm="1">
        <f t="array" ca="1" aca="1" ref="BQ58">CalculateMaxAndElementsWithFallback(SanitizeInput($BL58),0,"",Countermeasures!$A:Y,Assumptions!$A:Z)</f>
        <v>0:</v>
      </c>
      <c r="BR58" s="21" t="str" cm="1">
        <f t="array" ca="1" aca="1" ref="BR58">CalculateMaxAndElementsWithFallback(SanitizeInput($BL58),0,"",Countermeasures!$A:Z,Assumptions!$A:AA)</f>
        <v>0:</v>
      </c>
      <c r="BS58" s="21" t="str" cm="1">
        <f t="array" ca="1" aca="1" ref="BS58">CalculateMaxAndElementsWithFallback(SanitizeInput($BL58),0,"",Countermeasures!$A:AA,Assumptions!$A:AB)</f>
        <v>0:</v>
      </c>
      <c r="BT58" s="21" t="str" cm="1">
        <f t="array" ca="1" aca="1" ref="BT58">CalculateMaxAndElementsWithFallback(SanitizeInput($BL58),0,"",Countermeasures!$A:AB,Assumptions!$A:AC)</f>
        <v>0:</v>
      </c>
      <c r="BU58" s="21" t="str" cm="1">
        <f t="array" ca="1" aca="1" ref="BU58">CalculateMaxAndElementsWithFallback(SanitizeInput($BL58),0,"",Countermeasures!$A:AC,Assumptions!$A:AD)</f>
        <v>0:</v>
      </c>
      <c r="BV58" s="21">
        <f t="shared" ca="1" si="25"/>
        <v>0</v>
      </c>
      <c r="BW58" s="21">
        <f t="shared" ca="1" si="26"/>
        <v>0</v>
      </c>
      <c r="BX58" s="21">
        <f t="shared" ca="1" si="27"/>
        <v>0</v>
      </c>
      <c r="BY58" s="21">
        <f t="shared" ca="1" si="28"/>
        <v>0</v>
      </c>
      <c r="BZ58" s="21">
        <f t="shared" ca="1" si="29"/>
        <v>0</v>
      </c>
      <c r="CA58" s="21" t="str">
        <f t="shared" ca="1" si="30"/>
        <v>0:</v>
      </c>
      <c r="CB58" s="21" t="str">
        <f t="shared" ca="1" si="31"/>
        <v>0:</v>
      </c>
      <c r="CC58" s="21" t="str">
        <f t="shared" ca="1" si="32"/>
        <v>0:</v>
      </c>
      <c r="CD58" s="21" t="str">
        <f t="shared" ca="1" si="33"/>
        <v>0:</v>
      </c>
      <c r="CE58" s="21" t="str">
        <f t="shared" ca="1" si="34"/>
        <v>0:</v>
      </c>
      <c r="CF58" s="21">
        <f t="shared" ca="1" si="35"/>
        <v>0</v>
      </c>
      <c r="CG58" s="21">
        <f t="shared" ca="1" si="36"/>
        <v>0</v>
      </c>
      <c r="CH58" s="21">
        <f t="shared" ca="1" si="37"/>
        <v>0</v>
      </c>
      <c r="CI58" s="21">
        <f t="shared" ca="1" si="38"/>
        <v>0</v>
      </c>
      <c r="CJ58" s="21">
        <f t="shared" ca="1" si="39"/>
        <v>0</v>
      </c>
      <c r="CK58" s="21">
        <f t="shared" ca="1" si="66"/>
        <v>0</v>
      </c>
      <c r="CL58" s="21" t="str">
        <f ca="1">IFERROR(VLOOKUP($CK58,Definitions!$V:$W,COLUMNS(Definitions!$V:$W),TRUE),"")</f>
        <v>Basic</v>
      </c>
      <c r="CM58" s="21" t="str">
        <f ca="1">_xlfn.LET(_xlpm._comments,SimpleLookup($A58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8" s="21" t="str" cm="1">
        <f t="array" ca="1" aca="1" ref="CN58">_xlfn.LET(_xlpm._rapRange,Definitions!$W:$W,_xlpm._calculatedRAP,$CL58,_xlpm._inlineRAP,$CM58,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8" s="21" t="str">
        <f ca="1">IFERROR(IF(OR($BP58="",$CN58=""),Definitions!$AE$4,VLOOKUP($BP58,Definitions!$AH:$AM,MATCH($CN58,Definitions!$AH$3:$AM$3,0),FALSE)),"")</f>
        <v>No Risk</v>
      </c>
      <c r="CP58" s="21" cm="1">
        <f t="array" ca="1" aca="1" ref="CP58">IF($CO58="",0,SimpleLookup($CO58,Definitions!$AE:$AF))</f>
        <v>0</v>
      </c>
      <c r="CQ58" s="21" t="b">
        <f ca="1">OR(AND($S58,$I58=Helper!$B$7),$I58&gt;Helper!$B$7)</f>
        <v>1</v>
      </c>
      <c r="CR58" s="21" t="str">
        <f t="shared" ca="1" si="67"/>
        <v/>
      </c>
      <c r="CS58" s="21" cm="1">
        <f t="array" ca="1" aca="1" ref="CS58">CreateID($CS$2,$CV:$CV,$CR58&lt;&gt;"")</f>
        <v>0</v>
      </c>
      <c r="CT58" s="21" t="str">
        <f ca="1">IF(IFERROR(MATCH(","&amp;A58&amp;",",'Risk Treatment'!$AT:$AT,0)&gt;0,FALSE),"",$A58)</f>
        <v/>
      </c>
      <c r="CU58" s="21" cm="1">
        <f t="array" ca="1" aca="1" ref="CU58">CreateID($CU$2,$CU:$CU,$CT58&lt;&gt;"")</f>
        <v>38</v>
      </c>
    </row>
    <row r="59" spans="1:99" ht="15">
      <c r="A59" s="33" t="str" cm="1">
        <f t="array" ca="1" aca="1" ref="A59">IF($B59="","","R"&amp;RemoveDelimiter(SUBSTITUTE(SUBSTITUTE($K59,"AS",""),",","-"),"-"))</f>
        <v/>
      </c>
      <c r="B59" s="33" t="str" cm="1">
        <f t="array" ca="1" aca="1" ref="B59">IF($L59="","",_xlfn.LET(_xlpm._finalAttackStep,$L59,_xlpm._prepAttacks,RemoveFirstElement(_xlpm._finalAttackStep&amp;","&amp;$K59),_xlpm._prepAttackNames,IFERROR(LookupNames(_xlpm._prepAttacks,'Attack Steps'!$A:$B),""),_xlpm._delimiter,REPT(CHAR(150),55),$L59&amp;" "&amp;SimpleLookup($L59,'Attack Steps'!$A:$B)&amp;IF(_xlpm._prepAttackNames="","",CHAR(10)&amp;_xlpm._delimiter&amp;CHAR(10)&amp;_xlpm._prepAttackNames)))</f>
        <v/>
      </c>
      <c r="C59" s="34" t="str" cm="1">
        <f t="array" ca="1" aca="1" ref="C59">IFERROR(LookupNames($M59,'Damage Scenarios'!$A:$V),"")</f>
        <v/>
      </c>
      <c r="D59" s="33" t="str">
        <f ca="1">IFERROR(IF($T59=0,"",INDEX(Definitions!$Q:$Q,MATCH($T59,Definitions!$R:$R,0))),"")</f>
        <v/>
      </c>
      <c r="E59" s="34" t="str" cm="1">
        <f t="array" ca="1" aca="1" ref="E59">IF($A59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59,$A:W,Definitions!$Y:$Y,Definitions!$AB:$AB,1)&amp;CHAR(10)&amp;_xlpm._factorFunction($A59,$A:X,Definitions!$Y:$Y,Definitions!$AB:$AB,2)&amp;CHAR(10)&amp;_xlpm._factorFunction($A59,$A:Y,Definitions!$Y:$Y,Definitions!$AB:$AB,3)&amp;CHAR(10)&amp;_xlpm._factorFunction($A59,$A:Z,Definitions!$Y:$Y,Definitions!$AB:$AB,4)&amp;CHAR(10)&amp;_xlpm._factorFunction($A59,$A:AA,Definitions!$Y:$Y,Definitions!$AB:$AB,5)))</f>
        <v/>
      </c>
      <c r="F59" s="33" t="str">
        <f ca="1">IF($A59="","",IFERROR(VLOOKUP($AG59,Definitions!$V:$W,COLUMNS(Definitions!$V:$W),TRUE),""))</f>
        <v/>
      </c>
      <c r="G59" s="33" t="str">
        <f ca="1">IFERROR(IF(OR($D59="",$F59=""),"",VLOOKUP($D59,Definitions!$AH:$AM,MATCH($F59,Definitions!$AH$3:$AM$3,0),FALSE)),"")</f>
        <v/>
      </c>
      <c r="H59" s="23" cm="1">
        <f t="array" ca="1" aca="1" ref="H59">IF(ROW()=ROW($H$2)+1,0,INDEX($H:$H,ROW()-1))+IF($A59="",0,1)</f>
        <v>38</v>
      </c>
      <c r="I59" s="21" cm="1">
        <f t="array" ca="1" aca="1" ref="I59">IF(ROW()=ROW($I$2)+1,1,INDEX($I:$I,ROW()-1)+IF(INDEX($S:$S,ROW()-1),1,0))</f>
        <v>16</v>
      </c>
      <c r="J59" s="21">
        <f t="shared" ca="1" si="63"/>
        <v>19</v>
      </c>
      <c r="K59" s="21" t="str">
        <f t="shared" ca="1" si="68"/>
        <v/>
      </c>
      <c r="L59" s="21" t="str" cm="1">
        <f t="array" ca="1" aca="1" ref="L59">IF($P59="","",INDEX('Attack Steps'!$A:$A,$P59))</f>
        <v/>
      </c>
      <c r="M59" s="21" t="str" cm="1">
        <f t="array" ca="1" aca="1" ref="M59">IF($P59="","",INDEX('Attack Steps'!$T:$T,$P59))</f>
        <v/>
      </c>
      <c r="N59" s="21" t="str" cm="1">
        <f t="array" ca="1" aca="1" ref="N59">_xlfn.LET(_xlpm._dm,SanitizeInput(GetValuesWithFallback(SanitizeInput($AK59),Assumptions!$A:$I,Countermeasures!$A:$I,"",",",FALSE)),IF(_xlpm._dm="","",","&amp;_xlpm._dm))</f>
        <v/>
      </c>
      <c r="O59" s="21" t="str" cm="1">
        <f t="array" ca="1" aca="1" ref="O59">ApplyDamageMitigation($M59,$N59,"")</f>
        <v/>
      </c>
      <c r="P59" s="21" t="str">
        <f ca="1">IFERROR(MATCH($I59,'Attack Steps'!$V:$V,0),"")</f>
        <v/>
      </c>
      <c r="Q59" s="21" t="str" cm="1">
        <f t="array" ca="1" aca="1" ref="Q59">IF($P59="","","§"&amp;INDEX('Attack Steps'!$S:$S,$P59))</f>
        <v/>
      </c>
      <c r="R59" s="21" t="str" cm="1">
        <f t="array" ca="1" aca="1" ref="R59">IF($P59="","",INDEX('Attack Steps'!$W:$W,$P59))</f>
        <v/>
      </c>
      <c r="S59" s="21" t="b">
        <f t="shared" ca="1" si="69"/>
        <v>0</v>
      </c>
      <c r="T59" s="21" cm="1">
        <f t="array" ca="1" aca="1" ref="T59">_xlfn.LAMBDA(_xlpm._in,_xlpm._val,_xlpm._range,IF(_xlpm._in="",_xlpm._val,_xlfn.LET(_xlpm._id,LEFT(_xlpm._in,FIND(",",_xlpm._in)-1),CalculateMaxFromList(RemoveFirstElement(_xlpm._in),MAX(_xlpm._val,VLOOKUP(_xlpm._id,_xlpm._range,COLUMNS(_xlpm._range),FALSE)),_xlpm._range))))($M59,0,'Damage Scenarios'!$A:$U)</f>
        <v>0</v>
      </c>
      <c r="U59" s="21" cm="1">
        <f t="array" ca="1" aca="1" ref="U59">CalculateMaxFromList($O59,0,'Damage Scenarios'!$A:$U)</f>
        <v>0</v>
      </c>
      <c r="V59" s="21" t="str">
        <f ca="1">IF($U59=0,"",INDEX(Definitions!$Q:$Q,MATCH($U59,Definitions!$R:$R,0)))</f>
        <v/>
      </c>
      <c r="W59" s="21" t="str" cm="1">
        <f t="array" ca="1" aca="1" ref="W59">CalculateMaxAndElements($K59,0,"",'Attack Steps'!$A:X)</f>
        <v>0:</v>
      </c>
      <c r="X59" s="21" t="str" cm="1">
        <f t="array" ca="1" aca="1" ref="X59">CalculateMaxAndElements($K59,0,"",'Attack Steps'!$A:Y)</f>
        <v>0:</v>
      </c>
      <c r="Y59" s="21" t="str" cm="1">
        <f t="array" ca="1" aca="1" ref="Y59">CalculateMaxAndElements($K59,0,"",'Attack Steps'!$A:Z)</f>
        <v>0:</v>
      </c>
      <c r="Z59" s="21" t="str" cm="1">
        <f t="array" ca="1" aca="1" ref="Z59">CalculateMaxAndElements($K59,0,"",'Attack Steps'!$A:AA)</f>
        <v>0:</v>
      </c>
      <c r="AA59" s="21" t="str" cm="1">
        <f t="array" ca="1" aca="1" ref="AA59">CalculateMaxAndElements($K59,0,"",'Attack Steps'!$A:AB)</f>
        <v>0:</v>
      </c>
      <c r="AB59" s="21">
        <f t="shared" ca="1" si="70"/>
        <v>0</v>
      </c>
      <c r="AC59" s="21">
        <f t="shared" ca="1" si="71"/>
        <v>0</v>
      </c>
      <c r="AD59" s="21">
        <f t="shared" ca="1" si="72"/>
        <v>0</v>
      </c>
      <c r="AE59" s="21">
        <f t="shared" ca="1" si="73"/>
        <v>0</v>
      </c>
      <c r="AF59" s="21">
        <f t="shared" ca="1" si="74"/>
        <v>0</v>
      </c>
      <c r="AG59" s="21">
        <f t="shared" ca="1" si="64"/>
        <v>0</v>
      </c>
      <c r="AH59" s="21" t="str" cm="1">
        <f t="array" ca="1" aca="1" ref="AH59">IF(ROW()=ROW($AH$2)+1,"",INDEX($AH:$AH,ROW()-1))&amp;IF($A59="","",$A59&amp;",")</f>
        <v>R1-3,R2-3,R1-4,R2-4,R1-6,R2-6,R1-7,R2-7,R1-3-10,R2-3-10,R1-3-11,R2-3-11,R1-14,R1-16,R2-16,R21-23,R22-23,R1-29,R2-29,R31,R1-3-32,R2-3-32,R1-5-32,R2-5-32,R1-7-32,R2-7-32,R1-16-32,R2-16-32,R21-23-32,R22-23-32,R21-24-32,R22-24-32,R1-29-32,R2-29-32,R37,R38,R1-40,R2-40,</v>
      </c>
      <c r="AI59" s="21" t="str">
        <f t="shared" ca="1" si="75"/>
        <v/>
      </c>
      <c r="AJ59" s="21" cm="1">
        <f t="array" ca="1" aca="1" ref="AJ59">IF($G59="",0,SimpleLookup($G59,Definitions!$AE:$AF))</f>
        <v>0</v>
      </c>
      <c r="AK59" s="21" t="str" cm="1">
        <f t="array" ca="1" aca="1" ref="AK59">InverseLookup($A59,Mitigation!$U$2,Mitigation!$J$2,1,Helper!$B$5,",")</f>
        <v/>
      </c>
      <c r="AL59" s="21" t="str" cm="1">
        <f t="array" ca="1" aca="1" ref="AL59">CalculateMaxAndElementsWithFallback(SanitizeInput($AK59),0,"",Countermeasures!$A:Y,Assumptions!$A:Z)</f>
        <v>0:</v>
      </c>
      <c r="AM59" s="21" t="str" cm="1">
        <f t="array" ca="1" aca="1" ref="AM59">CalculateMaxAndElementsWithFallback(SanitizeInput($AK59),0,"",Countermeasures!$A:Z,Assumptions!$A:AA)</f>
        <v>0:</v>
      </c>
      <c r="AN59" s="21" t="str" cm="1">
        <f t="array" ca="1" aca="1" ref="AN59">CalculateMaxAndElementsWithFallback(SanitizeInput($AK59),0,"",Countermeasures!$A:AA,Assumptions!$A:AB)</f>
        <v>0:</v>
      </c>
      <c r="AO59" s="21" t="str" cm="1">
        <f t="array" ca="1" aca="1" ref="AO59">CalculateMaxAndElementsWithFallback(SanitizeInput($AK59),0,"",Countermeasures!$A:AB,Assumptions!$A:AC)</f>
        <v>0:</v>
      </c>
      <c r="AP59" s="21" t="str" cm="1">
        <f t="array" ca="1" aca="1" ref="AP59">CalculateMaxAndElementsWithFallback(SanitizeInput($AK59),0,"",Countermeasures!$A:AC,Assumptions!$A:AD)</f>
        <v>0:</v>
      </c>
      <c r="AQ59" s="21">
        <f t="shared" ca="1" si="76"/>
        <v>0</v>
      </c>
      <c r="AR59" s="21">
        <f t="shared" ca="1" si="77"/>
        <v>0</v>
      </c>
      <c r="AS59" s="21">
        <f t="shared" ca="1" si="78"/>
        <v>0</v>
      </c>
      <c r="AT59" s="21">
        <f t="shared" ca="1" si="79"/>
        <v>0</v>
      </c>
      <c r="AU59" s="21">
        <f t="shared" ca="1" si="80"/>
        <v>0</v>
      </c>
      <c r="AV59" s="21" t="str">
        <f t="shared" ca="1" si="81"/>
        <v>0:</v>
      </c>
      <c r="AW59" s="21" t="str">
        <f t="shared" ca="1" si="82"/>
        <v>0:</v>
      </c>
      <c r="AX59" s="21" t="str">
        <f t="shared" ca="1" si="83"/>
        <v>0:</v>
      </c>
      <c r="AY59" s="21" t="str">
        <f t="shared" ca="1" si="84"/>
        <v>0:</v>
      </c>
      <c r="AZ59" s="21" t="str">
        <f t="shared" ca="1" si="85"/>
        <v>0:</v>
      </c>
      <c r="BA59" s="21">
        <f t="shared" ca="1" si="86"/>
        <v>0</v>
      </c>
      <c r="BB59" s="21">
        <f t="shared" ca="1" si="87"/>
        <v>0</v>
      </c>
      <c r="BC59" s="21">
        <f t="shared" ca="1" si="88"/>
        <v>0</v>
      </c>
      <c r="BD59" s="21">
        <f t="shared" ca="1" si="89"/>
        <v>0</v>
      </c>
      <c r="BE59" s="21">
        <f t="shared" ca="1" si="90"/>
        <v>0</v>
      </c>
      <c r="BF59" s="21">
        <f t="shared" ca="1" si="65"/>
        <v>0</v>
      </c>
      <c r="BG59" s="21" t="str">
        <f ca="1">IFERROR(VLOOKUP($BF59,Definitions!$V:$W,COLUMNS(Definitions!$V:$W),TRUE),"")</f>
        <v>Basic</v>
      </c>
      <c r="BH59" s="21" t="str">
        <f ca="1">_xlfn.LET(_xlpm._comments,GetValues($K59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59" s="21" t="str" cm="1">
        <f t="array" ca="1" aca="1" ref="BI59">_xlfn.LET(_xlpm._rapRange,Definitions!$W:$W,_xlpm._calculatedRAP,$BG59,_xlpm._inlineRAP,$BH59,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59" s="21" t="str">
        <f ca="1">IFERROR(IF(OR($V59="",$BI59=""),Definitions!$AE$4,VLOOKUP($V59,Definitions!$AH:$AM,MATCH($BI59,Definitions!$AH$3:$AM$3,0),FALSE)),"")</f>
        <v>No Risk</v>
      </c>
      <c r="BK59" s="21" cm="1">
        <f t="array" ca="1" aca="1" ref="BK59">IF($BJ59="",0,SimpleLookup($BJ59,Definitions!$AE:$AF))</f>
        <v>0</v>
      </c>
      <c r="BL59" s="21" t="str" cm="1">
        <f t="array" ca="1" aca="1" ref="BL59">IFERROR(SimpleLookup($A59,Tracing!$B:$Z),"")</f>
        <v/>
      </c>
      <c r="BM59" s="21" t="str" cm="1">
        <f t="array" ca="1" aca="1" ref="BM59">_xlfn.LET(_xlpm._dm,SanitizeInput(GetValuesWithFallback(SanitizeInput($BL59),Assumptions!$A:$I,Countermeasures!$A:$I,"",",",FALSE)),IF(_xlpm._dm="","",","&amp;_xlpm._dm))</f>
        <v/>
      </c>
      <c r="BN59" s="21" t="str" cm="1">
        <f t="array" ca="1" aca="1" ref="BN59">ApplyDamageMitigation($M59,$BM59,"")</f>
        <v/>
      </c>
      <c r="BO59" s="21" cm="1">
        <f t="array" ca="1" aca="1" ref="BO59">CalculateMaxFromList($BN59,0,'Damage Scenarios'!$A:$U)</f>
        <v>0</v>
      </c>
      <c r="BP59" s="21" t="str">
        <f ca="1">IF($BO59=0,"",INDEX(Definitions!$Q:$Q,MATCH($BO59,Definitions!$R:$R,0)))</f>
        <v/>
      </c>
      <c r="BQ59" s="21" t="str" cm="1">
        <f t="array" ca="1" aca="1" ref="BQ59">CalculateMaxAndElementsWithFallback(SanitizeInput($BL59),0,"",Countermeasures!$A:Y,Assumptions!$A:Z)</f>
        <v>0:</v>
      </c>
      <c r="BR59" s="21" t="str" cm="1">
        <f t="array" ca="1" aca="1" ref="BR59">CalculateMaxAndElementsWithFallback(SanitizeInput($BL59),0,"",Countermeasures!$A:Z,Assumptions!$A:AA)</f>
        <v>0:</v>
      </c>
      <c r="BS59" s="21" t="str" cm="1">
        <f t="array" ca="1" aca="1" ref="BS59">CalculateMaxAndElementsWithFallback(SanitizeInput($BL59),0,"",Countermeasures!$A:AA,Assumptions!$A:AB)</f>
        <v>0:</v>
      </c>
      <c r="BT59" s="21" t="str" cm="1">
        <f t="array" ca="1" aca="1" ref="BT59">CalculateMaxAndElementsWithFallback(SanitizeInput($BL59),0,"",Countermeasures!$A:AB,Assumptions!$A:AC)</f>
        <v>0:</v>
      </c>
      <c r="BU59" s="21" t="str" cm="1">
        <f t="array" ca="1" aca="1" ref="BU59">CalculateMaxAndElementsWithFallback(SanitizeInput($BL59),0,"",Countermeasures!$A:AC,Assumptions!$A:AD)</f>
        <v>0:</v>
      </c>
      <c r="BV59" s="21">
        <f t="shared" ca="1" si="25"/>
        <v>0</v>
      </c>
      <c r="BW59" s="21">
        <f t="shared" ca="1" si="26"/>
        <v>0</v>
      </c>
      <c r="BX59" s="21">
        <f t="shared" ca="1" si="27"/>
        <v>0</v>
      </c>
      <c r="BY59" s="21">
        <f t="shared" ca="1" si="28"/>
        <v>0</v>
      </c>
      <c r="BZ59" s="21">
        <f t="shared" ca="1" si="29"/>
        <v>0</v>
      </c>
      <c r="CA59" s="21" t="str">
        <f t="shared" ca="1" si="30"/>
        <v>0:</v>
      </c>
      <c r="CB59" s="21" t="str">
        <f t="shared" ca="1" si="31"/>
        <v>0:</v>
      </c>
      <c r="CC59" s="21" t="str">
        <f t="shared" ca="1" si="32"/>
        <v>0:</v>
      </c>
      <c r="CD59" s="21" t="str">
        <f t="shared" ca="1" si="33"/>
        <v>0:</v>
      </c>
      <c r="CE59" s="21" t="str">
        <f t="shared" ca="1" si="34"/>
        <v>0:</v>
      </c>
      <c r="CF59" s="21">
        <f t="shared" ca="1" si="35"/>
        <v>0</v>
      </c>
      <c r="CG59" s="21">
        <f t="shared" ca="1" si="36"/>
        <v>0</v>
      </c>
      <c r="CH59" s="21">
        <f t="shared" ca="1" si="37"/>
        <v>0</v>
      </c>
      <c r="CI59" s="21">
        <f t="shared" ca="1" si="38"/>
        <v>0</v>
      </c>
      <c r="CJ59" s="21">
        <f t="shared" ca="1" si="39"/>
        <v>0</v>
      </c>
      <c r="CK59" s="21">
        <f t="shared" ca="1" si="66"/>
        <v>0</v>
      </c>
      <c r="CL59" s="21" t="str">
        <f ca="1">IFERROR(VLOOKUP($CK59,Definitions!$V:$W,COLUMNS(Definitions!$V:$W),TRUE),"")</f>
        <v>Basic</v>
      </c>
      <c r="CM59" s="21" t="str">
        <f ca="1">_xlfn.LET(_xlpm._comments,SimpleLookup($A59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59" s="21" t="str" cm="1">
        <f t="array" ca="1" aca="1" ref="CN59">_xlfn.LET(_xlpm._rapRange,Definitions!$W:$W,_xlpm._calculatedRAP,$CL59,_xlpm._inlineRAP,$CM59,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59" s="21" t="str">
        <f ca="1">IFERROR(IF(OR($BP59="",$CN59=""),Definitions!$AE$4,VLOOKUP($BP59,Definitions!$AH:$AM,MATCH($CN59,Definitions!$AH$3:$AM$3,0),FALSE)),"")</f>
        <v>No Risk</v>
      </c>
      <c r="CP59" s="21" cm="1">
        <f t="array" ca="1" aca="1" ref="CP59">IF($CO59="",0,SimpleLookup($CO59,Definitions!$AE:$AF))</f>
        <v>0</v>
      </c>
      <c r="CQ59" s="21" t="b">
        <f ca="1">OR(AND($S59,$I59=Helper!$B$7),$I59&gt;Helper!$B$7)</f>
        <v>1</v>
      </c>
      <c r="CR59" s="21" t="str">
        <f t="shared" ca="1" si="67"/>
        <v/>
      </c>
      <c r="CS59" s="21" cm="1">
        <f t="array" ca="1" aca="1" ref="CS59">CreateID($CS$2,$CV:$CV,$CR59&lt;&gt;"")</f>
        <v>0</v>
      </c>
      <c r="CT59" s="21" t="str">
        <f ca="1">IF(IFERROR(MATCH(","&amp;A59&amp;",",'Risk Treatment'!$AT:$AT,0)&gt;0,FALSE),"",$A59)</f>
        <v/>
      </c>
      <c r="CU59" s="21" cm="1">
        <f t="array" ca="1" aca="1" ref="CU59">CreateID($CU$2,$CU:$CU,$CT59&lt;&gt;"")</f>
        <v>38</v>
      </c>
    </row>
    <row r="60" spans="1:99" ht="15">
      <c r="A60" s="33" t="str" cm="1">
        <f t="array" ca="1" aca="1" ref="A60">IF($B60="","","R"&amp;RemoveDelimiter(SUBSTITUTE(SUBSTITUTE($K60,"AS",""),",","-"),"-"))</f>
        <v/>
      </c>
      <c r="B60" s="33" t="str" cm="1">
        <f t="array" ca="1" aca="1" ref="B60">IF($L60="","",_xlfn.LET(_xlpm._finalAttackStep,$L60,_xlpm._prepAttacks,RemoveFirstElement(_xlpm._finalAttackStep&amp;","&amp;$K60),_xlpm._prepAttackNames,IFERROR(LookupNames(_xlpm._prepAttacks,'Attack Steps'!$A:$B),""),_xlpm._delimiter,REPT(CHAR(150),55),$L60&amp;" "&amp;SimpleLookup($L60,'Attack Steps'!$A:$B)&amp;IF(_xlpm._prepAttackNames="","",CHAR(10)&amp;_xlpm._delimiter&amp;CHAR(10)&amp;_xlpm._prepAttackNames)))</f>
        <v/>
      </c>
      <c r="C60" s="34" t="str" cm="1">
        <f t="array" ca="1" aca="1" ref="C60">IFERROR(LookupNames($M60,'Damage Scenarios'!$A:$V),"")</f>
        <v/>
      </c>
      <c r="D60" s="33" t="str">
        <f ca="1">IFERROR(IF($T60=0,"",INDEX(Definitions!$Q:$Q,MATCH($T60,Definitions!$R:$R,0))),"")</f>
        <v/>
      </c>
      <c r="E60" s="34" t="str" cm="1">
        <f t="array" ca="1" aca="1" ref="E60">IF($A60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60,$A:W,Definitions!$Y:$Y,Definitions!$AB:$AB,1)&amp;CHAR(10)&amp;_xlpm._factorFunction($A60,$A:X,Definitions!$Y:$Y,Definitions!$AB:$AB,2)&amp;CHAR(10)&amp;_xlpm._factorFunction($A60,$A:Y,Definitions!$Y:$Y,Definitions!$AB:$AB,3)&amp;CHAR(10)&amp;_xlpm._factorFunction($A60,$A:Z,Definitions!$Y:$Y,Definitions!$AB:$AB,4)&amp;CHAR(10)&amp;_xlpm._factorFunction($A60,$A:AA,Definitions!$Y:$Y,Definitions!$AB:$AB,5)))</f>
        <v/>
      </c>
      <c r="F60" s="33" t="str">
        <f ca="1">IF($A60="","",IFERROR(VLOOKUP($AG60,Definitions!$V:$W,COLUMNS(Definitions!$V:$W),TRUE),""))</f>
        <v/>
      </c>
      <c r="G60" s="33" t="str">
        <f ca="1">IFERROR(IF(OR($D60="",$F60=""),"",VLOOKUP($D60,Definitions!$AH:$AM,MATCH($F60,Definitions!$AH$3:$AM$3,0),FALSE)),"")</f>
        <v/>
      </c>
      <c r="H60" s="23" cm="1">
        <f t="array" ca="1" aca="1" ref="H60">IF(ROW()=ROW($H$2)+1,0,INDEX($H:$H,ROW()-1))+IF($A60="",0,1)</f>
        <v>38</v>
      </c>
      <c r="I60" s="21" cm="1">
        <f t="array" ca="1" aca="1" ref="I60">IF(ROW()=ROW($I$2)+1,1,INDEX($I:$I,ROW()-1)+IF(INDEX($S:$S,ROW()-1),1,0))</f>
        <v>16</v>
      </c>
      <c r="J60" s="21">
        <f t="shared" ca="1" si="63"/>
        <v>20</v>
      </c>
      <c r="K60" s="21" t="str">
        <f t="shared" ca="1" si="68"/>
        <v/>
      </c>
      <c r="L60" s="21" t="str" cm="1">
        <f t="array" ca="1" aca="1" ref="L60">IF($P60="","",INDEX('Attack Steps'!$A:$A,$P60))</f>
        <v/>
      </c>
      <c r="M60" s="21" t="str" cm="1">
        <f t="array" ca="1" aca="1" ref="M60">IF($P60="","",INDEX('Attack Steps'!$T:$T,$P60))</f>
        <v/>
      </c>
      <c r="N60" s="21" t="str" cm="1">
        <f t="array" ca="1" aca="1" ref="N60">_xlfn.LET(_xlpm._dm,SanitizeInput(GetValuesWithFallback(SanitizeInput($AK60),Assumptions!$A:$I,Countermeasures!$A:$I,"",",",FALSE)),IF(_xlpm._dm="","",","&amp;_xlpm._dm))</f>
        <v/>
      </c>
      <c r="O60" s="21" t="str" cm="1">
        <f t="array" ca="1" aca="1" ref="O60">ApplyDamageMitigation($M60,$N60,"")</f>
        <v/>
      </c>
      <c r="P60" s="21" t="str">
        <f ca="1">IFERROR(MATCH($I60,'Attack Steps'!$V:$V,0),"")</f>
        <v/>
      </c>
      <c r="Q60" s="21" t="str" cm="1">
        <f t="array" ca="1" aca="1" ref="Q60">IF($P60="","","§"&amp;INDEX('Attack Steps'!$S:$S,$P60))</f>
        <v/>
      </c>
      <c r="R60" s="21" t="str" cm="1">
        <f t="array" ca="1" aca="1" ref="R60">IF($P60="","",INDEX('Attack Steps'!$W:$W,$P60))</f>
        <v/>
      </c>
      <c r="S60" s="21" t="b">
        <f t="shared" ca="1" si="69"/>
        <v>0</v>
      </c>
      <c r="T60" s="21" cm="1">
        <f t="array" ca="1" aca="1" ref="T60">_xlfn.LAMBDA(_xlpm._in,_xlpm._val,_xlpm._range,IF(_xlpm._in="",_xlpm._val,_xlfn.LET(_xlpm._id,LEFT(_xlpm._in,FIND(",",_xlpm._in)-1),CalculateMaxFromList(RemoveFirstElement(_xlpm._in),MAX(_xlpm._val,VLOOKUP(_xlpm._id,_xlpm._range,COLUMNS(_xlpm._range),FALSE)),_xlpm._range))))($M60,0,'Damage Scenarios'!$A:$U)</f>
        <v>0</v>
      </c>
      <c r="U60" s="21" cm="1">
        <f t="array" ca="1" aca="1" ref="U60">CalculateMaxFromList($O60,0,'Damage Scenarios'!$A:$U)</f>
        <v>0</v>
      </c>
      <c r="V60" s="21" t="str">
        <f ca="1">IF($U60=0,"",INDEX(Definitions!$Q:$Q,MATCH($U60,Definitions!$R:$R,0)))</f>
        <v/>
      </c>
      <c r="W60" s="21" t="str" cm="1">
        <f t="array" ca="1" aca="1" ref="W60">CalculateMaxAndElements($K60,0,"",'Attack Steps'!$A:X)</f>
        <v>0:</v>
      </c>
      <c r="X60" s="21" t="str" cm="1">
        <f t="array" ca="1" aca="1" ref="X60">CalculateMaxAndElements($K60,0,"",'Attack Steps'!$A:Y)</f>
        <v>0:</v>
      </c>
      <c r="Y60" s="21" t="str" cm="1">
        <f t="array" ca="1" aca="1" ref="Y60">CalculateMaxAndElements($K60,0,"",'Attack Steps'!$A:Z)</f>
        <v>0:</v>
      </c>
      <c r="Z60" s="21" t="str" cm="1">
        <f t="array" ca="1" aca="1" ref="Z60">CalculateMaxAndElements($K60,0,"",'Attack Steps'!$A:AA)</f>
        <v>0:</v>
      </c>
      <c r="AA60" s="21" t="str" cm="1">
        <f t="array" ca="1" aca="1" ref="AA60">CalculateMaxAndElements($K60,0,"",'Attack Steps'!$A:AB)</f>
        <v>0:</v>
      </c>
      <c r="AB60" s="21">
        <f t="shared" ca="1" si="70"/>
        <v>0</v>
      </c>
      <c r="AC60" s="21">
        <f t="shared" ca="1" si="71"/>
        <v>0</v>
      </c>
      <c r="AD60" s="21">
        <f t="shared" ca="1" si="72"/>
        <v>0</v>
      </c>
      <c r="AE60" s="21">
        <f t="shared" ca="1" si="73"/>
        <v>0</v>
      </c>
      <c r="AF60" s="21">
        <f t="shared" ca="1" si="74"/>
        <v>0</v>
      </c>
      <c r="AG60" s="21">
        <f t="shared" ca="1" si="64"/>
        <v>0</v>
      </c>
      <c r="AH60" s="21" t="str" cm="1">
        <f t="array" ca="1" aca="1" ref="AH60">IF(ROW()=ROW($AH$2)+1,"",INDEX($AH:$AH,ROW()-1))&amp;IF($A60="","",$A60&amp;",")</f>
        <v>R1-3,R2-3,R1-4,R2-4,R1-6,R2-6,R1-7,R2-7,R1-3-10,R2-3-10,R1-3-11,R2-3-11,R1-14,R1-16,R2-16,R21-23,R22-23,R1-29,R2-29,R31,R1-3-32,R2-3-32,R1-5-32,R2-5-32,R1-7-32,R2-7-32,R1-16-32,R2-16-32,R21-23-32,R22-23-32,R21-24-32,R22-24-32,R1-29-32,R2-29-32,R37,R38,R1-40,R2-40,</v>
      </c>
      <c r="AI60" s="21" t="str">
        <f t="shared" ca="1" si="75"/>
        <v/>
      </c>
      <c r="AJ60" s="21" cm="1">
        <f t="array" ca="1" aca="1" ref="AJ60">IF($G60="",0,SimpleLookup($G60,Definitions!$AE:$AF))</f>
        <v>0</v>
      </c>
      <c r="AK60" s="21" t="str" cm="1">
        <f t="array" ca="1" aca="1" ref="AK60">InverseLookup($A60,Mitigation!$U$2,Mitigation!$J$2,1,Helper!$B$5,",")</f>
        <v/>
      </c>
      <c r="AL60" s="21" t="str" cm="1">
        <f t="array" ca="1" aca="1" ref="AL60">CalculateMaxAndElementsWithFallback(SanitizeInput($AK60),0,"",Countermeasures!$A:Y,Assumptions!$A:Z)</f>
        <v>0:</v>
      </c>
      <c r="AM60" s="21" t="str" cm="1">
        <f t="array" ca="1" aca="1" ref="AM60">CalculateMaxAndElementsWithFallback(SanitizeInput($AK60),0,"",Countermeasures!$A:Z,Assumptions!$A:AA)</f>
        <v>0:</v>
      </c>
      <c r="AN60" s="21" t="str" cm="1">
        <f t="array" ca="1" aca="1" ref="AN60">CalculateMaxAndElementsWithFallback(SanitizeInput($AK60),0,"",Countermeasures!$A:AA,Assumptions!$A:AB)</f>
        <v>0:</v>
      </c>
      <c r="AO60" s="21" t="str" cm="1">
        <f t="array" ca="1" aca="1" ref="AO60">CalculateMaxAndElementsWithFallback(SanitizeInput($AK60),0,"",Countermeasures!$A:AB,Assumptions!$A:AC)</f>
        <v>0:</v>
      </c>
      <c r="AP60" s="21" t="str" cm="1">
        <f t="array" ca="1" aca="1" ref="AP60">CalculateMaxAndElementsWithFallback(SanitizeInput($AK60),0,"",Countermeasures!$A:AC,Assumptions!$A:AD)</f>
        <v>0:</v>
      </c>
      <c r="AQ60" s="21">
        <f t="shared" ca="1" si="76"/>
        <v>0</v>
      </c>
      <c r="AR60" s="21">
        <f t="shared" ca="1" si="77"/>
        <v>0</v>
      </c>
      <c r="AS60" s="21">
        <f t="shared" ca="1" si="78"/>
        <v>0</v>
      </c>
      <c r="AT60" s="21">
        <f t="shared" ca="1" si="79"/>
        <v>0</v>
      </c>
      <c r="AU60" s="21">
        <f t="shared" ca="1" si="80"/>
        <v>0</v>
      </c>
      <c r="AV60" s="21" t="str">
        <f t="shared" ca="1" si="81"/>
        <v>0:</v>
      </c>
      <c r="AW60" s="21" t="str">
        <f t="shared" ca="1" si="82"/>
        <v>0:</v>
      </c>
      <c r="AX60" s="21" t="str">
        <f t="shared" ca="1" si="83"/>
        <v>0:</v>
      </c>
      <c r="AY60" s="21" t="str">
        <f t="shared" ca="1" si="84"/>
        <v>0:</v>
      </c>
      <c r="AZ60" s="21" t="str">
        <f t="shared" ca="1" si="85"/>
        <v>0:</v>
      </c>
      <c r="BA60" s="21">
        <f t="shared" ca="1" si="86"/>
        <v>0</v>
      </c>
      <c r="BB60" s="21">
        <f t="shared" ca="1" si="87"/>
        <v>0</v>
      </c>
      <c r="BC60" s="21">
        <f t="shared" ca="1" si="88"/>
        <v>0</v>
      </c>
      <c r="BD60" s="21">
        <f t="shared" ca="1" si="89"/>
        <v>0</v>
      </c>
      <c r="BE60" s="21">
        <f t="shared" ca="1" si="90"/>
        <v>0</v>
      </c>
      <c r="BF60" s="21">
        <f t="shared" ca="1" si="65"/>
        <v>0</v>
      </c>
      <c r="BG60" s="21" t="str">
        <f ca="1">IFERROR(VLOOKUP($BF60,Definitions!$V:$W,COLUMNS(Definitions!$V:$W),TRUE),"")</f>
        <v>Basic</v>
      </c>
      <c r="BH60" s="21" t="str">
        <f ca="1">_xlfn.LET(_xlpm._comments,GetValues($K60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0" s="21" t="str" cm="1">
        <f t="array" ca="1" aca="1" ref="BI60">_xlfn.LET(_xlpm._rapRange,Definitions!$W:$W,_xlpm._calculatedRAP,$BG60,_xlpm._inlineRAP,$BH60,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0" s="21" t="str">
        <f ca="1">IFERROR(IF(OR($V60="",$BI60=""),Definitions!$AE$4,VLOOKUP($V60,Definitions!$AH:$AM,MATCH($BI60,Definitions!$AH$3:$AM$3,0),FALSE)),"")</f>
        <v>No Risk</v>
      </c>
      <c r="BK60" s="21" cm="1">
        <f t="array" ca="1" aca="1" ref="BK60">IF($BJ60="",0,SimpleLookup($BJ60,Definitions!$AE:$AF))</f>
        <v>0</v>
      </c>
      <c r="BL60" s="21" t="str" cm="1">
        <f t="array" ca="1" aca="1" ref="BL60">IFERROR(SimpleLookup($A60,Tracing!$B:$Z),"")</f>
        <v/>
      </c>
      <c r="BM60" s="21" t="str" cm="1">
        <f t="array" ca="1" aca="1" ref="BM60">_xlfn.LET(_xlpm._dm,SanitizeInput(GetValuesWithFallback(SanitizeInput($BL60),Assumptions!$A:$I,Countermeasures!$A:$I,"",",",FALSE)),IF(_xlpm._dm="","",","&amp;_xlpm._dm))</f>
        <v/>
      </c>
      <c r="BN60" s="21" t="str" cm="1">
        <f t="array" ca="1" aca="1" ref="BN60">ApplyDamageMitigation($M60,$BM60,"")</f>
        <v/>
      </c>
      <c r="BO60" s="21" cm="1">
        <f t="array" ca="1" aca="1" ref="BO60">CalculateMaxFromList($BN60,0,'Damage Scenarios'!$A:$U)</f>
        <v>0</v>
      </c>
      <c r="BP60" s="21" t="str">
        <f ca="1">IF($BO60=0,"",INDEX(Definitions!$Q:$Q,MATCH($BO60,Definitions!$R:$R,0)))</f>
        <v/>
      </c>
      <c r="BQ60" s="21" t="str" cm="1">
        <f t="array" ca="1" aca="1" ref="BQ60">CalculateMaxAndElementsWithFallback(SanitizeInput($BL60),0,"",Countermeasures!$A:Y,Assumptions!$A:Z)</f>
        <v>0:</v>
      </c>
      <c r="BR60" s="21" t="str" cm="1">
        <f t="array" ca="1" aca="1" ref="BR60">CalculateMaxAndElementsWithFallback(SanitizeInput($BL60),0,"",Countermeasures!$A:Z,Assumptions!$A:AA)</f>
        <v>0:</v>
      </c>
      <c r="BS60" s="21" t="str" cm="1">
        <f t="array" ca="1" aca="1" ref="BS60">CalculateMaxAndElementsWithFallback(SanitizeInput($BL60),0,"",Countermeasures!$A:AA,Assumptions!$A:AB)</f>
        <v>0:</v>
      </c>
      <c r="BT60" s="21" t="str" cm="1">
        <f t="array" ca="1" aca="1" ref="BT60">CalculateMaxAndElementsWithFallback(SanitizeInput($BL60),0,"",Countermeasures!$A:AB,Assumptions!$A:AC)</f>
        <v>0:</v>
      </c>
      <c r="BU60" s="21" t="str" cm="1">
        <f t="array" ca="1" aca="1" ref="BU60">CalculateMaxAndElementsWithFallback(SanitizeInput($BL60),0,"",Countermeasures!$A:AC,Assumptions!$A:AD)</f>
        <v>0:</v>
      </c>
      <c r="BV60" s="21">
        <f t="shared" ca="1" si="25"/>
        <v>0</v>
      </c>
      <c r="BW60" s="21">
        <f t="shared" ca="1" si="26"/>
        <v>0</v>
      </c>
      <c r="BX60" s="21">
        <f t="shared" ca="1" si="27"/>
        <v>0</v>
      </c>
      <c r="BY60" s="21">
        <f t="shared" ca="1" si="28"/>
        <v>0</v>
      </c>
      <c r="BZ60" s="21">
        <f t="shared" ca="1" si="29"/>
        <v>0</v>
      </c>
      <c r="CA60" s="21" t="str">
        <f t="shared" ca="1" si="30"/>
        <v>0:</v>
      </c>
      <c r="CB60" s="21" t="str">
        <f t="shared" ca="1" si="31"/>
        <v>0:</v>
      </c>
      <c r="CC60" s="21" t="str">
        <f t="shared" ca="1" si="32"/>
        <v>0:</v>
      </c>
      <c r="CD60" s="21" t="str">
        <f t="shared" ca="1" si="33"/>
        <v>0:</v>
      </c>
      <c r="CE60" s="21" t="str">
        <f t="shared" ca="1" si="34"/>
        <v>0:</v>
      </c>
      <c r="CF60" s="21">
        <f t="shared" ca="1" si="35"/>
        <v>0</v>
      </c>
      <c r="CG60" s="21">
        <f t="shared" ca="1" si="36"/>
        <v>0</v>
      </c>
      <c r="CH60" s="21">
        <f t="shared" ca="1" si="37"/>
        <v>0</v>
      </c>
      <c r="CI60" s="21">
        <f t="shared" ca="1" si="38"/>
        <v>0</v>
      </c>
      <c r="CJ60" s="21">
        <f t="shared" ca="1" si="39"/>
        <v>0</v>
      </c>
      <c r="CK60" s="21">
        <f t="shared" ca="1" si="66"/>
        <v>0</v>
      </c>
      <c r="CL60" s="21" t="str">
        <f ca="1">IFERROR(VLOOKUP($CK60,Definitions!$V:$W,COLUMNS(Definitions!$V:$W),TRUE),"")</f>
        <v>Basic</v>
      </c>
      <c r="CM60" s="21" t="str">
        <f ca="1">_xlfn.LET(_xlpm._comments,SimpleLookup($A60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0" s="21" t="str" cm="1">
        <f t="array" ca="1" aca="1" ref="CN60">_xlfn.LET(_xlpm._rapRange,Definitions!$W:$W,_xlpm._calculatedRAP,$CL60,_xlpm._inlineRAP,$CM60,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0" s="21" t="str">
        <f ca="1">IFERROR(IF(OR($BP60="",$CN60=""),Definitions!$AE$4,VLOOKUP($BP60,Definitions!$AH:$AM,MATCH($CN60,Definitions!$AH$3:$AM$3,0),FALSE)),"")</f>
        <v>No Risk</v>
      </c>
      <c r="CP60" s="21" cm="1">
        <f t="array" ca="1" aca="1" ref="CP60">IF($CO60="",0,SimpleLookup($CO60,Definitions!$AE:$AF))</f>
        <v>0</v>
      </c>
      <c r="CQ60" s="21" t="b">
        <f ca="1">OR(AND($S60,$I60=Helper!$B$7),$I60&gt;Helper!$B$7)</f>
        <v>1</v>
      </c>
      <c r="CR60" s="21" t="str">
        <f t="shared" ca="1" si="67"/>
        <v/>
      </c>
      <c r="CS60" s="21" cm="1">
        <f t="array" ca="1" aca="1" ref="CS60">CreateID($CS$2,$CV:$CV,$CR60&lt;&gt;"")</f>
        <v>0</v>
      </c>
      <c r="CT60" s="21" t="str">
        <f ca="1">IF(IFERROR(MATCH(","&amp;A60&amp;",",'Risk Treatment'!$AT:$AT,0)&gt;0,FALSE),"",$A60)</f>
        <v/>
      </c>
      <c r="CU60" s="21" cm="1">
        <f t="array" ca="1" aca="1" ref="CU60">CreateID($CU$2,$CU:$CU,$CT60&lt;&gt;"")</f>
        <v>38</v>
      </c>
    </row>
    <row r="61" spans="1:99" ht="15">
      <c r="A61" s="33" t="str" cm="1">
        <f t="array" ca="1" aca="1" ref="A61">IF($B61="","","R"&amp;RemoveDelimiter(SUBSTITUTE(SUBSTITUTE($K61,"AS",""),",","-"),"-"))</f>
        <v/>
      </c>
      <c r="B61" s="33" t="str" cm="1">
        <f t="array" ca="1" aca="1" ref="B61">IF($L61="","",_xlfn.LET(_xlpm._finalAttackStep,$L61,_xlpm._prepAttacks,RemoveFirstElement(_xlpm._finalAttackStep&amp;","&amp;$K61),_xlpm._prepAttackNames,IFERROR(LookupNames(_xlpm._prepAttacks,'Attack Steps'!$A:$B),""),_xlpm._delimiter,REPT(CHAR(150),55),$L61&amp;" "&amp;SimpleLookup($L61,'Attack Steps'!$A:$B)&amp;IF(_xlpm._prepAttackNames="","",CHAR(10)&amp;_xlpm._delimiter&amp;CHAR(10)&amp;_xlpm._prepAttackNames)))</f>
        <v/>
      </c>
      <c r="C61" s="34" t="str" cm="1">
        <f t="array" ca="1" aca="1" ref="C61">IFERROR(LookupNames($M61,'Damage Scenarios'!$A:$V),"")</f>
        <v/>
      </c>
      <c r="D61" s="33" t="str">
        <f ca="1">IFERROR(IF($T61=0,"",INDEX(Definitions!$Q:$Q,MATCH($T61,Definitions!$R:$R,0))),"")</f>
        <v/>
      </c>
      <c r="E61" s="34" t="str" cm="1">
        <f t="array" ca="1" aca="1" ref="E61">IF($A61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61,$A:W,Definitions!$Y:$Y,Definitions!$AB:$AB,1)&amp;CHAR(10)&amp;_xlpm._factorFunction($A61,$A:X,Definitions!$Y:$Y,Definitions!$AB:$AB,2)&amp;CHAR(10)&amp;_xlpm._factorFunction($A61,$A:Y,Definitions!$Y:$Y,Definitions!$AB:$AB,3)&amp;CHAR(10)&amp;_xlpm._factorFunction($A61,$A:Z,Definitions!$Y:$Y,Definitions!$AB:$AB,4)&amp;CHAR(10)&amp;_xlpm._factorFunction($A61,$A:AA,Definitions!$Y:$Y,Definitions!$AB:$AB,5)))</f>
        <v/>
      </c>
      <c r="F61" s="33" t="str">
        <f ca="1">IF($A61="","",IFERROR(VLOOKUP($AG61,Definitions!$V:$W,COLUMNS(Definitions!$V:$W),TRUE),""))</f>
        <v/>
      </c>
      <c r="G61" s="33" t="str">
        <f ca="1">IFERROR(IF(OR($D61="",$F61=""),"",VLOOKUP($D61,Definitions!$AH:$AM,MATCH($F61,Definitions!$AH$3:$AM$3,0),FALSE)),"")</f>
        <v/>
      </c>
      <c r="H61" s="23" cm="1">
        <f t="array" ca="1" aca="1" ref="H61">IF(ROW()=ROW($H$2)+1,0,INDEX($H:$H,ROW()-1))+IF($A61="",0,1)</f>
        <v>38</v>
      </c>
      <c r="I61" s="21" cm="1">
        <f t="array" ca="1" aca="1" ref="I61">IF(ROW()=ROW($I$2)+1,1,INDEX($I:$I,ROW()-1)+IF(INDEX($S:$S,ROW()-1),1,0))</f>
        <v>16</v>
      </c>
      <c r="J61" s="21">
        <f t="shared" ca="1" si="63"/>
        <v>21</v>
      </c>
      <c r="K61" s="21" t="str">
        <f t="shared" ca="1" si="68"/>
        <v/>
      </c>
      <c r="L61" s="21" t="str" cm="1">
        <f t="array" ca="1" aca="1" ref="L61">IF($P61="","",INDEX('Attack Steps'!$A:$A,$P61))</f>
        <v/>
      </c>
      <c r="M61" s="21" t="str" cm="1">
        <f t="array" ca="1" aca="1" ref="M61">IF($P61="","",INDEX('Attack Steps'!$T:$T,$P61))</f>
        <v/>
      </c>
      <c r="N61" s="21" t="str" cm="1">
        <f t="array" ca="1" aca="1" ref="N61">_xlfn.LET(_xlpm._dm,SanitizeInput(GetValuesWithFallback(SanitizeInput($AK61),Assumptions!$A:$I,Countermeasures!$A:$I,"",",",FALSE)),IF(_xlpm._dm="","",","&amp;_xlpm._dm))</f>
        <v/>
      </c>
      <c r="O61" s="21" t="str" cm="1">
        <f t="array" ca="1" aca="1" ref="O61">ApplyDamageMitigation($M61,$N61,"")</f>
        <v/>
      </c>
      <c r="P61" s="21" t="str">
        <f ca="1">IFERROR(MATCH($I61,'Attack Steps'!$V:$V,0),"")</f>
        <v/>
      </c>
      <c r="Q61" s="21" t="str" cm="1">
        <f t="array" ca="1" aca="1" ref="Q61">IF($P61="","","§"&amp;INDEX('Attack Steps'!$S:$S,$P61))</f>
        <v/>
      </c>
      <c r="R61" s="21" t="str" cm="1">
        <f t="array" ca="1" aca="1" ref="R61">IF($P61="","",INDEX('Attack Steps'!$W:$W,$P61))</f>
        <v/>
      </c>
      <c r="S61" s="21" t="b">
        <f t="shared" ca="1" si="69"/>
        <v>0</v>
      </c>
      <c r="T61" s="21" cm="1">
        <f t="array" ca="1" aca="1" ref="T61">_xlfn.LAMBDA(_xlpm._in,_xlpm._val,_xlpm._range,IF(_xlpm._in="",_xlpm._val,_xlfn.LET(_xlpm._id,LEFT(_xlpm._in,FIND(",",_xlpm._in)-1),CalculateMaxFromList(RemoveFirstElement(_xlpm._in),MAX(_xlpm._val,VLOOKUP(_xlpm._id,_xlpm._range,COLUMNS(_xlpm._range),FALSE)),_xlpm._range))))($M61,0,'Damage Scenarios'!$A:$U)</f>
        <v>0</v>
      </c>
      <c r="U61" s="21" cm="1">
        <f t="array" ca="1" aca="1" ref="U61">CalculateMaxFromList($O61,0,'Damage Scenarios'!$A:$U)</f>
        <v>0</v>
      </c>
      <c r="V61" s="21" t="str">
        <f ca="1">IF($U61=0,"",INDEX(Definitions!$Q:$Q,MATCH($U61,Definitions!$R:$R,0)))</f>
        <v/>
      </c>
      <c r="W61" s="21" t="str" cm="1">
        <f t="array" ca="1" aca="1" ref="W61">CalculateMaxAndElements($K61,0,"",'Attack Steps'!$A:X)</f>
        <v>0:</v>
      </c>
      <c r="X61" s="21" t="str" cm="1">
        <f t="array" ca="1" aca="1" ref="X61">CalculateMaxAndElements($K61,0,"",'Attack Steps'!$A:Y)</f>
        <v>0:</v>
      </c>
      <c r="Y61" s="21" t="str" cm="1">
        <f t="array" ca="1" aca="1" ref="Y61">CalculateMaxAndElements($K61,0,"",'Attack Steps'!$A:Z)</f>
        <v>0:</v>
      </c>
      <c r="Z61" s="21" t="str" cm="1">
        <f t="array" ca="1" aca="1" ref="Z61">CalculateMaxAndElements($K61,0,"",'Attack Steps'!$A:AA)</f>
        <v>0:</v>
      </c>
      <c r="AA61" s="21" t="str" cm="1">
        <f t="array" ca="1" aca="1" ref="AA61">CalculateMaxAndElements($K61,0,"",'Attack Steps'!$A:AB)</f>
        <v>0:</v>
      </c>
      <c r="AB61" s="21">
        <f t="shared" ca="1" si="70"/>
        <v>0</v>
      </c>
      <c r="AC61" s="21">
        <f t="shared" ca="1" si="71"/>
        <v>0</v>
      </c>
      <c r="AD61" s="21">
        <f t="shared" ca="1" si="72"/>
        <v>0</v>
      </c>
      <c r="AE61" s="21">
        <f t="shared" ca="1" si="73"/>
        <v>0</v>
      </c>
      <c r="AF61" s="21">
        <f t="shared" ca="1" si="74"/>
        <v>0</v>
      </c>
      <c r="AG61" s="21">
        <f t="shared" ca="1" si="64"/>
        <v>0</v>
      </c>
      <c r="AH61" s="21" t="str" cm="1">
        <f t="array" ca="1" aca="1" ref="AH61">IF(ROW()=ROW($AH$2)+1,"",INDEX($AH:$AH,ROW()-1))&amp;IF($A61="","",$A61&amp;",")</f>
        <v>R1-3,R2-3,R1-4,R2-4,R1-6,R2-6,R1-7,R2-7,R1-3-10,R2-3-10,R1-3-11,R2-3-11,R1-14,R1-16,R2-16,R21-23,R22-23,R1-29,R2-29,R31,R1-3-32,R2-3-32,R1-5-32,R2-5-32,R1-7-32,R2-7-32,R1-16-32,R2-16-32,R21-23-32,R22-23-32,R21-24-32,R22-24-32,R1-29-32,R2-29-32,R37,R38,R1-40,R2-40,</v>
      </c>
      <c r="AI61" s="21" t="str">
        <f t="shared" ca="1" si="75"/>
        <v/>
      </c>
      <c r="AJ61" s="21" cm="1">
        <f t="array" ca="1" aca="1" ref="AJ61">IF($G61="",0,SimpleLookup($G61,Definitions!$AE:$AF))</f>
        <v>0</v>
      </c>
      <c r="AK61" s="21" t="str" cm="1">
        <f t="array" ca="1" aca="1" ref="AK61">InverseLookup($A61,Mitigation!$U$2,Mitigation!$J$2,1,Helper!$B$5,",")</f>
        <v/>
      </c>
      <c r="AL61" s="21" t="str" cm="1">
        <f t="array" ca="1" aca="1" ref="AL61">CalculateMaxAndElementsWithFallback(SanitizeInput($AK61),0,"",Countermeasures!$A:Y,Assumptions!$A:Z)</f>
        <v>0:</v>
      </c>
      <c r="AM61" s="21" t="str" cm="1">
        <f t="array" ca="1" aca="1" ref="AM61">CalculateMaxAndElementsWithFallback(SanitizeInput($AK61),0,"",Countermeasures!$A:Z,Assumptions!$A:AA)</f>
        <v>0:</v>
      </c>
      <c r="AN61" s="21" t="str" cm="1">
        <f t="array" ca="1" aca="1" ref="AN61">CalculateMaxAndElementsWithFallback(SanitizeInput($AK61),0,"",Countermeasures!$A:AA,Assumptions!$A:AB)</f>
        <v>0:</v>
      </c>
      <c r="AO61" s="21" t="str" cm="1">
        <f t="array" ca="1" aca="1" ref="AO61">CalculateMaxAndElementsWithFallback(SanitizeInput($AK61),0,"",Countermeasures!$A:AB,Assumptions!$A:AC)</f>
        <v>0:</v>
      </c>
      <c r="AP61" s="21" t="str" cm="1">
        <f t="array" ca="1" aca="1" ref="AP61">CalculateMaxAndElementsWithFallback(SanitizeInput($AK61),0,"",Countermeasures!$A:AC,Assumptions!$A:AD)</f>
        <v>0:</v>
      </c>
      <c r="AQ61" s="21">
        <f t="shared" ca="1" si="76"/>
        <v>0</v>
      </c>
      <c r="AR61" s="21">
        <f t="shared" ca="1" si="77"/>
        <v>0</v>
      </c>
      <c r="AS61" s="21">
        <f t="shared" ca="1" si="78"/>
        <v>0</v>
      </c>
      <c r="AT61" s="21">
        <f t="shared" ca="1" si="79"/>
        <v>0</v>
      </c>
      <c r="AU61" s="21">
        <f t="shared" ca="1" si="80"/>
        <v>0</v>
      </c>
      <c r="AV61" s="21" t="str">
        <f t="shared" ca="1" si="81"/>
        <v>0:</v>
      </c>
      <c r="AW61" s="21" t="str">
        <f t="shared" ca="1" si="82"/>
        <v>0:</v>
      </c>
      <c r="AX61" s="21" t="str">
        <f t="shared" ca="1" si="83"/>
        <v>0:</v>
      </c>
      <c r="AY61" s="21" t="str">
        <f t="shared" ca="1" si="84"/>
        <v>0:</v>
      </c>
      <c r="AZ61" s="21" t="str">
        <f t="shared" ca="1" si="85"/>
        <v>0:</v>
      </c>
      <c r="BA61" s="21">
        <f t="shared" ca="1" si="86"/>
        <v>0</v>
      </c>
      <c r="BB61" s="21">
        <f t="shared" ca="1" si="87"/>
        <v>0</v>
      </c>
      <c r="BC61" s="21">
        <f t="shared" ca="1" si="88"/>
        <v>0</v>
      </c>
      <c r="BD61" s="21">
        <f t="shared" ca="1" si="89"/>
        <v>0</v>
      </c>
      <c r="BE61" s="21">
        <f t="shared" ca="1" si="90"/>
        <v>0</v>
      </c>
      <c r="BF61" s="21">
        <f t="shared" ca="1" si="65"/>
        <v>0</v>
      </c>
      <c r="BG61" s="21" t="str">
        <f ca="1">IFERROR(VLOOKUP($BF61,Definitions!$V:$W,COLUMNS(Definitions!$V:$W),TRUE),"")</f>
        <v>Basic</v>
      </c>
      <c r="BH61" s="21" t="str">
        <f ca="1">_xlfn.LET(_xlpm._comments,GetValues($K61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1" s="21" t="str" cm="1">
        <f t="array" ca="1" aca="1" ref="BI61">_xlfn.LET(_xlpm._rapRange,Definitions!$W:$W,_xlpm._calculatedRAP,$BG61,_xlpm._inlineRAP,$BH61,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1" s="21" t="str">
        <f ca="1">IFERROR(IF(OR($V61="",$BI61=""),Definitions!$AE$4,VLOOKUP($V61,Definitions!$AH:$AM,MATCH($BI61,Definitions!$AH$3:$AM$3,0),FALSE)),"")</f>
        <v>No Risk</v>
      </c>
      <c r="BK61" s="21" cm="1">
        <f t="array" ca="1" aca="1" ref="BK61">IF($BJ61="",0,SimpleLookup($BJ61,Definitions!$AE:$AF))</f>
        <v>0</v>
      </c>
      <c r="BL61" s="21" t="str" cm="1">
        <f t="array" ca="1" aca="1" ref="BL61">IFERROR(SimpleLookup($A61,Tracing!$B:$Z),"")</f>
        <v/>
      </c>
      <c r="BM61" s="21" t="str" cm="1">
        <f t="array" ca="1" aca="1" ref="BM61">_xlfn.LET(_xlpm._dm,SanitizeInput(GetValuesWithFallback(SanitizeInput($BL61),Assumptions!$A:$I,Countermeasures!$A:$I,"",",",FALSE)),IF(_xlpm._dm="","",","&amp;_xlpm._dm))</f>
        <v/>
      </c>
      <c r="BN61" s="21" t="str" cm="1">
        <f t="array" ca="1" aca="1" ref="BN61">ApplyDamageMitigation($M61,$BM61,"")</f>
        <v/>
      </c>
      <c r="BO61" s="21" cm="1">
        <f t="array" ca="1" aca="1" ref="BO61">CalculateMaxFromList($BN61,0,'Damage Scenarios'!$A:$U)</f>
        <v>0</v>
      </c>
      <c r="BP61" s="21" t="str">
        <f ca="1">IF($BO61=0,"",INDEX(Definitions!$Q:$Q,MATCH($BO61,Definitions!$R:$R,0)))</f>
        <v/>
      </c>
      <c r="BQ61" s="21" t="str" cm="1">
        <f t="array" ca="1" aca="1" ref="BQ61">CalculateMaxAndElementsWithFallback(SanitizeInput($BL61),0,"",Countermeasures!$A:Y,Assumptions!$A:Z)</f>
        <v>0:</v>
      </c>
      <c r="BR61" s="21" t="str" cm="1">
        <f t="array" ca="1" aca="1" ref="BR61">CalculateMaxAndElementsWithFallback(SanitizeInput($BL61),0,"",Countermeasures!$A:Z,Assumptions!$A:AA)</f>
        <v>0:</v>
      </c>
      <c r="BS61" s="21" t="str" cm="1">
        <f t="array" ca="1" aca="1" ref="BS61">CalculateMaxAndElementsWithFallback(SanitizeInput($BL61),0,"",Countermeasures!$A:AA,Assumptions!$A:AB)</f>
        <v>0:</v>
      </c>
      <c r="BT61" s="21" t="str" cm="1">
        <f t="array" ca="1" aca="1" ref="BT61">CalculateMaxAndElementsWithFallback(SanitizeInput($BL61),0,"",Countermeasures!$A:AB,Assumptions!$A:AC)</f>
        <v>0:</v>
      </c>
      <c r="BU61" s="21" t="str" cm="1">
        <f t="array" ca="1" aca="1" ref="BU61">CalculateMaxAndElementsWithFallback(SanitizeInput($BL61),0,"",Countermeasures!$A:AC,Assumptions!$A:AD)</f>
        <v>0:</v>
      </c>
      <c r="BV61" s="21">
        <f t="shared" ca="1" si="25"/>
        <v>0</v>
      </c>
      <c r="BW61" s="21">
        <f t="shared" ca="1" si="26"/>
        <v>0</v>
      </c>
      <c r="BX61" s="21">
        <f t="shared" ca="1" si="27"/>
        <v>0</v>
      </c>
      <c r="BY61" s="21">
        <f t="shared" ca="1" si="28"/>
        <v>0</v>
      </c>
      <c r="BZ61" s="21">
        <f t="shared" ca="1" si="29"/>
        <v>0</v>
      </c>
      <c r="CA61" s="21" t="str">
        <f t="shared" ca="1" si="30"/>
        <v>0:</v>
      </c>
      <c r="CB61" s="21" t="str">
        <f t="shared" ca="1" si="31"/>
        <v>0:</v>
      </c>
      <c r="CC61" s="21" t="str">
        <f t="shared" ca="1" si="32"/>
        <v>0:</v>
      </c>
      <c r="CD61" s="21" t="str">
        <f t="shared" ca="1" si="33"/>
        <v>0:</v>
      </c>
      <c r="CE61" s="21" t="str">
        <f t="shared" ca="1" si="34"/>
        <v>0:</v>
      </c>
      <c r="CF61" s="21">
        <f t="shared" ca="1" si="35"/>
        <v>0</v>
      </c>
      <c r="CG61" s="21">
        <f t="shared" ca="1" si="36"/>
        <v>0</v>
      </c>
      <c r="CH61" s="21">
        <f t="shared" ca="1" si="37"/>
        <v>0</v>
      </c>
      <c r="CI61" s="21">
        <f t="shared" ca="1" si="38"/>
        <v>0</v>
      </c>
      <c r="CJ61" s="21">
        <f t="shared" ca="1" si="39"/>
        <v>0</v>
      </c>
      <c r="CK61" s="21">
        <f t="shared" ca="1" si="66"/>
        <v>0</v>
      </c>
      <c r="CL61" s="21" t="str">
        <f ca="1">IFERROR(VLOOKUP($CK61,Definitions!$V:$W,COLUMNS(Definitions!$V:$W),TRUE),"")</f>
        <v>Basic</v>
      </c>
      <c r="CM61" s="21" t="str">
        <f ca="1">_xlfn.LET(_xlpm._comments,SimpleLookup($A61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1" s="21" t="str" cm="1">
        <f t="array" ca="1" aca="1" ref="CN61">_xlfn.LET(_xlpm._rapRange,Definitions!$W:$W,_xlpm._calculatedRAP,$CL61,_xlpm._inlineRAP,$CM61,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1" s="21" t="str">
        <f ca="1">IFERROR(IF(OR($BP61="",$CN61=""),Definitions!$AE$4,VLOOKUP($BP61,Definitions!$AH:$AM,MATCH($CN61,Definitions!$AH$3:$AM$3,0),FALSE)),"")</f>
        <v>No Risk</v>
      </c>
      <c r="CP61" s="21" cm="1">
        <f t="array" ca="1" aca="1" ref="CP61">IF($CO61="",0,SimpleLookup($CO61,Definitions!$AE:$AF))</f>
        <v>0</v>
      </c>
      <c r="CQ61" s="21" t="b">
        <f ca="1">OR(AND($S61,$I61=Helper!$B$7),$I61&gt;Helper!$B$7)</f>
        <v>1</v>
      </c>
      <c r="CR61" s="21" t="str">
        <f t="shared" ca="1" si="67"/>
        <v/>
      </c>
      <c r="CS61" s="21" cm="1">
        <f t="array" ca="1" aca="1" ref="CS61">CreateID($CS$2,$CV:$CV,$CR61&lt;&gt;"")</f>
        <v>0</v>
      </c>
      <c r="CT61" s="21" t="str">
        <f ca="1">IF(IFERROR(MATCH(","&amp;A61&amp;",",'Risk Treatment'!$AT:$AT,0)&gt;0,FALSE),"",$A61)</f>
        <v/>
      </c>
      <c r="CU61" s="21" cm="1">
        <f t="array" ca="1" aca="1" ref="CU61">CreateID($CU$2,$CU:$CU,$CT61&lt;&gt;"")</f>
        <v>38</v>
      </c>
    </row>
    <row r="62" spans="1:99" ht="15">
      <c r="A62" s="33" t="str" cm="1">
        <f t="array" ca="1" aca="1" ref="A62">IF($B62="","","R"&amp;RemoveDelimiter(SUBSTITUTE(SUBSTITUTE($K62,"AS",""),",","-"),"-"))</f>
        <v/>
      </c>
      <c r="B62" s="33" t="str" cm="1">
        <f t="array" ca="1" aca="1" ref="B62">IF($L62="","",_xlfn.LET(_xlpm._finalAttackStep,$L62,_xlpm._prepAttacks,RemoveFirstElement(_xlpm._finalAttackStep&amp;","&amp;$K62),_xlpm._prepAttackNames,IFERROR(LookupNames(_xlpm._prepAttacks,'Attack Steps'!$A:$B),""),_xlpm._delimiter,REPT(CHAR(150),55),$L62&amp;" "&amp;SimpleLookup($L62,'Attack Steps'!$A:$B)&amp;IF(_xlpm._prepAttackNames="","",CHAR(10)&amp;_xlpm._delimiter&amp;CHAR(10)&amp;_xlpm._prepAttackNames)))</f>
        <v/>
      </c>
      <c r="C62" s="34" t="str" cm="1">
        <f t="array" ca="1" aca="1" ref="C62">IFERROR(LookupNames($M62,'Damage Scenarios'!$A:$V),"")</f>
        <v/>
      </c>
      <c r="D62" s="33" t="str">
        <f ca="1">IFERROR(IF($T62=0,"",INDEX(Definitions!$Q:$Q,MATCH($T62,Definitions!$R:$R,0))),"")</f>
        <v/>
      </c>
      <c r="E62" s="34" t="str" cm="1">
        <f t="array" ca="1" aca="1" ref="E62">IF($A62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62,$A:W,Definitions!$Y:$Y,Definitions!$AB:$AB,1)&amp;CHAR(10)&amp;_xlpm._factorFunction($A62,$A:X,Definitions!$Y:$Y,Definitions!$AB:$AB,2)&amp;CHAR(10)&amp;_xlpm._factorFunction($A62,$A:Y,Definitions!$Y:$Y,Definitions!$AB:$AB,3)&amp;CHAR(10)&amp;_xlpm._factorFunction($A62,$A:Z,Definitions!$Y:$Y,Definitions!$AB:$AB,4)&amp;CHAR(10)&amp;_xlpm._factorFunction($A62,$A:AA,Definitions!$Y:$Y,Definitions!$AB:$AB,5)))</f>
        <v/>
      </c>
      <c r="F62" s="33" t="str">
        <f ca="1">IF($A62="","",IFERROR(VLOOKUP($AG62,Definitions!$V:$W,COLUMNS(Definitions!$V:$W),TRUE),""))</f>
        <v/>
      </c>
      <c r="G62" s="33" t="str">
        <f ca="1">IFERROR(IF(OR($D62="",$F62=""),"",VLOOKUP($D62,Definitions!$AH:$AM,MATCH($F62,Definitions!$AH$3:$AM$3,0),FALSE)),"")</f>
        <v/>
      </c>
      <c r="H62" s="23" cm="1">
        <f t="array" ca="1" aca="1" ref="H62">IF(ROW()=ROW($H$2)+1,0,INDEX($H:$H,ROW()-1))+IF($A62="",0,1)</f>
        <v>38</v>
      </c>
      <c r="I62" s="21" cm="1">
        <f t="array" ca="1" aca="1" ref="I62">IF(ROW()=ROW($I$2)+1,1,INDEX($I:$I,ROW()-1)+IF(INDEX($S:$S,ROW()-1),1,0))</f>
        <v>16</v>
      </c>
      <c r="J62" s="21">
        <f t="shared" ca="1" si="63"/>
        <v>22</v>
      </c>
      <c r="K62" s="21" t="str">
        <f t="shared" ca="1" si="68"/>
        <v/>
      </c>
      <c r="L62" s="21" t="str" cm="1">
        <f t="array" ca="1" aca="1" ref="L62">IF($P62="","",INDEX('Attack Steps'!$A:$A,$P62))</f>
        <v/>
      </c>
      <c r="M62" s="21" t="str" cm="1">
        <f t="array" ca="1" aca="1" ref="M62">IF($P62="","",INDEX('Attack Steps'!$T:$T,$P62))</f>
        <v/>
      </c>
      <c r="N62" s="21" t="str" cm="1">
        <f t="array" ca="1" aca="1" ref="N62">_xlfn.LET(_xlpm._dm,SanitizeInput(GetValuesWithFallback(SanitizeInput($AK62),Assumptions!$A:$I,Countermeasures!$A:$I,"",",",FALSE)),IF(_xlpm._dm="","",","&amp;_xlpm._dm))</f>
        <v/>
      </c>
      <c r="O62" s="21" t="str" cm="1">
        <f t="array" ca="1" aca="1" ref="O62">ApplyDamageMitigation($M62,$N62,"")</f>
        <v/>
      </c>
      <c r="P62" s="21" t="str">
        <f ca="1">IFERROR(MATCH($I62,'Attack Steps'!$V:$V,0),"")</f>
        <v/>
      </c>
      <c r="Q62" s="21" t="str" cm="1">
        <f t="array" ca="1" aca="1" ref="Q62">IF($P62="","","§"&amp;INDEX('Attack Steps'!$S:$S,$P62))</f>
        <v/>
      </c>
      <c r="R62" s="21" t="str" cm="1">
        <f t="array" ca="1" aca="1" ref="R62">IF($P62="","",INDEX('Attack Steps'!$W:$W,$P62))</f>
        <v/>
      </c>
      <c r="S62" s="21" t="b">
        <f t="shared" ca="1" si="69"/>
        <v>0</v>
      </c>
      <c r="T62" s="21" cm="1">
        <f t="array" ca="1" aca="1" ref="T62">_xlfn.LAMBDA(_xlpm._in,_xlpm._val,_xlpm._range,IF(_xlpm._in="",_xlpm._val,_xlfn.LET(_xlpm._id,LEFT(_xlpm._in,FIND(",",_xlpm._in)-1),CalculateMaxFromList(RemoveFirstElement(_xlpm._in),MAX(_xlpm._val,VLOOKUP(_xlpm._id,_xlpm._range,COLUMNS(_xlpm._range),FALSE)),_xlpm._range))))($M62,0,'Damage Scenarios'!$A:$U)</f>
        <v>0</v>
      </c>
      <c r="U62" s="21" cm="1">
        <f t="array" ca="1" aca="1" ref="U62">CalculateMaxFromList($O62,0,'Damage Scenarios'!$A:$U)</f>
        <v>0</v>
      </c>
      <c r="V62" s="21" t="str">
        <f ca="1">IF($U62=0,"",INDEX(Definitions!$Q:$Q,MATCH($U62,Definitions!$R:$R,0)))</f>
        <v/>
      </c>
      <c r="W62" s="21" t="str" cm="1">
        <f t="array" ca="1" aca="1" ref="W62">CalculateMaxAndElements($K62,0,"",'Attack Steps'!$A:X)</f>
        <v>0:</v>
      </c>
      <c r="X62" s="21" t="str" cm="1">
        <f t="array" ca="1" aca="1" ref="X62">CalculateMaxAndElements($K62,0,"",'Attack Steps'!$A:Y)</f>
        <v>0:</v>
      </c>
      <c r="Y62" s="21" t="str" cm="1">
        <f t="array" ca="1" aca="1" ref="Y62">CalculateMaxAndElements($K62,0,"",'Attack Steps'!$A:Z)</f>
        <v>0:</v>
      </c>
      <c r="Z62" s="21" t="str" cm="1">
        <f t="array" ca="1" aca="1" ref="Z62">CalculateMaxAndElements($K62,0,"",'Attack Steps'!$A:AA)</f>
        <v>0:</v>
      </c>
      <c r="AA62" s="21" t="str" cm="1">
        <f t="array" ca="1" aca="1" ref="AA62">CalculateMaxAndElements($K62,0,"",'Attack Steps'!$A:AB)</f>
        <v>0:</v>
      </c>
      <c r="AB62" s="21">
        <f t="shared" ca="1" si="70"/>
        <v>0</v>
      </c>
      <c r="AC62" s="21">
        <f t="shared" ca="1" si="71"/>
        <v>0</v>
      </c>
      <c r="AD62" s="21">
        <f t="shared" ca="1" si="72"/>
        <v>0</v>
      </c>
      <c r="AE62" s="21">
        <f t="shared" ca="1" si="73"/>
        <v>0</v>
      </c>
      <c r="AF62" s="21">
        <f t="shared" ca="1" si="74"/>
        <v>0</v>
      </c>
      <c r="AG62" s="21">
        <f t="shared" ca="1" si="64"/>
        <v>0</v>
      </c>
      <c r="AH62" s="21" t="str" cm="1">
        <f t="array" ca="1" aca="1" ref="AH62">IF(ROW()=ROW($AH$2)+1,"",INDEX($AH:$AH,ROW()-1))&amp;IF($A62="","",$A62&amp;",")</f>
        <v>R1-3,R2-3,R1-4,R2-4,R1-6,R2-6,R1-7,R2-7,R1-3-10,R2-3-10,R1-3-11,R2-3-11,R1-14,R1-16,R2-16,R21-23,R22-23,R1-29,R2-29,R31,R1-3-32,R2-3-32,R1-5-32,R2-5-32,R1-7-32,R2-7-32,R1-16-32,R2-16-32,R21-23-32,R22-23-32,R21-24-32,R22-24-32,R1-29-32,R2-29-32,R37,R38,R1-40,R2-40,</v>
      </c>
      <c r="AI62" s="21" t="str">
        <f t="shared" ca="1" si="75"/>
        <v/>
      </c>
      <c r="AJ62" s="21" cm="1">
        <f t="array" ca="1" aca="1" ref="AJ62">IF($G62="",0,SimpleLookup($G62,Definitions!$AE:$AF))</f>
        <v>0</v>
      </c>
      <c r="AK62" s="21" t="str" cm="1">
        <f t="array" ca="1" aca="1" ref="AK62">InverseLookup($A62,Mitigation!$U$2,Mitigation!$J$2,1,Helper!$B$5,",")</f>
        <v/>
      </c>
      <c r="AL62" s="21" t="str" cm="1">
        <f t="array" ca="1" aca="1" ref="AL62">CalculateMaxAndElementsWithFallback(SanitizeInput($AK62),0,"",Countermeasures!$A:Y,Assumptions!$A:Z)</f>
        <v>0:</v>
      </c>
      <c r="AM62" s="21" t="str" cm="1">
        <f t="array" ca="1" aca="1" ref="AM62">CalculateMaxAndElementsWithFallback(SanitizeInput($AK62),0,"",Countermeasures!$A:Z,Assumptions!$A:AA)</f>
        <v>0:</v>
      </c>
      <c r="AN62" s="21" t="str" cm="1">
        <f t="array" ca="1" aca="1" ref="AN62">CalculateMaxAndElementsWithFallback(SanitizeInput($AK62),0,"",Countermeasures!$A:AA,Assumptions!$A:AB)</f>
        <v>0:</v>
      </c>
      <c r="AO62" s="21" t="str" cm="1">
        <f t="array" ca="1" aca="1" ref="AO62">CalculateMaxAndElementsWithFallback(SanitizeInput($AK62),0,"",Countermeasures!$A:AB,Assumptions!$A:AC)</f>
        <v>0:</v>
      </c>
      <c r="AP62" s="21" t="str" cm="1">
        <f t="array" ca="1" aca="1" ref="AP62">CalculateMaxAndElementsWithFallback(SanitizeInput($AK62),0,"",Countermeasures!$A:AC,Assumptions!$A:AD)</f>
        <v>0:</v>
      </c>
      <c r="AQ62" s="21">
        <f t="shared" ca="1" si="76"/>
        <v>0</v>
      </c>
      <c r="AR62" s="21">
        <f t="shared" ca="1" si="77"/>
        <v>0</v>
      </c>
      <c r="AS62" s="21">
        <f t="shared" ca="1" si="78"/>
        <v>0</v>
      </c>
      <c r="AT62" s="21">
        <f t="shared" ca="1" si="79"/>
        <v>0</v>
      </c>
      <c r="AU62" s="21">
        <f t="shared" ca="1" si="80"/>
        <v>0</v>
      </c>
      <c r="AV62" s="21" t="str">
        <f t="shared" ca="1" si="81"/>
        <v>0:</v>
      </c>
      <c r="AW62" s="21" t="str">
        <f t="shared" ca="1" si="82"/>
        <v>0:</v>
      </c>
      <c r="AX62" s="21" t="str">
        <f t="shared" ca="1" si="83"/>
        <v>0:</v>
      </c>
      <c r="AY62" s="21" t="str">
        <f t="shared" ca="1" si="84"/>
        <v>0:</v>
      </c>
      <c r="AZ62" s="21" t="str">
        <f t="shared" ca="1" si="85"/>
        <v>0:</v>
      </c>
      <c r="BA62" s="21">
        <f t="shared" ca="1" si="86"/>
        <v>0</v>
      </c>
      <c r="BB62" s="21">
        <f t="shared" ca="1" si="87"/>
        <v>0</v>
      </c>
      <c r="BC62" s="21">
        <f t="shared" ca="1" si="88"/>
        <v>0</v>
      </c>
      <c r="BD62" s="21">
        <f t="shared" ca="1" si="89"/>
        <v>0</v>
      </c>
      <c r="BE62" s="21">
        <f t="shared" ca="1" si="90"/>
        <v>0</v>
      </c>
      <c r="BF62" s="21">
        <f t="shared" ca="1" si="65"/>
        <v>0</v>
      </c>
      <c r="BG62" s="21" t="str">
        <f ca="1">IFERROR(VLOOKUP($BF62,Definitions!$V:$W,COLUMNS(Definitions!$V:$W),TRUE),"")</f>
        <v>Basic</v>
      </c>
      <c r="BH62" s="21" t="str">
        <f ca="1">_xlfn.LET(_xlpm._comments,GetValues($K62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2" s="21" t="str" cm="1">
        <f t="array" ca="1" aca="1" ref="BI62">_xlfn.LET(_xlpm._rapRange,Definitions!$W:$W,_xlpm._calculatedRAP,$BG62,_xlpm._inlineRAP,$BH62,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2" s="21" t="str">
        <f ca="1">IFERROR(IF(OR($V62="",$BI62=""),Definitions!$AE$4,VLOOKUP($V62,Definitions!$AH:$AM,MATCH($BI62,Definitions!$AH$3:$AM$3,0),FALSE)),"")</f>
        <v>No Risk</v>
      </c>
      <c r="BK62" s="21" cm="1">
        <f t="array" ca="1" aca="1" ref="BK62">IF($BJ62="",0,SimpleLookup($BJ62,Definitions!$AE:$AF))</f>
        <v>0</v>
      </c>
      <c r="BL62" s="21" t="str" cm="1">
        <f t="array" ca="1" aca="1" ref="BL62">IFERROR(SimpleLookup($A62,Tracing!$B:$Z),"")</f>
        <v/>
      </c>
      <c r="BM62" s="21" t="str" cm="1">
        <f t="array" ca="1" aca="1" ref="BM62">_xlfn.LET(_xlpm._dm,SanitizeInput(GetValuesWithFallback(SanitizeInput($BL62),Assumptions!$A:$I,Countermeasures!$A:$I,"",",",FALSE)),IF(_xlpm._dm="","",","&amp;_xlpm._dm))</f>
        <v/>
      </c>
      <c r="BN62" s="21" t="str" cm="1">
        <f t="array" ca="1" aca="1" ref="BN62">ApplyDamageMitigation($M62,$BM62,"")</f>
        <v/>
      </c>
      <c r="BO62" s="21" cm="1">
        <f t="array" ca="1" aca="1" ref="BO62">CalculateMaxFromList($BN62,0,'Damage Scenarios'!$A:$U)</f>
        <v>0</v>
      </c>
      <c r="BP62" s="21" t="str">
        <f ca="1">IF($BO62=0,"",INDEX(Definitions!$Q:$Q,MATCH($BO62,Definitions!$R:$R,0)))</f>
        <v/>
      </c>
      <c r="BQ62" s="21" t="str" cm="1">
        <f t="array" ca="1" aca="1" ref="BQ62">CalculateMaxAndElementsWithFallback(SanitizeInput($BL62),0,"",Countermeasures!$A:Y,Assumptions!$A:Z)</f>
        <v>0:</v>
      </c>
      <c r="BR62" s="21" t="str" cm="1">
        <f t="array" ca="1" aca="1" ref="BR62">CalculateMaxAndElementsWithFallback(SanitizeInput($BL62),0,"",Countermeasures!$A:Z,Assumptions!$A:AA)</f>
        <v>0:</v>
      </c>
      <c r="BS62" s="21" t="str" cm="1">
        <f t="array" ca="1" aca="1" ref="BS62">CalculateMaxAndElementsWithFallback(SanitizeInput($BL62),0,"",Countermeasures!$A:AA,Assumptions!$A:AB)</f>
        <v>0:</v>
      </c>
      <c r="BT62" s="21" t="str" cm="1">
        <f t="array" ca="1" aca="1" ref="BT62">CalculateMaxAndElementsWithFallback(SanitizeInput($BL62),0,"",Countermeasures!$A:AB,Assumptions!$A:AC)</f>
        <v>0:</v>
      </c>
      <c r="BU62" s="21" t="str" cm="1">
        <f t="array" ca="1" aca="1" ref="BU62">CalculateMaxAndElementsWithFallback(SanitizeInput($BL62),0,"",Countermeasures!$A:AC,Assumptions!$A:AD)</f>
        <v>0:</v>
      </c>
      <c r="BV62" s="21">
        <f t="shared" ca="1" si="25"/>
        <v>0</v>
      </c>
      <c r="BW62" s="21">
        <f t="shared" ca="1" si="26"/>
        <v>0</v>
      </c>
      <c r="BX62" s="21">
        <f t="shared" ca="1" si="27"/>
        <v>0</v>
      </c>
      <c r="BY62" s="21">
        <f t="shared" ca="1" si="28"/>
        <v>0</v>
      </c>
      <c r="BZ62" s="21">
        <f t="shared" ca="1" si="29"/>
        <v>0</v>
      </c>
      <c r="CA62" s="21" t="str">
        <f t="shared" ca="1" si="30"/>
        <v>0:</v>
      </c>
      <c r="CB62" s="21" t="str">
        <f t="shared" ca="1" si="31"/>
        <v>0:</v>
      </c>
      <c r="CC62" s="21" t="str">
        <f t="shared" ca="1" si="32"/>
        <v>0:</v>
      </c>
      <c r="CD62" s="21" t="str">
        <f t="shared" ca="1" si="33"/>
        <v>0:</v>
      </c>
      <c r="CE62" s="21" t="str">
        <f t="shared" ca="1" si="34"/>
        <v>0:</v>
      </c>
      <c r="CF62" s="21">
        <f t="shared" ca="1" si="35"/>
        <v>0</v>
      </c>
      <c r="CG62" s="21">
        <f t="shared" ca="1" si="36"/>
        <v>0</v>
      </c>
      <c r="CH62" s="21">
        <f t="shared" ca="1" si="37"/>
        <v>0</v>
      </c>
      <c r="CI62" s="21">
        <f t="shared" ca="1" si="38"/>
        <v>0</v>
      </c>
      <c r="CJ62" s="21">
        <f t="shared" ca="1" si="39"/>
        <v>0</v>
      </c>
      <c r="CK62" s="21">
        <f t="shared" ca="1" si="66"/>
        <v>0</v>
      </c>
      <c r="CL62" s="21" t="str">
        <f ca="1">IFERROR(VLOOKUP($CK62,Definitions!$V:$W,COLUMNS(Definitions!$V:$W),TRUE),"")</f>
        <v>Basic</v>
      </c>
      <c r="CM62" s="21" t="str">
        <f ca="1">_xlfn.LET(_xlpm._comments,SimpleLookup($A62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2" s="21" t="str" cm="1">
        <f t="array" ca="1" aca="1" ref="CN62">_xlfn.LET(_xlpm._rapRange,Definitions!$W:$W,_xlpm._calculatedRAP,$CL62,_xlpm._inlineRAP,$CM62,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2" s="21" t="str">
        <f ca="1">IFERROR(IF(OR($BP62="",$CN62=""),Definitions!$AE$4,VLOOKUP($BP62,Definitions!$AH:$AM,MATCH($CN62,Definitions!$AH$3:$AM$3,0),FALSE)),"")</f>
        <v>No Risk</v>
      </c>
      <c r="CP62" s="21" cm="1">
        <f t="array" ca="1" aca="1" ref="CP62">IF($CO62="",0,SimpleLookup($CO62,Definitions!$AE:$AF))</f>
        <v>0</v>
      </c>
      <c r="CQ62" s="21" t="b">
        <f ca="1">OR(AND($S62,$I62=Helper!$B$7),$I62&gt;Helper!$B$7)</f>
        <v>1</v>
      </c>
      <c r="CR62" s="21" t="str">
        <f t="shared" ca="1" si="67"/>
        <v/>
      </c>
      <c r="CS62" s="21" cm="1">
        <f t="array" ca="1" aca="1" ref="CS62">CreateID($CS$2,$CV:$CV,$CR62&lt;&gt;"")</f>
        <v>0</v>
      </c>
      <c r="CT62" s="21" t="str">
        <f ca="1">IF(IFERROR(MATCH(","&amp;A62&amp;",",'Risk Treatment'!$AT:$AT,0)&gt;0,FALSE),"",$A62)</f>
        <v/>
      </c>
      <c r="CU62" s="21" cm="1">
        <f t="array" ca="1" aca="1" ref="CU62">CreateID($CU$2,$CU:$CU,$CT62&lt;&gt;"")</f>
        <v>38</v>
      </c>
    </row>
    <row r="63" spans="1:99" ht="15">
      <c r="A63" s="33" t="str" cm="1">
        <f t="array" ca="1" aca="1" ref="A63">IF($B63="","","R"&amp;RemoveDelimiter(SUBSTITUTE(SUBSTITUTE($K63,"AS",""),",","-"),"-"))</f>
        <v/>
      </c>
      <c r="B63" s="33" t="str" cm="1">
        <f t="array" ca="1" aca="1" ref="B63">IF($L63="","",_xlfn.LET(_xlpm._finalAttackStep,$L63,_xlpm._prepAttacks,RemoveFirstElement(_xlpm._finalAttackStep&amp;","&amp;$K63),_xlpm._prepAttackNames,IFERROR(LookupNames(_xlpm._prepAttacks,'Attack Steps'!$A:$B),""),_xlpm._delimiter,REPT(CHAR(150),55),$L63&amp;" "&amp;SimpleLookup($L63,'Attack Steps'!$A:$B)&amp;IF(_xlpm._prepAttackNames="","",CHAR(10)&amp;_xlpm._delimiter&amp;CHAR(10)&amp;_xlpm._prepAttackNames)))</f>
        <v/>
      </c>
      <c r="C63" s="34" t="str" cm="1">
        <f t="array" ca="1" aca="1" ref="C63">IFERROR(LookupNames($M63,'Damage Scenarios'!$A:$V),"")</f>
        <v/>
      </c>
      <c r="D63" s="33" t="str">
        <f ca="1">IFERROR(IF($T63=0,"",INDEX(Definitions!$Q:$Q,MATCH($T63,Definitions!$R:$R,0))),"")</f>
        <v/>
      </c>
      <c r="E63" s="34" t="str" cm="1">
        <f t="array" ca="1" aca="1" ref="E63">IF($A63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63,$A:W,Definitions!$Y:$Y,Definitions!$AB:$AB,1)&amp;CHAR(10)&amp;_xlpm._factorFunction($A63,$A:X,Definitions!$Y:$Y,Definitions!$AB:$AB,2)&amp;CHAR(10)&amp;_xlpm._factorFunction($A63,$A:Y,Definitions!$Y:$Y,Definitions!$AB:$AB,3)&amp;CHAR(10)&amp;_xlpm._factorFunction($A63,$A:Z,Definitions!$Y:$Y,Definitions!$AB:$AB,4)&amp;CHAR(10)&amp;_xlpm._factorFunction($A63,$A:AA,Definitions!$Y:$Y,Definitions!$AB:$AB,5)))</f>
        <v/>
      </c>
      <c r="F63" s="33" t="str">
        <f ca="1">IF($A63="","",IFERROR(VLOOKUP($AG63,Definitions!$V:$W,COLUMNS(Definitions!$V:$W),TRUE),""))</f>
        <v/>
      </c>
      <c r="G63" s="33" t="str">
        <f ca="1">IFERROR(IF(OR($D63="",$F63=""),"",VLOOKUP($D63,Definitions!$AH:$AM,MATCH($F63,Definitions!$AH$3:$AM$3,0),FALSE)),"")</f>
        <v/>
      </c>
      <c r="H63" s="23" cm="1">
        <f t="array" ca="1" aca="1" ref="H63">IF(ROW()=ROW($H$2)+1,0,INDEX($H:$H,ROW()-1))+IF($A63="",0,1)</f>
        <v>38</v>
      </c>
      <c r="I63" s="21" cm="1">
        <f t="array" ca="1" aca="1" ref="I63">IF(ROW()=ROW($I$2)+1,1,INDEX($I:$I,ROW()-1)+IF(INDEX($S:$S,ROW()-1),1,0))</f>
        <v>16</v>
      </c>
      <c r="J63" s="21">
        <f t="shared" ca="1" si="63"/>
        <v>23</v>
      </c>
      <c r="K63" s="21" t="str">
        <f t="shared" ca="1" si="68"/>
        <v/>
      </c>
      <c r="L63" s="21" t="str" cm="1">
        <f t="array" ca="1" aca="1" ref="L63">IF($P63="","",INDEX('Attack Steps'!$A:$A,$P63))</f>
        <v/>
      </c>
      <c r="M63" s="21" t="str" cm="1">
        <f t="array" ca="1" aca="1" ref="M63">IF($P63="","",INDEX('Attack Steps'!$T:$T,$P63))</f>
        <v/>
      </c>
      <c r="N63" s="21" t="str" cm="1">
        <f t="array" ca="1" aca="1" ref="N63">_xlfn.LET(_xlpm._dm,SanitizeInput(GetValuesWithFallback(SanitizeInput($AK63),Assumptions!$A:$I,Countermeasures!$A:$I,"",",",FALSE)),IF(_xlpm._dm="","",","&amp;_xlpm._dm))</f>
        <v/>
      </c>
      <c r="O63" s="21" t="str" cm="1">
        <f t="array" ca="1" aca="1" ref="O63">ApplyDamageMitigation($M63,$N63,"")</f>
        <v/>
      </c>
      <c r="P63" s="21" t="str">
        <f ca="1">IFERROR(MATCH($I63,'Attack Steps'!$V:$V,0),"")</f>
        <v/>
      </c>
      <c r="Q63" s="21" t="str" cm="1">
        <f t="array" ca="1" aca="1" ref="Q63">IF($P63="","","§"&amp;INDEX('Attack Steps'!$S:$S,$P63))</f>
        <v/>
      </c>
      <c r="R63" s="21" t="str" cm="1">
        <f t="array" ca="1" aca="1" ref="R63">IF($P63="","",INDEX('Attack Steps'!$W:$W,$P63))</f>
        <v/>
      </c>
      <c r="S63" s="21" t="b">
        <f t="shared" ca="1" si="69"/>
        <v>0</v>
      </c>
      <c r="T63" s="21" cm="1">
        <f t="array" ca="1" aca="1" ref="T63">_xlfn.LAMBDA(_xlpm._in,_xlpm._val,_xlpm._range,IF(_xlpm._in="",_xlpm._val,_xlfn.LET(_xlpm._id,LEFT(_xlpm._in,FIND(",",_xlpm._in)-1),CalculateMaxFromList(RemoveFirstElement(_xlpm._in),MAX(_xlpm._val,VLOOKUP(_xlpm._id,_xlpm._range,COLUMNS(_xlpm._range),FALSE)),_xlpm._range))))($M63,0,'Damage Scenarios'!$A:$U)</f>
        <v>0</v>
      </c>
      <c r="U63" s="21" cm="1">
        <f t="array" ca="1" aca="1" ref="U63">CalculateMaxFromList($O63,0,'Damage Scenarios'!$A:$U)</f>
        <v>0</v>
      </c>
      <c r="V63" s="21" t="str">
        <f ca="1">IF($U63=0,"",INDEX(Definitions!$Q:$Q,MATCH($U63,Definitions!$R:$R,0)))</f>
        <v/>
      </c>
      <c r="W63" s="21" t="str" cm="1">
        <f t="array" ca="1" aca="1" ref="W63">CalculateMaxAndElements($K63,0,"",'Attack Steps'!$A:X)</f>
        <v>0:</v>
      </c>
      <c r="X63" s="21" t="str" cm="1">
        <f t="array" ca="1" aca="1" ref="X63">CalculateMaxAndElements($K63,0,"",'Attack Steps'!$A:Y)</f>
        <v>0:</v>
      </c>
      <c r="Y63" s="21" t="str" cm="1">
        <f t="array" ca="1" aca="1" ref="Y63">CalculateMaxAndElements($K63,0,"",'Attack Steps'!$A:Z)</f>
        <v>0:</v>
      </c>
      <c r="Z63" s="21" t="str" cm="1">
        <f t="array" ca="1" aca="1" ref="Z63">CalculateMaxAndElements($K63,0,"",'Attack Steps'!$A:AA)</f>
        <v>0:</v>
      </c>
      <c r="AA63" s="21" t="str" cm="1">
        <f t="array" ca="1" aca="1" ref="AA63">CalculateMaxAndElements($K63,0,"",'Attack Steps'!$A:AB)</f>
        <v>0:</v>
      </c>
      <c r="AB63" s="21">
        <f t="shared" ca="1" si="70"/>
        <v>0</v>
      </c>
      <c r="AC63" s="21">
        <f t="shared" ca="1" si="71"/>
        <v>0</v>
      </c>
      <c r="AD63" s="21">
        <f t="shared" ca="1" si="72"/>
        <v>0</v>
      </c>
      <c r="AE63" s="21">
        <f t="shared" ca="1" si="73"/>
        <v>0</v>
      </c>
      <c r="AF63" s="21">
        <f t="shared" ca="1" si="74"/>
        <v>0</v>
      </c>
      <c r="AG63" s="21">
        <f t="shared" ca="1" si="64"/>
        <v>0</v>
      </c>
      <c r="AH63" s="21" t="str" cm="1">
        <f t="array" ca="1" aca="1" ref="AH63">IF(ROW()=ROW($AH$2)+1,"",INDEX($AH:$AH,ROW()-1))&amp;IF($A63="","",$A63&amp;",")</f>
        <v>R1-3,R2-3,R1-4,R2-4,R1-6,R2-6,R1-7,R2-7,R1-3-10,R2-3-10,R1-3-11,R2-3-11,R1-14,R1-16,R2-16,R21-23,R22-23,R1-29,R2-29,R31,R1-3-32,R2-3-32,R1-5-32,R2-5-32,R1-7-32,R2-7-32,R1-16-32,R2-16-32,R21-23-32,R22-23-32,R21-24-32,R22-24-32,R1-29-32,R2-29-32,R37,R38,R1-40,R2-40,</v>
      </c>
      <c r="AI63" s="21" t="str">
        <f t="shared" ca="1" si="75"/>
        <v/>
      </c>
      <c r="AJ63" s="21" cm="1">
        <f t="array" ca="1" aca="1" ref="AJ63">IF($G63="",0,SimpleLookup($G63,Definitions!$AE:$AF))</f>
        <v>0</v>
      </c>
      <c r="AK63" s="21" t="str" cm="1">
        <f t="array" ca="1" aca="1" ref="AK63">InverseLookup($A63,Mitigation!$U$2,Mitigation!$J$2,1,Helper!$B$5,",")</f>
        <v/>
      </c>
      <c r="AL63" s="21" t="str" cm="1">
        <f t="array" ca="1" aca="1" ref="AL63">CalculateMaxAndElementsWithFallback(SanitizeInput($AK63),0,"",Countermeasures!$A:Y,Assumptions!$A:Z)</f>
        <v>0:</v>
      </c>
      <c r="AM63" s="21" t="str" cm="1">
        <f t="array" ca="1" aca="1" ref="AM63">CalculateMaxAndElementsWithFallback(SanitizeInput($AK63),0,"",Countermeasures!$A:Z,Assumptions!$A:AA)</f>
        <v>0:</v>
      </c>
      <c r="AN63" s="21" t="str" cm="1">
        <f t="array" ca="1" aca="1" ref="AN63">CalculateMaxAndElementsWithFallback(SanitizeInput($AK63),0,"",Countermeasures!$A:AA,Assumptions!$A:AB)</f>
        <v>0:</v>
      </c>
      <c r="AO63" s="21" t="str" cm="1">
        <f t="array" ca="1" aca="1" ref="AO63">CalculateMaxAndElementsWithFallback(SanitizeInput($AK63),0,"",Countermeasures!$A:AB,Assumptions!$A:AC)</f>
        <v>0:</v>
      </c>
      <c r="AP63" s="21" t="str" cm="1">
        <f t="array" ca="1" aca="1" ref="AP63">CalculateMaxAndElementsWithFallback(SanitizeInput($AK63),0,"",Countermeasures!$A:AC,Assumptions!$A:AD)</f>
        <v>0:</v>
      </c>
      <c r="AQ63" s="21">
        <f t="shared" ca="1" si="76"/>
        <v>0</v>
      </c>
      <c r="AR63" s="21">
        <f t="shared" ca="1" si="77"/>
        <v>0</v>
      </c>
      <c r="AS63" s="21">
        <f t="shared" ca="1" si="78"/>
        <v>0</v>
      </c>
      <c r="AT63" s="21">
        <f t="shared" ca="1" si="79"/>
        <v>0</v>
      </c>
      <c r="AU63" s="21">
        <f t="shared" ca="1" si="80"/>
        <v>0</v>
      </c>
      <c r="AV63" s="21" t="str">
        <f t="shared" ca="1" si="81"/>
        <v>0:</v>
      </c>
      <c r="AW63" s="21" t="str">
        <f t="shared" ca="1" si="82"/>
        <v>0:</v>
      </c>
      <c r="AX63" s="21" t="str">
        <f t="shared" ca="1" si="83"/>
        <v>0:</v>
      </c>
      <c r="AY63" s="21" t="str">
        <f t="shared" ca="1" si="84"/>
        <v>0:</v>
      </c>
      <c r="AZ63" s="21" t="str">
        <f t="shared" ca="1" si="85"/>
        <v>0:</v>
      </c>
      <c r="BA63" s="21">
        <f t="shared" ca="1" si="86"/>
        <v>0</v>
      </c>
      <c r="BB63" s="21">
        <f t="shared" ca="1" si="87"/>
        <v>0</v>
      </c>
      <c r="BC63" s="21">
        <f t="shared" ca="1" si="88"/>
        <v>0</v>
      </c>
      <c r="BD63" s="21">
        <f t="shared" ca="1" si="89"/>
        <v>0</v>
      </c>
      <c r="BE63" s="21">
        <f t="shared" ca="1" si="90"/>
        <v>0</v>
      </c>
      <c r="BF63" s="21">
        <f t="shared" ca="1" si="65"/>
        <v>0</v>
      </c>
      <c r="BG63" s="21" t="str">
        <f ca="1">IFERROR(VLOOKUP($BF63,Definitions!$V:$W,COLUMNS(Definitions!$V:$W),TRUE),"")</f>
        <v>Basic</v>
      </c>
      <c r="BH63" s="21" t="str">
        <f ca="1">_xlfn.LET(_xlpm._comments,GetValues($K63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3" s="21" t="str" cm="1">
        <f t="array" ca="1" aca="1" ref="BI63">_xlfn.LET(_xlpm._rapRange,Definitions!$W:$W,_xlpm._calculatedRAP,$BG63,_xlpm._inlineRAP,$BH63,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3" s="21" t="str">
        <f ca="1">IFERROR(IF(OR($V63="",$BI63=""),Definitions!$AE$4,VLOOKUP($V63,Definitions!$AH:$AM,MATCH($BI63,Definitions!$AH$3:$AM$3,0),FALSE)),"")</f>
        <v>No Risk</v>
      </c>
      <c r="BK63" s="21" cm="1">
        <f t="array" ca="1" aca="1" ref="BK63">IF($BJ63="",0,SimpleLookup($BJ63,Definitions!$AE:$AF))</f>
        <v>0</v>
      </c>
      <c r="BL63" s="21" t="str" cm="1">
        <f t="array" ca="1" aca="1" ref="BL63">IFERROR(SimpleLookup($A63,Tracing!$B:$Z),"")</f>
        <v/>
      </c>
      <c r="BM63" s="21" t="str" cm="1">
        <f t="array" ca="1" aca="1" ref="BM63">_xlfn.LET(_xlpm._dm,SanitizeInput(GetValuesWithFallback(SanitizeInput($BL63),Assumptions!$A:$I,Countermeasures!$A:$I,"",",",FALSE)),IF(_xlpm._dm="","",","&amp;_xlpm._dm))</f>
        <v/>
      </c>
      <c r="BN63" s="21" t="str" cm="1">
        <f t="array" ca="1" aca="1" ref="BN63">ApplyDamageMitigation($M63,$BM63,"")</f>
        <v/>
      </c>
      <c r="BO63" s="21" cm="1">
        <f t="array" ca="1" aca="1" ref="BO63">CalculateMaxFromList($BN63,0,'Damage Scenarios'!$A:$U)</f>
        <v>0</v>
      </c>
      <c r="BP63" s="21" t="str">
        <f ca="1">IF($BO63=0,"",INDEX(Definitions!$Q:$Q,MATCH($BO63,Definitions!$R:$R,0)))</f>
        <v/>
      </c>
      <c r="BQ63" s="21" t="str" cm="1">
        <f t="array" ca="1" aca="1" ref="BQ63">CalculateMaxAndElementsWithFallback(SanitizeInput($BL63),0,"",Countermeasures!$A:Y,Assumptions!$A:Z)</f>
        <v>0:</v>
      </c>
      <c r="BR63" s="21" t="str" cm="1">
        <f t="array" ca="1" aca="1" ref="BR63">CalculateMaxAndElementsWithFallback(SanitizeInput($BL63),0,"",Countermeasures!$A:Z,Assumptions!$A:AA)</f>
        <v>0:</v>
      </c>
      <c r="BS63" s="21" t="str" cm="1">
        <f t="array" ca="1" aca="1" ref="BS63">CalculateMaxAndElementsWithFallback(SanitizeInput($BL63),0,"",Countermeasures!$A:AA,Assumptions!$A:AB)</f>
        <v>0:</v>
      </c>
      <c r="BT63" s="21" t="str" cm="1">
        <f t="array" ca="1" aca="1" ref="BT63">CalculateMaxAndElementsWithFallback(SanitizeInput($BL63),0,"",Countermeasures!$A:AB,Assumptions!$A:AC)</f>
        <v>0:</v>
      </c>
      <c r="BU63" s="21" t="str" cm="1">
        <f t="array" ca="1" aca="1" ref="BU63">CalculateMaxAndElementsWithFallback(SanitizeInput($BL63),0,"",Countermeasures!$A:AC,Assumptions!$A:AD)</f>
        <v>0:</v>
      </c>
      <c r="BV63" s="21">
        <f t="shared" ca="1" si="25"/>
        <v>0</v>
      </c>
      <c r="BW63" s="21">
        <f t="shared" ca="1" si="26"/>
        <v>0</v>
      </c>
      <c r="BX63" s="21">
        <f t="shared" ca="1" si="27"/>
        <v>0</v>
      </c>
      <c r="BY63" s="21">
        <f t="shared" ca="1" si="28"/>
        <v>0</v>
      </c>
      <c r="BZ63" s="21">
        <f t="shared" ca="1" si="29"/>
        <v>0</v>
      </c>
      <c r="CA63" s="21" t="str">
        <f t="shared" ca="1" si="30"/>
        <v>0:</v>
      </c>
      <c r="CB63" s="21" t="str">
        <f t="shared" ca="1" si="31"/>
        <v>0:</v>
      </c>
      <c r="CC63" s="21" t="str">
        <f t="shared" ca="1" si="32"/>
        <v>0:</v>
      </c>
      <c r="CD63" s="21" t="str">
        <f t="shared" ca="1" si="33"/>
        <v>0:</v>
      </c>
      <c r="CE63" s="21" t="str">
        <f t="shared" ca="1" si="34"/>
        <v>0:</v>
      </c>
      <c r="CF63" s="21">
        <f t="shared" ca="1" si="35"/>
        <v>0</v>
      </c>
      <c r="CG63" s="21">
        <f t="shared" ca="1" si="36"/>
        <v>0</v>
      </c>
      <c r="CH63" s="21">
        <f t="shared" ca="1" si="37"/>
        <v>0</v>
      </c>
      <c r="CI63" s="21">
        <f t="shared" ca="1" si="38"/>
        <v>0</v>
      </c>
      <c r="CJ63" s="21">
        <f t="shared" ca="1" si="39"/>
        <v>0</v>
      </c>
      <c r="CK63" s="21">
        <f t="shared" ca="1" si="66"/>
        <v>0</v>
      </c>
      <c r="CL63" s="21" t="str">
        <f ca="1">IFERROR(VLOOKUP($CK63,Definitions!$V:$W,COLUMNS(Definitions!$V:$W),TRUE),"")</f>
        <v>Basic</v>
      </c>
      <c r="CM63" s="21" t="str">
        <f ca="1">_xlfn.LET(_xlpm._comments,SimpleLookup($A63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3" s="21" t="str" cm="1">
        <f t="array" ca="1" aca="1" ref="CN63">_xlfn.LET(_xlpm._rapRange,Definitions!$W:$W,_xlpm._calculatedRAP,$CL63,_xlpm._inlineRAP,$CM63,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3" s="21" t="str">
        <f ca="1">IFERROR(IF(OR($BP63="",$CN63=""),Definitions!$AE$4,VLOOKUP($BP63,Definitions!$AH:$AM,MATCH($CN63,Definitions!$AH$3:$AM$3,0),FALSE)),"")</f>
        <v>No Risk</v>
      </c>
      <c r="CP63" s="21" cm="1">
        <f t="array" ca="1" aca="1" ref="CP63">IF($CO63="",0,SimpleLookup($CO63,Definitions!$AE:$AF))</f>
        <v>0</v>
      </c>
      <c r="CQ63" s="21" t="b">
        <f ca="1">OR(AND($S63,$I63=Helper!$B$7),$I63&gt;Helper!$B$7)</f>
        <v>1</v>
      </c>
      <c r="CR63" s="21" t="str">
        <f t="shared" ca="1" si="67"/>
        <v/>
      </c>
      <c r="CS63" s="21" cm="1">
        <f t="array" ca="1" aca="1" ref="CS63">CreateID($CS$2,$CV:$CV,$CR63&lt;&gt;"")</f>
        <v>0</v>
      </c>
      <c r="CT63" s="21" t="str">
        <f ca="1">IF(IFERROR(MATCH(","&amp;A63&amp;",",'Risk Treatment'!$AT:$AT,0)&gt;0,FALSE),"",$A63)</f>
        <v/>
      </c>
      <c r="CU63" s="21" cm="1">
        <f t="array" ca="1" aca="1" ref="CU63">CreateID($CU$2,$CU:$CU,$CT63&lt;&gt;"")</f>
        <v>38</v>
      </c>
    </row>
    <row r="64" spans="1:99" ht="15">
      <c r="A64" s="33" t="str" cm="1">
        <f t="array" ca="1" aca="1" ref="A64">IF($B64="","","R"&amp;RemoveDelimiter(SUBSTITUTE(SUBSTITUTE($K64,"AS",""),",","-"),"-"))</f>
        <v/>
      </c>
      <c r="B64" s="33" t="str" cm="1">
        <f t="array" ca="1" aca="1" ref="B64">IF($L64="","",_xlfn.LET(_xlpm._finalAttackStep,$L64,_xlpm._prepAttacks,RemoveFirstElement(_xlpm._finalAttackStep&amp;","&amp;$K64),_xlpm._prepAttackNames,IFERROR(LookupNames(_xlpm._prepAttacks,'Attack Steps'!$A:$B),""),_xlpm._delimiter,REPT(CHAR(150),55),$L64&amp;" "&amp;SimpleLookup($L64,'Attack Steps'!$A:$B)&amp;IF(_xlpm._prepAttackNames="","",CHAR(10)&amp;_xlpm._delimiter&amp;CHAR(10)&amp;_xlpm._prepAttackNames)))</f>
        <v/>
      </c>
      <c r="C64" s="34" t="str" cm="1">
        <f t="array" ca="1" aca="1" ref="C64">IFERROR(LookupNames($M64,'Damage Scenarios'!$A:$V),"")</f>
        <v/>
      </c>
      <c r="D64" s="33" t="str">
        <f ca="1">IFERROR(IF($T64=0,"",INDEX(Definitions!$Q:$Q,MATCH($T64,Definitions!$R:$R,0))),"")</f>
        <v/>
      </c>
      <c r="E64" s="34" t="str" cm="1">
        <f t="array" ca="1" aca="1" ref="E64">IF($A64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64,$A:W,Definitions!$Y:$Y,Definitions!$AB:$AB,1)&amp;CHAR(10)&amp;_xlpm._factorFunction($A64,$A:X,Definitions!$Y:$Y,Definitions!$AB:$AB,2)&amp;CHAR(10)&amp;_xlpm._factorFunction($A64,$A:Y,Definitions!$Y:$Y,Definitions!$AB:$AB,3)&amp;CHAR(10)&amp;_xlpm._factorFunction($A64,$A:Z,Definitions!$Y:$Y,Definitions!$AB:$AB,4)&amp;CHAR(10)&amp;_xlpm._factorFunction($A64,$A:AA,Definitions!$Y:$Y,Definitions!$AB:$AB,5)))</f>
        <v/>
      </c>
      <c r="F64" s="33" t="str">
        <f ca="1">IF($A64="","",IFERROR(VLOOKUP($AG64,Definitions!$V:$W,COLUMNS(Definitions!$V:$W),TRUE),""))</f>
        <v/>
      </c>
      <c r="G64" s="33" t="str">
        <f ca="1">IFERROR(IF(OR($D64="",$F64=""),"",VLOOKUP($D64,Definitions!$AH:$AM,MATCH($F64,Definitions!$AH$3:$AM$3,0),FALSE)),"")</f>
        <v/>
      </c>
      <c r="H64" s="23" cm="1">
        <f t="array" ca="1" aca="1" ref="H64">IF(ROW()=ROW($H$2)+1,0,INDEX($H:$H,ROW()-1))+IF($A64="",0,1)</f>
        <v>38</v>
      </c>
      <c r="I64" s="21" cm="1">
        <f t="array" ca="1" aca="1" ref="I64">IF(ROW()=ROW($I$2)+1,1,INDEX($I:$I,ROW()-1)+IF(INDEX($S:$S,ROW()-1),1,0))</f>
        <v>16</v>
      </c>
      <c r="J64" s="21">
        <f t="shared" ca="1" si="63"/>
        <v>24</v>
      </c>
      <c r="K64" s="21" t="str">
        <f t="shared" ca="1" si="68"/>
        <v/>
      </c>
      <c r="L64" s="21" t="str" cm="1">
        <f t="array" ca="1" aca="1" ref="L64">IF($P64="","",INDEX('Attack Steps'!$A:$A,$P64))</f>
        <v/>
      </c>
      <c r="M64" s="21" t="str" cm="1">
        <f t="array" ca="1" aca="1" ref="M64">IF($P64="","",INDEX('Attack Steps'!$T:$T,$P64))</f>
        <v/>
      </c>
      <c r="N64" s="21" t="str" cm="1">
        <f t="array" ca="1" aca="1" ref="N64">_xlfn.LET(_xlpm._dm,SanitizeInput(GetValuesWithFallback(SanitizeInput($AK64),Assumptions!$A:$I,Countermeasures!$A:$I,"",",",FALSE)),IF(_xlpm._dm="","",","&amp;_xlpm._dm))</f>
        <v/>
      </c>
      <c r="O64" s="21" t="str" cm="1">
        <f t="array" ca="1" aca="1" ref="O64">ApplyDamageMitigation($M64,$N64,"")</f>
        <v/>
      </c>
      <c r="P64" s="21" t="str">
        <f ca="1">IFERROR(MATCH($I64,'Attack Steps'!$V:$V,0),"")</f>
        <v/>
      </c>
      <c r="Q64" s="21" t="str" cm="1">
        <f t="array" ca="1" aca="1" ref="Q64">IF($P64="","","§"&amp;INDEX('Attack Steps'!$S:$S,$P64))</f>
        <v/>
      </c>
      <c r="R64" s="21" t="str" cm="1">
        <f t="array" ca="1" aca="1" ref="R64">IF($P64="","",INDEX('Attack Steps'!$W:$W,$P64))</f>
        <v/>
      </c>
      <c r="S64" s="21" t="b">
        <f t="shared" ca="1" si="69"/>
        <v>0</v>
      </c>
      <c r="T64" s="21" cm="1">
        <f t="array" ca="1" aca="1" ref="T64">_xlfn.LAMBDA(_xlpm._in,_xlpm._val,_xlpm._range,IF(_xlpm._in="",_xlpm._val,_xlfn.LET(_xlpm._id,LEFT(_xlpm._in,FIND(",",_xlpm._in)-1),CalculateMaxFromList(RemoveFirstElement(_xlpm._in),MAX(_xlpm._val,VLOOKUP(_xlpm._id,_xlpm._range,COLUMNS(_xlpm._range),FALSE)),_xlpm._range))))($M64,0,'Damage Scenarios'!$A:$U)</f>
        <v>0</v>
      </c>
      <c r="U64" s="21" cm="1">
        <f t="array" ca="1" aca="1" ref="U64">CalculateMaxFromList($O64,0,'Damage Scenarios'!$A:$U)</f>
        <v>0</v>
      </c>
      <c r="V64" s="21" t="str">
        <f ca="1">IF($U64=0,"",INDEX(Definitions!$Q:$Q,MATCH($U64,Definitions!$R:$R,0)))</f>
        <v/>
      </c>
      <c r="W64" s="21" t="str" cm="1">
        <f t="array" ca="1" aca="1" ref="W64">CalculateMaxAndElements($K64,0,"",'Attack Steps'!$A:X)</f>
        <v>0:</v>
      </c>
      <c r="X64" s="21" t="str" cm="1">
        <f t="array" ca="1" aca="1" ref="X64">CalculateMaxAndElements($K64,0,"",'Attack Steps'!$A:Y)</f>
        <v>0:</v>
      </c>
      <c r="Y64" s="21" t="str" cm="1">
        <f t="array" ca="1" aca="1" ref="Y64">CalculateMaxAndElements($K64,0,"",'Attack Steps'!$A:Z)</f>
        <v>0:</v>
      </c>
      <c r="Z64" s="21" t="str" cm="1">
        <f t="array" ca="1" aca="1" ref="Z64">CalculateMaxAndElements($K64,0,"",'Attack Steps'!$A:AA)</f>
        <v>0:</v>
      </c>
      <c r="AA64" s="21" t="str" cm="1">
        <f t="array" ca="1" aca="1" ref="AA64">CalculateMaxAndElements($K64,0,"",'Attack Steps'!$A:AB)</f>
        <v>0:</v>
      </c>
      <c r="AB64" s="21">
        <f t="shared" ca="1" si="70"/>
        <v>0</v>
      </c>
      <c r="AC64" s="21">
        <f t="shared" ca="1" si="71"/>
        <v>0</v>
      </c>
      <c r="AD64" s="21">
        <f t="shared" ca="1" si="72"/>
        <v>0</v>
      </c>
      <c r="AE64" s="21">
        <f t="shared" ca="1" si="73"/>
        <v>0</v>
      </c>
      <c r="AF64" s="21">
        <f t="shared" ca="1" si="74"/>
        <v>0</v>
      </c>
      <c r="AG64" s="21">
        <f t="shared" ca="1" si="64"/>
        <v>0</v>
      </c>
      <c r="AH64" s="21" t="str" cm="1">
        <f t="array" ca="1" aca="1" ref="AH64">IF(ROW()=ROW($AH$2)+1,"",INDEX($AH:$AH,ROW()-1))&amp;IF($A64="","",$A64&amp;",")</f>
        <v>R1-3,R2-3,R1-4,R2-4,R1-6,R2-6,R1-7,R2-7,R1-3-10,R2-3-10,R1-3-11,R2-3-11,R1-14,R1-16,R2-16,R21-23,R22-23,R1-29,R2-29,R31,R1-3-32,R2-3-32,R1-5-32,R2-5-32,R1-7-32,R2-7-32,R1-16-32,R2-16-32,R21-23-32,R22-23-32,R21-24-32,R22-24-32,R1-29-32,R2-29-32,R37,R38,R1-40,R2-40,</v>
      </c>
      <c r="AI64" s="21" t="str">
        <f t="shared" ca="1" si="75"/>
        <v/>
      </c>
      <c r="AJ64" s="21" cm="1">
        <f t="array" ca="1" aca="1" ref="AJ64">IF($G64="",0,SimpleLookup($G64,Definitions!$AE:$AF))</f>
        <v>0</v>
      </c>
      <c r="AK64" s="21" t="str" cm="1">
        <f t="array" ca="1" aca="1" ref="AK64">InverseLookup($A64,Mitigation!$U$2,Mitigation!$J$2,1,Helper!$B$5,",")</f>
        <v/>
      </c>
      <c r="AL64" s="21" t="str" cm="1">
        <f t="array" ca="1" aca="1" ref="AL64">CalculateMaxAndElementsWithFallback(SanitizeInput($AK64),0,"",Countermeasures!$A:Y,Assumptions!$A:Z)</f>
        <v>0:</v>
      </c>
      <c r="AM64" s="21" t="str" cm="1">
        <f t="array" ca="1" aca="1" ref="AM64">CalculateMaxAndElementsWithFallback(SanitizeInput($AK64),0,"",Countermeasures!$A:Z,Assumptions!$A:AA)</f>
        <v>0:</v>
      </c>
      <c r="AN64" s="21" t="str" cm="1">
        <f t="array" ca="1" aca="1" ref="AN64">CalculateMaxAndElementsWithFallback(SanitizeInput($AK64),0,"",Countermeasures!$A:AA,Assumptions!$A:AB)</f>
        <v>0:</v>
      </c>
      <c r="AO64" s="21" t="str" cm="1">
        <f t="array" ca="1" aca="1" ref="AO64">CalculateMaxAndElementsWithFallback(SanitizeInput($AK64),0,"",Countermeasures!$A:AB,Assumptions!$A:AC)</f>
        <v>0:</v>
      </c>
      <c r="AP64" s="21" t="str" cm="1">
        <f t="array" ca="1" aca="1" ref="AP64">CalculateMaxAndElementsWithFallback(SanitizeInput($AK64),0,"",Countermeasures!$A:AC,Assumptions!$A:AD)</f>
        <v>0:</v>
      </c>
      <c r="AQ64" s="21">
        <f t="shared" ca="1" si="76"/>
        <v>0</v>
      </c>
      <c r="AR64" s="21">
        <f t="shared" ca="1" si="77"/>
        <v>0</v>
      </c>
      <c r="AS64" s="21">
        <f t="shared" ca="1" si="78"/>
        <v>0</v>
      </c>
      <c r="AT64" s="21">
        <f t="shared" ca="1" si="79"/>
        <v>0</v>
      </c>
      <c r="AU64" s="21">
        <f t="shared" ca="1" si="80"/>
        <v>0</v>
      </c>
      <c r="AV64" s="21" t="str">
        <f t="shared" ca="1" si="81"/>
        <v>0:</v>
      </c>
      <c r="AW64" s="21" t="str">
        <f t="shared" ca="1" si="82"/>
        <v>0:</v>
      </c>
      <c r="AX64" s="21" t="str">
        <f t="shared" ca="1" si="83"/>
        <v>0:</v>
      </c>
      <c r="AY64" s="21" t="str">
        <f t="shared" ca="1" si="84"/>
        <v>0:</v>
      </c>
      <c r="AZ64" s="21" t="str">
        <f t="shared" ca="1" si="85"/>
        <v>0:</v>
      </c>
      <c r="BA64" s="21">
        <f t="shared" ca="1" si="86"/>
        <v>0</v>
      </c>
      <c r="BB64" s="21">
        <f t="shared" ca="1" si="87"/>
        <v>0</v>
      </c>
      <c r="BC64" s="21">
        <f t="shared" ca="1" si="88"/>
        <v>0</v>
      </c>
      <c r="BD64" s="21">
        <f t="shared" ca="1" si="89"/>
        <v>0</v>
      </c>
      <c r="BE64" s="21">
        <f t="shared" ca="1" si="90"/>
        <v>0</v>
      </c>
      <c r="BF64" s="21">
        <f t="shared" ca="1" si="65"/>
        <v>0</v>
      </c>
      <c r="BG64" s="21" t="str">
        <f ca="1">IFERROR(VLOOKUP($BF64,Definitions!$V:$W,COLUMNS(Definitions!$V:$W),TRUE),"")</f>
        <v>Basic</v>
      </c>
      <c r="BH64" s="21" t="str">
        <f ca="1">_xlfn.LET(_xlpm._comments,GetValues($K64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4" s="21" t="str" cm="1">
        <f t="array" ca="1" aca="1" ref="BI64">_xlfn.LET(_xlpm._rapRange,Definitions!$W:$W,_xlpm._calculatedRAP,$BG64,_xlpm._inlineRAP,$BH64,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4" s="21" t="str">
        <f ca="1">IFERROR(IF(OR($V64="",$BI64=""),Definitions!$AE$4,VLOOKUP($V64,Definitions!$AH:$AM,MATCH($BI64,Definitions!$AH$3:$AM$3,0),FALSE)),"")</f>
        <v>No Risk</v>
      </c>
      <c r="BK64" s="21" cm="1">
        <f t="array" ca="1" aca="1" ref="BK64">IF($BJ64="",0,SimpleLookup($BJ64,Definitions!$AE:$AF))</f>
        <v>0</v>
      </c>
      <c r="BL64" s="21" t="str" cm="1">
        <f t="array" ca="1" aca="1" ref="BL64">IFERROR(SimpleLookup($A64,Tracing!$B:$Z),"")</f>
        <v/>
      </c>
      <c r="BM64" s="21" t="str" cm="1">
        <f t="array" ca="1" aca="1" ref="BM64">_xlfn.LET(_xlpm._dm,SanitizeInput(GetValuesWithFallback(SanitizeInput($BL64),Assumptions!$A:$I,Countermeasures!$A:$I,"",",",FALSE)),IF(_xlpm._dm="","",","&amp;_xlpm._dm))</f>
        <v/>
      </c>
      <c r="BN64" s="21" t="str" cm="1">
        <f t="array" ca="1" aca="1" ref="BN64">ApplyDamageMitigation($M64,$BM64,"")</f>
        <v/>
      </c>
      <c r="BO64" s="21" cm="1">
        <f t="array" ca="1" aca="1" ref="BO64">CalculateMaxFromList($BN64,0,'Damage Scenarios'!$A:$U)</f>
        <v>0</v>
      </c>
      <c r="BP64" s="21" t="str">
        <f ca="1">IF($BO64=0,"",INDEX(Definitions!$Q:$Q,MATCH($BO64,Definitions!$R:$R,0)))</f>
        <v/>
      </c>
      <c r="BQ64" s="21" t="str" cm="1">
        <f t="array" ca="1" aca="1" ref="BQ64">CalculateMaxAndElementsWithFallback(SanitizeInput($BL64),0,"",Countermeasures!$A:Y,Assumptions!$A:Z)</f>
        <v>0:</v>
      </c>
      <c r="BR64" s="21" t="str" cm="1">
        <f t="array" ca="1" aca="1" ref="BR64">CalculateMaxAndElementsWithFallback(SanitizeInput($BL64),0,"",Countermeasures!$A:Z,Assumptions!$A:AA)</f>
        <v>0:</v>
      </c>
      <c r="BS64" s="21" t="str" cm="1">
        <f t="array" ca="1" aca="1" ref="BS64">CalculateMaxAndElementsWithFallback(SanitizeInput($BL64),0,"",Countermeasures!$A:AA,Assumptions!$A:AB)</f>
        <v>0:</v>
      </c>
      <c r="BT64" s="21" t="str" cm="1">
        <f t="array" ca="1" aca="1" ref="BT64">CalculateMaxAndElementsWithFallback(SanitizeInput($BL64),0,"",Countermeasures!$A:AB,Assumptions!$A:AC)</f>
        <v>0:</v>
      </c>
      <c r="BU64" s="21" t="str" cm="1">
        <f t="array" ca="1" aca="1" ref="BU64">CalculateMaxAndElementsWithFallback(SanitizeInput($BL64),0,"",Countermeasures!$A:AC,Assumptions!$A:AD)</f>
        <v>0:</v>
      </c>
      <c r="BV64" s="21">
        <f t="shared" ca="1" si="25"/>
        <v>0</v>
      </c>
      <c r="BW64" s="21">
        <f t="shared" ca="1" si="26"/>
        <v>0</v>
      </c>
      <c r="BX64" s="21">
        <f t="shared" ca="1" si="27"/>
        <v>0</v>
      </c>
      <c r="BY64" s="21">
        <f t="shared" ca="1" si="28"/>
        <v>0</v>
      </c>
      <c r="BZ64" s="21">
        <f t="shared" ca="1" si="29"/>
        <v>0</v>
      </c>
      <c r="CA64" s="21" t="str">
        <f t="shared" ca="1" si="30"/>
        <v>0:</v>
      </c>
      <c r="CB64" s="21" t="str">
        <f t="shared" ca="1" si="31"/>
        <v>0:</v>
      </c>
      <c r="CC64" s="21" t="str">
        <f t="shared" ca="1" si="32"/>
        <v>0:</v>
      </c>
      <c r="CD64" s="21" t="str">
        <f t="shared" ca="1" si="33"/>
        <v>0:</v>
      </c>
      <c r="CE64" s="21" t="str">
        <f t="shared" ca="1" si="34"/>
        <v>0:</v>
      </c>
      <c r="CF64" s="21">
        <f t="shared" ca="1" si="35"/>
        <v>0</v>
      </c>
      <c r="CG64" s="21">
        <f t="shared" ca="1" si="36"/>
        <v>0</v>
      </c>
      <c r="CH64" s="21">
        <f t="shared" ca="1" si="37"/>
        <v>0</v>
      </c>
      <c r="CI64" s="21">
        <f t="shared" ca="1" si="38"/>
        <v>0</v>
      </c>
      <c r="CJ64" s="21">
        <f t="shared" ca="1" si="39"/>
        <v>0</v>
      </c>
      <c r="CK64" s="21">
        <f t="shared" ca="1" si="66"/>
        <v>0</v>
      </c>
      <c r="CL64" s="21" t="str">
        <f ca="1">IFERROR(VLOOKUP($CK64,Definitions!$V:$W,COLUMNS(Definitions!$V:$W),TRUE),"")</f>
        <v>Basic</v>
      </c>
      <c r="CM64" s="21" t="str">
        <f ca="1">_xlfn.LET(_xlpm._comments,SimpleLookup($A64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4" s="21" t="str" cm="1">
        <f t="array" ca="1" aca="1" ref="CN64">_xlfn.LET(_xlpm._rapRange,Definitions!$W:$W,_xlpm._calculatedRAP,$CL64,_xlpm._inlineRAP,$CM64,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4" s="21" t="str">
        <f ca="1">IFERROR(IF(OR($BP64="",$CN64=""),Definitions!$AE$4,VLOOKUP($BP64,Definitions!$AH:$AM,MATCH($CN64,Definitions!$AH$3:$AM$3,0),FALSE)),"")</f>
        <v>No Risk</v>
      </c>
      <c r="CP64" s="21" cm="1">
        <f t="array" ca="1" aca="1" ref="CP64">IF($CO64="",0,SimpleLookup($CO64,Definitions!$AE:$AF))</f>
        <v>0</v>
      </c>
      <c r="CQ64" s="21" t="b">
        <f ca="1">OR(AND($S64,$I64=Helper!$B$7),$I64&gt;Helper!$B$7)</f>
        <v>1</v>
      </c>
      <c r="CR64" s="21" t="str">
        <f t="shared" ca="1" si="67"/>
        <v/>
      </c>
      <c r="CS64" s="21" cm="1">
        <f t="array" ca="1" aca="1" ref="CS64">CreateID($CS$2,$CV:$CV,$CR64&lt;&gt;"")</f>
        <v>0</v>
      </c>
      <c r="CT64" s="21" t="str">
        <f ca="1">IF(IFERROR(MATCH(","&amp;A64&amp;",",'Risk Treatment'!$AT:$AT,0)&gt;0,FALSE),"",$A64)</f>
        <v/>
      </c>
      <c r="CU64" s="21" cm="1">
        <f t="array" ca="1" aca="1" ref="CU64">CreateID($CU$2,$CU:$CU,$CT64&lt;&gt;"")</f>
        <v>38</v>
      </c>
    </row>
    <row r="65" spans="1:99" ht="15">
      <c r="A65" s="33" t="str" cm="1">
        <f t="array" ca="1" aca="1" ref="A65">IF($B65="","","R"&amp;RemoveDelimiter(SUBSTITUTE(SUBSTITUTE($K65,"AS",""),",","-"),"-"))</f>
        <v/>
      </c>
      <c r="B65" s="33" t="str" cm="1">
        <f t="array" ca="1" aca="1" ref="B65">IF($L65="","",_xlfn.LET(_xlpm._finalAttackStep,$L65,_xlpm._prepAttacks,RemoveFirstElement(_xlpm._finalAttackStep&amp;","&amp;$K65),_xlpm._prepAttackNames,IFERROR(LookupNames(_xlpm._prepAttacks,'Attack Steps'!$A:$B),""),_xlpm._delimiter,REPT(CHAR(150),55),$L65&amp;" "&amp;SimpleLookup($L65,'Attack Steps'!$A:$B)&amp;IF(_xlpm._prepAttackNames="","",CHAR(10)&amp;_xlpm._delimiter&amp;CHAR(10)&amp;_xlpm._prepAttackNames)))</f>
        <v/>
      </c>
      <c r="C65" s="34" t="str" cm="1">
        <f t="array" ca="1" aca="1" ref="C65">IFERROR(LookupNames($M65,'Damage Scenarios'!$A:$V),"")</f>
        <v/>
      </c>
      <c r="D65" s="33" t="str">
        <f ca="1">IFERROR(IF($T65=0,"",INDEX(Definitions!$Q:$Q,MATCH($T65,Definitions!$R:$R,0))),"")</f>
        <v/>
      </c>
      <c r="E65" s="34" t="str" cm="1">
        <f t="array" ca="1" aca="1" ref="E65">IF($A65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65,$A:W,Definitions!$Y:$Y,Definitions!$AB:$AB,1)&amp;CHAR(10)&amp;_xlpm._factorFunction($A65,$A:X,Definitions!$Y:$Y,Definitions!$AB:$AB,2)&amp;CHAR(10)&amp;_xlpm._factorFunction($A65,$A:Y,Definitions!$Y:$Y,Definitions!$AB:$AB,3)&amp;CHAR(10)&amp;_xlpm._factorFunction($A65,$A:Z,Definitions!$Y:$Y,Definitions!$AB:$AB,4)&amp;CHAR(10)&amp;_xlpm._factorFunction($A65,$A:AA,Definitions!$Y:$Y,Definitions!$AB:$AB,5)))</f>
        <v/>
      </c>
      <c r="F65" s="33" t="str">
        <f ca="1">IF($A65="","",IFERROR(VLOOKUP($AG65,Definitions!$V:$W,COLUMNS(Definitions!$V:$W),TRUE),""))</f>
        <v/>
      </c>
      <c r="G65" s="33" t="str">
        <f ca="1">IFERROR(IF(OR($D65="",$F65=""),"",VLOOKUP($D65,Definitions!$AH:$AM,MATCH($F65,Definitions!$AH$3:$AM$3,0),FALSE)),"")</f>
        <v/>
      </c>
      <c r="H65" s="23" cm="1">
        <f t="array" ca="1" aca="1" ref="H65">IF(ROW()=ROW($H$2)+1,0,INDEX($H:$H,ROW()-1))+IF($A65="",0,1)</f>
        <v>38</v>
      </c>
      <c r="I65" s="21" cm="1">
        <f t="array" ca="1" aca="1" ref="I65">IF(ROW()=ROW($I$2)+1,1,INDEX($I:$I,ROW()-1)+IF(INDEX($S:$S,ROW()-1),1,0))</f>
        <v>16</v>
      </c>
      <c r="J65" s="21">
        <f t="shared" ca="1" si="63"/>
        <v>25</v>
      </c>
      <c r="K65" s="21" t="str">
        <f t="shared" ca="1" si="68"/>
        <v/>
      </c>
      <c r="L65" s="21" t="str" cm="1">
        <f t="array" ca="1" aca="1" ref="L65">IF($P65="","",INDEX('Attack Steps'!$A:$A,$P65))</f>
        <v/>
      </c>
      <c r="M65" s="21" t="str" cm="1">
        <f t="array" ca="1" aca="1" ref="M65">IF($P65="","",INDEX('Attack Steps'!$T:$T,$P65))</f>
        <v/>
      </c>
      <c r="N65" s="21" t="str" cm="1">
        <f t="array" ca="1" aca="1" ref="N65">_xlfn.LET(_xlpm._dm,SanitizeInput(GetValuesWithFallback(SanitizeInput($AK65),Assumptions!$A:$I,Countermeasures!$A:$I,"",",",FALSE)),IF(_xlpm._dm="","",","&amp;_xlpm._dm))</f>
        <v/>
      </c>
      <c r="O65" s="21" t="str" cm="1">
        <f t="array" ca="1" aca="1" ref="O65">ApplyDamageMitigation($M65,$N65,"")</f>
        <v/>
      </c>
      <c r="P65" s="21" t="str">
        <f ca="1">IFERROR(MATCH($I65,'Attack Steps'!$V:$V,0),"")</f>
        <v/>
      </c>
      <c r="Q65" s="21" t="str" cm="1">
        <f t="array" ca="1" aca="1" ref="Q65">IF($P65="","","§"&amp;INDEX('Attack Steps'!$S:$S,$P65))</f>
        <v/>
      </c>
      <c r="R65" s="21" t="str" cm="1">
        <f t="array" ca="1" aca="1" ref="R65">IF($P65="","",INDEX('Attack Steps'!$W:$W,$P65))</f>
        <v/>
      </c>
      <c r="S65" s="21" t="b">
        <f t="shared" ca="1" si="69"/>
        <v>0</v>
      </c>
      <c r="T65" s="21" cm="1">
        <f t="array" ca="1" aca="1" ref="T65">_xlfn.LAMBDA(_xlpm._in,_xlpm._val,_xlpm._range,IF(_xlpm._in="",_xlpm._val,_xlfn.LET(_xlpm._id,LEFT(_xlpm._in,FIND(",",_xlpm._in)-1),CalculateMaxFromList(RemoveFirstElement(_xlpm._in),MAX(_xlpm._val,VLOOKUP(_xlpm._id,_xlpm._range,COLUMNS(_xlpm._range),FALSE)),_xlpm._range))))($M65,0,'Damage Scenarios'!$A:$U)</f>
        <v>0</v>
      </c>
      <c r="U65" s="21" cm="1">
        <f t="array" ca="1" aca="1" ref="U65">CalculateMaxFromList($O65,0,'Damage Scenarios'!$A:$U)</f>
        <v>0</v>
      </c>
      <c r="V65" s="21" t="str">
        <f ca="1">IF($U65=0,"",INDEX(Definitions!$Q:$Q,MATCH($U65,Definitions!$R:$R,0)))</f>
        <v/>
      </c>
      <c r="W65" s="21" t="str" cm="1">
        <f t="array" ca="1" aca="1" ref="W65">CalculateMaxAndElements($K65,0,"",'Attack Steps'!$A:X)</f>
        <v>0:</v>
      </c>
      <c r="X65" s="21" t="str" cm="1">
        <f t="array" ca="1" aca="1" ref="X65">CalculateMaxAndElements($K65,0,"",'Attack Steps'!$A:Y)</f>
        <v>0:</v>
      </c>
      <c r="Y65" s="21" t="str" cm="1">
        <f t="array" ca="1" aca="1" ref="Y65">CalculateMaxAndElements($K65,0,"",'Attack Steps'!$A:Z)</f>
        <v>0:</v>
      </c>
      <c r="Z65" s="21" t="str" cm="1">
        <f t="array" ca="1" aca="1" ref="Z65">CalculateMaxAndElements($K65,0,"",'Attack Steps'!$A:AA)</f>
        <v>0:</v>
      </c>
      <c r="AA65" s="21" t="str" cm="1">
        <f t="array" ca="1" aca="1" ref="AA65">CalculateMaxAndElements($K65,0,"",'Attack Steps'!$A:AB)</f>
        <v>0:</v>
      </c>
      <c r="AB65" s="21">
        <f t="shared" ca="1" si="70"/>
        <v>0</v>
      </c>
      <c r="AC65" s="21">
        <f t="shared" ca="1" si="71"/>
        <v>0</v>
      </c>
      <c r="AD65" s="21">
        <f t="shared" ca="1" si="72"/>
        <v>0</v>
      </c>
      <c r="AE65" s="21">
        <f t="shared" ca="1" si="73"/>
        <v>0</v>
      </c>
      <c r="AF65" s="21">
        <f t="shared" ca="1" si="74"/>
        <v>0</v>
      </c>
      <c r="AG65" s="21">
        <f t="shared" ca="1" si="64"/>
        <v>0</v>
      </c>
      <c r="AH65" s="21" t="str" cm="1">
        <f t="array" ca="1" aca="1" ref="AH65">IF(ROW()=ROW($AH$2)+1,"",INDEX($AH:$AH,ROW()-1))&amp;IF($A65="","",$A65&amp;",")</f>
        <v>R1-3,R2-3,R1-4,R2-4,R1-6,R2-6,R1-7,R2-7,R1-3-10,R2-3-10,R1-3-11,R2-3-11,R1-14,R1-16,R2-16,R21-23,R22-23,R1-29,R2-29,R31,R1-3-32,R2-3-32,R1-5-32,R2-5-32,R1-7-32,R2-7-32,R1-16-32,R2-16-32,R21-23-32,R22-23-32,R21-24-32,R22-24-32,R1-29-32,R2-29-32,R37,R38,R1-40,R2-40,</v>
      </c>
      <c r="AI65" s="21" t="str">
        <f t="shared" ca="1" si="75"/>
        <v/>
      </c>
      <c r="AJ65" s="21" cm="1">
        <f t="array" ca="1" aca="1" ref="AJ65">IF($G65="",0,SimpleLookup($G65,Definitions!$AE:$AF))</f>
        <v>0</v>
      </c>
      <c r="AK65" s="21" t="str" cm="1">
        <f t="array" ca="1" aca="1" ref="AK65">InverseLookup($A65,Mitigation!$U$2,Mitigation!$J$2,1,Helper!$B$5,",")</f>
        <v/>
      </c>
      <c r="AL65" s="21" t="str" cm="1">
        <f t="array" ca="1" aca="1" ref="AL65">CalculateMaxAndElementsWithFallback(SanitizeInput($AK65),0,"",Countermeasures!$A:Y,Assumptions!$A:Z)</f>
        <v>0:</v>
      </c>
      <c r="AM65" s="21" t="str" cm="1">
        <f t="array" ca="1" aca="1" ref="AM65">CalculateMaxAndElementsWithFallback(SanitizeInput($AK65),0,"",Countermeasures!$A:Z,Assumptions!$A:AA)</f>
        <v>0:</v>
      </c>
      <c r="AN65" s="21" t="str" cm="1">
        <f t="array" ca="1" aca="1" ref="AN65">CalculateMaxAndElementsWithFallback(SanitizeInput($AK65),0,"",Countermeasures!$A:AA,Assumptions!$A:AB)</f>
        <v>0:</v>
      </c>
      <c r="AO65" s="21" t="str" cm="1">
        <f t="array" ca="1" aca="1" ref="AO65">CalculateMaxAndElementsWithFallback(SanitizeInput($AK65),0,"",Countermeasures!$A:AB,Assumptions!$A:AC)</f>
        <v>0:</v>
      </c>
      <c r="AP65" s="21" t="str" cm="1">
        <f t="array" ca="1" aca="1" ref="AP65">CalculateMaxAndElementsWithFallback(SanitizeInput($AK65),0,"",Countermeasures!$A:AC,Assumptions!$A:AD)</f>
        <v>0:</v>
      </c>
      <c r="AQ65" s="21">
        <f t="shared" ca="1" si="76"/>
        <v>0</v>
      </c>
      <c r="AR65" s="21">
        <f t="shared" ca="1" si="77"/>
        <v>0</v>
      </c>
      <c r="AS65" s="21">
        <f t="shared" ca="1" si="78"/>
        <v>0</v>
      </c>
      <c r="AT65" s="21">
        <f t="shared" ca="1" si="79"/>
        <v>0</v>
      </c>
      <c r="AU65" s="21">
        <f t="shared" ca="1" si="80"/>
        <v>0</v>
      </c>
      <c r="AV65" s="21" t="str">
        <f t="shared" ca="1" si="81"/>
        <v>0:</v>
      </c>
      <c r="AW65" s="21" t="str">
        <f t="shared" ca="1" si="82"/>
        <v>0:</v>
      </c>
      <c r="AX65" s="21" t="str">
        <f t="shared" ca="1" si="83"/>
        <v>0:</v>
      </c>
      <c r="AY65" s="21" t="str">
        <f t="shared" ca="1" si="84"/>
        <v>0:</v>
      </c>
      <c r="AZ65" s="21" t="str">
        <f t="shared" ca="1" si="85"/>
        <v>0:</v>
      </c>
      <c r="BA65" s="21">
        <f t="shared" ca="1" si="86"/>
        <v>0</v>
      </c>
      <c r="BB65" s="21">
        <f t="shared" ca="1" si="87"/>
        <v>0</v>
      </c>
      <c r="BC65" s="21">
        <f t="shared" ca="1" si="88"/>
        <v>0</v>
      </c>
      <c r="BD65" s="21">
        <f t="shared" ca="1" si="89"/>
        <v>0</v>
      </c>
      <c r="BE65" s="21">
        <f t="shared" ca="1" si="90"/>
        <v>0</v>
      </c>
      <c r="BF65" s="21">
        <f t="shared" ca="1" si="65"/>
        <v>0</v>
      </c>
      <c r="BG65" s="21" t="str">
        <f ca="1">IFERROR(VLOOKUP($BF65,Definitions!$V:$W,COLUMNS(Definitions!$V:$W),TRUE),"")</f>
        <v>Basic</v>
      </c>
      <c r="BH65" s="21" t="str">
        <f ca="1">_xlfn.LET(_xlpm._comments,GetValues($K65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5" s="21" t="str" cm="1">
        <f t="array" ca="1" aca="1" ref="BI65">_xlfn.LET(_xlpm._rapRange,Definitions!$W:$W,_xlpm._calculatedRAP,$BG65,_xlpm._inlineRAP,$BH65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5" s="21" t="str">
        <f ca="1">IFERROR(IF(OR($V65="",$BI65=""),Definitions!$AE$4,VLOOKUP($V65,Definitions!$AH:$AM,MATCH($BI65,Definitions!$AH$3:$AM$3,0),FALSE)),"")</f>
        <v>No Risk</v>
      </c>
      <c r="BK65" s="21" cm="1">
        <f t="array" ca="1" aca="1" ref="BK65">IF($BJ65="",0,SimpleLookup($BJ65,Definitions!$AE:$AF))</f>
        <v>0</v>
      </c>
      <c r="BL65" s="21" t="str" cm="1">
        <f t="array" ca="1" aca="1" ref="BL65">IFERROR(SimpleLookup($A65,Tracing!$B:$Z),"")</f>
        <v/>
      </c>
      <c r="BM65" s="21" t="str" cm="1">
        <f t="array" ca="1" aca="1" ref="BM65">_xlfn.LET(_xlpm._dm,SanitizeInput(GetValuesWithFallback(SanitizeInput($BL65),Assumptions!$A:$I,Countermeasures!$A:$I,"",",",FALSE)),IF(_xlpm._dm="","",","&amp;_xlpm._dm))</f>
        <v/>
      </c>
      <c r="BN65" s="21" t="str" cm="1">
        <f t="array" ca="1" aca="1" ref="BN65">ApplyDamageMitigation($M65,$BM65,"")</f>
        <v/>
      </c>
      <c r="BO65" s="21" cm="1">
        <f t="array" ca="1" aca="1" ref="BO65">CalculateMaxFromList($BN65,0,'Damage Scenarios'!$A:$U)</f>
        <v>0</v>
      </c>
      <c r="BP65" s="21" t="str">
        <f ca="1">IF($BO65=0,"",INDEX(Definitions!$Q:$Q,MATCH($BO65,Definitions!$R:$R,0)))</f>
        <v/>
      </c>
      <c r="BQ65" s="21" t="str" cm="1">
        <f t="array" ca="1" aca="1" ref="BQ65">CalculateMaxAndElementsWithFallback(SanitizeInput($BL65),0,"",Countermeasures!$A:Y,Assumptions!$A:Z)</f>
        <v>0:</v>
      </c>
      <c r="BR65" s="21" t="str" cm="1">
        <f t="array" ca="1" aca="1" ref="BR65">CalculateMaxAndElementsWithFallback(SanitizeInput($BL65),0,"",Countermeasures!$A:Z,Assumptions!$A:AA)</f>
        <v>0:</v>
      </c>
      <c r="BS65" s="21" t="str" cm="1">
        <f t="array" ca="1" aca="1" ref="BS65">CalculateMaxAndElementsWithFallback(SanitizeInput($BL65),0,"",Countermeasures!$A:AA,Assumptions!$A:AB)</f>
        <v>0:</v>
      </c>
      <c r="BT65" s="21" t="str" cm="1">
        <f t="array" ca="1" aca="1" ref="BT65">CalculateMaxAndElementsWithFallback(SanitizeInput($BL65),0,"",Countermeasures!$A:AB,Assumptions!$A:AC)</f>
        <v>0:</v>
      </c>
      <c r="BU65" s="21" t="str" cm="1">
        <f t="array" ca="1" aca="1" ref="BU65">CalculateMaxAndElementsWithFallback(SanitizeInput($BL65),0,"",Countermeasures!$A:AC,Assumptions!$A:AD)</f>
        <v>0:</v>
      </c>
      <c r="BV65" s="21">
        <f t="shared" ca="1" si="25"/>
        <v>0</v>
      </c>
      <c r="BW65" s="21">
        <f t="shared" ca="1" si="26"/>
        <v>0</v>
      </c>
      <c r="BX65" s="21">
        <f t="shared" ca="1" si="27"/>
        <v>0</v>
      </c>
      <c r="BY65" s="21">
        <f t="shared" ca="1" si="28"/>
        <v>0</v>
      </c>
      <c r="BZ65" s="21">
        <f t="shared" ca="1" si="29"/>
        <v>0</v>
      </c>
      <c r="CA65" s="21" t="str">
        <f t="shared" ca="1" si="30"/>
        <v>0:</v>
      </c>
      <c r="CB65" s="21" t="str">
        <f t="shared" ca="1" si="31"/>
        <v>0:</v>
      </c>
      <c r="CC65" s="21" t="str">
        <f t="shared" ca="1" si="32"/>
        <v>0:</v>
      </c>
      <c r="CD65" s="21" t="str">
        <f t="shared" ca="1" si="33"/>
        <v>0:</v>
      </c>
      <c r="CE65" s="21" t="str">
        <f t="shared" ca="1" si="34"/>
        <v>0:</v>
      </c>
      <c r="CF65" s="21">
        <f t="shared" ca="1" si="35"/>
        <v>0</v>
      </c>
      <c r="CG65" s="21">
        <f t="shared" ca="1" si="36"/>
        <v>0</v>
      </c>
      <c r="CH65" s="21">
        <f t="shared" ca="1" si="37"/>
        <v>0</v>
      </c>
      <c r="CI65" s="21">
        <f t="shared" ca="1" si="38"/>
        <v>0</v>
      </c>
      <c r="CJ65" s="21">
        <f t="shared" ca="1" si="39"/>
        <v>0</v>
      </c>
      <c r="CK65" s="21">
        <f t="shared" ca="1" si="66"/>
        <v>0</v>
      </c>
      <c r="CL65" s="21" t="str">
        <f ca="1">IFERROR(VLOOKUP($CK65,Definitions!$V:$W,COLUMNS(Definitions!$V:$W),TRUE),"")</f>
        <v>Basic</v>
      </c>
      <c r="CM65" s="21" t="str">
        <f ca="1">_xlfn.LET(_xlpm._comments,SimpleLookup($A65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5" s="21" t="str" cm="1">
        <f t="array" ca="1" aca="1" ref="CN65">_xlfn.LET(_xlpm._rapRange,Definitions!$W:$W,_xlpm._calculatedRAP,$CL65,_xlpm._inlineRAP,$CM65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5" s="21" t="str">
        <f ca="1">IFERROR(IF(OR($BP65="",$CN65=""),Definitions!$AE$4,VLOOKUP($BP65,Definitions!$AH:$AM,MATCH($CN65,Definitions!$AH$3:$AM$3,0),FALSE)),"")</f>
        <v>No Risk</v>
      </c>
      <c r="CP65" s="21" cm="1">
        <f t="array" ca="1" aca="1" ref="CP65">IF($CO65="",0,SimpleLookup($CO65,Definitions!$AE:$AF))</f>
        <v>0</v>
      </c>
      <c r="CQ65" s="21" t="b">
        <f ca="1">OR(AND($S65,$I65=Helper!$B$7),$I65&gt;Helper!$B$7)</f>
        <v>1</v>
      </c>
      <c r="CR65" s="21" t="str">
        <f t="shared" ca="1" si="67"/>
        <v/>
      </c>
      <c r="CS65" s="21" cm="1">
        <f t="array" ca="1" aca="1" ref="CS65">CreateID($CS$2,$CV:$CV,$CR65&lt;&gt;"")</f>
        <v>0</v>
      </c>
      <c r="CT65" s="21" t="str">
        <f ca="1">IF(IFERROR(MATCH(","&amp;A65&amp;",",'Risk Treatment'!$AT:$AT,0)&gt;0,FALSE),"",$A65)</f>
        <v/>
      </c>
      <c r="CU65" s="21" cm="1">
        <f t="array" ca="1" aca="1" ref="CU65">CreateID($CU$2,$CU:$CU,$CT65&lt;&gt;"")</f>
        <v>38</v>
      </c>
    </row>
    <row r="66" spans="1:99" ht="15">
      <c r="A66" s="33" t="str" cm="1">
        <f t="array" ca="1" aca="1" ref="A66">IF($B66="","","R"&amp;RemoveDelimiter(SUBSTITUTE(SUBSTITUTE($K66,"AS",""),",","-"),"-"))</f>
        <v/>
      </c>
      <c r="B66" s="33" t="str" cm="1">
        <f t="array" ca="1" aca="1" ref="B66">IF($L66="","",_xlfn.LET(_xlpm._finalAttackStep,$L66,_xlpm._prepAttacks,RemoveFirstElement(_xlpm._finalAttackStep&amp;","&amp;$K66),_xlpm._prepAttackNames,IFERROR(LookupNames(_xlpm._prepAttacks,'Attack Steps'!$A:$B),""),_xlpm._delimiter,REPT(CHAR(150),55),$L66&amp;" "&amp;SimpleLookup($L66,'Attack Steps'!$A:$B)&amp;IF(_xlpm._prepAttackNames="","",CHAR(10)&amp;_xlpm._delimiter&amp;CHAR(10)&amp;_xlpm._prepAttackNames)))</f>
        <v/>
      </c>
      <c r="C66" s="34" t="str" cm="1">
        <f t="array" ca="1" aca="1" ref="C66">IFERROR(LookupNames($M66,'Damage Scenarios'!$A:$V),"")</f>
        <v/>
      </c>
      <c r="D66" s="33" t="str">
        <f ca="1">IFERROR(IF($T66=0,"",INDEX(Definitions!$Q:$Q,MATCH($T66,Definitions!$R:$R,0))),"")</f>
        <v/>
      </c>
      <c r="E66" s="34" t="str" cm="1">
        <f t="array" ca="1" aca="1" ref="E66">IF($A66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66,$A:W,Definitions!$Y:$Y,Definitions!$AB:$AB,1)&amp;CHAR(10)&amp;_xlpm._factorFunction($A66,$A:X,Definitions!$Y:$Y,Definitions!$AB:$AB,2)&amp;CHAR(10)&amp;_xlpm._factorFunction($A66,$A:Y,Definitions!$Y:$Y,Definitions!$AB:$AB,3)&amp;CHAR(10)&amp;_xlpm._factorFunction($A66,$A:Z,Definitions!$Y:$Y,Definitions!$AB:$AB,4)&amp;CHAR(10)&amp;_xlpm._factorFunction($A66,$A:AA,Definitions!$Y:$Y,Definitions!$AB:$AB,5)))</f>
        <v/>
      </c>
      <c r="F66" s="33" t="str">
        <f ca="1">IF($A66="","",IFERROR(VLOOKUP($AG66,Definitions!$V:$W,COLUMNS(Definitions!$V:$W),TRUE),""))</f>
        <v/>
      </c>
      <c r="G66" s="33" t="str">
        <f ca="1">IFERROR(IF(OR($D66="",$F66=""),"",VLOOKUP($D66,Definitions!$AH:$AM,MATCH($F66,Definitions!$AH$3:$AM$3,0),FALSE)),"")</f>
        <v/>
      </c>
      <c r="H66" s="23" cm="1">
        <f t="array" ca="1" aca="1" ref="H66">IF(ROW()=ROW($H$2)+1,0,INDEX($H:$H,ROW()-1))+IF($A66="",0,1)</f>
        <v>38</v>
      </c>
      <c r="I66" s="21" cm="1">
        <f t="array" ca="1" aca="1" ref="I66">IF(ROW()=ROW($I$2)+1,1,INDEX($I:$I,ROW()-1)+IF(INDEX($S:$S,ROW()-1),1,0))</f>
        <v>16</v>
      </c>
      <c r="J66" s="21">
        <f t="shared" ca="1" si="63"/>
        <v>26</v>
      </c>
      <c r="K66" s="21" t="str">
        <f t="shared" ca="1" si="68"/>
        <v/>
      </c>
      <c r="L66" s="21" t="str" cm="1">
        <f t="array" ca="1" aca="1" ref="L66">IF($P66="","",INDEX('Attack Steps'!$A:$A,$P66))</f>
        <v/>
      </c>
      <c r="M66" s="21" t="str" cm="1">
        <f t="array" ca="1" aca="1" ref="M66">IF($P66="","",INDEX('Attack Steps'!$T:$T,$P66))</f>
        <v/>
      </c>
      <c r="N66" s="21" t="str" cm="1">
        <f t="array" ca="1" aca="1" ref="N66">_xlfn.LET(_xlpm._dm,SanitizeInput(GetValuesWithFallback(SanitizeInput($AK66),Assumptions!$A:$I,Countermeasures!$A:$I,"",",",FALSE)),IF(_xlpm._dm="","",","&amp;_xlpm._dm))</f>
        <v/>
      </c>
      <c r="O66" s="21" t="str" cm="1">
        <f t="array" ca="1" aca="1" ref="O66">ApplyDamageMitigation($M66,$N66,"")</f>
        <v/>
      </c>
      <c r="P66" s="21" t="str">
        <f ca="1">IFERROR(MATCH($I66,'Attack Steps'!$V:$V,0),"")</f>
        <v/>
      </c>
      <c r="Q66" s="21" t="str" cm="1">
        <f t="array" ca="1" aca="1" ref="Q66">IF($P66="","","§"&amp;INDEX('Attack Steps'!$S:$S,$P66))</f>
        <v/>
      </c>
      <c r="R66" s="21" t="str" cm="1">
        <f t="array" ca="1" aca="1" ref="R66">IF($P66="","",INDEX('Attack Steps'!$W:$W,$P66))</f>
        <v/>
      </c>
      <c r="S66" s="21" t="b">
        <f t="shared" ca="1" si="69"/>
        <v>0</v>
      </c>
      <c r="T66" s="21" cm="1">
        <f t="array" ca="1" aca="1" ref="T66">_xlfn.LAMBDA(_xlpm._in,_xlpm._val,_xlpm._range,IF(_xlpm._in="",_xlpm._val,_xlfn.LET(_xlpm._id,LEFT(_xlpm._in,FIND(",",_xlpm._in)-1),CalculateMaxFromList(RemoveFirstElement(_xlpm._in),MAX(_xlpm._val,VLOOKUP(_xlpm._id,_xlpm._range,COLUMNS(_xlpm._range),FALSE)),_xlpm._range))))($M66,0,'Damage Scenarios'!$A:$U)</f>
        <v>0</v>
      </c>
      <c r="U66" s="21" cm="1">
        <f t="array" ca="1" aca="1" ref="U66">CalculateMaxFromList($O66,0,'Damage Scenarios'!$A:$U)</f>
        <v>0</v>
      </c>
      <c r="V66" s="21" t="str">
        <f ca="1">IF($U66=0,"",INDEX(Definitions!$Q:$Q,MATCH($U66,Definitions!$R:$R,0)))</f>
        <v/>
      </c>
      <c r="W66" s="21" t="str" cm="1">
        <f t="array" ca="1" aca="1" ref="W66">CalculateMaxAndElements($K66,0,"",'Attack Steps'!$A:X)</f>
        <v>0:</v>
      </c>
      <c r="X66" s="21" t="str" cm="1">
        <f t="array" ca="1" aca="1" ref="X66">CalculateMaxAndElements($K66,0,"",'Attack Steps'!$A:Y)</f>
        <v>0:</v>
      </c>
      <c r="Y66" s="21" t="str" cm="1">
        <f t="array" ca="1" aca="1" ref="Y66">CalculateMaxAndElements($K66,0,"",'Attack Steps'!$A:Z)</f>
        <v>0:</v>
      </c>
      <c r="Z66" s="21" t="str" cm="1">
        <f t="array" ca="1" aca="1" ref="Z66">CalculateMaxAndElements($K66,0,"",'Attack Steps'!$A:AA)</f>
        <v>0:</v>
      </c>
      <c r="AA66" s="21" t="str" cm="1">
        <f t="array" ca="1" aca="1" ref="AA66">CalculateMaxAndElements($K66,0,"",'Attack Steps'!$A:AB)</f>
        <v>0:</v>
      </c>
      <c r="AB66" s="21">
        <f t="shared" ca="1" si="70"/>
        <v>0</v>
      </c>
      <c r="AC66" s="21">
        <f t="shared" ca="1" si="71"/>
        <v>0</v>
      </c>
      <c r="AD66" s="21">
        <f t="shared" ca="1" si="72"/>
        <v>0</v>
      </c>
      <c r="AE66" s="21">
        <f t="shared" ca="1" si="73"/>
        <v>0</v>
      </c>
      <c r="AF66" s="21">
        <f t="shared" ca="1" si="74"/>
        <v>0</v>
      </c>
      <c r="AG66" s="21">
        <f t="shared" ca="1" si="64"/>
        <v>0</v>
      </c>
      <c r="AH66" s="21" t="str" cm="1">
        <f t="array" ca="1" aca="1" ref="AH66">IF(ROW()=ROW($AH$2)+1,"",INDEX($AH:$AH,ROW()-1))&amp;IF($A66="","",$A66&amp;",")</f>
        <v>R1-3,R2-3,R1-4,R2-4,R1-6,R2-6,R1-7,R2-7,R1-3-10,R2-3-10,R1-3-11,R2-3-11,R1-14,R1-16,R2-16,R21-23,R22-23,R1-29,R2-29,R31,R1-3-32,R2-3-32,R1-5-32,R2-5-32,R1-7-32,R2-7-32,R1-16-32,R2-16-32,R21-23-32,R22-23-32,R21-24-32,R22-24-32,R1-29-32,R2-29-32,R37,R38,R1-40,R2-40,</v>
      </c>
      <c r="AI66" s="21" t="str">
        <f t="shared" ca="1" si="75"/>
        <v/>
      </c>
      <c r="AJ66" s="21" cm="1">
        <f t="array" ca="1" aca="1" ref="AJ66">IF($G66="",0,SimpleLookup($G66,Definitions!$AE:$AF))</f>
        <v>0</v>
      </c>
      <c r="AK66" s="21" t="str" cm="1">
        <f t="array" ca="1" aca="1" ref="AK66">InverseLookup($A66,Mitigation!$U$2,Mitigation!$J$2,1,Helper!$B$5,",")</f>
        <v/>
      </c>
      <c r="AL66" s="21" t="str" cm="1">
        <f t="array" ca="1" aca="1" ref="AL66">CalculateMaxAndElementsWithFallback(SanitizeInput($AK66),0,"",Countermeasures!$A:Y,Assumptions!$A:Z)</f>
        <v>0:</v>
      </c>
      <c r="AM66" s="21" t="str" cm="1">
        <f t="array" ca="1" aca="1" ref="AM66">CalculateMaxAndElementsWithFallback(SanitizeInput($AK66),0,"",Countermeasures!$A:Z,Assumptions!$A:AA)</f>
        <v>0:</v>
      </c>
      <c r="AN66" s="21" t="str" cm="1">
        <f t="array" ca="1" aca="1" ref="AN66">CalculateMaxAndElementsWithFallback(SanitizeInput($AK66),0,"",Countermeasures!$A:AA,Assumptions!$A:AB)</f>
        <v>0:</v>
      </c>
      <c r="AO66" s="21" t="str" cm="1">
        <f t="array" ca="1" aca="1" ref="AO66">CalculateMaxAndElementsWithFallback(SanitizeInput($AK66),0,"",Countermeasures!$A:AB,Assumptions!$A:AC)</f>
        <v>0:</v>
      </c>
      <c r="AP66" s="21" t="str" cm="1">
        <f t="array" ca="1" aca="1" ref="AP66">CalculateMaxAndElementsWithFallback(SanitizeInput($AK66),0,"",Countermeasures!$A:AC,Assumptions!$A:AD)</f>
        <v>0:</v>
      </c>
      <c r="AQ66" s="21">
        <f t="shared" ca="1" si="76"/>
        <v>0</v>
      </c>
      <c r="AR66" s="21">
        <f t="shared" ca="1" si="77"/>
        <v>0</v>
      </c>
      <c r="AS66" s="21">
        <f t="shared" ca="1" si="78"/>
        <v>0</v>
      </c>
      <c r="AT66" s="21">
        <f t="shared" ca="1" si="79"/>
        <v>0</v>
      </c>
      <c r="AU66" s="21">
        <f t="shared" ca="1" si="80"/>
        <v>0</v>
      </c>
      <c r="AV66" s="21" t="str">
        <f t="shared" ca="1" si="81"/>
        <v>0:</v>
      </c>
      <c r="AW66" s="21" t="str">
        <f t="shared" ca="1" si="82"/>
        <v>0:</v>
      </c>
      <c r="AX66" s="21" t="str">
        <f t="shared" ca="1" si="83"/>
        <v>0:</v>
      </c>
      <c r="AY66" s="21" t="str">
        <f t="shared" ca="1" si="84"/>
        <v>0:</v>
      </c>
      <c r="AZ66" s="21" t="str">
        <f t="shared" ca="1" si="85"/>
        <v>0:</v>
      </c>
      <c r="BA66" s="21">
        <f t="shared" ca="1" si="86"/>
        <v>0</v>
      </c>
      <c r="BB66" s="21">
        <f t="shared" ca="1" si="87"/>
        <v>0</v>
      </c>
      <c r="BC66" s="21">
        <f t="shared" ca="1" si="88"/>
        <v>0</v>
      </c>
      <c r="BD66" s="21">
        <f t="shared" ca="1" si="89"/>
        <v>0</v>
      </c>
      <c r="BE66" s="21">
        <f t="shared" ca="1" si="90"/>
        <v>0</v>
      </c>
      <c r="BF66" s="21">
        <f t="shared" ca="1" si="65"/>
        <v>0</v>
      </c>
      <c r="BG66" s="21" t="str">
        <f ca="1">IFERROR(VLOOKUP($BF66,Definitions!$V:$W,COLUMNS(Definitions!$V:$W),TRUE),"")</f>
        <v>Basic</v>
      </c>
      <c r="BH66" s="21" t="str">
        <f ca="1">_xlfn.LET(_xlpm._comments,GetValues($K66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6" s="21" t="str" cm="1">
        <f t="array" ca="1" aca="1" ref="BI66">_xlfn.LET(_xlpm._rapRange,Definitions!$W:$W,_xlpm._calculatedRAP,$BG66,_xlpm._inlineRAP,$BH66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6" s="21" t="str">
        <f ca="1">IFERROR(IF(OR($V66="",$BI66=""),Definitions!$AE$4,VLOOKUP($V66,Definitions!$AH:$AM,MATCH($BI66,Definitions!$AH$3:$AM$3,0),FALSE)),"")</f>
        <v>No Risk</v>
      </c>
      <c r="BK66" s="21" cm="1">
        <f t="array" ca="1" aca="1" ref="BK66">IF($BJ66="",0,SimpleLookup($BJ66,Definitions!$AE:$AF))</f>
        <v>0</v>
      </c>
      <c r="BL66" s="21" t="str" cm="1">
        <f t="array" ca="1" aca="1" ref="BL66">IFERROR(SimpleLookup($A66,Tracing!$B:$Z),"")</f>
        <v/>
      </c>
      <c r="BM66" s="21" t="str" cm="1">
        <f t="array" ca="1" aca="1" ref="BM66">_xlfn.LET(_xlpm._dm,SanitizeInput(GetValuesWithFallback(SanitizeInput($BL66),Assumptions!$A:$I,Countermeasures!$A:$I,"",",",FALSE)),IF(_xlpm._dm="","",","&amp;_xlpm._dm))</f>
        <v/>
      </c>
      <c r="BN66" s="21" t="str" cm="1">
        <f t="array" ca="1" aca="1" ref="BN66">ApplyDamageMitigation($M66,$BM66,"")</f>
        <v/>
      </c>
      <c r="BO66" s="21" cm="1">
        <f t="array" ca="1" aca="1" ref="BO66">CalculateMaxFromList($BN66,0,'Damage Scenarios'!$A:$U)</f>
        <v>0</v>
      </c>
      <c r="BP66" s="21" t="str">
        <f ca="1">IF($BO66=0,"",INDEX(Definitions!$Q:$Q,MATCH($BO66,Definitions!$R:$R,0)))</f>
        <v/>
      </c>
      <c r="BQ66" s="21" t="str" cm="1">
        <f t="array" ca="1" aca="1" ref="BQ66">CalculateMaxAndElementsWithFallback(SanitizeInput($BL66),0,"",Countermeasures!$A:Y,Assumptions!$A:Z)</f>
        <v>0:</v>
      </c>
      <c r="BR66" s="21" t="str" cm="1">
        <f t="array" ca="1" aca="1" ref="BR66">CalculateMaxAndElementsWithFallback(SanitizeInput($BL66),0,"",Countermeasures!$A:Z,Assumptions!$A:AA)</f>
        <v>0:</v>
      </c>
      <c r="BS66" s="21" t="str" cm="1">
        <f t="array" ca="1" aca="1" ref="BS66">CalculateMaxAndElementsWithFallback(SanitizeInput($BL66),0,"",Countermeasures!$A:AA,Assumptions!$A:AB)</f>
        <v>0:</v>
      </c>
      <c r="BT66" s="21" t="str" cm="1">
        <f t="array" ca="1" aca="1" ref="BT66">CalculateMaxAndElementsWithFallback(SanitizeInput($BL66),0,"",Countermeasures!$A:AB,Assumptions!$A:AC)</f>
        <v>0:</v>
      </c>
      <c r="BU66" s="21" t="str" cm="1">
        <f t="array" ca="1" aca="1" ref="BU66">CalculateMaxAndElementsWithFallback(SanitizeInput($BL66),0,"",Countermeasures!$A:AC,Assumptions!$A:AD)</f>
        <v>0:</v>
      </c>
      <c r="BV66" s="21">
        <f t="shared" ca="1" si="25"/>
        <v>0</v>
      </c>
      <c r="BW66" s="21">
        <f t="shared" ca="1" si="26"/>
        <v>0</v>
      </c>
      <c r="BX66" s="21">
        <f t="shared" ca="1" si="27"/>
        <v>0</v>
      </c>
      <c r="BY66" s="21">
        <f t="shared" ca="1" si="28"/>
        <v>0</v>
      </c>
      <c r="BZ66" s="21">
        <f t="shared" ca="1" si="29"/>
        <v>0</v>
      </c>
      <c r="CA66" s="21" t="str">
        <f t="shared" ca="1" si="30"/>
        <v>0:</v>
      </c>
      <c r="CB66" s="21" t="str">
        <f t="shared" ca="1" si="31"/>
        <v>0:</v>
      </c>
      <c r="CC66" s="21" t="str">
        <f t="shared" ca="1" si="32"/>
        <v>0:</v>
      </c>
      <c r="CD66" s="21" t="str">
        <f t="shared" ca="1" si="33"/>
        <v>0:</v>
      </c>
      <c r="CE66" s="21" t="str">
        <f t="shared" ca="1" si="34"/>
        <v>0:</v>
      </c>
      <c r="CF66" s="21">
        <f t="shared" ca="1" si="35"/>
        <v>0</v>
      </c>
      <c r="CG66" s="21">
        <f t="shared" ca="1" si="36"/>
        <v>0</v>
      </c>
      <c r="CH66" s="21">
        <f t="shared" ca="1" si="37"/>
        <v>0</v>
      </c>
      <c r="CI66" s="21">
        <f t="shared" ca="1" si="38"/>
        <v>0</v>
      </c>
      <c r="CJ66" s="21">
        <f t="shared" ca="1" si="39"/>
        <v>0</v>
      </c>
      <c r="CK66" s="21">
        <f t="shared" ca="1" si="66"/>
        <v>0</v>
      </c>
      <c r="CL66" s="21" t="str">
        <f ca="1">IFERROR(VLOOKUP($CK66,Definitions!$V:$W,COLUMNS(Definitions!$V:$W),TRUE),"")</f>
        <v>Basic</v>
      </c>
      <c r="CM66" s="21" t="str">
        <f ca="1">_xlfn.LET(_xlpm._comments,SimpleLookup($A66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6" s="21" t="str" cm="1">
        <f t="array" ca="1" aca="1" ref="CN66">_xlfn.LET(_xlpm._rapRange,Definitions!$W:$W,_xlpm._calculatedRAP,$CL66,_xlpm._inlineRAP,$CM66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6" s="21" t="str">
        <f ca="1">IFERROR(IF(OR($BP66="",$CN66=""),Definitions!$AE$4,VLOOKUP($BP66,Definitions!$AH:$AM,MATCH($CN66,Definitions!$AH$3:$AM$3,0),FALSE)),"")</f>
        <v>No Risk</v>
      </c>
      <c r="CP66" s="21" cm="1">
        <f t="array" ca="1" aca="1" ref="CP66">IF($CO66="",0,SimpleLookup($CO66,Definitions!$AE:$AF))</f>
        <v>0</v>
      </c>
      <c r="CQ66" s="21" t="b">
        <f ca="1">OR(AND($S66,$I66=Helper!$B$7),$I66&gt;Helper!$B$7)</f>
        <v>1</v>
      </c>
      <c r="CR66" s="21" t="str">
        <f t="shared" ca="1" si="67"/>
        <v/>
      </c>
      <c r="CS66" s="21" cm="1">
        <f t="array" ca="1" aca="1" ref="CS66">CreateID($CS$2,$CV:$CV,$CR66&lt;&gt;"")</f>
        <v>0</v>
      </c>
      <c r="CT66" s="21" t="str">
        <f ca="1">IF(IFERROR(MATCH(","&amp;A66&amp;",",'Risk Treatment'!$AT:$AT,0)&gt;0,FALSE),"",$A66)</f>
        <v/>
      </c>
      <c r="CU66" s="21" cm="1">
        <f t="array" ca="1" aca="1" ref="CU66">CreateID($CU$2,$CU:$CU,$CT66&lt;&gt;"")</f>
        <v>38</v>
      </c>
    </row>
    <row r="67" spans="1:99" ht="15">
      <c r="A67" s="33" t="str" cm="1">
        <f t="array" ca="1" aca="1" ref="A67">IF($B67="","","R"&amp;RemoveDelimiter(SUBSTITUTE(SUBSTITUTE($K67,"AS",""),",","-"),"-"))</f>
        <v/>
      </c>
      <c r="B67" s="33" t="str" cm="1">
        <f t="array" ca="1" aca="1" ref="B67">IF($L67="","",_xlfn.LET(_xlpm._finalAttackStep,$L67,_xlpm._prepAttacks,RemoveFirstElement(_xlpm._finalAttackStep&amp;","&amp;$K67),_xlpm._prepAttackNames,IFERROR(LookupNames(_xlpm._prepAttacks,'Attack Steps'!$A:$B),""),_xlpm._delimiter,REPT(CHAR(150),55),$L67&amp;" "&amp;SimpleLookup($L67,'Attack Steps'!$A:$B)&amp;IF(_xlpm._prepAttackNames="","",CHAR(10)&amp;_xlpm._delimiter&amp;CHAR(10)&amp;_xlpm._prepAttackNames)))</f>
        <v/>
      </c>
      <c r="C67" s="34" t="str" cm="1">
        <f t="array" ca="1" aca="1" ref="C67">IFERROR(LookupNames($M67,'Damage Scenarios'!$A:$V),"")</f>
        <v/>
      </c>
      <c r="D67" s="33" t="str">
        <f ca="1">IFERROR(IF($T67=0,"",INDEX(Definitions!$Q:$Q,MATCH($T67,Definitions!$R:$R,0))),"")</f>
        <v/>
      </c>
      <c r="E67" s="34" t="str" cm="1">
        <f t="array" ca="1" aca="1" ref="E67">IF($A67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67,$A:W,Definitions!$Y:$Y,Definitions!$AB:$AB,1)&amp;CHAR(10)&amp;_xlpm._factorFunction($A67,$A:X,Definitions!$Y:$Y,Definitions!$AB:$AB,2)&amp;CHAR(10)&amp;_xlpm._factorFunction($A67,$A:Y,Definitions!$Y:$Y,Definitions!$AB:$AB,3)&amp;CHAR(10)&amp;_xlpm._factorFunction($A67,$A:Z,Definitions!$Y:$Y,Definitions!$AB:$AB,4)&amp;CHAR(10)&amp;_xlpm._factorFunction($A67,$A:AA,Definitions!$Y:$Y,Definitions!$AB:$AB,5)))</f>
        <v/>
      </c>
      <c r="F67" s="33" t="str">
        <f ca="1">IF($A67="","",IFERROR(VLOOKUP($AG67,Definitions!$V:$W,COLUMNS(Definitions!$V:$W),TRUE),""))</f>
        <v/>
      </c>
      <c r="G67" s="33" t="str">
        <f ca="1">IFERROR(IF(OR($D67="",$F67=""),"",VLOOKUP($D67,Definitions!$AH:$AM,MATCH($F67,Definitions!$AH$3:$AM$3,0),FALSE)),"")</f>
        <v/>
      </c>
      <c r="H67" s="23" cm="1">
        <f t="array" ca="1" aca="1" ref="H67">IF(ROW()=ROW($H$2)+1,0,INDEX($H:$H,ROW()-1))+IF($A67="",0,1)</f>
        <v>38</v>
      </c>
      <c r="I67" s="21" cm="1">
        <f t="array" ca="1" aca="1" ref="I67">IF(ROW()=ROW($I$2)+1,1,INDEX($I:$I,ROW()-1)+IF(INDEX($S:$S,ROW()-1),1,0))</f>
        <v>16</v>
      </c>
      <c r="J67" s="21">
        <f ca="1" t="shared" si="91" ref="J67:J77">COUNTIF(OFFSET($I$2,1,0,ROW()-ROW($I$2),1),$I67)</f>
        <v>27</v>
      </c>
      <c r="K67" s="21" t="str">
        <f t="shared" ca="1" si="68"/>
        <v/>
      </c>
      <c r="L67" s="21" t="str" cm="1">
        <f t="array" ca="1" aca="1" ref="L67">IF($P67="","",INDEX('Attack Steps'!$A:$A,$P67))</f>
        <v/>
      </c>
      <c r="M67" s="21" t="str" cm="1">
        <f t="array" ca="1" aca="1" ref="M67">IF($P67="","",INDEX('Attack Steps'!$T:$T,$P67))</f>
        <v/>
      </c>
      <c r="N67" s="21" t="str" cm="1">
        <f t="array" ca="1" aca="1" ref="N67">_xlfn.LET(_xlpm._dm,SanitizeInput(GetValuesWithFallback(SanitizeInput($AK67),Assumptions!$A:$I,Countermeasures!$A:$I,"",",",FALSE)),IF(_xlpm._dm="","",","&amp;_xlpm._dm))</f>
        <v/>
      </c>
      <c r="O67" s="21" t="str" cm="1">
        <f t="array" ca="1" aca="1" ref="O67">ApplyDamageMitigation($M67,$N67,"")</f>
        <v/>
      </c>
      <c r="P67" s="21" t="str">
        <f ca="1">IFERROR(MATCH($I67,'Attack Steps'!$V:$V,0),"")</f>
        <v/>
      </c>
      <c r="Q67" s="21" t="str" cm="1">
        <f t="array" ca="1" aca="1" ref="Q67">IF($P67="","","§"&amp;INDEX('Attack Steps'!$S:$S,$P67))</f>
        <v/>
      </c>
      <c r="R67" s="21" t="str" cm="1">
        <f t="array" ca="1" aca="1" ref="R67">IF($P67="","",INDEX('Attack Steps'!$W:$W,$P67))</f>
        <v/>
      </c>
      <c r="S67" s="21" t="b">
        <f t="shared" ca="1" si="69"/>
        <v>0</v>
      </c>
      <c r="T67" s="21" cm="1">
        <f t="array" ca="1" aca="1" ref="T67">_xlfn.LAMBDA(_xlpm._in,_xlpm._val,_xlpm._range,IF(_xlpm._in="",_xlpm._val,_xlfn.LET(_xlpm._id,LEFT(_xlpm._in,FIND(",",_xlpm._in)-1),CalculateMaxFromList(RemoveFirstElement(_xlpm._in),MAX(_xlpm._val,VLOOKUP(_xlpm._id,_xlpm._range,COLUMNS(_xlpm._range),FALSE)),_xlpm._range))))($M67,0,'Damage Scenarios'!$A:$U)</f>
        <v>0</v>
      </c>
      <c r="U67" s="21" cm="1">
        <f t="array" ca="1" aca="1" ref="U67">CalculateMaxFromList($O67,0,'Damage Scenarios'!$A:$U)</f>
        <v>0</v>
      </c>
      <c r="V67" s="21" t="str">
        <f ca="1">IF($U67=0,"",INDEX(Definitions!$Q:$Q,MATCH($U67,Definitions!$R:$R,0)))</f>
        <v/>
      </c>
      <c r="W67" s="21" t="str" cm="1">
        <f t="array" ca="1" aca="1" ref="W67">CalculateMaxAndElements($K67,0,"",'Attack Steps'!$A:X)</f>
        <v>0:</v>
      </c>
      <c r="X67" s="21" t="str" cm="1">
        <f t="array" ca="1" aca="1" ref="X67">CalculateMaxAndElements($K67,0,"",'Attack Steps'!$A:Y)</f>
        <v>0:</v>
      </c>
      <c r="Y67" s="21" t="str" cm="1">
        <f t="array" ca="1" aca="1" ref="Y67">CalculateMaxAndElements($K67,0,"",'Attack Steps'!$A:Z)</f>
        <v>0:</v>
      </c>
      <c r="Z67" s="21" t="str" cm="1">
        <f t="array" ca="1" aca="1" ref="Z67">CalculateMaxAndElements($K67,0,"",'Attack Steps'!$A:AA)</f>
        <v>0:</v>
      </c>
      <c r="AA67" s="21" t="str" cm="1">
        <f t="array" ca="1" aca="1" ref="AA67">CalculateMaxAndElements($K67,0,"",'Attack Steps'!$A:AB)</f>
        <v>0:</v>
      </c>
      <c r="AB67" s="21">
        <f t="shared" ca="1" si="70"/>
        <v>0</v>
      </c>
      <c r="AC67" s="21">
        <f t="shared" ca="1" si="71"/>
        <v>0</v>
      </c>
      <c r="AD67" s="21">
        <f t="shared" ca="1" si="72"/>
        <v>0</v>
      </c>
      <c r="AE67" s="21">
        <f t="shared" ca="1" si="73"/>
        <v>0</v>
      </c>
      <c r="AF67" s="21">
        <f t="shared" ca="1" si="74"/>
        <v>0</v>
      </c>
      <c r="AG67" s="21">
        <f ca="1" t="shared" si="92" ref="AG67:AG77">SUM(OFFSET($AB67,0,0,1,COLUMNS($AB:$AF)))</f>
        <v>0</v>
      </c>
      <c r="AH67" s="21" t="str" cm="1">
        <f t="array" ca="1" aca="1" ref="AH67">IF(ROW()=ROW($AH$2)+1,"",INDEX($AH:$AH,ROW()-1))&amp;IF($A67="","",$A67&amp;",")</f>
        <v>R1-3,R2-3,R1-4,R2-4,R1-6,R2-6,R1-7,R2-7,R1-3-10,R2-3-10,R1-3-11,R2-3-11,R1-14,R1-16,R2-16,R21-23,R22-23,R1-29,R2-29,R31,R1-3-32,R2-3-32,R1-5-32,R2-5-32,R1-7-32,R2-7-32,R1-16-32,R2-16-32,R21-23-32,R22-23-32,R21-24-32,R22-24-32,R1-29-32,R2-29-32,R37,R38,R1-40,R2-40,</v>
      </c>
      <c r="AI67" s="21" t="str">
        <f t="shared" ca="1" si="75"/>
        <v/>
      </c>
      <c r="AJ67" s="21" cm="1">
        <f t="array" ca="1" aca="1" ref="AJ67">IF($G67="",0,SimpleLookup($G67,Definitions!$AE:$AF))</f>
        <v>0</v>
      </c>
      <c r="AK67" s="21" t="str" cm="1">
        <f t="array" ca="1" aca="1" ref="AK67">InverseLookup($A67,Mitigation!$U$2,Mitigation!$J$2,1,Helper!$B$5,",")</f>
        <v/>
      </c>
      <c r="AL67" s="21" t="str" cm="1">
        <f t="array" ca="1" aca="1" ref="AL67">CalculateMaxAndElementsWithFallback(SanitizeInput($AK67),0,"",Countermeasures!$A:Y,Assumptions!$A:Z)</f>
        <v>0:</v>
      </c>
      <c r="AM67" s="21" t="str" cm="1">
        <f t="array" ca="1" aca="1" ref="AM67">CalculateMaxAndElementsWithFallback(SanitizeInput($AK67),0,"",Countermeasures!$A:Z,Assumptions!$A:AA)</f>
        <v>0:</v>
      </c>
      <c r="AN67" s="21" t="str" cm="1">
        <f t="array" ca="1" aca="1" ref="AN67">CalculateMaxAndElementsWithFallback(SanitizeInput($AK67),0,"",Countermeasures!$A:AA,Assumptions!$A:AB)</f>
        <v>0:</v>
      </c>
      <c r="AO67" s="21" t="str" cm="1">
        <f t="array" ca="1" aca="1" ref="AO67">CalculateMaxAndElementsWithFallback(SanitizeInput($AK67),0,"",Countermeasures!$A:AB,Assumptions!$A:AC)</f>
        <v>0:</v>
      </c>
      <c r="AP67" s="21" t="str" cm="1">
        <f t="array" ca="1" aca="1" ref="AP67">CalculateMaxAndElementsWithFallback(SanitizeInput($AK67),0,"",Countermeasures!$A:AC,Assumptions!$A:AD)</f>
        <v>0:</v>
      </c>
      <c r="AQ67" s="21">
        <f t="shared" ca="1" si="76"/>
        <v>0</v>
      </c>
      <c r="AR67" s="21">
        <f t="shared" ca="1" si="77"/>
        <v>0</v>
      </c>
      <c r="AS67" s="21">
        <f t="shared" ca="1" si="78"/>
        <v>0</v>
      </c>
      <c r="AT67" s="21">
        <f t="shared" ca="1" si="79"/>
        <v>0</v>
      </c>
      <c r="AU67" s="21">
        <f t="shared" ca="1" si="80"/>
        <v>0</v>
      </c>
      <c r="AV67" s="21" t="str">
        <f t="shared" ca="1" si="81"/>
        <v>0:</v>
      </c>
      <c r="AW67" s="21" t="str">
        <f t="shared" ca="1" si="82"/>
        <v>0:</v>
      </c>
      <c r="AX67" s="21" t="str">
        <f t="shared" ca="1" si="83"/>
        <v>0:</v>
      </c>
      <c r="AY67" s="21" t="str">
        <f t="shared" ca="1" si="84"/>
        <v>0:</v>
      </c>
      <c r="AZ67" s="21" t="str">
        <f t="shared" ca="1" si="85"/>
        <v>0:</v>
      </c>
      <c r="BA67" s="21">
        <f t="shared" ca="1" si="86"/>
        <v>0</v>
      </c>
      <c r="BB67" s="21">
        <f t="shared" ca="1" si="87"/>
        <v>0</v>
      </c>
      <c r="BC67" s="21">
        <f t="shared" ca="1" si="88"/>
        <v>0</v>
      </c>
      <c r="BD67" s="21">
        <f t="shared" ca="1" si="89"/>
        <v>0</v>
      </c>
      <c r="BE67" s="21">
        <f t="shared" ca="1" si="90"/>
        <v>0</v>
      </c>
      <c r="BF67" s="21">
        <f ca="1" t="shared" si="93" ref="BF67:BF77">SUM(OFFSET($BA67,0,0,1,COLUMNS($BA:$BE)))</f>
        <v>0</v>
      </c>
      <c r="BG67" s="21" t="str">
        <f ca="1">IFERROR(VLOOKUP($BF67,Definitions!$V:$W,COLUMNS(Definitions!$V:$W),TRUE),"")</f>
        <v>Basic</v>
      </c>
      <c r="BH67" s="21" t="str">
        <f ca="1">_xlfn.LET(_xlpm._comments,GetValues($K67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7" s="21" t="str" cm="1">
        <f t="array" ca="1" aca="1" ref="BI67">_xlfn.LET(_xlpm._rapRange,Definitions!$W:$W,_xlpm._calculatedRAP,$BG67,_xlpm._inlineRAP,$BH67,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7" s="21" t="str">
        <f ca="1">IFERROR(IF(OR($V67="",$BI67=""),Definitions!$AE$4,VLOOKUP($V67,Definitions!$AH:$AM,MATCH($BI67,Definitions!$AH$3:$AM$3,0),FALSE)),"")</f>
        <v>No Risk</v>
      </c>
      <c r="BK67" s="21" cm="1">
        <f t="array" ca="1" aca="1" ref="BK67">IF($BJ67="",0,SimpleLookup($BJ67,Definitions!$AE:$AF))</f>
        <v>0</v>
      </c>
      <c r="BL67" s="21" t="str" cm="1">
        <f t="array" ca="1" aca="1" ref="BL67">IFERROR(SimpleLookup($A67,Tracing!$B:$Z),"")</f>
        <v/>
      </c>
      <c r="BM67" s="21" t="str" cm="1">
        <f t="array" ca="1" aca="1" ref="BM67">_xlfn.LET(_xlpm._dm,SanitizeInput(GetValuesWithFallback(SanitizeInput($BL67),Assumptions!$A:$I,Countermeasures!$A:$I,"",",",FALSE)),IF(_xlpm._dm="","",","&amp;_xlpm._dm))</f>
        <v/>
      </c>
      <c r="BN67" s="21" t="str" cm="1">
        <f t="array" ca="1" aca="1" ref="BN67">ApplyDamageMitigation($M67,$BM67,"")</f>
        <v/>
      </c>
      <c r="BO67" s="21" cm="1">
        <f t="array" ca="1" aca="1" ref="BO67">CalculateMaxFromList($BN67,0,'Damage Scenarios'!$A:$U)</f>
        <v>0</v>
      </c>
      <c r="BP67" s="21" t="str">
        <f ca="1">IF($BO67=0,"",INDEX(Definitions!$Q:$Q,MATCH($BO67,Definitions!$R:$R,0)))</f>
        <v/>
      </c>
      <c r="BQ67" s="21" t="str" cm="1">
        <f t="array" ca="1" aca="1" ref="BQ67">CalculateMaxAndElementsWithFallback(SanitizeInput($BL67),0,"",Countermeasures!$A:Y,Assumptions!$A:Z)</f>
        <v>0:</v>
      </c>
      <c r="BR67" s="21" t="str" cm="1">
        <f t="array" ca="1" aca="1" ref="BR67">CalculateMaxAndElementsWithFallback(SanitizeInput($BL67),0,"",Countermeasures!$A:Z,Assumptions!$A:AA)</f>
        <v>0:</v>
      </c>
      <c r="BS67" s="21" t="str" cm="1">
        <f t="array" ca="1" aca="1" ref="BS67">CalculateMaxAndElementsWithFallback(SanitizeInput($BL67),0,"",Countermeasures!$A:AA,Assumptions!$A:AB)</f>
        <v>0:</v>
      </c>
      <c r="BT67" s="21" t="str" cm="1">
        <f t="array" ca="1" aca="1" ref="BT67">CalculateMaxAndElementsWithFallback(SanitizeInput($BL67),0,"",Countermeasures!$A:AB,Assumptions!$A:AC)</f>
        <v>0:</v>
      </c>
      <c r="BU67" s="21" t="str" cm="1">
        <f t="array" ca="1" aca="1" ref="BU67">CalculateMaxAndElementsWithFallback(SanitizeInput($BL67),0,"",Countermeasures!$A:AC,Assumptions!$A:AD)</f>
        <v>0:</v>
      </c>
      <c r="BV67" s="21">
        <f t="shared" ca="1" si="25"/>
        <v>0</v>
      </c>
      <c r="BW67" s="21">
        <f t="shared" ca="1" si="26"/>
        <v>0</v>
      </c>
      <c r="BX67" s="21">
        <f t="shared" ca="1" si="27"/>
        <v>0</v>
      </c>
      <c r="BY67" s="21">
        <f t="shared" ca="1" si="28"/>
        <v>0</v>
      </c>
      <c r="BZ67" s="21">
        <f t="shared" ca="1" si="29"/>
        <v>0</v>
      </c>
      <c r="CA67" s="21" t="str">
        <f t="shared" ca="1" si="30"/>
        <v>0:</v>
      </c>
      <c r="CB67" s="21" t="str">
        <f t="shared" ca="1" si="31"/>
        <v>0:</v>
      </c>
      <c r="CC67" s="21" t="str">
        <f t="shared" ca="1" si="32"/>
        <v>0:</v>
      </c>
      <c r="CD67" s="21" t="str">
        <f t="shared" ca="1" si="33"/>
        <v>0:</v>
      </c>
      <c r="CE67" s="21" t="str">
        <f t="shared" ca="1" si="34"/>
        <v>0:</v>
      </c>
      <c r="CF67" s="21">
        <f t="shared" ca="1" si="35"/>
        <v>0</v>
      </c>
      <c r="CG67" s="21">
        <f t="shared" ca="1" si="36"/>
        <v>0</v>
      </c>
      <c r="CH67" s="21">
        <f t="shared" ca="1" si="37"/>
        <v>0</v>
      </c>
      <c r="CI67" s="21">
        <f t="shared" ca="1" si="38"/>
        <v>0</v>
      </c>
      <c r="CJ67" s="21">
        <f t="shared" ca="1" si="39"/>
        <v>0</v>
      </c>
      <c r="CK67" s="21">
        <f ca="1" t="shared" si="94" ref="CK67:CK77">SUM(OFFSET($CF67,0,0,1,COLUMNS($CF:$CJ)))</f>
        <v>0</v>
      </c>
      <c r="CL67" s="21" t="str">
        <f ca="1">IFERROR(VLOOKUP($CK67,Definitions!$V:$W,COLUMNS(Definitions!$V:$W),TRUE),"")</f>
        <v>Basic</v>
      </c>
      <c r="CM67" s="21" t="str">
        <f ca="1">_xlfn.LET(_xlpm._comments,SimpleLookup($A67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7" s="21" t="str" cm="1">
        <f t="array" ca="1" aca="1" ref="CN67">_xlfn.LET(_xlpm._rapRange,Definitions!$W:$W,_xlpm._calculatedRAP,$CL67,_xlpm._inlineRAP,$CM67,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7" s="21" t="str">
        <f ca="1">IFERROR(IF(OR($BP67="",$CN67=""),Definitions!$AE$4,VLOOKUP($BP67,Definitions!$AH:$AM,MATCH($CN67,Definitions!$AH$3:$AM$3,0),FALSE)),"")</f>
        <v>No Risk</v>
      </c>
      <c r="CP67" s="21" cm="1">
        <f t="array" ca="1" aca="1" ref="CP67">IF($CO67="",0,SimpleLookup($CO67,Definitions!$AE:$AF))</f>
        <v>0</v>
      </c>
      <c r="CQ67" s="21" t="b">
        <f ca="1">OR(AND($S67,$I67=Helper!$B$7),$I67&gt;Helper!$B$7)</f>
        <v>1</v>
      </c>
      <c r="CR67" s="21" t="str">
        <f t="shared" ca="1" si="67"/>
        <v/>
      </c>
      <c r="CS67" s="21" cm="1">
        <f t="array" ca="1" aca="1" ref="CS67">CreateID($CS$2,$CV:$CV,$CR67&lt;&gt;"")</f>
        <v>0</v>
      </c>
      <c r="CT67" s="21" t="str">
        <f ca="1">IF(IFERROR(MATCH(","&amp;A67&amp;",",'Risk Treatment'!$AT:$AT,0)&gt;0,FALSE),"",$A67)</f>
        <v/>
      </c>
      <c r="CU67" s="21" cm="1">
        <f t="array" ca="1" aca="1" ref="CU67">CreateID($CU$2,$CU:$CU,$CT67&lt;&gt;"")</f>
        <v>38</v>
      </c>
    </row>
    <row r="68" spans="1:99" ht="15">
      <c r="A68" s="33" t="str" cm="1">
        <f t="array" ca="1" aca="1" ref="A68">IF($B68="","","R"&amp;RemoveDelimiter(SUBSTITUTE(SUBSTITUTE($K68,"AS",""),",","-"),"-"))</f>
        <v/>
      </c>
      <c r="B68" s="33" t="str" cm="1">
        <f t="array" ca="1" aca="1" ref="B68">IF($L68="","",_xlfn.LET(_xlpm._finalAttackStep,$L68,_xlpm._prepAttacks,RemoveFirstElement(_xlpm._finalAttackStep&amp;","&amp;$K68),_xlpm._prepAttackNames,IFERROR(LookupNames(_xlpm._prepAttacks,'Attack Steps'!$A:$B),""),_xlpm._delimiter,REPT(CHAR(150),55),$L68&amp;" "&amp;SimpleLookup($L68,'Attack Steps'!$A:$B)&amp;IF(_xlpm._prepAttackNames="","",CHAR(10)&amp;_xlpm._delimiter&amp;CHAR(10)&amp;_xlpm._prepAttackNames)))</f>
        <v/>
      </c>
      <c r="C68" s="34" t="str" cm="1">
        <f t="array" ca="1" aca="1" ref="C68">IFERROR(LookupNames($M68,'Damage Scenarios'!$A:$V),"")</f>
        <v/>
      </c>
      <c r="D68" s="33" t="str">
        <f ca="1">IFERROR(IF($T68=0,"",INDEX(Definitions!$Q:$Q,MATCH($T68,Definitions!$R:$R,0))),"")</f>
        <v/>
      </c>
      <c r="E68" s="34" t="str" cm="1">
        <f t="array" ca="1" aca="1" ref="E68">IF($A68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68,$A:W,Definitions!$Y:$Y,Definitions!$AB:$AB,1)&amp;CHAR(10)&amp;_xlpm._factorFunction($A68,$A:X,Definitions!$Y:$Y,Definitions!$AB:$AB,2)&amp;CHAR(10)&amp;_xlpm._factorFunction($A68,$A:Y,Definitions!$Y:$Y,Definitions!$AB:$AB,3)&amp;CHAR(10)&amp;_xlpm._factorFunction($A68,$A:Z,Definitions!$Y:$Y,Definitions!$AB:$AB,4)&amp;CHAR(10)&amp;_xlpm._factorFunction($A68,$A:AA,Definitions!$Y:$Y,Definitions!$AB:$AB,5)))</f>
        <v/>
      </c>
      <c r="F68" s="33" t="str">
        <f ca="1">IF($A68="","",IFERROR(VLOOKUP($AG68,Definitions!$V:$W,COLUMNS(Definitions!$V:$W),TRUE),""))</f>
        <v/>
      </c>
      <c r="G68" s="33" t="str">
        <f ca="1">IFERROR(IF(OR($D68="",$F68=""),"",VLOOKUP($D68,Definitions!$AH:$AM,MATCH($F68,Definitions!$AH$3:$AM$3,0),FALSE)),"")</f>
        <v/>
      </c>
      <c r="H68" s="23" cm="1">
        <f t="array" ca="1" aca="1" ref="H68">IF(ROW()=ROW($H$2)+1,0,INDEX($H:$H,ROW()-1))+IF($A68="",0,1)</f>
        <v>38</v>
      </c>
      <c r="I68" s="21" cm="1">
        <f t="array" ca="1" aca="1" ref="I68">IF(ROW()=ROW($I$2)+1,1,INDEX($I:$I,ROW()-1)+IF(INDEX($S:$S,ROW()-1),1,0))</f>
        <v>16</v>
      </c>
      <c r="J68" s="21">
        <f t="shared" ca="1" si="91"/>
        <v>28</v>
      </c>
      <c r="K68" s="21" t="str">
        <f t="shared" ca="1" si="68"/>
        <v/>
      </c>
      <c r="L68" s="21" t="str" cm="1">
        <f t="array" ca="1" aca="1" ref="L68">IF($P68="","",INDEX('Attack Steps'!$A:$A,$P68))</f>
        <v/>
      </c>
      <c r="M68" s="21" t="str" cm="1">
        <f t="array" ca="1" aca="1" ref="M68">IF($P68="","",INDEX('Attack Steps'!$T:$T,$P68))</f>
        <v/>
      </c>
      <c r="N68" s="21" t="str" cm="1">
        <f t="array" ca="1" aca="1" ref="N68">_xlfn.LET(_xlpm._dm,SanitizeInput(GetValuesWithFallback(SanitizeInput($AK68),Assumptions!$A:$I,Countermeasures!$A:$I,"",",",FALSE)),IF(_xlpm._dm="","",","&amp;_xlpm._dm))</f>
        <v/>
      </c>
      <c r="O68" s="21" t="str" cm="1">
        <f t="array" ca="1" aca="1" ref="O68">ApplyDamageMitigation($M68,$N68,"")</f>
        <v/>
      </c>
      <c r="P68" s="21" t="str">
        <f ca="1">IFERROR(MATCH($I68,'Attack Steps'!$V:$V,0),"")</f>
        <v/>
      </c>
      <c r="Q68" s="21" t="str" cm="1">
        <f t="array" ca="1" aca="1" ref="Q68">IF($P68="","","§"&amp;INDEX('Attack Steps'!$S:$S,$P68))</f>
        <v/>
      </c>
      <c r="R68" s="21" t="str" cm="1">
        <f t="array" ca="1" aca="1" ref="R68">IF($P68="","",INDEX('Attack Steps'!$W:$W,$P68))</f>
        <v/>
      </c>
      <c r="S68" s="21" t="b">
        <f t="shared" ca="1" si="69"/>
        <v>0</v>
      </c>
      <c r="T68" s="21" cm="1">
        <f t="array" ca="1" aca="1" ref="T68">_xlfn.LAMBDA(_xlpm._in,_xlpm._val,_xlpm._range,IF(_xlpm._in="",_xlpm._val,_xlfn.LET(_xlpm._id,LEFT(_xlpm._in,FIND(",",_xlpm._in)-1),CalculateMaxFromList(RemoveFirstElement(_xlpm._in),MAX(_xlpm._val,VLOOKUP(_xlpm._id,_xlpm._range,COLUMNS(_xlpm._range),FALSE)),_xlpm._range))))($M68,0,'Damage Scenarios'!$A:$U)</f>
        <v>0</v>
      </c>
      <c r="U68" s="21" cm="1">
        <f t="array" ca="1" aca="1" ref="U68">CalculateMaxFromList($O68,0,'Damage Scenarios'!$A:$U)</f>
        <v>0</v>
      </c>
      <c r="V68" s="21" t="str">
        <f ca="1">IF($U68=0,"",INDEX(Definitions!$Q:$Q,MATCH($U68,Definitions!$R:$R,0)))</f>
        <v/>
      </c>
      <c r="W68" s="21" t="str" cm="1">
        <f t="array" ca="1" aca="1" ref="W68">CalculateMaxAndElements($K68,0,"",'Attack Steps'!$A:X)</f>
        <v>0:</v>
      </c>
      <c r="X68" s="21" t="str" cm="1">
        <f t="array" ca="1" aca="1" ref="X68">CalculateMaxAndElements($K68,0,"",'Attack Steps'!$A:Y)</f>
        <v>0:</v>
      </c>
      <c r="Y68" s="21" t="str" cm="1">
        <f t="array" ca="1" aca="1" ref="Y68">CalculateMaxAndElements($K68,0,"",'Attack Steps'!$A:Z)</f>
        <v>0:</v>
      </c>
      <c r="Z68" s="21" t="str" cm="1">
        <f t="array" ca="1" aca="1" ref="Z68">CalculateMaxAndElements($K68,0,"",'Attack Steps'!$A:AA)</f>
        <v>0:</v>
      </c>
      <c r="AA68" s="21" t="str" cm="1">
        <f t="array" ca="1" aca="1" ref="AA68">CalculateMaxAndElements($K68,0,"",'Attack Steps'!$A:AB)</f>
        <v>0:</v>
      </c>
      <c r="AB68" s="21">
        <f t="shared" ca="1" si="70"/>
        <v>0</v>
      </c>
      <c r="AC68" s="21">
        <f t="shared" ca="1" si="71"/>
        <v>0</v>
      </c>
      <c r="AD68" s="21">
        <f t="shared" ca="1" si="72"/>
        <v>0</v>
      </c>
      <c r="AE68" s="21">
        <f t="shared" ca="1" si="73"/>
        <v>0</v>
      </c>
      <c r="AF68" s="21">
        <f t="shared" ca="1" si="74"/>
        <v>0</v>
      </c>
      <c r="AG68" s="21">
        <f t="shared" ca="1" si="92"/>
        <v>0</v>
      </c>
      <c r="AH68" s="21" t="str" cm="1">
        <f t="array" ca="1" aca="1" ref="AH68">IF(ROW()=ROW($AH$2)+1,"",INDEX($AH:$AH,ROW()-1))&amp;IF($A68="","",$A68&amp;",")</f>
        <v>R1-3,R2-3,R1-4,R2-4,R1-6,R2-6,R1-7,R2-7,R1-3-10,R2-3-10,R1-3-11,R2-3-11,R1-14,R1-16,R2-16,R21-23,R22-23,R1-29,R2-29,R31,R1-3-32,R2-3-32,R1-5-32,R2-5-32,R1-7-32,R2-7-32,R1-16-32,R2-16-32,R21-23-32,R22-23-32,R21-24-32,R22-24-32,R1-29-32,R2-29-32,R37,R38,R1-40,R2-40,</v>
      </c>
      <c r="AI68" s="21" t="str">
        <f t="shared" ca="1" si="75"/>
        <v/>
      </c>
      <c r="AJ68" s="21" cm="1">
        <f t="array" ca="1" aca="1" ref="AJ68">IF($G68="",0,SimpleLookup($G68,Definitions!$AE:$AF))</f>
        <v>0</v>
      </c>
      <c r="AK68" s="21" t="str" cm="1">
        <f t="array" ca="1" aca="1" ref="AK68">InverseLookup($A68,Mitigation!$U$2,Mitigation!$J$2,1,Helper!$B$5,",")</f>
        <v/>
      </c>
      <c r="AL68" s="21" t="str" cm="1">
        <f t="array" ca="1" aca="1" ref="AL68">CalculateMaxAndElementsWithFallback(SanitizeInput($AK68),0,"",Countermeasures!$A:Y,Assumptions!$A:Z)</f>
        <v>0:</v>
      </c>
      <c r="AM68" s="21" t="str" cm="1">
        <f t="array" ca="1" aca="1" ref="AM68">CalculateMaxAndElementsWithFallback(SanitizeInput($AK68),0,"",Countermeasures!$A:Z,Assumptions!$A:AA)</f>
        <v>0:</v>
      </c>
      <c r="AN68" s="21" t="str" cm="1">
        <f t="array" ca="1" aca="1" ref="AN68">CalculateMaxAndElementsWithFallback(SanitizeInput($AK68),0,"",Countermeasures!$A:AA,Assumptions!$A:AB)</f>
        <v>0:</v>
      </c>
      <c r="AO68" s="21" t="str" cm="1">
        <f t="array" ca="1" aca="1" ref="AO68">CalculateMaxAndElementsWithFallback(SanitizeInput($AK68),0,"",Countermeasures!$A:AB,Assumptions!$A:AC)</f>
        <v>0:</v>
      </c>
      <c r="AP68" s="21" t="str" cm="1">
        <f t="array" ca="1" aca="1" ref="AP68">CalculateMaxAndElementsWithFallback(SanitizeInput($AK68),0,"",Countermeasures!$A:AC,Assumptions!$A:AD)</f>
        <v>0:</v>
      </c>
      <c r="AQ68" s="21">
        <f t="shared" ca="1" si="76"/>
        <v>0</v>
      </c>
      <c r="AR68" s="21">
        <f t="shared" ca="1" si="77"/>
        <v>0</v>
      </c>
      <c r="AS68" s="21">
        <f t="shared" ca="1" si="78"/>
        <v>0</v>
      </c>
      <c r="AT68" s="21">
        <f t="shared" ca="1" si="79"/>
        <v>0</v>
      </c>
      <c r="AU68" s="21">
        <f t="shared" ca="1" si="80"/>
        <v>0</v>
      </c>
      <c r="AV68" s="21" t="str">
        <f t="shared" ca="1" si="81"/>
        <v>0:</v>
      </c>
      <c r="AW68" s="21" t="str">
        <f t="shared" ca="1" si="82"/>
        <v>0:</v>
      </c>
      <c r="AX68" s="21" t="str">
        <f t="shared" ca="1" si="83"/>
        <v>0:</v>
      </c>
      <c r="AY68" s="21" t="str">
        <f t="shared" ca="1" si="84"/>
        <v>0:</v>
      </c>
      <c r="AZ68" s="21" t="str">
        <f t="shared" ca="1" si="85"/>
        <v>0:</v>
      </c>
      <c r="BA68" s="21">
        <f t="shared" ca="1" si="86"/>
        <v>0</v>
      </c>
      <c r="BB68" s="21">
        <f t="shared" ca="1" si="87"/>
        <v>0</v>
      </c>
      <c r="BC68" s="21">
        <f t="shared" ca="1" si="88"/>
        <v>0</v>
      </c>
      <c r="BD68" s="21">
        <f t="shared" ca="1" si="89"/>
        <v>0</v>
      </c>
      <c r="BE68" s="21">
        <f t="shared" ca="1" si="90"/>
        <v>0</v>
      </c>
      <c r="BF68" s="21">
        <f t="shared" ca="1" si="93"/>
        <v>0</v>
      </c>
      <c r="BG68" s="21" t="str">
        <f ca="1">IFERROR(VLOOKUP($BF68,Definitions!$V:$W,COLUMNS(Definitions!$V:$W),TRUE),"")</f>
        <v>Basic</v>
      </c>
      <c r="BH68" s="21" t="str">
        <f ca="1">_xlfn.LET(_xlpm._comments,GetValues($K68,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8" s="21" t="str" cm="1">
        <f t="array" ca="1" aca="1" ref="BI68">_xlfn.LET(_xlpm._rapRange,Definitions!$W:$W,_xlpm._calculatedRAP,$BG68,_xlpm._inlineRAP,$BH68,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8" s="21" t="str">
        <f ca="1">IFERROR(IF(OR($V68="",$BI68=""),Definitions!$AE$4,VLOOKUP($V68,Definitions!$AH:$AM,MATCH($BI68,Definitions!$AH$3:$AM$3,0),FALSE)),"")</f>
        <v>No Risk</v>
      </c>
      <c r="BK68" s="21" cm="1">
        <f t="array" ca="1" aca="1" ref="BK68">IF($BJ68="",0,SimpleLookup($BJ68,Definitions!$AE:$AF))</f>
        <v>0</v>
      </c>
      <c r="BL68" s="21" t="str" cm="1">
        <f t="array" ca="1" aca="1" ref="BL68">IFERROR(SimpleLookup($A68,Tracing!$B:$Z),"")</f>
        <v/>
      </c>
      <c r="BM68" s="21" t="str" cm="1">
        <f t="array" ca="1" aca="1" ref="BM68">_xlfn.LET(_xlpm._dm,SanitizeInput(GetValuesWithFallback(SanitizeInput($BL68),Assumptions!$A:$I,Countermeasures!$A:$I,"",",",FALSE)),IF(_xlpm._dm="","",","&amp;_xlpm._dm))</f>
        <v/>
      </c>
      <c r="BN68" s="21" t="str" cm="1">
        <f t="array" ca="1" aca="1" ref="BN68">ApplyDamageMitigation($M68,$BM68,"")</f>
        <v/>
      </c>
      <c r="BO68" s="21" cm="1">
        <f t="array" ca="1" aca="1" ref="BO68">CalculateMaxFromList($BN68,0,'Damage Scenarios'!$A:$U)</f>
        <v>0</v>
      </c>
      <c r="BP68" s="21" t="str">
        <f ca="1">IF($BO68=0,"",INDEX(Definitions!$Q:$Q,MATCH($BO68,Definitions!$R:$R,0)))</f>
        <v/>
      </c>
      <c r="BQ68" s="21" t="str" cm="1">
        <f t="array" ca="1" aca="1" ref="BQ68">CalculateMaxAndElementsWithFallback(SanitizeInput($BL68),0,"",Countermeasures!$A:Y,Assumptions!$A:Z)</f>
        <v>0:</v>
      </c>
      <c r="BR68" s="21" t="str" cm="1">
        <f t="array" ca="1" aca="1" ref="BR68">CalculateMaxAndElementsWithFallback(SanitizeInput($BL68),0,"",Countermeasures!$A:Z,Assumptions!$A:AA)</f>
        <v>0:</v>
      </c>
      <c r="BS68" s="21" t="str" cm="1">
        <f t="array" ca="1" aca="1" ref="BS68">CalculateMaxAndElementsWithFallback(SanitizeInput($BL68),0,"",Countermeasures!$A:AA,Assumptions!$A:AB)</f>
        <v>0:</v>
      </c>
      <c r="BT68" s="21" t="str" cm="1">
        <f t="array" ca="1" aca="1" ref="BT68">CalculateMaxAndElementsWithFallback(SanitizeInput($BL68),0,"",Countermeasures!$A:AB,Assumptions!$A:AC)</f>
        <v>0:</v>
      </c>
      <c r="BU68" s="21" t="str" cm="1">
        <f t="array" ca="1" aca="1" ref="BU68">CalculateMaxAndElementsWithFallback(SanitizeInput($BL68),0,"",Countermeasures!$A:AC,Assumptions!$A:AD)</f>
        <v>0:</v>
      </c>
      <c r="BV68" s="21">
        <f ca="1" t="shared" si="95" ref="BV68:BV77">IF(BQ68="","",VALUE(LEFT(BQ68,FIND(":",BQ68)-1)))</f>
        <v>0</v>
      </c>
      <c r="BW68" s="21">
        <f ca="1" t="shared" si="96" ref="BW68:BW77">IF(BR68="","",VALUE(LEFT(BR68,FIND(":",BR68)-1)))</f>
        <v>0</v>
      </c>
      <c r="BX68" s="21">
        <f ca="1" t="shared" si="97" ref="BX68:BX77">IF(BS68="","",VALUE(LEFT(BS68,FIND(":",BS68)-1)))</f>
        <v>0</v>
      </c>
      <c r="BY68" s="21">
        <f ca="1" t="shared" si="98" ref="BY68:BY77">IF(BT68="","",VALUE(LEFT(BT68,FIND(":",BT68)-1)))</f>
        <v>0</v>
      </c>
      <c r="BZ68" s="21">
        <f ca="1" t="shared" si="99" ref="BZ68:BZ77">IF(BU68="","",VALUE(LEFT(BU68,FIND(":",BU68)-1)))</f>
        <v>0</v>
      </c>
      <c r="CA68" s="21" t="str">
        <f ca="1" t="shared" si="100" ref="CA68:CA77">IF(AB68=BV68,W68&amp;RIGHT(BQ68,LEN(BQ68)-FIND(":",BQ68)),IF(AB68&gt;BV68,W68,BQ68))</f>
        <v>0:</v>
      </c>
      <c r="CB68" s="21" t="str">
        <f ca="1" t="shared" si="101" ref="CB68:CB77">IF(AC68=BW68,X68&amp;RIGHT(BR68,LEN(BR68)-FIND(":",BR68)),IF(AC68&gt;BW68,X68,BR68))</f>
        <v>0:</v>
      </c>
      <c r="CC68" s="21" t="str">
        <f ca="1" t="shared" si="102" ref="CC68:CC77">IF(AD68=BX68,Y68&amp;RIGHT(BS68,LEN(BS68)-FIND(":",BS68)),IF(AD68&gt;BX68,Y68,BS68))</f>
        <v>0:</v>
      </c>
      <c r="CD68" s="21" t="str">
        <f ca="1" t="shared" si="103" ref="CD68:CD77">IF(AE68=BY68,Z68&amp;RIGHT(BT68,LEN(BT68)-FIND(":",BT68)),IF(AE68&gt;BY68,Z68,BT68))</f>
        <v>0:</v>
      </c>
      <c r="CE68" s="21" t="str">
        <f ca="1" t="shared" si="104" ref="CE68:CE77">IF(AF68=BZ68,AA68&amp;RIGHT(BU68,LEN(BU68)-FIND(":",BU68)),IF(AF68&gt;BZ68,AA68,BU68))</f>
        <v>0:</v>
      </c>
      <c r="CF68" s="21">
        <f ca="1" t="shared" si="105" ref="CF68:CF77">MAX(AB68,BV68)</f>
        <v>0</v>
      </c>
      <c r="CG68" s="21">
        <f ca="1" t="shared" si="106" ref="CG68:CG77">MAX(AC68,BW68)</f>
        <v>0</v>
      </c>
      <c r="CH68" s="21">
        <f ca="1" t="shared" si="107" ref="CH68:CH77">MAX(AD68,BX68)</f>
        <v>0</v>
      </c>
      <c r="CI68" s="21">
        <f ca="1" t="shared" si="108" ref="CI68:CI77">MAX(AE68,BY68)</f>
        <v>0</v>
      </c>
      <c r="CJ68" s="21">
        <f ca="1" t="shared" si="109" ref="CJ68:CJ77">MAX(AF68,BZ68)</f>
        <v>0</v>
      </c>
      <c r="CK68" s="21">
        <f t="shared" ca="1" si="94"/>
        <v>0</v>
      </c>
      <c r="CL68" s="21" t="str">
        <f ca="1">IFERROR(VLOOKUP($CK68,Definitions!$V:$W,COLUMNS(Definitions!$V:$W),TRUE),"")</f>
        <v>Basic</v>
      </c>
      <c r="CM68" s="21" t="str">
        <f ca="1">_xlfn.LET(_xlpm._comments,SimpleLookup($A68,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8" s="21" t="str" cm="1">
        <f t="array" ca="1" aca="1" ref="CN68">_xlfn.LET(_xlpm._rapRange,Definitions!$W:$W,_xlpm._calculatedRAP,$CL68,_xlpm._inlineRAP,$CM68,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8" s="21" t="str">
        <f ca="1">IFERROR(IF(OR($BP68="",$CN68=""),Definitions!$AE$4,VLOOKUP($BP68,Definitions!$AH:$AM,MATCH($CN68,Definitions!$AH$3:$AM$3,0),FALSE)),"")</f>
        <v>No Risk</v>
      </c>
      <c r="CP68" s="21" cm="1">
        <f t="array" ca="1" aca="1" ref="CP68">IF($CO68="",0,SimpleLookup($CO68,Definitions!$AE:$AF))</f>
        <v>0</v>
      </c>
      <c r="CQ68" s="21" t="b">
        <f ca="1">OR(AND($S68,$I68=Helper!$B$7),$I68&gt;Helper!$B$7)</f>
        <v>1</v>
      </c>
      <c r="CR68" s="21" t="str">
        <f t="shared" ca="1" si="67"/>
        <v/>
      </c>
      <c r="CS68" s="21" cm="1">
        <f t="array" ca="1" aca="1" ref="CS68">CreateID($CS$2,$CV:$CV,$CR68&lt;&gt;"")</f>
        <v>0</v>
      </c>
      <c r="CT68" s="21" t="str">
        <f ca="1">IF(IFERROR(MATCH(","&amp;A68&amp;",",'Risk Treatment'!$AT:$AT,0)&gt;0,FALSE),"",$A68)</f>
        <v/>
      </c>
      <c r="CU68" s="21" cm="1">
        <f t="array" ca="1" aca="1" ref="CU68">CreateID($CU$2,$CU:$CU,$CT68&lt;&gt;"")</f>
        <v>38</v>
      </c>
    </row>
    <row r="69" spans="1:99" ht="15">
      <c r="A69" s="33" t="str" cm="1">
        <f t="array" ca="1" aca="1" ref="A69">IF($B69="","","R"&amp;RemoveDelimiter(SUBSTITUTE(SUBSTITUTE($K69,"AS",""),",","-"),"-"))</f>
        <v/>
      </c>
      <c r="B69" s="33" t="str" cm="1">
        <f t="array" ca="1" aca="1" ref="B69">IF($L69="","",_xlfn.LET(_xlpm._finalAttackStep,$L69,_xlpm._prepAttacks,RemoveFirstElement(_xlpm._finalAttackStep&amp;","&amp;$K69),_xlpm._prepAttackNames,IFERROR(LookupNames(_xlpm._prepAttacks,'Attack Steps'!$A:$B),""),_xlpm._delimiter,REPT(CHAR(150),55),$L69&amp;" "&amp;SimpleLookup($L69,'Attack Steps'!$A:$B)&amp;IF(_xlpm._prepAttackNames="","",CHAR(10)&amp;_xlpm._delimiter&amp;CHAR(10)&amp;_xlpm._prepAttackNames)))</f>
        <v/>
      </c>
      <c r="C69" s="34" t="str" cm="1">
        <f t="array" ca="1" aca="1" ref="C69">IFERROR(LookupNames($M69,'Damage Scenarios'!$A:$V),"")</f>
        <v/>
      </c>
      <c r="D69" s="33" t="str">
        <f ca="1">IFERROR(IF($T69=0,"",INDEX(Definitions!$Q:$Q,MATCH($T69,Definitions!$R:$R,0))),"")</f>
        <v/>
      </c>
      <c r="E69" s="34" t="str" cm="1">
        <f t="array" ca="1" aca="1" ref="E69">IF($A69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69,$A:W,Definitions!$Y:$Y,Definitions!$AB:$AB,1)&amp;CHAR(10)&amp;_xlpm._factorFunction($A69,$A:X,Definitions!$Y:$Y,Definitions!$AB:$AB,2)&amp;CHAR(10)&amp;_xlpm._factorFunction($A69,$A:Y,Definitions!$Y:$Y,Definitions!$AB:$AB,3)&amp;CHAR(10)&amp;_xlpm._factorFunction($A69,$A:Z,Definitions!$Y:$Y,Definitions!$AB:$AB,4)&amp;CHAR(10)&amp;_xlpm._factorFunction($A69,$A:AA,Definitions!$Y:$Y,Definitions!$AB:$AB,5)))</f>
        <v/>
      </c>
      <c r="F69" s="33" t="str">
        <f ca="1">IF($A69="","",IFERROR(VLOOKUP($AG69,Definitions!$V:$W,COLUMNS(Definitions!$V:$W),TRUE),""))</f>
        <v/>
      </c>
      <c r="G69" s="33" t="str">
        <f ca="1">IFERROR(IF(OR($D69="",$F69=""),"",VLOOKUP($D69,Definitions!$AH:$AM,MATCH($F69,Definitions!$AH$3:$AM$3,0),FALSE)),"")</f>
        <v/>
      </c>
      <c r="H69" s="23" cm="1">
        <f t="array" ca="1" aca="1" ref="H69">IF(ROW()=ROW($H$2)+1,0,INDEX($H:$H,ROW()-1))+IF($A69="",0,1)</f>
        <v>38</v>
      </c>
      <c r="I69" s="21" cm="1">
        <f t="array" ca="1" aca="1" ref="I69">IF(ROW()=ROW($I$2)+1,1,INDEX($I:$I,ROW()-1)+IF(INDEX($S:$S,ROW()-1),1,0))</f>
        <v>16</v>
      </c>
      <c r="J69" s="21">
        <f t="shared" ca="1" si="91"/>
        <v>29</v>
      </c>
      <c r="K69" s="21" t="str">
        <f ca="1" t="shared" si="110" ref="K69:K77">IF($Q69="","",_xlfn.LET(_xlpm._aps,$Q69,_xlpm._firstPos,FIND("$",SUBSTITUTE(_xlpm._aps,"§","$",$J69))+1,_xlpm._lastPos,FIND("$",SUBSTITUTE(_xlpm._aps,"§","$",$J69+1)),MID(_xlpm._aps,_xlpm._firstPos,_xlpm._lastPos-_xlpm._firstPos)))</f>
        <v/>
      </c>
      <c r="L69" s="21" t="str" cm="1">
        <f t="array" ca="1" aca="1" ref="L69">IF($P69="","",INDEX('Attack Steps'!$A:$A,$P69))</f>
        <v/>
      </c>
      <c r="M69" s="21" t="str" cm="1">
        <f t="array" ca="1" aca="1" ref="M69">IF($P69="","",INDEX('Attack Steps'!$T:$T,$P69))</f>
        <v/>
      </c>
      <c r="N69" s="21" t="str" cm="1">
        <f t="array" ca="1" aca="1" ref="N69">_xlfn.LET(_xlpm._dm,SanitizeInput(GetValuesWithFallback(SanitizeInput($AK69),Assumptions!$A:$I,Countermeasures!$A:$I,"",",",FALSE)),IF(_xlpm._dm="","",","&amp;_xlpm._dm))</f>
        <v/>
      </c>
      <c r="O69" s="21" t="str" cm="1">
        <f t="array" ca="1" aca="1" ref="O69">ApplyDamageMitigation($M69,$N69,"")</f>
        <v/>
      </c>
      <c r="P69" s="21" t="str">
        <f ca="1">IFERROR(MATCH($I69,'Attack Steps'!$V:$V,0),"")</f>
        <v/>
      </c>
      <c r="Q69" s="21" t="str" cm="1">
        <f t="array" ca="1" aca="1" ref="Q69">IF($P69="","","§"&amp;INDEX('Attack Steps'!$S:$S,$P69))</f>
        <v/>
      </c>
      <c r="R69" s="21" t="str" cm="1">
        <f t="array" ca="1" aca="1" ref="R69">IF($P69="","",INDEX('Attack Steps'!$W:$W,$P69))</f>
        <v/>
      </c>
      <c r="S69" s="21" t="b">
        <f ca="1" t="shared" si="111" ref="S69:S77">$J69=$R69</f>
        <v>0</v>
      </c>
      <c r="T69" s="21" cm="1">
        <f t="array" ca="1" aca="1" ref="T69">_xlfn.LAMBDA(_xlpm._in,_xlpm._val,_xlpm._range,IF(_xlpm._in="",_xlpm._val,_xlfn.LET(_xlpm._id,LEFT(_xlpm._in,FIND(",",_xlpm._in)-1),CalculateMaxFromList(RemoveFirstElement(_xlpm._in),MAX(_xlpm._val,VLOOKUP(_xlpm._id,_xlpm._range,COLUMNS(_xlpm._range),FALSE)),_xlpm._range))))($M69,0,'Damage Scenarios'!$A:$U)</f>
        <v>0</v>
      </c>
      <c r="U69" s="21" cm="1">
        <f t="array" ca="1" aca="1" ref="U69">CalculateMaxFromList($O69,0,'Damage Scenarios'!$A:$U)</f>
        <v>0</v>
      </c>
      <c r="V69" s="21" t="str">
        <f ca="1">IF($U69=0,"",INDEX(Definitions!$Q:$Q,MATCH($U69,Definitions!$R:$R,0)))</f>
        <v/>
      </c>
      <c r="W69" s="21" t="str" cm="1">
        <f t="array" ca="1" aca="1" ref="W69">CalculateMaxAndElements($K69,0,"",'Attack Steps'!$A:X)</f>
        <v>0:</v>
      </c>
      <c r="X69" s="21" t="str" cm="1">
        <f t="array" ca="1" aca="1" ref="X69">CalculateMaxAndElements($K69,0,"",'Attack Steps'!$A:Y)</f>
        <v>0:</v>
      </c>
      <c r="Y69" s="21" t="str" cm="1">
        <f t="array" ca="1" aca="1" ref="Y69">CalculateMaxAndElements($K69,0,"",'Attack Steps'!$A:Z)</f>
        <v>0:</v>
      </c>
      <c r="Z69" s="21" t="str" cm="1">
        <f t="array" ca="1" aca="1" ref="Z69">CalculateMaxAndElements($K69,0,"",'Attack Steps'!$A:AA)</f>
        <v>0:</v>
      </c>
      <c r="AA69" s="21" t="str" cm="1">
        <f t="array" ca="1" aca="1" ref="AA69">CalculateMaxAndElements($K69,0,"",'Attack Steps'!$A:AB)</f>
        <v>0:</v>
      </c>
      <c r="AB69" s="21">
        <f ca="1" t="shared" si="112" ref="AB69:AB77">IF(W69="","",VALUE(LEFT(W69,FIND(":",W69)-1)))</f>
        <v>0</v>
      </c>
      <c r="AC69" s="21">
        <f ca="1" t="shared" si="113" ref="AC69:AC77">IF(X69="","",VALUE(LEFT(X69,FIND(":",X69)-1)))</f>
        <v>0</v>
      </c>
      <c r="AD69" s="21">
        <f ca="1" t="shared" si="114" ref="AD69:AD77">IF(Y69="","",VALUE(LEFT(Y69,FIND(":",Y69)-1)))</f>
        <v>0</v>
      </c>
      <c r="AE69" s="21">
        <f ca="1" t="shared" si="115" ref="AE69:AE77">IF(Z69="","",VALUE(LEFT(Z69,FIND(":",Z69)-1)))</f>
        <v>0</v>
      </c>
      <c r="AF69" s="21">
        <f ca="1" t="shared" si="116" ref="AF69:AF77">IF(AA69="","",VALUE(LEFT(AA69,FIND(":",AA69)-1)))</f>
        <v>0</v>
      </c>
      <c r="AG69" s="21">
        <f t="shared" ca="1" si="92"/>
        <v>0</v>
      </c>
      <c r="AH69" s="21" t="str" cm="1">
        <f t="array" ca="1" aca="1" ref="AH69">IF(ROW()=ROW($AH$2)+1,"",INDEX($AH:$AH,ROW()-1))&amp;IF($A69="","",$A69&amp;",")</f>
        <v>R1-3,R2-3,R1-4,R2-4,R1-6,R2-6,R1-7,R2-7,R1-3-10,R2-3-10,R1-3-11,R2-3-11,R1-14,R1-16,R2-16,R21-23,R22-23,R1-29,R2-29,R31,R1-3-32,R2-3-32,R1-5-32,R2-5-32,R1-7-32,R2-7-32,R1-16-32,R2-16-32,R21-23-32,R22-23-32,R21-24-32,R22-24-32,R1-29-32,R2-29-32,R37,R38,R1-40,R2-40,</v>
      </c>
      <c r="AI69" s="21" t="str">
        <f ca="1" t="shared" si="117" ref="AI69:AI77">IF($K69="","",","&amp;$K69)</f>
        <v/>
      </c>
      <c r="AJ69" s="21" cm="1">
        <f t="array" ca="1" aca="1" ref="AJ69">IF($G69="",0,SimpleLookup($G69,Definitions!$AE:$AF))</f>
        <v>0</v>
      </c>
      <c r="AK69" s="21" t="str" cm="1">
        <f t="array" ca="1" aca="1" ref="AK69">InverseLookup($A69,Mitigation!$U$2,Mitigation!$J$2,1,Helper!$B$5,",")</f>
        <v/>
      </c>
      <c r="AL69" s="21" t="str" cm="1">
        <f t="array" ca="1" aca="1" ref="AL69">CalculateMaxAndElementsWithFallback(SanitizeInput($AK69),0,"",Countermeasures!$A:Y,Assumptions!$A:Z)</f>
        <v>0:</v>
      </c>
      <c r="AM69" s="21" t="str" cm="1">
        <f t="array" ca="1" aca="1" ref="AM69">CalculateMaxAndElementsWithFallback(SanitizeInput($AK69),0,"",Countermeasures!$A:Z,Assumptions!$A:AA)</f>
        <v>0:</v>
      </c>
      <c r="AN69" s="21" t="str" cm="1">
        <f t="array" ca="1" aca="1" ref="AN69">CalculateMaxAndElementsWithFallback(SanitizeInput($AK69),0,"",Countermeasures!$A:AA,Assumptions!$A:AB)</f>
        <v>0:</v>
      </c>
      <c r="AO69" s="21" t="str" cm="1">
        <f t="array" ca="1" aca="1" ref="AO69">CalculateMaxAndElementsWithFallback(SanitizeInput($AK69),0,"",Countermeasures!$A:AB,Assumptions!$A:AC)</f>
        <v>0:</v>
      </c>
      <c r="AP69" s="21" t="str" cm="1">
        <f t="array" ca="1" aca="1" ref="AP69">CalculateMaxAndElementsWithFallback(SanitizeInput($AK69),0,"",Countermeasures!$A:AC,Assumptions!$A:AD)</f>
        <v>0:</v>
      </c>
      <c r="AQ69" s="21">
        <f ca="1" t="shared" si="118" ref="AQ69:AQ77">IF(AL69="","",VALUE(LEFT(AL69,FIND(":",AL69)-1)))</f>
        <v>0</v>
      </c>
      <c r="AR69" s="21">
        <f ca="1" t="shared" si="119" ref="AR69:AR77">IF(AM69="","",VALUE(LEFT(AM69,FIND(":",AM69)-1)))</f>
        <v>0</v>
      </c>
      <c r="AS69" s="21">
        <f ca="1" t="shared" si="120" ref="AS69:AS77">IF(AN69="","",VALUE(LEFT(AN69,FIND(":",AN69)-1)))</f>
        <v>0</v>
      </c>
      <c r="AT69" s="21">
        <f ca="1" t="shared" si="121" ref="AT69:AT77">IF(AO69="","",VALUE(LEFT(AO69,FIND(":",AO69)-1)))</f>
        <v>0</v>
      </c>
      <c r="AU69" s="21">
        <f ca="1" t="shared" si="122" ref="AU69:AU77">IF(AP69="","",VALUE(LEFT(AP69,FIND(":",AP69)-1)))</f>
        <v>0</v>
      </c>
      <c r="AV69" s="21" t="str">
        <f ca="1" t="shared" si="123" ref="AV69:AV77">IF(AB69=AQ69,W69&amp;RIGHT(AL69,LEN(AL69)-FIND(":",AL69)),IF(AB69&gt;AQ69,W69,AL69))</f>
        <v>0:</v>
      </c>
      <c r="AW69" s="21" t="str">
        <f ca="1" t="shared" si="124" ref="AW69:AW77">IF(AC69=AR69,X69&amp;RIGHT(AM69,LEN(AM69)-FIND(":",AM69)),IF(AC69&gt;AR69,X69,AM69))</f>
        <v>0:</v>
      </c>
      <c r="AX69" s="21" t="str">
        <f ca="1" t="shared" si="125" ref="AX69:AX77">IF(AD69=AS69,Y69&amp;RIGHT(AN69,LEN(AN69)-FIND(":",AN69)),IF(AD69&gt;AS69,Y69,AN69))</f>
        <v>0:</v>
      </c>
      <c r="AY69" s="21" t="str">
        <f ca="1" t="shared" si="126" ref="AY69:AY77">IF(AE69=AT69,Z69&amp;RIGHT(AO69,LEN(AO69)-FIND(":",AO69)),IF(AE69&gt;AT69,Z69,AO69))</f>
        <v>0:</v>
      </c>
      <c r="AZ69" s="21" t="str">
        <f ca="1" t="shared" si="127" ref="AZ69:AZ77">IF(AF69=AU69,AA69&amp;RIGHT(AP69,LEN(AP69)-FIND(":",AP69)),IF(AF69&gt;AU69,AA69,AP69))</f>
        <v>0:</v>
      </c>
      <c r="BA69" s="21">
        <f ca="1" t="shared" si="128" ref="BA69:BA77">MAX(AB69,AQ69)</f>
        <v>0</v>
      </c>
      <c r="BB69" s="21">
        <f ca="1" t="shared" si="129" ref="BB69:BB77">MAX(AC69,AR69)</f>
        <v>0</v>
      </c>
      <c r="BC69" s="21">
        <f ca="1" t="shared" si="130" ref="BC69:BC77">MAX(AD69,AS69)</f>
        <v>0</v>
      </c>
      <c r="BD69" s="21">
        <f ca="1" t="shared" si="131" ref="BD69:BD77">MAX(AE69,AT69)</f>
        <v>0</v>
      </c>
      <c r="BE69" s="21">
        <f ca="1" t="shared" si="132" ref="BE69:BE77">MAX(AF69,AU69)</f>
        <v>0</v>
      </c>
      <c r="BF69" s="21">
        <f t="shared" ca="1" si="93"/>
        <v>0</v>
      </c>
      <c r="BG69" s="21" t="str">
        <f ca="1">IFERROR(VLOOKUP($BF69,Definitions!$V:$W,COLUMNS(Definitions!$V:$W),TRUE),"")</f>
        <v>Basic</v>
      </c>
      <c r="BH69" s="21" t="str">
        <f ca="1">_xlfn.LET(_xlpm._comments,GetValues($K69,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69" s="21" t="str" cm="1">
        <f t="array" ca="1" aca="1" ref="BI69">_xlfn.LET(_xlpm._rapRange,Definitions!$W:$W,_xlpm._calculatedRAP,$BG69,_xlpm._inlineRAP,$BH69,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69" s="21" t="str">
        <f ca="1">IFERROR(IF(OR($V69="",$BI69=""),Definitions!$AE$4,VLOOKUP($V69,Definitions!$AH:$AM,MATCH($BI69,Definitions!$AH$3:$AM$3,0),FALSE)),"")</f>
        <v>No Risk</v>
      </c>
      <c r="BK69" s="21" cm="1">
        <f t="array" ca="1" aca="1" ref="BK69">IF($BJ69="",0,SimpleLookup($BJ69,Definitions!$AE:$AF))</f>
        <v>0</v>
      </c>
      <c r="BL69" s="21" t="str" cm="1">
        <f t="array" ca="1" aca="1" ref="BL69">IFERROR(SimpleLookup($A69,Tracing!$B:$Z),"")</f>
        <v/>
      </c>
      <c r="BM69" s="21" t="str" cm="1">
        <f t="array" ca="1" aca="1" ref="BM69">_xlfn.LET(_xlpm._dm,SanitizeInput(GetValuesWithFallback(SanitizeInput($BL69),Assumptions!$A:$I,Countermeasures!$A:$I,"",",",FALSE)),IF(_xlpm._dm="","",","&amp;_xlpm._dm))</f>
        <v/>
      </c>
      <c r="BN69" s="21" t="str" cm="1">
        <f t="array" ca="1" aca="1" ref="BN69">ApplyDamageMitigation($M69,$BM69,"")</f>
        <v/>
      </c>
      <c r="BO69" s="21" cm="1">
        <f t="array" ca="1" aca="1" ref="BO69">CalculateMaxFromList($BN69,0,'Damage Scenarios'!$A:$U)</f>
        <v>0</v>
      </c>
      <c r="BP69" s="21" t="str">
        <f ca="1">IF($BO69=0,"",INDEX(Definitions!$Q:$Q,MATCH($BO69,Definitions!$R:$R,0)))</f>
        <v/>
      </c>
      <c r="BQ69" s="21" t="str" cm="1">
        <f t="array" ca="1" aca="1" ref="BQ69">CalculateMaxAndElementsWithFallback(SanitizeInput($BL69),0,"",Countermeasures!$A:Y,Assumptions!$A:Z)</f>
        <v>0:</v>
      </c>
      <c r="BR69" s="21" t="str" cm="1">
        <f t="array" ca="1" aca="1" ref="BR69">CalculateMaxAndElementsWithFallback(SanitizeInput($BL69),0,"",Countermeasures!$A:Z,Assumptions!$A:AA)</f>
        <v>0:</v>
      </c>
      <c r="BS69" s="21" t="str" cm="1">
        <f t="array" ca="1" aca="1" ref="BS69">CalculateMaxAndElementsWithFallback(SanitizeInput($BL69),0,"",Countermeasures!$A:AA,Assumptions!$A:AB)</f>
        <v>0:</v>
      </c>
      <c r="BT69" s="21" t="str" cm="1">
        <f t="array" ca="1" aca="1" ref="BT69">CalculateMaxAndElementsWithFallback(SanitizeInput($BL69),0,"",Countermeasures!$A:AB,Assumptions!$A:AC)</f>
        <v>0:</v>
      </c>
      <c r="BU69" s="21" t="str" cm="1">
        <f t="array" ca="1" aca="1" ref="BU69">CalculateMaxAndElementsWithFallback(SanitizeInput($BL69),0,"",Countermeasures!$A:AC,Assumptions!$A:AD)</f>
        <v>0:</v>
      </c>
      <c r="BV69" s="21">
        <f t="shared" ca="1" si="95"/>
        <v>0</v>
      </c>
      <c r="BW69" s="21">
        <f t="shared" ca="1" si="96"/>
        <v>0</v>
      </c>
      <c r="BX69" s="21">
        <f t="shared" ca="1" si="97"/>
        <v>0</v>
      </c>
      <c r="BY69" s="21">
        <f t="shared" ca="1" si="98"/>
        <v>0</v>
      </c>
      <c r="BZ69" s="21">
        <f t="shared" ca="1" si="99"/>
        <v>0</v>
      </c>
      <c r="CA69" s="21" t="str">
        <f t="shared" ca="1" si="100"/>
        <v>0:</v>
      </c>
      <c r="CB69" s="21" t="str">
        <f t="shared" ca="1" si="101"/>
        <v>0:</v>
      </c>
      <c r="CC69" s="21" t="str">
        <f t="shared" ca="1" si="102"/>
        <v>0:</v>
      </c>
      <c r="CD69" s="21" t="str">
        <f t="shared" ca="1" si="103"/>
        <v>0:</v>
      </c>
      <c r="CE69" s="21" t="str">
        <f t="shared" ca="1" si="104"/>
        <v>0:</v>
      </c>
      <c r="CF69" s="21">
        <f t="shared" ca="1" si="105"/>
        <v>0</v>
      </c>
      <c r="CG69" s="21">
        <f t="shared" ca="1" si="106"/>
        <v>0</v>
      </c>
      <c r="CH69" s="21">
        <f t="shared" ca="1" si="107"/>
        <v>0</v>
      </c>
      <c r="CI69" s="21">
        <f t="shared" ca="1" si="108"/>
        <v>0</v>
      </c>
      <c r="CJ69" s="21">
        <f t="shared" ca="1" si="109"/>
        <v>0</v>
      </c>
      <c r="CK69" s="21">
        <f t="shared" ca="1" si="94"/>
        <v>0</v>
      </c>
      <c r="CL69" s="21" t="str">
        <f ca="1">IFERROR(VLOOKUP($CK69,Definitions!$V:$W,COLUMNS(Definitions!$V:$W),TRUE),"")</f>
        <v>Basic</v>
      </c>
      <c r="CM69" s="21" t="str">
        <f ca="1">_xlfn.LET(_xlpm._comments,SimpleLookup($A69,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69" s="21" t="str" cm="1">
        <f t="array" ca="1" aca="1" ref="CN69">_xlfn.LET(_xlpm._rapRange,Definitions!$W:$W,_xlpm._calculatedRAP,$CL69,_xlpm._inlineRAP,$CM69,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69" s="21" t="str">
        <f ca="1">IFERROR(IF(OR($BP69="",$CN69=""),Definitions!$AE$4,VLOOKUP($BP69,Definitions!$AH:$AM,MATCH($CN69,Definitions!$AH$3:$AM$3,0),FALSE)),"")</f>
        <v>No Risk</v>
      </c>
      <c r="CP69" s="21" cm="1">
        <f t="array" ca="1" aca="1" ref="CP69">IF($CO69="",0,SimpleLookup($CO69,Definitions!$AE:$AF))</f>
        <v>0</v>
      </c>
      <c r="CQ69" s="21" t="b">
        <f ca="1">OR(AND($S69,$I69=Helper!$B$7),$I69&gt;Helper!$B$7)</f>
        <v>1</v>
      </c>
      <c r="CR69" s="21" t="str">
        <f ca="1" t="shared" si="133" ref="CR69:CR77">IF(NOT(OR($CQ69,AND(NOT($CQ69),OFFSET($CQ69,1,0)&lt;&gt;""))),"Please enlarge the table!","")</f>
        <v/>
      </c>
      <c r="CS69" s="21" cm="1">
        <f t="array" ca="1" aca="1" ref="CS69">CreateID($CS$2,$CV:$CV,$CR69&lt;&gt;"")</f>
        <v>0</v>
      </c>
      <c r="CT69" s="21" t="str">
        <f ca="1">IF(IFERROR(MATCH(","&amp;A69&amp;",",'Risk Treatment'!$AT:$AT,0)&gt;0,FALSE),"",$A69)</f>
        <v/>
      </c>
      <c r="CU69" s="21" cm="1">
        <f t="array" ca="1" aca="1" ref="CU69">CreateID($CU$2,$CU:$CU,$CT69&lt;&gt;"")</f>
        <v>38</v>
      </c>
    </row>
    <row r="70" spans="1:99" ht="15">
      <c r="A70" s="33" t="str" cm="1">
        <f t="array" ca="1" aca="1" ref="A70">IF($B70="","","R"&amp;RemoveDelimiter(SUBSTITUTE(SUBSTITUTE($K70,"AS",""),",","-"),"-"))</f>
        <v/>
      </c>
      <c r="B70" s="33" t="str" cm="1">
        <f t="array" ca="1" aca="1" ref="B70">IF($L70="","",_xlfn.LET(_xlpm._finalAttackStep,$L70,_xlpm._prepAttacks,RemoveFirstElement(_xlpm._finalAttackStep&amp;","&amp;$K70),_xlpm._prepAttackNames,IFERROR(LookupNames(_xlpm._prepAttacks,'Attack Steps'!$A:$B),""),_xlpm._delimiter,REPT(CHAR(150),55),$L70&amp;" "&amp;SimpleLookup($L70,'Attack Steps'!$A:$B)&amp;IF(_xlpm._prepAttackNames="","",CHAR(10)&amp;_xlpm._delimiter&amp;CHAR(10)&amp;_xlpm._prepAttackNames)))</f>
        <v/>
      </c>
      <c r="C70" s="34" t="str" cm="1">
        <f t="array" ca="1" aca="1" ref="C70">IFERROR(LookupNames($M70,'Damage Scenarios'!$A:$V),"")</f>
        <v/>
      </c>
      <c r="D70" s="33" t="str">
        <f ca="1">IFERROR(IF($T70=0,"",INDEX(Definitions!$Q:$Q,MATCH($T70,Definitions!$R:$R,0))),"")</f>
        <v/>
      </c>
      <c r="E70" s="34" t="str" cm="1">
        <f t="array" ca="1" aca="1" ref="E70">IF($A70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70,$A:W,Definitions!$Y:$Y,Definitions!$AB:$AB,1)&amp;CHAR(10)&amp;_xlpm._factorFunction($A70,$A:X,Definitions!$Y:$Y,Definitions!$AB:$AB,2)&amp;CHAR(10)&amp;_xlpm._factorFunction($A70,$A:Y,Definitions!$Y:$Y,Definitions!$AB:$AB,3)&amp;CHAR(10)&amp;_xlpm._factorFunction($A70,$A:Z,Definitions!$Y:$Y,Definitions!$AB:$AB,4)&amp;CHAR(10)&amp;_xlpm._factorFunction($A70,$A:AA,Definitions!$Y:$Y,Definitions!$AB:$AB,5)))</f>
        <v/>
      </c>
      <c r="F70" s="33" t="str">
        <f ca="1">IF($A70="","",IFERROR(VLOOKUP($AG70,Definitions!$V:$W,COLUMNS(Definitions!$V:$W),TRUE),""))</f>
        <v/>
      </c>
      <c r="G70" s="33" t="str">
        <f ca="1">IFERROR(IF(OR($D70="",$F70=""),"",VLOOKUP($D70,Definitions!$AH:$AM,MATCH($F70,Definitions!$AH$3:$AM$3,0),FALSE)),"")</f>
        <v/>
      </c>
      <c r="H70" s="23" cm="1">
        <f t="array" ca="1" aca="1" ref="H70">IF(ROW()=ROW($H$2)+1,0,INDEX($H:$H,ROW()-1))+IF($A70="",0,1)</f>
        <v>38</v>
      </c>
      <c r="I70" s="21" cm="1">
        <f t="array" ca="1" aca="1" ref="I70">IF(ROW()=ROW($I$2)+1,1,INDEX($I:$I,ROW()-1)+IF(INDEX($S:$S,ROW()-1),1,0))</f>
        <v>16</v>
      </c>
      <c r="J70" s="21">
        <f t="shared" ca="1" si="91"/>
        <v>30</v>
      </c>
      <c r="K70" s="21" t="str">
        <f t="shared" ca="1" si="110"/>
        <v/>
      </c>
      <c r="L70" s="21" t="str" cm="1">
        <f t="array" ca="1" aca="1" ref="L70">IF($P70="","",INDEX('Attack Steps'!$A:$A,$P70))</f>
        <v/>
      </c>
      <c r="M70" s="21" t="str" cm="1">
        <f t="array" ca="1" aca="1" ref="M70">IF($P70="","",INDEX('Attack Steps'!$T:$T,$P70))</f>
        <v/>
      </c>
      <c r="N70" s="21" t="str" cm="1">
        <f t="array" ca="1" aca="1" ref="N70">_xlfn.LET(_xlpm._dm,SanitizeInput(GetValuesWithFallback(SanitizeInput($AK70),Assumptions!$A:$I,Countermeasures!$A:$I,"",",",FALSE)),IF(_xlpm._dm="","",","&amp;_xlpm._dm))</f>
        <v/>
      </c>
      <c r="O70" s="21" t="str" cm="1">
        <f t="array" ca="1" aca="1" ref="O70">ApplyDamageMitigation($M70,$N70,"")</f>
        <v/>
      </c>
      <c r="P70" s="21" t="str">
        <f ca="1">IFERROR(MATCH($I70,'Attack Steps'!$V:$V,0),"")</f>
        <v/>
      </c>
      <c r="Q70" s="21" t="str" cm="1">
        <f t="array" ca="1" aca="1" ref="Q70">IF($P70="","","§"&amp;INDEX('Attack Steps'!$S:$S,$P70))</f>
        <v/>
      </c>
      <c r="R70" s="21" t="str" cm="1">
        <f t="array" ca="1" aca="1" ref="R70">IF($P70="","",INDEX('Attack Steps'!$W:$W,$P70))</f>
        <v/>
      </c>
      <c r="S70" s="21" t="b">
        <f t="shared" ca="1" si="111"/>
        <v>0</v>
      </c>
      <c r="T70" s="21" cm="1">
        <f t="array" ca="1" aca="1" ref="T70">_xlfn.LAMBDA(_xlpm._in,_xlpm._val,_xlpm._range,IF(_xlpm._in="",_xlpm._val,_xlfn.LET(_xlpm._id,LEFT(_xlpm._in,FIND(",",_xlpm._in)-1),CalculateMaxFromList(RemoveFirstElement(_xlpm._in),MAX(_xlpm._val,VLOOKUP(_xlpm._id,_xlpm._range,COLUMNS(_xlpm._range),FALSE)),_xlpm._range))))($M70,0,'Damage Scenarios'!$A:$U)</f>
        <v>0</v>
      </c>
      <c r="U70" s="21" cm="1">
        <f t="array" ca="1" aca="1" ref="U70">CalculateMaxFromList($O70,0,'Damage Scenarios'!$A:$U)</f>
        <v>0</v>
      </c>
      <c r="V70" s="21" t="str">
        <f ca="1">IF($U70=0,"",INDEX(Definitions!$Q:$Q,MATCH($U70,Definitions!$R:$R,0)))</f>
        <v/>
      </c>
      <c r="W70" s="21" t="str" cm="1">
        <f t="array" ca="1" aca="1" ref="W70">CalculateMaxAndElements($K70,0,"",'Attack Steps'!$A:X)</f>
        <v>0:</v>
      </c>
      <c r="X70" s="21" t="str" cm="1">
        <f t="array" ca="1" aca="1" ref="X70">CalculateMaxAndElements($K70,0,"",'Attack Steps'!$A:Y)</f>
        <v>0:</v>
      </c>
      <c r="Y70" s="21" t="str" cm="1">
        <f t="array" ca="1" aca="1" ref="Y70">CalculateMaxAndElements($K70,0,"",'Attack Steps'!$A:Z)</f>
        <v>0:</v>
      </c>
      <c r="Z70" s="21" t="str" cm="1">
        <f t="array" ca="1" aca="1" ref="Z70">CalculateMaxAndElements($K70,0,"",'Attack Steps'!$A:AA)</f>
        <v>0:</v>
      </c>
      <c r="AA70" s="21" t="str" cm="1">
        <f t="array" ca="1" aca="1" ref="AA70">CalculateMaxAndElements($K70,0,"",'Attack Steps'!$A:AB)</f>
        <v>0:</v>
      </c>
      <c r="AB70" s="21">
        <f t="shared" ca="1" si="112"/>
        <v>0</v>
      </c>
      <c r="AC70" s="21">
        <f t="shared" ca="1" si="113"/>
        <v>0</v>
      </c>
      <c r="AD70" s="21">
        <f t="shared" ca="1" si="114"/>
        <v>0</v>
      </c>
      <c r="AE70" s="21">
        <f t="shared" ca="1" si="115"/>
        <v>0</v>
      </c>
      <c r="AF70" s="21">
        <f t="shared" ca="1" si="116"/>
        <v>0</v>
      </c>
      <c r="AG70" s="21">
        <f t="shared" ca="1" si="92"/>
        <v>0</v>
      </c>
      <c r="AH70" s="21" t="str" cm="1">
        <f t="array" ca="1" aca="1" ref="AH70">IF(ROW()=ROW($AH$2)+1,"",INDEX($AH:$AH,ROW()-1))&amp;IF($A70="","",$A70&amp;",")</f>
        <v>R1-3,R2-3,R1-4,R2-4,R1-6,R2-6,R1-7,R2-7,R1-3-10,R2-3-10,R1-3-11,R2-3-11,R1-14,R1-16,R2-16,R21-23,R22-23,R1-29,R2-29,R31,R1-3-32,R2-3-32,R1-5-32,R2-5-32,R1-7-32,R2-7-32,R1-16-32,R2-16-32,R21-23-32,R22-23-32,R21-24-32,R22-24-32,R1-29-32,R2-29-32,R37,R38,R1-40,R2-40,</v>
      </c>
      <c r="AI70" s="21" t="str">
        <f t="shared" ca="1" si="117"/>
        <v/>
      </c>
      <c r="AJ70" s="21" cm="1">
        <f t="array" ca="1" aca="1" ref="AJ70">IF($G70="",0,SimpleLookup($G70,Definitions!$AE:$AF))</f>
        <v>0</v>
      </c>
      <c r="AK70" s="21" t="str" cm="1">
        <f t="array" ca="1" aca="1" ref="AK70">InverseLookup($A70,Mitigation!$U$2,Mitigation!$J$2,1,Helper!$B$5,",")</f>
        <v/>
      </c>
      <c r="AL70" s="21" t="str" cm="1">
        <f t="array" ca="1" aca="1" ref="AL70">CalculateMaxAndElementsWithFallback(SanitizeInput($AK70),0,"",Countermeasures!$A:Y,Assumptions!$A:Z)</f>
        <v>0:</v>
      </c>
      <c r="AM70" s="21" t="str" cm="1">
        <f t="array" ca="1" aca="1" ref="AM70">CalculateMaxAndElementsWithFallback(SanitizeInput($AK70),0,"",Countermeasures!$A:Z,Assumptions!$A:AA)</f>
        <v>0:</v>
      </c>
      <c r="AN70" s="21" t="str" cm="1">
        <f t="array" ca="1" aca="1" ref="AN70">CalculateMaxAndElementsWithFallback(SanitizeInput($AK70),0,"",Countermeasures!$A:AA,Assumptions!$A:AB)</f>
        <v>0:</v>
      </c>
      <c r="AO70" s="21" t="str" cm="1">
        <f t="array" ca="1" aca="1" ref="AO70">CalculateMaxAndElementsWithFallback(SanitizeInput($AK70),0,"",Countermeasures!$A:AB,Assumptions!$A:AC)</f>
        <v>0:</v>
      </c>
      <c r="AP70" s="21" t="str" cm="1">
        <f t="array" ca="1" aca="1" ref="AP70">CalculateMaxAndElementsWithFallback(SanitizeInput($AK70),0,"",Countermeasures!$A:AC,Assumptions!$A:AD)</f>
        <v>0:</v>
      </c>
      <c r="AQ70" s="21">
        <f t="shared" ca="1" si="118"/>
        <v>0</v>
      </c>
      <c r="AR70" s="21">
        <f t="shared" ca="1" si="119"/>
        <v>0</v>
      </c>
      <c r="AS70" s="21">
        <f t="shared" ca="1" si="120"/>
        <v>0</v>
      </c>
      <c r="AT70" s="21">
        <f t="shared" ca="1" si="121"/>
        <v>0</v>
      </c>
      <c r="AU70" s="21">
        <f t="shared" ca="1" si="122"/>
        <v>0</v>
      </c>
      <c r="AV70" s="21" t="str">
        <f t="shared" ca="1" si="123"/>
        <v>0:</v>
      </c>
      <c r="AW70" s="21" t="str">
        <f t="shared" ca="1" si="124"/>
        <v>0:</v>
      </c>
      <c r="AX70" s="21" t="str">
        <f t="shared" ca="1" si="125"/>
        <v>0:</v>
      </c>
      <c r="AY70" s="21" t="str">
        <f t="shared" ca="1" si="126"/>
        <v>0:</v>
      </c>
      <c r="AZ70" s="21" t="str">
        <f t="shared" ca="1" si="127"/>
        <v>0:</v>
      </c>
      <c r="BA70" s="21">
        <f t="shared" ca="1" si="128"/>
        <v>0</v>
      </c>
      <c r="BB70" s="21">
        <f t="shared" ca="1" si="129"/>
        <v>0</v>
      </c>
      <c r="BC70" s="21">
        <f t="shared" ca="1" si="130"/>
        <v>0</v>
      </c>
      <c r="BD70" s="21">
        <f t="shared" ca="1" si="131"/>
        <v>0</v>
      </c>
      <c r="BE70" s="21">
        <f t="shared" ca="1" si="132"/>
        <v>0</v>
      </c>
      <c r="BF70" s="21">
        <f t="shared" ca="1" si="93"/>
        <v>0</v>
      </c>
      <c r="BG70" s="21" t="str">
        <f ca="1">IFERROR(VLOOKUP($BF70,Definitions!$V:$W,COLUMNS(Definitions!$V:$W),TRUE),"")</f>
        <v>Basic</v>
      </c>
      <c r="BH70" s="21" t="str">
        <f ca="1">_xlfn.LET(_xlpm._comments,GetValues($K70,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0" s="21" t="str" cm="1">
        <f t="array" ca="1" aca="1" ref="BI70">_xlfn.LET(_xlpm._rapRange,Definitions!$W:$W,_xlpm._calculatedRAP,$BG70,_xlpm._inlineRAP,$BH70,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0" s="21" t="str">
        <f ca="1">IFERROR(IF(OR($V70="",$BI70=""),Definitions!$AE$4,VLOOKUP($V70,Definitions!$AH:$AM,MATCH($BI70,Definitions!$AH$3:$AM$3,0),FALSE)),"")</f>
        <v>No Risk</v>
      </c>
      <c r="BK70" s="21" cm="1">
        <f t="array" ca="1" aca="1" ref="BK70">IF($BJ70="",0,SimpleLookup($BJ70,Definitions!$AE:$AF))</f>
        <v>0</v>
      </c>
      <c r="BL70" s="21" t="str" cm="1">
        <f t="array" ca="1" aca="1" ref="BL70">IFERROR(SimpleLookup($A70,Tracing!$B:$Z),"")</f>
        <v/>
      </c>
      <c r="BM70" s="21" t="str" cm="1">
        <f t="array" ca="1" aca="1" ref="BM70">_xlfn.LET(_xlpm._dm,SanitizeInput(GetValuesWithFallback(SanitizeInput($BL70),Assumptions!$A:$I,Countermeasures!$A:$I,"",",",FALSE)),IF(_xlpm._dm="","",","&amp;_xlpm._dm))</f>
        <v/>
      </c>
      <c r="BN70" s="21" t="str" cm="1">
        <f t="array" ca="1" aca="1" ref="BN70">ApplyDamageMitigation($M70,$BM70,"")</f>
        <v/>
      </c>
      <c r="BO70" s="21" cm="1">
        <f t="array" ca="1" aca="1" ref="BO70">CalculateMaxFromList($BN70,0,'Damage Scenarios'!$A:$U)</f>
        <v>0</v>
      </c>
      <c r="BP70" s="21" t="str">
        <f ca="1">IF($BO70=0,"",INDEX(Definitions!$Q:$Q,MATCH($BO70,Definitions!$R:$R,0)))</f>
        <v/>
      </c>
      <c r="BQ70" s="21" t="str" cm="1">
        <f t="array" ca="1" aca="1" ref="BQ70">CalculateMaxAndElementsWithFallback(SanitizeInput($BL70),0,"",Countermeasures!$A:Y,Assumptions!$A:Z)</f>
        <v>0:</v>
      </c>
      <c r="BR70" s="21" t="str" cm="1">
        <f t="array" ca="1" aca="1" ref="BR70">CalculateMaxAndElementsWithFallback(SanitizeInput($BL70),0,"",Countermeasures!$A:Z,Assumptions!$A:AA)</f>
        <v>0:</v>
      </c>
      <c r="BS70" s="21" t="str" cm="1">
        <f t="array" ca="1" aca="1" ref="BS70">CalculateMaxAndElementsWithFallback(SanitizeInput($BL70),0,"",Countermeasures!$A:AA,Assumptions!$A:AB)</f>
        <v>0:</v>
      </c>
      <c r="BT70" s="21" t="str" cm="1">
        <f t="array" ca="1" aca="1" ref="BT70">CalculateMaxAndElementsWithFallback(SanitizeInput($BL70),0,"",Countermeasures!$A:AB,Assumptions!$A:AC)</f>
        <v>0:</v>
      </c>
      <c r="BU70" s="21" t="str" cm="1">
        <f t="array" ca="1" aca="1" ref="BU70">CalculateMaxAndElementsWithFallback(SanitizeInput($BL70),0,"",Countermeasures!$A:AC,Assumptions!$A:AD)</f>
        <v>0:</v>
      </c>
      <c r="BV70" s="21">
        <f t="shared" ca="1" si="95"/>
        <v>0</v>
      </c>
      <c r="BW70" s="21">
        <f t="shared" ca="1" si="96"/>
        <v>0</v>
      </c>
      <c r="BX70" s="21">
        <f t="shared" ca="1" si="97"/>
        <v>0</v>
      </c>
      <c r="BY70" s="21">
        <f t="shared" ca="1" si="98"/>
        <v>0</v>
      </c>
      <c r="BZ70" s="21">
        <f t="shared" ca="1" si="99"/>
        <v>0</v>
      </c>
      <c r="CA70" s="21" t="str">
        <f t="shared" ca="1" si="100"/>
        <v>0:</v>
      </c>
      <c r="CB70" s="21" t="str">
        <f t="shared" ca="1" si="101"/>
        <v>0:</v>
      </c>
      <c r="CC70" s="21" t="str">
        <f t="shared" ca="1" si="102"/>
        <v>0:</v>
      </c>
      <c r="CD70" s="21" t="str">
        <f t="shared" ca="1" si="103"/>
        <v>0:</v>
      </c>
      <c r="CE70" s="21" t="str">
        <f t="shared" ca="1" si="104"/>
        <v>0:</v>
      </c>
      <c r="CF70" s="21">
        <f t="shared" ca="1" si="105"/>
        <v>0</v>
      </c>
      <c r="CG70" s="21">
        <f t="shared" ca="1" si="106"/>
        <v>0</v>
      </c>
      <c r="CH70" s="21">
        <f t="shared" ca="1" si="107"/>
        <v>0</v>
      </c>
      <c r="CI70" s="21">
        <f t="shared" ca="1" si="108"/>
        <v>0</v>
      </c>
      <c r="CJ70" s="21">
        <f t="shared" ca="1" si="109"/>
        <v>0</v>
      </c>
      <c r="CK70" s="21">
        <f t="shared" ca="1" si="94"/>
        <v>0</v>
      </c>
      <c r="CL70" s="21" t="str">
        <f ca="1">IFERROR(VLOOKUP($CK70,Definitions!$V:$W,COLUMNS(Definitions!$V:$W),TRUE),"")</f>
        <v>Basic</v>
      </c>
      <c r="CM70" s="21" t="str">
        <f ca="1">_xlfn.LET(_xlpm._comments,SimpleLookup($A70,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0" s="21" t="str" cm="1">
        <f t="array" ca="1" aca="1" ref="CN70">_xlfn.LET(_xlpm._rapRange,Definitions!$W:$W,_xlpm._calculatedRAP,$CL70,_xlpm._inlineRAP,$CM70,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0" s="21" t="str">
        <f ca="1">IFERROR(IF(OR($BP70="",$CN70=""),Definitions!$AE$4,VLOOKUP($BP70,Definitions!$AH:$AM,MATCH($CN70,Definitions!$AH$3:$AM$3,0),FALSE)),"")</f>
        <v>No Risk</v>
      </c>
      <c r="CP70" s="21" cm="1">
        <f t="array" ca="1" aca="1" ref="CP70">IF($CO70="",0,SimpleLookup($CO70,Definitions!$AE:$AF))</f>
        <v>0</v>
      </c>
      <c r="CQ70" s="21" t="b">
        <f ca="1">OR(AND($S70,$I70=Helper!$B$7),$I70&gt;Helper!$B$7)</f>
        <v>1</v>
      </c>
      <c r="CR70" s="21" t="str">
        <f t="shared" ca="1" si="133"/>
        <v/>
      </c>
      <c r="CS70" s="21" cm="1">
        <f t="array" ca="1" aca="1" ref="CS70">CreateID($CS$2,$CV:$CV,$CR70&lt;&gt;"")</f>
        <v>0</v>
      </c>
      <c r="CT70" s="21" t="str">
        <f ca="1">IF(IFERROR(MATCH(","&amp;A70&amp;",",'Risk Treatment'!$AT:$AT,0)&gt;0,FALSE),"",$A70)</f>
        <v/>
      </c>
      <c r="CU70" s="21" cm="1">
        <f t="array" ca="1" aca="1" ref="CU70">CreateID($CU$2,$CU:$CU,$CT70&lt;&gt;"")</f>
        <v>38</v>
      </c>
    </row>
    <row r="71" spans="1:99" ht="15">
      <c r="A71" s="33" t="str" cm="1">
        <f t="array" ca="1" aca="1" ref="A71">IF($B71="","","R"&amp;RemoveDelimiter(SUBSTITUTE(SUBSTITUTE($K71,"AS",""),",","-"),"-"))</f>
        <v/>
      </c>
      <c r="B71" s="33" t="str" cm="1">
        <f t="array" ca="1" aca="1" ref="B71">IF($L71="","",_xlfn.LET(_xlpm._finalAttackStep,$L71,_xlpm._prepAttacks,RemoveFirstElement(_xlpm._finalAttackStep&amp;","&amp;$K71),_xlpm._prepAttackNames,IFERROR(LookupNames(_xlpm._prepAttacks,'Attack Steps'!$A:$B),""),_xlpm._delimiter,REPT(CHAR(150),55),$L71&amp;" "&amp;SimpleLookup($L71,'Attack Steps'!$A:$B)&amp;IF(_xlpm._prepAttackNames="","",CHAR(10)&amp;_xlpm._delimiter&amp;CHAR(10)&amp;_xlpm._prepAttackNames)))</f>
        <v/>
      </c>
      <c r="C71" s="34" t="str" cm="1">
        <f t="array" ca="1" aca="1" ref="C71">IFERROR(LookupNames($M71,'Damage Scenarios'!$A:$V),"")</f>
        <v/>
      </c>
      <c r="D71" s="33" t="str">
        <f ca="1">IFERROR(IF($T71=0,"",INDEX(Definitions!$Q:$Q,MATCH($T71,Definitions!$R:$R,0))),"")</f>
        <v/>
      </c>
      <c r="E71" s="34" t="str" cm="1">
        <f t="array" ca="1" aca="1" ref="E71">IF($A71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71,$A:W,Definitions!$Y:$Y,Definitions!$AB:$AB,1)&amp;CHAR(10)&amp;_xlpm._factorFunction($A71,$A:X,Definitions!$Y:$Y,Definitions!$AB:$AB,2)&amp;CHAR(10)&amp;_xlpm._factorFunction($A71,$A:Y,Definitions!$Y:$Y,Definitions!$AB:$AB,3)&amp;CHAR(10)&amp;_xlpm._factorFunction($A71,$A:Z,Definitions!$Y:$Y,Definitions!$AB:$AB,4)&amp;CHAR(10)&amp;_xlpm._factorFunction($A71,$A:AA,Definitions!$Y:$Y,Definitions!$AB:$AB,5)))</f>
        <v/>
      </c>
      <c r="F71" s="33" t="str">
        <f ca="1">IF($A71="","",IFERROR(VLOOKUP($AG71,Definitions!$V:$W,COLUMNS(Definitions!$V:$W),TRUE),""))</f>
        <v/>
      </c>
      <c r="G71" s="33" t="str">
        <f ca="1">IFERROR(IF(OR($D71="",$F71=""),"",VLOOKUP($D71,Definitions!$AH:$AM,MATCH($F71,Definitions!$AH$3:$AM$3,0),FALSE)),"")</f>
        <v/>
      </c>
      <c r="H71" s="23" cm="1">
        <f t="array" ca="1" aca="1" ref="H71">IF(ROW()=ROW($H$2)+1,0,INDEX($H:$H,ROW()-1))+IF($A71="",0,1)</f>
        <v>38</v>
      </c>
      <c r="I71" s="21" cm="1">
        <f t="array" ca="1" aca="1" ref="I71">IF(ROW()=ROW($I$2)+1,1,INDEX($I:$I,ROW()-1)+IF(INDEX($S:$S,ROW()-1),1,0))</f>
        <v>16</v>
      </c>
      <c r="J71" s="21">
        <f t="shared" ca="1" si="91"/>
        <v>31</v>
      </c>
      <c r="K71" s="21" t="str">
        <f t="shared" ca="1" si="110"/>
        <v/>
      </c>
      <c r="L71" s="21" t="str" cm="1">
        <f t="array" ca="1" aca="1" ref="L71">IF($P71="","",INDEX('Attack Steps'!$A:$A,$P71))</f>
        <v/>
      </c>
      <c r="M71" s="21" t="str" cm="1">
        <f t="array" ca="1" aca="1" ref="M71">IF($P71="","",INDEX('Attack Steps'!$T:$T,$P71))</f>
        <v/>
      </c>
      <c r="N71" s="21" t="str" cm="1">
        <f t="array" ca="1" aca="1" ref="N71">_xlfn.LET(_xlpm._dm,SanitizeInput(GetValuesWithFallback(SanitizeInput($AK71),Assumptions!$A:$I,Countermeasures!$A:$I,"",",",FALSE)),IF(_xlpm._dm="","",","&amp;_xlpm._dm))</f>
        <v/>
      </c>
      <c r="O71" s="21" t="str" cm="1">
        <f t="array" ca="1" aca="1" ref="O71">ApplyDamageMitigation($M71,$N71,"")</f>
        <v/>
      </c>
      <c r="P71" s="21" t="str">
        <f ca="1">IFERROR(MATCH($I71,'Attack Steps'!$V:$V,0),"")</f>
        <v/>
      </c>
      <c r="Q71" s="21" t="str" cm="1">
        <f t="array" ca="1" aca="1" ref="Q71">IF($P71="","","§"&amp;INDEX('Attack Steps'!$S:$S,$P71))</f>
        <v/>
      </c>
      <c r="R71" s="21" t="str" cm="1">
        <f t="array" ca="1" aca="1" ref="R71">IF($P71="","",INDEX('Attack Steps'!$W:$W,$P71))</f>
        <v/>
      </c>
      <c r="S71" s="21" t="b">
        <f t="shared" ca="1" si="111"/>
        <v>0</v>
      </c>
      <c r="T71" s="21" cm="1">
        <f t="array" ca="1" aca="1" ref="T71">_xlfn.LAMBDA(_xlpm._in,_xlpm._val,_xlpm._range,IF(_xlpm._in="",_xlpm._val,_xlfn.LET(_xlpm._id,LEFT(_xlpm._in,FIND(",",_xlpm._in)-1),CalculateMaxFromList(RemoveFirstElement(_xlpm._in),MAX(_xlpm._val,VLOOKUP(_xlpm._id,_xlpm._range,COLUMNS(_xlpm._range),FALSE)),_xlpm._range))))($M71,0,'Damage Scenarios'!$A:$U)</f>
        <v>0</v>
      </c>
      <c r="U71" s="21" cm="1">
        <f t="array" ca="1" aca="1" ref="U71">CalculateMaxFromList($O71,0,'Damage Scenarios'!$A:$U)</f>
        <v>0</v>
      </c>
      <c r="V71" s="21" t="str">
        <f ca="1">IF($U71=0,"",INDEX(Definitions!$Q:$Q,MATCH($U71,Definitions!$R:$R,0)))</f>
        <v/>
      </c>
      <c r="W71" s="21" t="str" cm="1">
        <f t="array" ca="1" aca="1" ref="W71">CalculateMaxAndElements($K71,0,"",'Attack Steps'!$A:X)</f>
        <v>0:</v>
      </c>
      <c r="X71" s="21" t="str" cm="1">
        <f t="array" ca="1" aca="1" ref="X71">CalculateMaxAndElements($K71,0,"",'Attack Steps'!$A:Y)</f>
        <v>0:</v>
      </c>
      <c r="Y71" s="21" t="str" cm="1">
        <f t="array" ca="1" aca="1" ref="Y71">CalculateMaxAndElements($K71,0,"",'Attack Steps'!$A:Z)</f>
        <v>0:</v>
      </c>
      <c r="Z71" s="21" t="str" cm="1">
        <f t="array" ca="1" aca="1" ref="Z71">CalculateMaxAndElements($K71,0,"",'Attack Steps'!$A:AA)</f>
        <v>0:</v>
      </c>
      <c r="AA71" s="21" t="str" cm="1">
        <f t="array" ca="1" aca="1" ref="AA71">CalculateMaxAndElements($K71,0,"",'Attack Steps'!$A:AB)</f>
        <v>0:</v>
      </c>
      <c r="AB71" s="21">
        <f t="shared" ca="1" si="112"/>
        <v>0</v>
      </c>
      <c r="AC71" s="21">
        <f t="shared" ca="1" si="113"/>
        <v>0</v>
      </c>
      <c r="AD71" s="21">
        <f t="shared" ca="1" si="114"/>
        <v>0</v>
      </c>
      <c r="AE71" s="21">
        <f t="shared" ca="1" si="115"/>
        <v>0</v>
      </c>
      <c r="AF71" s="21">
        <f t="shared" ca="1" si="116"/>
        <v>0</v>
      </c>
      <c r="AG71" s="21">
        <f t="shared" ca="1" si="92"/>
        <v>0</v>
      </c>
      <c r="AH71" s="21" t="str" cm="1">
        <f t="array" ca="1" aca="1" ref="AH71">IF(ROW()=ROW($AH$2)+1,"",INDEX($AH:$AH,ROW()-1))&amp;IF($A71="","",$A71&amp;",")</f>
        <v>R1-3,R2-3,R1-4,R2-4,R1-6,R2-6,R1-7,R2-7,R1-3-10,R2-3-10,R1-3-11,R2-3-11,R1-14,R1-16,R2-16,R21-23,R22-23,R1-29,R2-29,R31,R1-3-32,R2-3-32,R1-5-32,R2-5-32,R1-7-32,R2-7-32,R1-16-32,R2-16-32,R21-23-32,R22-23-32,R21-24-32,R22-24-32,R1-29-32,R2-29-32,R37,R38,R1-40,R2-40,</v>
      </c>
      <c r="AI71" s="21" t="str">
        <f t="shared" ca="1" si="117"/>
        <v/>
      </c>
      <c r="AJ71" s="21" cm="1">
        <f t="array" ca="1" aca="1" ref="AJ71">IF($G71="",0,SimpleLookup($G71,Definitions!$AE:$AF))</f>
        <v>0</v>
      </c>
      <c r="AK71" s="21" t="str" cm="1">
        <f t="array" ca="1" aca="1" ref="AK71">InverseLookup($A71,Mitigation!$U$2,Mitigation!$J$2,1,Helper!$B$5,",")</f>
        <v/>
      </c>
      <c r="AL71" s="21" t="str" cm="1">
        <f t="array" ca="1" aca="1" ref="AL71">CalculateMaxAndElementsWithFallback(SanitizeInput($AK71),0,"",Countermeasures!$A:Y,Assumptions!$A:Z)</f>
        <v>0:</v>
      </c>
      <c r="AM71" s="21" t="str" cm="1">
        <f t="array" ca="1" aca="1" ref="AM71">CalculateMaxAndElementsWithFallback(SanitizeInput($AK71),0,"",Countermeasures!$A:Z,Assumptions!$A:AA)</f>
        <v>0:</v>
      </c>
      <c r="AN71" s="21" t="str" cm="1">
        <f t="array" ca="1" aca="1" ref="AN71">CalculateMaxAndElementsWithFallback(SanitizeInput($AK71),0,"",Countermeasures!$A:AA,Assumptions!$A:AB)</f>
        <v>0:</v>
      </c>
      <c r="AO71" s="21" t="str" cm="1">
        <f t="array" ca="1" aca="1" ref="AO71">CalculateMaxAndElementsWithFallback(SanitizeInput($AK71),0,"",Countermeasures!$A:AB,Assumptions!$A:AC)</f>
        <v>0:</v>
      </c>
      <c r="AP71" s="21" t="str" cm="1">
        <f t="array" ca="1" aca="1" ref="AP71">CalculateMaxAndElementsWithFallback(SanitizeInput($AK71),0,"",Countermeasures!$A:AC,Assumptions!$A:AD)</f>
        <v>0:</v>
      </c>
      <c r="AQ71" s="21">
        <f t="shared" ca="1" si="118"/>
        <v>0</v>
      </c>
      <c r="AR71" s="21">
        <f t="shared" ca="1" si="119"/>
        <v>0</v>
      </c>
      <c r="AS71" s="21">
        <f t="shared" ca="1" si="120"/>
        <v>0</v>
      </c>
      <c r="AT71" s="21">
        <f t="shared" ca="1" si="121"/>
        <v>0</v>
      </c>
      <c r="AU71" s="21">
        <f t="shared" ca="1" si="122"/>
        <v>0</v>
      </c>
      <c r="AV71" s="21" t="str">
        <f t="shared" ca="1" si="123"/>
        <v>0:</v>
      </c>
      <c r="AW71" s="21" t="str">
        <f t="shared" ca="1" si="124"/>
        <v>0:</v>
      </c>
      <c r="AX71" s="21" t="str">
        <f t="shared" ca="1" si="125"/>
        <v>0:</v>
      </c>
      <c r="AY71" s="21" t="str">
        <f t="shared" ca="1" si="126"/>
        <v>0:</v>
      </c>
      <c r="AZ71" s="21" t="str">
        <f t="shared" ca="1" si="127"/>
        <v>0:</v>
      </c>
      <c r="BA71" s="21">
        <f t="shared" ca="1" si="128"/>
        <v>0</v>
      </c>
      <c r="BB71" s="21">
        <f t="shared" ca="1" si="129"/>
        <v>0</v>
      </c>
      <c r="BC71" s="21">
        <f t="shared" ca="1" si="130"/>
        <v>0</v>
      </c>
      <c r="BD71" s="21">
        <f t="shared" ca="1" si="131"/>
        <v>0</v>
      </c>
      <c r="BE71" s="21">
        <f t="shared" ca="1" si="132"/>
        <v>0</v>
      </c>
      <c r="BF71" s="21">
        <f t="shared" ca="1" si="93"/>
        <v>0</v>
      </c>
      <c r="BG71" s="21" t="str">
        <f ca="1">IFERROR(VLOOKUP($BF71,Definitions!$V:$W,COLUMNS(Definitions!$V:$W),TRUE),"")</f>
        <v>Basic</v>
      </c>
      <c r="BH71" s="21" t="str">
        <f ca="1">_xlfn.LET(_xlpm._comments,GetValues($K71,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1" s="21" t="str" cm="1">
        <f t="array" ca="1" aca="1" ref="BI71">_xlfn.LET(_xlpm._rapRange,Definitions!$W:$W,_xlpm._calculatedRAP,$BG71,_xlpm._inlineRAP,$BH71,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1" s="21" t="str">
        <f ca="1">IFERROR(IF(OR($V71="",$BI71=""),Definitions!$AE$4,VLOOKUP($V71,Definitions!$AH:$AM,MATCH($BI71,Definitions!$AH$3:$AM$3,0),FALSE)),"")</f>
        <v>No Risk</v>
      </c>
      <c r="BK71" s="21" cm="1">
        <f t="array" ca="1" aca="1" ref="BK71">IF($BJ71="",0,SimpleLookup($BJ71,Definitions!$AE:$AF))</f>
        <v>0</v>
      </c>
      <c r="BL71" s="21" t="str" cm="1">
        <f t="array" ca="1" aca="1" ref="BL71">IFERROR(SimpleLookup($A71,Tracing!$B:$Z),"")</f>
        <v/>
      </c>
      <c r="BM71" s="21" t="str" cm="1">
        <f t="array" ca="1" aca="1" ref="BM71">_xlfn.LET(_xlpm._dm,SanitizeInput(GetValuesWithFallback(SanitizeInput($BL71),Assumptions!$A:$I,Countermeasures!$A:$I,"",",",FALSE)),IF(_xlpm._dm="","",","&amp;_xlpm._dm))</f>
        <v/>
      </c>
      <c r="BN71" s="21" t="str" cm="1">
        <f t="array" ca="1" aca="1" ref="BN71">ApplyDamageMitigation($M71,$BM71,"")</f>
        <v/>
      </c>
      <c r="BO71" s="21" cm="1">
        <f t="array" ca="1" aca="1" ref="BO71">CalculateMaxFromList($BN71,0,'Damage Scenarios'!$A:$U)</f>
        <v>0</v>
      </c>
      <c r="BP71" s="21" t="str">
        <f ca="1">IF($BO71=0,"",INDEX(Definitions!$Q:$Q,MATCH($BO71,Definitions!$R:$R,0)))</f>
        <v/>
      </c>
      <c r="BQ71" s="21" t="str" cm="1">
        <f t="array" ca="1" aca="1" ref="BQ71">CalculateMaxAndElementsWithFallback(SanitizeInput($BL71),0,"",Countermeasures!$A:Y,Assumptions!$A:Z)</f>
        <v>0:</v>
      </c>
      <c r="BR71" s="21" t="str" cm="1">
        <f t="array" ca="1" aca="1" ref="BR71">CalculateMaxAndElementsWithFallback(SanitizeInput($BL71),0,"",Countermeasures!$A:Z,Assumptions!$A:AA)</f>
        <v>0:</v>
      </c>
      <c r="BS71" s="21" t="str" cm="1">
        <f t="array" ca="1" aca="1" ref="BS71">CalculateMaxAndElementsWithFallback(SanitizeInput($BL71),0,"",Countermeasures!$A:AA,Assumptions!$A:AB)</f>
        <v>0:</v>
      </c>
      <c r="BT71" s="21" t="str" cm="1">
        <f t="array" ca="1" aca="1" ref="BT71">CalculateMaxAndElementsWithFallback(SanitizeInput($BL71),0,"",Countermeasures!$A:AB,Assumptions!$A:AC)</f>
        <v>0:</v>
      </c>
      <c r="BU71" s="21" t="str" cm="1">
        <f t="array" ca="1" aca="1" ref="BU71">CalculateMaxAndElementsWithFallback(SanitizeInput($BL71),0,"",Countermeasures!$A:AC,Assumptions!$A:AD)</f>
        <v>0:</v>
      </c>
      <c r="BV71" s="21">
        <f t="shared" ca="1" si="95"/>
        <v>0</v>
      </c>
      <c r="BW71" s="21">
        <f t="shared" ca="1" si="96"/>
        <v>0</v>
      </c>
      <c r="BX71" s="21">
        <f t="shared" ca="1" si="97"/>
        <v>0</v>
      </c>
      <c r="BY71" s="21">
        <f t="shared" ca="1" si="98"/>
        <v>0</v>
      </c>
      <c r="BZ71" s="21">
        <f t="shared" ca="1" si="99"/>
        <v>0</v>
      </c>
      <c r="CA71" s="21" t="str">
        <f t="shared" ca="1" si="100"/>
        <v>0:</v>
      </c>
      <c r="CB71" s="21" t="str">
        <f t="shared" ca="1" si="101"/>
        <v>0:</v>
      </c>
      <c r="CC71" s="21" t="str">
        <f t="shared" ca="1" si="102"/>
        <v>0:</v>
      </c>
      <c r="CD71" s="21" t="str">
        <f t="shared" ca="1" si="103"/>
        <v>0:</v>
      </c>
      <c r="CE71" s="21" t="str">
        <f t="shared" ca="1" si="104"/>
        <v>0:</v>
      </c>
      <c r="CF71" s="21">
        <f t="shared" ca="1" si="105"/>
        <v>0</v>
      </c>
      <c r="CG71" s="21">
        <f t="shared" ca="1" si="106"/>
        <v>0</v>
      </c>
      <c r="CH71" s="21">
        <f t="shared" ca="1" si="107"/>
        <v>0</v>
      </c>
      <c r="CI71" s="21">
        <f t="shared" ca="1" si="108"/>
        <v>0</v>
      </c>
      <c r="CJ71" s="21">
        <f t="shared" ca="1" si="109"/>
        <v>0</v>
      </c>
      <c r="CK71" s="21">
        <f t="shared" ca="1" si="94"/>
        <v>0</v>
      </c>
      <c r="CL71" s="21" t="str">
        <f ca="1">IFERROR(VLOOKUP($CK71,Definitions!$V:$W,COLUMNS(Definitions!$V:$W),TRUE),"")</f>
        <v>Basic</v>
      </c>
      <c r="CM71" s="21" t="str">
        <f ca="1">_xlfn.LET(_xlpm._comments,SimpleLookup($A71,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1" s="21" t="str" cm="1">
        <f t="array" ca="1" aca="1" ref="CN71">_xlfn.LET(_xlpm._rapRange,Definitions!$W:$W,_xlpm._calculatedRAP,$CL71,_xlpm._inlineRAP,$CM71,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1" s="21" t="str">
        <f ca="1">IFERROR(IF(OR($BP71="",$CN71=""),Definitions!$AE$4,VLOOKUP($BP71,Definitions!$AH:$AM,MATCH($CN71,Definitions!$AH$3:$AM$3,0),FALSE)),"")</f>
        <v>No Risk</v>
      </c>
      <c r="CP71" s="21" cm="1">
        <f t="array" ca="1" aca="1" ref="CP71">IF($CO71="",0,SimpleLookup($CO71,Definitions!$AE:$AF))</f>
        <v>0</v>
      </c>
      <c r="CQ71" s="21" t="b">
        <f ca="1">OR(AND($S71,$I71=Helper!$B$7),$I71&gt;Helper!$B$7)</f>
        <v>1</v>
      </c>
      <c r="CR71" s="21" t="str">
        <f t="shared" ca="1" si="133"/>
        <v/>
      </c>
      <c r="CS71" s="21" cm="1">
        <f t="array" ca="1" aca="1" ref="CS71">CreateID($CS$2,$CV:$CV,$CR71&lt;&gt;"")</f>
        <v>0</v>
      </c>
      <c r="CT71" s="21" t="str">
        <f ca="1">IF(IFERROR(MATCH(","&amp;A71&amp;",",'Risk Treatment'!$AT:$AT,0)&gt;0,FALSE),"",$A71)</f>
        <v/>
      </c>
      <c r="CU71" s="21" cm="1">
        <f t="array" ca="1" aca="1" ref="CU71">CreateID($CU$2,$CU:$CU,$CT71&lt;&gt;"")</f>
        <v>38</v>
      </c>
    </row>
    <row r="72" spans="1:99" ht="15">
      <c r="A72" s="33" t="str" cm="1">
        <f t="array" ca="1" aca="1" ref="A72">IF($B72="","","R"&amp;RemoveDelimiter(SUBSTITUTE(SUBSTITUTE($K72,"AS",""),",","-"),"-"))</f>
        <v/>
      </c>
      <c r="B72" s="33" t="str" cm="1">
        <f t="array" ca="1" aca="1" ref="B72">IF($L72="","",_xlfn.LET(_xlpm._finalAttackStep,$L72,_xlpm._prepAttacks,RemoveFirstElement(_xlpm._finalAttackStep&amp;","&amp;$K72),_xlpm._prepAttackNames,IFERROR(LookupNames(_xlpm._prepAttacks,'Attack Steps'!$A:$B),""),_xlpm._delimiter,REPT(CHAR(150),55),$L72&amp;" "&amp;SimpleLookup($L72,'Attack Steps'!$A:$B)&amp;IF(_xlpm._prepAttackNames="","",CHAR(10)&amp;_xlpm._delimiter&amp;CHAR(10)&amp;_xlpm._prepAttackNames)))</f>
        <v/>
      </c>
      <c r="C72" s="34" t="str" cm="1">
        <f t="array" ca="1" aca="1" ref="C72">IFERROR(LookupNames($M72,'Damage Scenarios'!$A:$V),"")</f>
        <v/>
      </c>
      <c r="D72" s="33" t="str">
        <f ca="1">IFERROR(IF($T72=0,"",INDEX(Definitions!$Q:$Q,MATCH($T72,Definitions!$R:$R,0))),"")</f>
        <v/>
      </c>
      <c r="E72" s="34" t="str" cm="1">
        <f t="array" ca="1" aca="1" ref="E72">IF($A72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72,$A:W,Definitions!$Y:$Y,Definitions!$AB:$AB,1)&amp;CHAR(10)&amp;_xlpm._factorFunction($A72,$A:X,Definitions!$Y:$Y,Definitions!$AB:$AB,2)&amp;CHAR(10)&amp;_xlpm._factorFunction($A72,$A:Y,Definitions!$Y:$Y,Definitions!$AB:$AB,3)&amp;CHAR(10)&amp;_xlpm._factorFunction($A72,$A:Z,Definitions!$Y:$Y,Definitions!$AB:$AB,4)&amp;CHAR(10)&amp;_xlpm._factorFunction($A72,$A:AA,Definitions!$Y:$Y,Definitions!$AB:$AB,5)))</f>
        <v/>
      </c>
      <c r="F72" s="33" t="str">
        <f ca="1">IF($A72="","",IFERROR(VLOOKUP($AG72,Definitions!$V:$W,COLUMNS(Definitions!$V:$W),TRUE),""))</f>
        <v/>
      </c>
      <c r="G72" s="33" t="str">
        <f ca="1">IFERROR(IF(OR($D72="",$F72=""),"",VLOOKUP($D72,Definitions!$AH:$AM,MATCH($F72,Definitions!$AH$3:$AM$3,0),FALSE)),"")</f>
        <v/>
      </c>
      <c r="H72" s="23" cm="1">
        <f t="array" ca="1" aca="1" ref="H72">IF(ROW()=ROW($H$2)+1,0,INDEX($H:$H,ROW()-1))+IF($A72="",0,1)</f>
        <v>38</v>
      </c>
      <c r="I72" s="21" cm="1">
        <f t="array" ca="1" aca="1" ref="I72">IF(ROW()=ROW($I$2)+1,1,INDEX($I:$I,ROW()-1)+IF(INDEX($S:$S,ROW()-1),1,0))</f>
        <v>16</v>
      </c>
      <c r="J72" s="21">
        <f t="shared" ca="1" si="91"/>
        <v>32</v>
      </c>
      <c r="K72" s="21" t="str">
        <f t="shared" ca="1" si="110"/>
        <v/>
      </c>
      <c r="L72" s="21" t="str" cm="1">
        <f t="array" ca="1" aca="1" ref="L72">IF($P72="","",INDEX('Attack Steps'!$A:$A,$P72))</f>
        <v/>
      </c>
      <c r="M72" s="21" t="str" cm="1">
        <f t="array" ca="1" aca="1" ref="M72">IF($P72="","",INDEX('Attack Steps'!$T:$T,$P72))</f>
        <v/>
      </c>
      <c r="N72" s="21" t="str" cm="1">
        <f t="array" ca="1" aca="1" ref="N72">_xlfn.LET(_xlpm._dm,SanitizeInput(GetValuesWithFallback(SanitizeInput($AK72),Assumptions!$A:$I,Countermeasures!$A:$I,"",",",FALSE)),IF(_xlpm._dm="","",","&amp;_xlpm._dm))</f>
        <v/>
      </c>
      <c r="O72" s="21" t="str" cm="1">
        <f t="array" ca="1" aca="1" ref="O72">ApplyDamageMitigation($M72,$N72,"")</f>
        <v/>
      </c>
      <c r="P72" s="21" t="str">
        <f ca="1">IFERROR(MATCH($I72,'Attack Steps'!$V:$V,0),"")</f>
        <v/>
      </c>
      <c r="Q72" s="21" t="str" cm="1">
        <f t="array" ca="1" aca="1" ref="Q72">IF($P72="","","§"&amp;INDEX('Attack Steps'!$S:$S,$P72))</f>
        <v/>
      </c>
      <c r="R72" s="21" t="str" cm="1">
        <f t="array" ca="1" aca="1" ref="R72">IF($P72="","",INDEX('Attack Steps'!$W:$W,$P72))</f>
        <v/>
      </c>
      <c r="S72" s="21" t="b">
        <f t="shared" ca="1" si="111"/>
        <v>0</v>
      </c>
      <c r="T72" s="21" cm="1">
        <f t="array" ca="1" aca="1" ref="T72">_xlfn.LAMBDA(_xlpm._in,_xlpm._val,_xlpm._range,IF(_xlpm._in="",_xlpm._val,_xlfn.LET(_xlpm._id,LEFT(_xlpm._in,FIND(",",_xlpm._in)-1),CalculateMaxFromList(RemoveFirstElement(_xlpm._in),MAX(_xlpm._val,VLOOKUP(_xlpm._id,_xlpm._range,COLUMNS(_xlpm._range),FALSE)),_xlpm._range))))($M72,0,'Damage Scenarios'!$A:$U)</f>
        <v>0</v>
      </c>
      <c r="U72" s="21" cm="1">
        <f t="array" ca="1" aca="1" ref="U72">CalculateMaxFromList($O72,0,'Damage Scenarios'!$A:$U)</f>
        <v>0</v>
      </c>
      <c r="V72" s="21" t="str">
        <f ca="1">IF($U72=0,"",INDEX(Definitions!$Q:$Q,MATCH($U72,Definitions!$R:$R,0)))</f>
        <v/>
      </c>
      <c r="W72" s="21" t="str" cm="1">
        <f t="array" ca="1" aca="1" ref="W72">CalculateMaxAndElements($K72,0,"",'Attack Steps'!$A:X)</f>
        <v>0:</v>
      </c>
      <c r="X72" s="21" t="str" cm="1">
        <f t="array" ca="1" aca="1" ref="X72">CalculateMaxAndElements($K72,0,"",'Attack Steps'!$A:Y)</f>
        <v>0:</v>
      </c>
      <c r="Y72" s="21" t="str" cm="1">
        <f t="array" ca="1" aca="1" ref="Y72">CalculateMaxAndElements($K72,0,"",'Attack Steps'!$A:Z)</f>
        <v>0:</v>
      </c>
      <c r="Z72" s="21" t="str" cm="1">
        <f t="array" ca="1" aca="1" ref="Z72">CalculateMaxAndElements($K72,0,"",'Attack Steps'!$A:AA)</f>
        <v>0:</v>
      </c>
      <c r="AA72" s="21" t="str" cm="1">
        <f t="array" ca="1" aca="1" ref="AA72">CalculateMaxAndElements($K72,0,"",'Attack Steps'!$A:AB)</f>
        <v>0:</v>
      </c>
      <c r="AB72" s="21">
        <f t="shared" ca="1" si="112"/>
        <v>0</v>
      </c>
      <c r="AC72" s="21">
        <f t="shared" ca="1" si="113"/>
        <v>0</v>
      </c>
      <c r="AD72" s="21">
        <f t="shared" ca="1" si="114"/>
        <v>0</v>
      </c>
      <c r="AE72" s="21">
        <f t="shared" ca="1" si="115"/>
        <v>0</v>
      </c>
      <c r="AF72" s="21">
        <f t="shared" ca="1" si="116"/>
        <v>0</v>
      </c>
      <c r="AG72" s="21">
        <f t="shared" ca="1" si="92"/>
        <v>0</v>
      </c>
      <c r="AH72" s="21" t="str" cm="1">
        <f t="array" ca="1" aca="1" ref="AH72">IF(ROW()=ROW($AH$2)+1,"",INDEX($AH:$AH,ROW()-1))&amp;IF($A72="","",$A72&amp;",")</f>
        <v>R1-3,R2-3,R1-4,R2-4,R1-6,R2-6,R1-7,R2-7,R1-3-10,R2-3-10,R1-3-11,R2-3-11,R1-14,R1-16,R2-16,R21-23,R22-23,R1-29,R2-29,R31,R1-3-32,R2-3-32,R1-5-32,R2-5-32,R1-7-32,R2-7-32,R1-16-32,R2-16-32,R21-23-32,R22-23-32,R21-24-32,R22-24-32,R1-29-32,R2-29-32,R37,R38,R1-40,R2-40,</v>
      </c>
      <c r="AI72" s="21" t="str">
        <f t="shared" ca="1" si="117"/>
        <v/>
      </c>
      <c r="AJ72" s="21" cm="1">
        <f t="array" ca="1" aca="1" ref="AJ72">IF($G72="",0,SimpleLookup($G72,Definitions!$AE:$AF))</f>
        <v>0</v>
      </c>
      <c r="AK72" s="21" t="str" cm="1">
        <f t="array" ca="1" aca="1" ref="AK72">InverseLookup($A72,Mitigation!$U$2,Mitigation!$J$2,1,Helper!$B$5,",")</f>
        <v/>
      </c>
      <c r="AL72" s="21" t="str" cm="1">
        <f t="array" ca="1" aca="1" ref="AL72">CalculateMaxAndElementsWithFallback(SanitizeInput($AK72),0,"",Countermeasures!$A:Y,Assumptions!$A:Z)</f>
        <v>0:</v>
      </c>
      <c r="AM72" s="21" t="str" cm="1">
        <f t="array" ca="1" aca="1" ref="AM72">CalculateMaxAndElementsWithFallback(SanitizeInput($AK72),0,"",Countermeasures!$A:Z,Assumptions!$A:AA)</f>
        <v>0:</v>
      </c>
      <c r="AN72" s="21" t="str" cm="1">
        <f t="array" ca="1" aca="1" ref="AN72">CalculateMaxAndElementsWithFallback(SanitizeInput($AK72),0,"",Countermeasures!$A:AA,Assumptions!$A:AB)</f>
        <v>0:</v>
      </c>
      <c r="AO72" s="21" t="str" cm="1">
        <f t="array" ca="1" aca="1" ref="AO72">CalculateMaxAndElementsWithFallback(SanitizeInput($AK72),0,"",Countermeasures!$A:AB,Assumptions!$A:AC)</f>
        <v>0:</v>
      </c>
      <c r="AP72" s="21" t="str" cm="1">
        <f t="array" ca="1" aca="1" ref="AP72">CalculateMaxAndElementsWithFallback(SanitizeInput($AK72),0,"",Countermeasures!$A:AC,Assumptions!$A:AD)</f>
        <v>0:</v>
      </c>
      <c r="AQ72" s="21">
        <f t="shared" ca="1" si="118"/>
        <v>0</v>
      </c>
      <c r="AR72" s="21">
        <f t="shared" ca="1" si="119"/>
        <v>0</v>
      </c>
      <c r="AS72" s="21">
        <f t="shared" ca="1" si="120"/>
        <v>0</v>
      </c>
      <c r="AT72" s="21">
        <f t="shared" ca="1" si="121"/>
        <v>0</v>
      </c>
      <c r="AU72" s="21">
        <f t="shared" ca="1" si="122"/>
        <v>0</v>
      </c>
      <c r="AV72" s="21" t="str">
        <f t="shared" ca="1" si="123"/>
        <v>0:</v>
      </c>
      <c r="AW72" s="21" t="str">
        <f t="shared" ca="1" si="124"/>
        <v>0:</v>
      </c>
      <c r="AX72" s="21" t="str">
        <f t="shared" ca="1" si="125"/>
        <v>0:</v>
      </c>
      <c r="AY72" s="21" t="str">
        <f t="shared" ca="1" si="126"/>
        <v>0:</v>
      </c>
      <c r="AZ72" s="21" t="str">
        <f t="shared" ca="1" si="127"/>
        <v>0:</v>
      </c>
      <c r="BA72" s="21">
        <f t="shared" ca="1" si="128"/>
        <v>0</v>
      </c>
      <c r="BB72" s="21">
        <f t="shared" ca="1" si="129"/>
        <v>0</v>
      </c>
      <c r="BC72" s="21">
        <f t="shared" ca="1" si="130"/>
        <v>0</v>
      </c>
      <c r="BD72" s="21">
        <f t="shared" ca="1" si="131"/>
        <v>0</v>
      </c>
      <c r="BE72" s="21">
        <f t="shared" ca="1" si="132"/>
        <v>0</v>
      </c>
      <c r="BF72" s="21">
        <f t="shared" ca="1" si="93"/>
        <v>0</v>
      </c>
      <c r="BG72" s="21" t="str">
        <f ca="1">IFERROR(VLOOKUP($BF72,Definitions!$V:$W,COLUMNS(Definitions!$V:$W),TRUE),"")</f>
        <v>Basic</v>
      </c>
      <c r="BH72" s="21" t="str">
        <f ca="1">_xlfn.LET(_xlpm._comments,GetValues($K72,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2" s="21" t="str" cm="1">
        <f t="array" ca="1" aca="1" ref="BI72">_xlfn.LET(_xlpm._rapRange,Definitions!$W:$W,_xlpm._calculatedRAP,$BG72,_xlpm._inlineRAP,$BH72,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2" s="21" t="str">
        <f ca="1">IFERROR(IF(OR($V72="",$BI72=""),Definitions!$AE$4,VLOOKUP($V72,Definitions!$AH:$AM,MATCH($BI72,Definitions!$AH$3:$AM$3,0),FALSE)),"")</f>
        <v>No Risk</v>
      </c>
      <c r="BK72" s="21" cm="1">
        <f t="array" ca="1" aca="1" ref="BK72">IF($BJ72="",0,SimpleLookup($BJ72,Definitions!$AE:$AF))</f>
        <v>0</v>
      </c>
      <c r="BL72" s="21" t="str" cm="1">
        <f t="array" ca="1" aca="1" ref="BL72">IFERROR(SimpleLookup($A72,Tracing!$B:$Z),"")</f>
        <v/>
      </c>
      <c r="BM72" s="21" t="str" cm="1">
        <f t="array" ca="1" aca="1" ref="BM72">_xlfn.LET(_xlpm._dm,SanitizeInput(GetValuesWithFallback(SanitizeInput($BL72),Assumptions!$A:$I,Countermeasures!$A:$I,"",",",FALSE)),IF(_xlpm._dm="","",","&amp;_xlpm._dm))</f>
        <v/>
      </c>
      <c r="BN72" s="21" t="str" cm="1">
        <f t="array" ca="1" aca="1" ref="BN72">ApplyDamageMitigation($M72,$BM72,"")</f>
        <v/>
      </c>
      <c r="BO72" s="21" cm="1">
        <f t="array" ca="1" aca="1" ref="BO72">CalculateMaxFromList($BN72,0,'Damage Scenarios'!$A:$U)</f>
        <v>0</v>
      </c>
      <c r="BP72" s="21" t="str">
        <f ca="1">IF($BO72=0,"",INDEX(Definitions!$Q:$Q,MATCH($BO72,Definitions!$R:$R,0)))</f>
        <v/>
      </c>
      <c r="BQ72" s="21" t="str" cm="1">
        <f t="array" ca="1" aca="1" ref="BQ72">CalculateMaxAndElementsWithFallback(SanitizeInput($BL72),0,"",Countermeasures!$A:Y,Assumptions!$A:Z)</f>
        <v>0:</v>
      </c>
      <c r="BR72" s="21" t="str" cm="1">
        <f t="array" ca="1" aca="1" ref="BR72">CalculateMaxAndElementsWithFallback(SanitizeInput($BL72),0,"",Countermeasures!$A:Z,Assumptions!$A:AA)</f>
        <v>0:</v>
      </c>
      <c r="BS72" s="21" t="str" cm="1">
        <f t="array" ca="1" aca="1" ref="BS72">CalculateMaxAndElementsWithFallback(SanitizeInput($BL72),0,"",Countermeasures!$A:AA,Assumptions!$A:AB)</f>
        <v>0:</v>
      </c>
      <c r="BT72" s="21" t="str" cm="1">
        <f t="array" ca="1" aca="1" ref="BT72">CalculateMaxAndElementsWithFallback(SanitizeInput($BL72),0,"",Countermeasures!$A:AB,Assumptions!$A:AC)</f>
        <v>0:</v>
      </c>
      <c r="BU72" s="21" t="str" cm="1">
        <f t="array" ca="1" aca="1" ref="BU72">CalculateMaxAndElementsWithFallback(SanitizeInput($BL72),0,"",Countermeasures!$A:AC,Assumptions!$A:AD)</f>
        <v>0:</v>
      </c>
      <c r="BV72" s="21">
        <f t="shared" ca="1" si="95"/>
        <v>0</v>
      </c>
      <c r="BW72" s="21">
        <f t="shared" ca="1" si="96"/>
        <v>0</v>
      </c>
      <c r="BX72" s="21">
        <f t="shared" ca="1" si="97"/>
        <v>0</v>
      </c>
      <c r="BY72" s="21">
        <f t="shared" ca="1" si="98"/>
        <v>0</v>
      </c>
      <c r="BZ72" s="21">
        <f t="shared" ca="1" si="99"/>
        <v>0</v>
      </c>
      <c r="CA72" s="21" t="str">
        <f t="shared" ca="1" si="100"/>
        <v>0:</v>
      </c>
      <c r="CB72" s="21" t="str">
        <f t="shared" ca="1" si="101"/>
        <v>0:</v>
      </c>
      <c r="CC72" s="21" t="str">
        <f t="shared" ca="1" si="102"/>
        <v>0:</v>
      </c>
      <c r="CD72" s="21" t="str">
        <f t="shared" ca="1" si="103"/>
        <v>0:</v>
      </c>
      <c r="CE72" s="21" t="str">
        <f t="shared" ca="1" si="104"/>
        <v>0:</v>
      </c>
      <c r="CF72" s="21">
        <f t="shared" ca="1" si="105"/>
        <v>0</v>
      </c>
      <c r="CG72" s="21">
        <f t="shared" ca="1" si="106"/>
        <v>0</v>
      </c>
      <c r="CH72" s="21">
        <f t="shared" ca="1" si="107"/>
        <v>0</v>
      </c>
      <c r="CI72" s="21">
        <f t="shared" ca="1" si="108"/>
        <v>0</v>
      </c>
      <c r="CJ72" s="21">
        <f t="shared" ca="1" si="109"/>
        <v>0</v>
      </c>
      <c r="CK72" s="21">
        <f t="shared" ca="1" si="94"/>
        <v>0</v>
      </c>
      <c r="CL72" s="21" t="str">
        <f ca="1">IFERROR(VLOOKUP($CK72,Definitions!$V:$W,COLUMNS(Definitions!$V:$W),TRUE),"")</f>
        <v>Basic</v>
      </c>
      <c r="CM72" s="21" t="str">
        <f ca="1">_xlfn.LET(_xlpm._comments,SimpleLookup($A72,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2" s="21" t="str" cm="1">
        <f t="array" ca="1" aca="1" ref="CN72">_xlfn.LET(_xlpm._rapRange,Definitions!$W:$W,_xlpm._calculatedRAP,$CL72,_xlpm._inlineRAP,$CM72,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2" s="21" t="str">
        <f ca="1">IFERROR(IF(OR($BP72="",$CN72=""),Definitions!$AE$4,VLOOKUP($BP72,Definitions!$AH:$AM,MATCH($CN72,Definitions!$AH$3:$AM$3,0),FALSE)),"")</f>
        <v>No Risk</v>
      </c>
      <c r="CP72" s="21" cm="1">
        <f t="array" ca="1" aca="1" ref="CP72">IF($CO72="",0,SimpleLookup($CO72,Definitions!$AE:$AF))</f>
        <v>0</v>
      </c>
      <c r="CQ72" s="21" t="b">
        <f ca="1">OR(AND($S72,$I72=Helper!$B$7),$I72&gt;Helper!$B$7)</f>
        <v>1</v>
      </c>
      <c r="CR72" s="21" t="str">
        <f t="shared" ca="1" si="133"/>
        <v/>
      </c>
      <c r="CS72" s="21" cm="1">
        <f t="array" ca="1" aca="1" ref="CS72">CreateID($CS$2,$CV:$CV,$CR72&lt;&gt;"")</f>
        <v>0</v>
      </c>
      <c r="CT72" s="21" t="str">
        <f ca="1">IF(IFERROR(MATCH(","&amp;A72&amp;",",'Risk Treatment'!$AT:$AT,0)&gt;0,FALSE),"",$A72)</f>
        <v/>
      </c>
      <c r="CU72" s="21" cm="1">
        <f t="array" ca="1" aca="1" ref="CU72">CreateID($CU$2,$CU:$CU,$CT72&lt;&gt;"")</f>
        <v>38</v>
      </c>
    </row>
    <row r="73" spans="1:99" ht="15">
      <c r="A73" s="33" t="str" cm="1">
        <f t="array" ca="1" aca="1" ref="A73">IF($B73="","","R"&amp;RemoveDelimiter(SUBSTITUTE(SUBSTITUTE($K73,"AS",""),",","-"),"-"))</f>
        <v/>
      </c>
      <c r="B73" s="33" t="str" cm="1">
        <f t="array" ca="1" aca="1" ref="B73">IF($L73="","",_xlfn.LET(_xlpm._finalAttackStep,$L73,_xlpm._prepAttacks,RemoveFirstElement(_xlpm._finalAttackStep&amp;","&amp;$K73),_xlpm._prepAttackNames,IFERROR(LookupNames(_xlpm._prepAttacks,'Attack Steps'!$A:$B),""),_xlpm._delimiter,REPT(CHAR(150),55),$L73&amp;" "&amp;SimpleLookup($L73,'Attack Steps'!$A:$B)&amp;IF(_xlpm._prepAttackNames="","",CHAR(10)&amp;_xlpm._delimiter&amp;CHAR(10)&amp;_xlpm._prepAttackNames)))</f>
        <v/>
      </c>
      <c r="C73" s="34" t="str" cm="1">
        <f t="array" ca="1" aca="1" ref="C73">IFERROR(LookupNames($M73,'Damage Scenarios'!$A:$V),"")</f>
        <v/>
      </c>
      <c r="D73" s="33" t="str">
        <f ca="1">IFERROR(IF($T73=0,"",INDEX(Definitions!$Q:$Q,MATCH($T73,Definitions!$R:$R,0))),"")</f>
        <v/>
      </c>
      <c r="E73" s="34" t="str" cm="1">
        <f t="array" ca="1" aca="1" ref="E73">IF($A73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73,$A:W,Definitions!$Y:$Y,Definitions!$AB:$AB,1)&amp;CHAR(10)&amp;_xlpm._factorFunction($A73,$A:X,Definitions!$Y:$Y,Definitions!$AB:$AB,2)&amp;CHAR(10)&amp;_xlpm._factorFunction($A73,$A:Y,Definitions!$Y:$Y,Definitions!$AB:$AB,3)&amp;CHAR(10)&amp;_xlpm._factorFunction($A73,$A:Z,Definitions!$Y:$Y,Definitions!$AB:$AB,4)&amp;CHAR(10)&amp;_xlpm._factorFunction($A73,$A:AA,Definitions!$Y:$Y,Definitions!$AB:$AB,5)))</f>
        <v/>
      </c>
      <c r="F73" s="33" t="str">
        <f ca="1">IF($A73="","",IFERROR(VLOOKUP($AG73,Definitions!$V:$W,COLUMNS(Definitions!$V:$W),TRUE),""))</f>
        <v/>
      </c>
      <c r="G73" s="33" t="str">
        <f ca="1">IFERROR(IF(OR($D73="",$F73=""),"",VLOOKUP($D73,Definitions!$AH:$AM,MATCH($F73,Definitions!$AH$3:$AM$3,0),FALSE)),"")</f>
        <v/>
      </c>
      <c r="H73" s="23" cm="1">
        <f t="array" ca="1" aca="1" ref="H73">IF(ROW()=ROW($H$2)+1,0,INDEX($H:$H,ROW()-1))+IF($A73="",0,1)</f>
        <v>38</v>
      </c>
      <c r="I73" s="21" cm="1">
        <f t="array" ca="1" aca="1" ref="I73">IF(ROW()=ROW($I$2)+1,1,INDEX($I:$I,ROW()-1)+IF(INDEX($S:$S,ROW()-1),1,0))</f>
        <v>16</v>
      </c>
      <c r="J73" s="21">
        <f t="shared" ca="1" si="91"/>
        <v>33</v>
      </c>
      <c r="K73" s="21" t="str">
        <f t="shared" ca="1" si="110"/>
        <v/>
      </c>
      <c r="L73" s="21" t="str" cm="1">
        <f t="array" ca="1" aca="1" ref="L73">IF($P73="","",INDEX('Attack Steps'!$A:$A,$P73))</f>
        <v/>
      </c>
      <c r="M73" s="21" t="str" cm="1">
        <f t="array" ca="1" aca="1" ref="M73">IF($P73="","",INDEX('Attack Steps'!$T:$T,$P73))</f>
        <v/>
      </c>
      <c r="N73" s="21" t="str" cm="1">
        <f t="array" ca="1" aca="1" ref="N73">_xlfn.LET(_xlpm._dm,SanitizeInput(GetValuesWithFallback(SanitizeInput($AK73),Assumptions!$A:$I,Countermeasures!$A:$I,"",",",FALSE)),IF(_xlpm._dm="","",","&amp;_xlpm._dm))</f>
        <v/>
      </c>
      <c r="O73" s="21" t="str" cm="1">
        <f t="array" ca="1" aca="1" ref="O73">ApplyDamageMitigation($M73,$N73,"")</f>
        <v/>
      </c>
      <c r="P73" s="21" t="str">
        <f ca="1">IFERROR(MATCH($I73,'Attack Steps'!$V:$V,0),"")</f>
        <v/>
      </c>
      <c r="Q73" s="21" t="str" cm="1">
        <f t="array" ca="1" aca="1" ref="Q73">IF($P73="","","§"&amp;INDEX('Attack Steps'!$S:$S,$P73))</f>
        <v/>
      </c>
      <c r="R73" s="21" t="str" cm="1">
        <f t="array" ca="1" aca="1" ref="R73">IF($P73="","",INDEX('Attack Steps'!$W:$W,$P73))</f>
        <v/>
      </c>
      <c r="S73" s="21" t="b">
        <f t="shared" ca="1" si="111"/>
        <v>0</v>
      </c>
      <c r="T73" s="21" cm="1">
        <f t="array" ca="1" aca="1" ref="T73">_xlfn.LAMBDA(_xlpm._in,_xlpm._val,_xlpm._range,IF(_xlpm._in="",_xlpm._val,_xlfn.LET(_xlpm._id,LEFT(_xlpm._in,FIND(",",_xlpm._in)-1),CalculateMaxFromList(RemoveFirstElement(_xlpm._in),MAX(_xlpm._val,VLOOKUP(_xlpm._id,_xlpm._range,COLUMNS(_xlpm._range),FALSE)),_xlpm._range))))($M73,0,'Damage Scenarios'!$A:$U)</f>
        <v>0</v>
      </c>
      <c r="U73" s="21" cm="1">
        <f t="array" ca="1" aca="1" ref="U73">CalculateMaxFromList($O73,0,'Damage Scenarios'!$A:$U)</f>
        <v>0</v>
      </c>
      <c r="V73" s="21" t="str">
        <f ca="1">IF($U73=0,"",INDEX(Definitions!$Q:$Q,MATCH($U73,Definitions!$R:$R,0)))</f>
        <v/>
      </c>
      <c r="W73" s="21" t="str" cm="1">
        <f t="array" ca="1" aca="1" ref="W73">CalculateMaxAndElements($K73,0,"",'Attack Steps'!$A:X)</f>
        <v>0:</v>
      </c>
      <c r="X73" s="21" t="str" cm="1">
        <f t="array" ca="1" aca="1" ref="X73">CalculateMaxAndElements($K73,0,"",'Attack Steps'!$A:Y)</f>
        <v>0:</v>
      </c>
      <c r="Y73" s="21" t="str" cm="1">
        <f t="array" ca="1" aca="1" ref="Y73">CalculateMaxAndElements($K73,0,"",'Attack Steps'!$A:Z)</f>
        <v>0:</v>
      </c>
      <c r="Z73" s="21" t="str" cm="1">
        <f t="array" ca="1" aca="1" ref="Z73">CalculateMaxAndElements($K73,0,"",'Attack Steps'!$A:AA)</f>
        <v>0:</v>
      </c>
      <c r="AA73" s="21" t="str" cm="1">
        <f t="array" ca="1" aca="1" ref="AA73">CalculateMaxAndElements($K73,0,"",'Attack Steps'!$A:AB)</f>
        <v>0:</v>
      </c>
      <c r="AB73" s="21">
        <f t="shared" ca="1" si="112"/>
        <v>0</v>
      </c>
      <c r="AC73" s="21">
        <f t="shared" ca="1" si="113"/>
        <v>0</v>
      </c>
      <c r="AD73" s="21">
        <f t="shared" ca="1" si="114"/>
        <v>0</v>
      </c>
      <c r="AE73" s="21">
        <f t="shared" ca="1" si="115"/>
        <v>0</v>
      </c>
      <c r="AF73" s="21">
        <f t="shared" ca="1" si="116"/>
        <v>0</v>
      </c>
      <c r="AG73" s="21">
        <f t="shared" ca="1" si="92"/>
        <v>0</v>
      </c>
      <c r="AH73" s="21" t="str" cm="1">
        <f t="array" ca="1" aca="1" ref="AH73">IF(ROW()=ROW($AH$2)+1,"",INDEX($AH:$AH,ROW()-1))&amp;IF($A73="","",$A73&amp;",")</f>
        <v>R1-3,R2-3,R1-4,R2-4,R1-6,R2-6,R1-7,R2-7,R1-3-10,R2-3-10,R1-3-11,R2-3-11,R1-14,R1-16,R2-16,R21-23,R22-23,R1-29,R2-29,R31,R1-3-32,R2-3-32,R1-5-32,R2-5-32,R1-7-32,R2-7-32,R1-16-32,R2-16-32,R21-23-32,R22-23-32,R21-24-32,R22-24-32,R1-29-32,R2-29-32,R37,R38,R1-40,R2-40,</v>
      </c>
      <c r="AI73" s="21" t="str">
        <f t="shared" ca="1" si="117"/>
        <v/>
      </c>
      <c r="AJ73" s="21" cm="1">
        <f t="array" ca="1" aca="1" ref="AJ73">IF($G73="",0,SimpleLookup($G73,Definitions!$AE:$AF))</f>
        <v>0</v>
      </c>
      <c r="AK73" s="21" t="str" cm="1">
        <f t="array" ca="1" aca="1" ref="AK73">InverseLookup($A73,Mitigation!$U$2,Mitigation!$J$2,1,Helper!$B$5,",")</f>
        <v/>
      </c>
      <c r="AL73" s="21" t="str" cm="1">
        <f t="array" ca="1" aca="1" ref="AL73">CalculateMaxAndElementsWithFallback(SanitizeInput($AK73),0,"",Countermeasures!$A:Y,Assumptions!$A:Z)</f>
        <v>0:</v>
      </c>
      <c r="AM73" s="21" t="str" cm="1">
        <f t="array" ca="1" aca="1" ref="AM73">CalculateMaxAndElementsWithFallback(SanitizeInput($AK73),0,"",Countermeasures!$A:Z,Assumptions!$A:AA)</f>
        <v>0:</v>
      </c>
      <c r="AN73" s="21" t="str" cm="1">
        <f t="array" ca="1" aca="1" ref="AN73">CalculateMaxAndElementsWithFallback(SanitizeInput($AK73),0,"",Countermeasures!$A:AA,Assumptions!$A:AB)</f>
        <v>0:</v>
      </c>
      <c r="AO73" s="21" t="str" cm="1">
        <f t="array" ca="1" aca="1" ref="AO73">CalculateMaxAndElementsWithFallback(SanitizeInput($AK73),0,"",Countermeasures!$A:AB,Assumptions!$A:AC)</f>
        <v>0:</v>
      </c>
      <c r="AP73" s="21" t="str" cm="1">
        <f t="array" ca="1" aca="1" ref="AP73">CalculateMaxAndElementsWithFallback(SanitizeInput($AK73),0,"",Countermeasures!$A:AC,Assumptions!$A:AD)</f>
        <v>0:</v>
      </c>
      <c r="AQ73" s="21">
        <f t="shared" ca="1" si="118"/>
        <v>0</v>
      </c>
      <c r="AR73" s="21">
        <f t="shared" ca="1" si="119"/>
        <v>0</v>
      </c>
      <c r="AS73" s="21">
        <f t="shared" ca="1" si="120"/>
        <v>0</v>
      </c>
      <c r="AT73" s="21">
        <f t="shared" ca="1" si="121"/>
        <v>0</v>
      </c>
      <c r="AU73" s="21">
        <f t="shared" ca="1" si="122"/>
        <v>0</v>
      </c>
      <c r="AV73" s="21" t="str">
        <f t="shared" ca="1" si="123"/>
        <v>0:</v>
      </c>
      <c r="AW73" s="21" t="str">
        <f t="shared" ca="1" si="124"/>
        <v>0:</v>
      </c>
      <c r="AX73" s="21" t="str">
        <f t="shared" ca="1" si="125"/>
        <v>0:</v>
      </c>
      <c r="AY73" s="21" t="str">
        <f t="shared" ca="1" si="126"/>
        <v>0:</v>
      </c>
      <c r="AZ73" s="21" t="str">
        <f t="shared" ca="1" si="127"/>
        <v>0:</v>
      </c>
      <c r="BA73" s="21">
        <f t="shared" ca="1" si="128"/>
        <v>0</v>
      </c>
      <c r="BB73" s="21">
        <f t="shared" ca="1" si="129"/>
        <v>0</v>
      </c>
      <c r="BC73" s="21">
        <f t="shared" ca="1" si="130"/>
        <v>0</v>
      </c>
      <c r="BD73" s="21">
        <f t="shared" ca="1" si="131"/>
        <v>0</v>
      </c>
      <c r="BE73" s="21">
        <f t="shared" ca="1" si="132"/>
        <v>0</v>
      </c>
      <c r="BF73" s="21">
        <f t="shared" ca="1" si="93"/>
        <v>0</v>
      </c>
      <c r="BG73" s="21" t="str">
        <f ca="1">IFERROR(VLOOKUP($BF73,Definitions!$V:$W,COLUMNS(Definitions!$V:$W),TRUE),"")</f>
        <v>Basic</v>
      </c>
      <c r="BH73" s="21" t="str">
        <f ca="1">_xlfn.LET(_xlpm._comments,GetValues($K73,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3" s="21" t="str" cm="1">
        <f t="array" ca="1" aca="1" ref="BI73">_xlfn.LET(_xlpm._rapRange,Definitions!$W:$W,_xlpm._calculatedRAP,$BG73,_xlpm._inlineRAP,$BH73,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3" s="21" t="str">
        <f ca="1">IFERROR(IF(OR($V73="",$BI73=""),Definitions!$AE$4,VLOOKUP($V73,Definitions!$AH:$AM,MATCH($BI73,Definitions!$AH$3:$AM$3,0),FALSE)),"")</f>
        <v>No Risk</v>
      </c>
      <c r="BK73" s="21" cm="1">
        <f t="array" ca="1" aca="1" ref="BK73">IF($BJ73="",0,SimpleLookup($BJ73,Definitions!$AE:$AF))</f>
        <v>0</v>
      </c>
      <c r="BL73" s="21" t="str" cm="1">
        <f t="array" ca="1" aca="1" ref="BL73">IFERROR(SimpleLookup($A73,Tracing!$B:$Z),"")</f>
        <v/>
      </c>
      <c r="BM73" s="21" t="str" cm="1">
        <f t="array" ca="1" aca="1" ref="BM73">_xlfn.LET(_xlpm._dm,SanitizeInput(GetValuesWithFallback(SanitizeInput($BL73),Assumptions!$A:$I,Countermeasures!$A:$I,"",",",FALSE)),IF(_xlpm._dm="","",","&amp;_xlpm._dm))</f>
        <v/>
      </c>
      <c r="BN73" s="21" t="str" cm="1">
        <f t="array" ca="1" aca="1" ref="BN73">ApplyDamageMitigation($M73,$BM73,"")</f>
        <v/>
      </c>
      <c r="BO73" s="21" cm="1">
        <f t="array" ca="1" aca="1" ref="BO73">CalculateMaxFromList($BN73,0,'Damage Scenarios'!$A:$U)</f>
        <v>0</v>
      </c>
      <c r="BP73" s="21" t="str">
        <f ca="1">IF($BO73=0,"",INDEX(Definitions!$Q:$Q,MATCH($BO73,Definitions!$R:$R,0)))</f>
        <v/>
      </c>
      <c r="BQ73" s="21" t="str" cm="1">
        <f t="array" ca="1" aca="1" ref="BQ73">CalculateMaxAndElementsWithFallback(SanitizeInput($BL73),0,"",Countermeasures!$A:Y,Assumptions!$A:Z)</f>
        <v>0:</v>
      </c>
      <c r="BR73" s="21" t="str" cm="1">
        <f t="array" ca="1" aca="1" ref="BR73">CalculateMaxAndElementsWithFallback(SanitizeInput($BL73),0,"",Countermeasures!$A:Z,Assumptions!$A:AA)</f>
        <v>0:</v>
      </c>
      <c r="BS73" s="21" t="str" cm="1">
        <f t="array" ca="1" aca="1" ref="BS73">CalculateMaxAndElementsWithFallback(SanitizeInput($BL73),0,"",Countermeasures!$A:AA,Assumptions!$A:AB)</f>
        <v>0:</v>
      </c>
      <c r="BT73" s="21" t="str" cm="1">
        <f t="array" ca="1" aca="1" ref="BT73">CalculateMaxAndElementsWithFallback(SanitizeInput($BL73),0,"",Countermeasures!$A:AB,Assumptions!$A:AC)</f>
        <v>0:</v>
      </c>
      <c r="BU73" s="21" t="str" cm="1">
        <f t="array" ca="1" aca="1" ref="BU73">CalculateMaxAndElementsWithFallback(SanitizeInput($BL73),0,"",Countermeasures!$A:AC,Assumptions!$A:AD)</f>
        <v>0:</v>
      </c>
      <c r="BV73" s="21">
        <f t="shared" ca="1" si="95"/>
        <v>0</v>
      </c>
      <c r="BW73" s="21">
        <f t="shared" ca="1" si="96"/>
        <v>0</v>
      </c>
      <c r="BX73" s="21">
        <f t="shared" ca="1" si="97"/>
        <v>0</v>
      </c>
      <c r="BY73" s="21">
        <f t="shared" ca="1" si="98"/>
        <v>0</v>
      </c>
      <c r="BZ73" s="21">
        <f t="shared" ca="1" si="99"/>
        <v>0</v>
      </c>
      <c r="CA73" s="21" t="str">
        <f t="shared" ca="1" si="100"/>
        <v>0:</v>
      </c>
      <c r="CB73" s="21" t="str">
        <f t="shared" ca="1" si="101"/>
        <v>0:</v>
      </c>
      <c r="CC73" s="21" t="str">
        <f t="shared" ca="1" si="102"/>
        <v>0:</v>
      </c>
      <c r="CD73" s="21" t="str">
        <f t="shared" ca="1" si="103"/>
        <v>0:</v>
      </c>
      <c r="CE73" s="21" t="str">
        <f t="shared" ca="1" si="104"/>
        <v>0:</v>
      </c>
      <c r="CF73" s="21">
        <f t="shared" ca="1" si="105"/>
        <v>0</v>
      </c>
      <c r="CG73" s="21">
        <f t="shared" ca="1" si="106"/>
        <v>0</v>
      </c>
      <c r="CH73" s="21">
        <f t="shared" ca="1" si="107"/>
        <v>0</v>
      </c>
      <c r="CI73" s="21">
        <f t="shared" ca="1" si="108"/>
        <v>0</v>
      </c>
      <c r="CJ73" s="21">
        <f t="shared" ca="1" si="109"/>
        <v>0</v>
      </c>
      <c r="CK73" s="21">
        <f t="shared" ca="1" si="94"/>
        <v>0</v>
      </c>
      <c r="CL73" s="21" t="str">
        <f ca="1">IFERROR(VLOOKUP($CK73,Definitions!$V:$W,COLUMNS(Definitions!$V:$W),TRUE),"")</f>
        <v>Basic</v>
      </c>
      <c r="CM73" s="21" t="str">
        <f ca="1">_xlfn.LET(_xlpm._comments,SimpleLookup($A73,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3" s="21" t="str" cm="1">
        <f t="array" ca="1" aca="1" ref="CN73">_xlfn.LET(_xlpm._rapRange,Definitions!$W:$W,_xlpm._calculatedRAP,$CL73,_xlpm._inlineRAP,$CM73,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3" s="21" t="str">
        <f ca="1">IFERROR(IF(OR($BP73="",$CN73=""),Definitions!$AE$4,VLOOKUP($BP73,Definitions!$AH:$AM,MATCH($CN73,Definitions!$AH$3:$AM$3,0),FALSE)),"")</f>
        <v>No Risk</v>
      </c>
      <c r="CP73" s="21" cm="1">
        <f t="array" ca="1" aca="1" ref="CP73">IF($CO73="",0,SimpleLookup($CO73,Definitions!$AE:$AF))</f>
        <v>0</v>
      </c>
      <c r="CQ73" s="21" t="b">
        <f ca="1">OR(AND($S73,$I73=Helper!$B$7),$I73&gt;Helper!$B$7)</f>
        <v>1</v>
      </c>
      <c r="CR73" s="21" t="str">
        <f t="shared" ca="1" si="133"/>
        <v/>
      </c>
      <c r="CS73" s="21" cm="1">
        <f t="array" ca="1" aca="1" ref="CS73">CreateID($CS$2,$CV:$CV,$CR73&lt;&gt;"")</f>
        <v>0</v>
      </c>
      <c r="CT73" s="21" t="str">
        <f ca="1">IF(IFERROR(MATCH(","&amp;A73&amp;",",'Risk Treatment'!$AT:$AT,0)&gt;0,FALSE),"",$A73)</f>
        <v/>
      </c>
      <c r="CU73" s="21" cm="1">
        <f t="array" ca="1" aca="1" ref="CU73">CreateID($CU$2,$CU:$CU,$CT73&lt;&gt;"")</f>
        <v>38</v>
      </c>
    </row>
    <row r="74" spans="1:99" ht="15">
      <c r="A74" s="33" t="str" cm="1">
        <f t="array" ca="1" aca="1" ref="A74">IF($B74="","","R"&amp;RemoveDelimiter(SUBSTITUTE(SUBSTITUTE($K74,"AS",""),",","-"),"-"))</f>
        <v/>
      </c>
      <c r="B74" s="33" t="str" cm="1">
        <f t="array" ca="1" aca="1" ref="B74">IF($L74="","",_xlfn.LET(_xlpm._finalAttackStep,$L74,_xlpm._prepAttacks,RemoveFirstElement(_xlpm._finalAttackStep&amp;","&amp;$K74),_xlpm._prepAttackNames,IFERROR(LookupNames(_xlpm._prepAttacks,'Attack Steps'!$A:$B),""),_xlpm._delimiter,REPT(CHAR(150),55),$L74&amp;" "&amp;SimpleLookup($L74,'Attack Steps'!$A:$B)&amp;IF(_xlpm._prepAttackNames="","",CHAR(10)&amp;_xlpm._delimiter&amp;CHAR(10)&amp;_xlpm._prepAttackNames)))</f>
        <v/>
      </c>
      <c r="C74" s="34" t="str" cm="1">
        <f t="array" ca="1" aca="1" ref="C74">IFERROR(LookupNames($M74,'Damage Scenarios'!$A:$V),"")</f>
        <v/>
      </c>
      <c r="D74" s="33" t="str">
        <f ca="1">IFERROR(IF($T74=0,"",INDEX(Definitions!$Q:$Q,MATCH($T74,Definitions!$R:$R,0))),"")</f>
        <v/>
      </c>
      <c r="E74" s="34" t="str" cm="1">
        <f t="array" ca="1" aca="1" ref="E74">IF($A74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74,$A:W,Definitions!$Y:$Y,Definitions!$AB:$AB,1)&amp;CHAR(10)&amp;_xlpm._factorFunction($A74,$A:X,Definitions!$Y:$Y,Definitions!$AB:$AB,2)&amp;CHAR(10)&amp;_xlpm._factorFunction($A74,$A:Y,Definitions!$Y:$Y,Definitions!$AB:$AB,3)&amp;CHAR(10)&amp;_xlpm._factorFunction($A74,$A:Z,Definitions!$Y:$Y,Definitions!$AB:$AB,4)&amp;CHAR(10)&amp;_xlpm._factorFunction($A74,$A:AA,Definitions!$Y:$Y,Definitions!$AB:$AB,5)))</f>
        <v/>
      </c>
      <c r="F74" s="33" t="str">
        <f ca="1">IF($A74="","",IFERROR(VLOOKUP($AG74,Definitions!$V:$W,COLUMNS(Definitions!$V:$W),TRUE),""))</f>
        <v/>
      </c>
      <c r="G74" s="33" t="str">
        <f ca="1">IFERROR(IF(OR($D74="",$F74=""),"",VLOOKUP($D74,Definitions!$AH:$AM,MATCH($F74,Definitions!$AH$3:$AM$3,0),FALSE)),"")</f>
        <v/>
      </c>
      <c r="H74" s="23" cm="1">
        <f t="array" ca="1" aca="1" ref="H74">IF(ROW()=ROW($H$2)+1,0,INDEX($H:$H,ROW()-1))+IF($A74="",0,1)</f>
        <v>38</v>
      </c>
      <c r="I74" s="21" cm="1">
        <f t="array" ca="1" aca="1" ref="I74">IF(ROW()=ROW($I$2)+1,1,INDEX($I:$I,ROW()-1)+IF(INDEX($S:$S,ROW()-1),1,0))</f>
        <v>16</v>
      </c>
      <c r="J74" s="21">
        <f t="shared" ca="1" si="91"/>
        <v>34</v>
      </c>
      <c r="K74" s="21" t="str">
        <f t="shared" ca="1" si="110"/>
        <v/>
      </c>
      <c r="L74" s="21" t="str" cm="1">
        <f t="array" ca="1" aca="1" ref="L74">IF($P74="","",INDEX('Attack Steps'!$A:$A,$P74))</f>
        <v/>
      </c>
      <c r="M74" s="21" t="str" cm="1">
        <f t="array" ca="1" aca="1" ref="M74">IF($P74="","",INDEX('Attack Steps'!$T:$T,$P74))</f>
        <v/>
      </c>
      <c r="N74" s="21" t="str" cm="1">
        <f t="array" ca="1" aca="1" ref="N74">_xlfn.LET(_xlpm._dm,SanitizeInput(GetValuesWithFallback(SanitizeInput($AK74),Assumptions!$A:$I,Countermeasures!$A:$I,"",",",FALSE)),IF(_xlpm._dm="","",","&amp;_xlpm._dm))</f>
        <v/>
      </c>
      <c r="O74" s="21" t="str" cm="1">
        <f t="array" ca="1" aca="1" ref="O74">ApplyDamageMitigation($M74,$N74,"")</f>
        <v/>
      </c>
      <c r="P74" s="21" t="str">
        <f ca="1">IFERROR(MATCH($I74,'Attack Steps'!$V:$V,0),"")</f>
        <v/>
      </c>
      <c r="Q74" s="21" t="str" cm="1">
        <f t="array" ca="1" aca="1" ref="Q74">IF($P74="","","§"&amp;INDEX('Attack Steps'!$S:$S,$P74))</f>
        <v/>
      </c>
      <c r="R74" s="21" t="str" cm="1">
        <f t="array" ca="1" aca="1" ref="R74">IF($P74="","",INDEX('Attack Steps'!$W:$W,$P74))</f>
        <v/>
      </c>
      <c r="S74" s="21" t="b">
        <f t="shared" ca="1" si="111"/>
        <v>0</v>
      </c>
      <c r="T74" s="21" cm="1">
        <f t="array" ca="1" aca="1" ref="T74">_xlfn.LAMBDA(_xlpm._in,_xlpm._val,_xlpm._range,IF(_xlpm._in="",_xlpm._val,_xlfn.LET(_xlpm._id,LEFT(_xlpm._in,FIND(",",_xlpm._in)-1),CalculateMaxFromList(RemoveFirstElement(_xlpm._in),MAX(_xlpm._val,VLOOKUP(_xlpm._id,_xlpm._range,COLUMNS(_xlpm._range),FALSE)),_xlpm._range))))($M74,0,'Damage Scenarios'!$A:$U)</f>
        <v>0</v>
      </c>
      <c r="U74" s="21" cm="1">
        <f t="array" ca="1" aca="1" ref="U74">CalculateMaxFromList($O74,0,'Damage Scenarios'!$A:$U)</f>
        <v>0</v>
      </c>
      <c r="V74" s="21" t="str">
        <f ca="1">IF($U74=0,"",INDEX(Definitions!$Q:$Q,MATCH($U74,Definitions!$R:$R,0)))</f>
        <v/>
      </c>
      <c r="W74" s="21" t="str" cm="1">
        <f t="array" ca="1" aca="1" ref="W74">CalculateMaxAndElements($K74,0,"",'Attack Steps'!$A:X)</f>
        <v>0:</v>
      </c>
      <c r="X74" s="21" t="str" cm="1">
        <f t="array" ca="1" aca="1" ref="X74">CalculateMaxAndElements($K74,0,"",'Attack Steps'!$A:Y)</f>
        <v>0:</v>
      </c>
      <c r="Y74" s="21" t="str" cm="1">
        <f t="array" ca="1" aca="1" ref="Y74">CalculateMaxAndElements($K74,0,"",'Attack Steps'!$A:Z)</f>
        <v>0:</v>
      </c>
      <c r="Z74" s="21" t="str" cm="1">
        <f t="array" ca="1" aca="1" ref="Z74">CalculateMaxAndElements($K74,0,"",'Attack Steps'!$A:AA)</f>
        <v>0:</v>
      </c>
      <c r="AA74" s="21" t="str" cm="1">
        <f t="array" ca="1" aca="1" ref="AA74">CalculateMaxAndElements($K74,0,"",'Attack Steps'!$A:AB)</f>
        <v>0:</v>
      </c>
      <c r="AB74" s="21">
        <f t="shared" ca="1" si="112"/>
        <v>0</v>
      </c>
      <c r="AC74" s="21">
        <f t="shared" ca="1" si="113"/>
        <v>0</v>
      </c>
      <c r="AD74" s="21">
        <f t="shared" ca="1" si="114"/>
        <v>0</v>
      </c>
      <c r="AE74" s="21">
        <f t="shared" ca="1" si="115"/>
        <v>0</v>
      </c>
      <c r="AF74" s="21">
        <f t="shared" ca="1" si="116"/>
        <v>0</v>
      </c>
      <c r="AG74" s="21">
        <f t="shared" ca="1" si="92"/>
        <v>0</v>
      </c>
      <c r="AH74" s="21" t="str" cm="1">
        <f t="array" ca="1" aca="1" ref="AH74">IF(ROW()=ROW($AH$2)+1,"",INDEX($AH:$AH,ROW()-1))&amp;IF($A74="","",$A74&amp;",")</f>
        <v>R1-3,R2-3,R1-4,R2-4,R1-6,R2-6,R1-7,R2-7,R1-3-10,R2-3-10,R1-3-11,R2-3-11,R1-14,R1-16,R2-16,R21-23,R22-23,R1-29,R2-29,R31,R1-3-32,R2-3-32,R1-5-32,R2-5-32,R1-7-32,R2-7-32,R1-16-32,R2-16-32,R21-23-32,R22-23-32,R21-24-32,R22-24-32,R1-29-32,R2-29-32,R37,R38,R1-40,R2-40,</v>
      </c>
      <c r="AI74" s="21" t="str">
        <f t="shared" ca="1" si="117"/>
        <v/>
      </c>
      <c r="AJ74" s="21" cm="1">
        <f t="array" ca="1" aca="1" ref="AJ74">IF($G74="",0,SimpleLookup($G74,Definitions!$AE:$AF))</f>
        <v>0</v>
      </c>
      <c r="AK74" s="21" t="str" cm="1">
        <f t="array" ca="1" aca="1" ref="AK74">InverseLookup($A74,Mitigation!$U$2,Mitigation!$J$2,1,Helper!$B$5,",")</f>
        <v/>
      </c>
      <c r="AL74" s="21" t="str" cm="1">
        <f t="array" ca="1" aca="1" ref="AL74">CalculateMaxAndElementsWithFallback(SanitizeInput($AK74),0,"",Countermeasures!$A:Y,Assumptions!$A:Z)</f>
        <v>0:</v>
      </c>
      <c r="AM74" s="21" t="str" cm="1">
        <f t="array" ca="1" aca="1" ref="AM74">CalculateMaxAndElementsWithFallback(SanitizeInput($AK74),0,"",Countermeasures!$A:Z,Assumptions!$A:AA)</f>
        <v>0:</v>
      </c>
      <c r="AN74" s="21" t="str" cm="1">
        <f t="array" ca="1" aca="1" ref="AN74">CalculateMaxAndElementsWithFallback(SanitizeInput($AK74),0,"",Countermeasures!$A:AA,Assumptions!$A:AB)</f>
        <v>0:</v>
      </c>
      <c r="AO74" s="21" t="str" cm="1">
        <f t="array" ca="1" aca="1" ref="AO74">CalculateMaxAndElementsWithFallback(SanitizeInput($AK74),0,"",Countermeasures!$A:AB,Assumptions!$A:AC)</f>
        <v>0:</v>
      </c>
      <c r="AP74" s="21" t="str" cm="1">
        <f t="array" ca="1" aca="1" ref="AP74">CalculateMaxAndElementsWithFallback(SanitizeInput($AK74),0,"",Countermeasures!$A:AC,Assumptions!$A:AD)</f>
        <v>0:</v>
      </c>
      <c r="AQ74" s="21">
        <f t="shared" ca="1" si="118"/>
        <v>0</v>
      </c>
      <c r="AR74" s="21">
        <f t="shared" ca="1" si="119"/>
        <v>0</v>
      </c>
      <c r="AS74" s="21">
        <f t="shared" ca="1" si="120"/>
        <v>0</v>
      </c>
      <c r="AT74" s="21">
        <f t="shared" ca="1" si="121"/>
        <v>0</v>
      </c>
      <c r="AU74" s="21">
        <f t="shared" ca="1" si="122"/>
        <v>0</v>
      </c>
      <c r="AV74" s="21" t="str">
        <f t="shared" ca="1" si="123"/>
        <v>0:</v>
      </c>
      <c r="AW74" s="21" t="str">
        <f t="shared" ca="1" si="124"/>
        <v>0:</v>
      </c>
      <c r="AX74" s="21" t="str">
        <f t="shared" ca="1" si="125"/>
        <v>0:</v>
      </c>
      <c r="AY74" s="21" t="str">
        <f t="shared" ca="1" si="126"/>
        <v>0:</v>
      </c>
      <c r="AZ74" s="21" t="str">
        <f t="shared" ca="1" si="127"/>
        <v>0:</v>
      </c>
      <c r="BA74" s="21">
        <f t="shared" ca="1" si="128"/>
        <v>0</v>
      </c>
      <c r="BB74" s="21">
        <f t="shared" ca="1" si="129"/>
        <v>0</v>
      </c>
      <c r="BC74" s="21">
        <f t="shared" ca="1" si="130"/>
        <v>0</v>
      </c>
      <c r="BD74" s="21">
        <f t="shared" ca="1" si="131"/>
        <v>0</v>
      </c>
      <c r="BE74" s="21">
        <f t="shared" ca="1" si="132"/>
        <v>0</v>
      </c>
      <c r="BF74" s="21">
        <f t="shared" ca="1" si="93"/>
        <v>0</v>
      </c>
      <c r="BG74" s="21" t="str">
        <f ca="1">IFERROR(VLOOKUP($BF74,Definitions!$V:$W,COLUMNS(Definitions!$V:$W),TRUE),"")</f>
        <v>Basic</v>
      </c>
      <c r="BH74" s="21" t="str">
        <f ca="1">_xlfn.LET(_xlpm._comments,GetValues($K74,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4" s="21" t="str" cm="1">
        <f t="array" ca="1" aca="1" ref="BI74">_xlfn.LET(_xlpm._rapRange,Definitions!$W:$W,_xlpm._calculatedRAP,$BG74,_xlpm._inlineRAP,$BH74,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4" s="21" t="str">
        <f ca="1">IFERROR(IF(OR($V74="",$BI74=""),Definitions!$AE$4,VLOOKUP($V74,Definitions!$AH:$AM,MATCH($BI74,Definitions!$AH$3:$AM$3,0),FALSE)),"")</f>
        <v>No Risk</v>
      </c>
      <c r="BK74" s="21" cm="1">
        <f t="array" ca="1" aca="1" ref="BK74">IF($BJ74="",0,SimpleLookup($BJ74,Definitions!$AE:$AF))</f>
        <v>0</v>
      </c>
      <c r="BL74" s="21" t="str" cm="1">
        <f t="array" ca="1" aca="1" ref="BL74">IFERROR(SimpleLookup($A74,Tracing!$B:$Z),"")</f>
        <v/>
      </c>
      <c r="BM74" s="21" t="str" cm="1">
        <f t="array" ca="1" aca="1" ref="BM74">_xlfn.LET(_xlpm._dm,SanitizeInput(GetValuesWithFallback(SanitizeInput($BL74),Assumptions!$A:$I,Countermeasures!$A:$I,"",",",FALSE)),IF(_xlpm._dm="","",","&amp;_xlpm._dm))</f>
        <v/>
      </c>
      <c r="BN74" s="21" t="str" cm="1">
        <f t="array" ca="1" aca="1" ref="BN74">ApplyDamageMitigation($M74,$BM74,"")</f>
        <v/>
      </c>
      <c r="BO74" s="21" cm="1">
        <f t="array" ca="1" aca="1" ref="BO74">CalculateMaxFromList($BN74,0,'Damage Scenarios'!$A:$U)</f>
        <v>0</v>
      </c>
      <c r="BP74" s="21" t="str">
        <f ca="1">IF($BO74=0,"",INDEX(Definitions!$Q:$Q,MATCH($BO74,Definitions!$R:$R,0)))</f>
        <v/>
      </c>
      <c r="BQ74" s="21" t="str" cm="1">
        <f t="array" ca="1" aca="1" ref="BQ74">CalculateMaxAndElementsWithFallback(SanitizeInput($BL74),0,"",Countermeasures!$A:Y,Assumptions!$A:Z)</f>
        <v>0:</v>
      </c>
      <c r="BR74" s="21" t="str" cm="1">
        <f t="array" ca="1" aca="1" ref="BR74">CalculateMaxAndElementsWithFallback(SanitizeInput($BL74),0,"",Countermeasures!$A:Z,Assumptions!$A:AA)</f>
        <v>0:</v>
      </c>
      <c r="BS74" s="21" t="str" cm="1">
        <f t="array" ca="1" aca="1" ref="BS74">CalculateMaxAndElementsWithFallback(SanitizeInput($BL74),0,"",Countermeasures!$A:AA,Assumptions!$A:AB)</f>
        <v>0:</v>
      </c>
      <c r="BT74" s="21" t="str" cm="1">
        <f t="array" ca="1" aca="1" ref="BT74">CalculateMaxAndElementsWithFallback(SanitizeInput($BL74),0,"",Countermeasures!$A:AB,Assumptions!$A:AC)</f>
        <v>0:</v>
      </c>
      <c r="BU74" s="21" t="str" cm="1">
        <f t="array" ca="1" aca="1" ref="BU74">CalculateMaxAndElementsWithFallback(SanitizeInput($BL74),0,"",Countermeasures!$A:AC,Assumptions!$A:AD)</f>
        <v>0:</v>
      </c>
      <c r="BV74" s="21">
        <f t="shared" ca="1" si="95"/>
        <v>0</v>
      </c>
      <c r="BW74" s="21">
        <f t="shared" ca="1" si="96"/>
        <v>0</v>
      </c>
      <c r="BX74" s="21">
        <f t="shared" ca="1" si="97"/>
        <v>0</v>
      </c>
      <c r="BY74" s="21">
        <f t="shared" ca="1" si="98"/>
        <v>0</v>
      </c>
      <c r="BZ74" s="21">
        <f t="shared" ca="1" si="99"/>
        <v>0</v>
      </c>
      <c r="CA74" s="21" t="str">
        <f t="shared" ca="1" si="100"/>
        <v>0:</v>
      </c>
      <c r="CB74" s="21" t="str">
        <f t="shared" ca="1" si="101"/>
        <v>0:</v>
      </c>
      <c r="CC74" s="21" t="str">
        <f t="shared" ca="1" si="102"/>
        <v>0:</v>
      </c>
      <c r="CD74" s="21" t="str">
        <f t="shared" ca="1" si="103"/>
        <v>0:</v>
      </c>
      <c r="CE74" s="21" t="str">
        <f t="shared" ca="1" si="104"/>
        <v>0:</v>
      </c>
      <c r="CF74" s="21">
        <f t="shared" ca="1" si="105"/>
        <v>0</v>
      </c>
      <c r="CG74" s="21">
        <f t="shared" ca="1" si="106"/>
        <v>0</v>
      </c>
      <c r="CH74" s="21">
        <f t="shared" ca="1" si="107"/>
        <v>0</v>
      </c>
      <c r="CI74" s="21">
        <f t="shared" ca="1" si="108"/>
        <v>0</v>
      </c>
      <c r="CJ74" s="21">
        <f t="shared" ca="1" si="109"/>
        <v>0</v>
      </c>
      <c r="CK74" s="21">
        <f t="shared" ca="1" si="94"/>
        <v>0</v>
      </c>
      <c r="CL74" s="21" t="str">
        <f ca="1">IFERROR(VLOOKUP($CK74,Definitions!$V:$W,COLUMNS(Definitions!$V:$W),TRUE),"")</f>
        <v>Basic</v>
      </c>
      <c r="CM74" s="21" t="str">
        <f ca="1">_xlfn.LET(_xlpm._comments,SimpleLookup($A74,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4" s="21" t="str" cm="1">
        <f t="array" ca="1" aca="1" ref="CN74">_xlfn.LET(_xlpm._rapRange,Definitions!$W:$W,_xlpm._calculatedRAP,$CL74,_xlpm._inlineRAP,$CM74,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4" s="21" t="str">
        <f ca="1">IFERROR(IF(OR($BP74="",$CN74=""),Definitions!$AE$4,VLOOKUP($BP74,Definitions!$AH:$AM,MATCH($CN74,Definitions!$AH$3:$AM$3,0),FALSE)),"")</f>
        <v>No Risk</v>
      </c>
      <c r="CP74" s="21" cm="1">
        <f t="array" ca="1" aca="1" ref="CP74">IF($CO74="",0,SimpleLookup($CO74,Definitions!$AE:$AF))</f>
        <v>0</v>
      </c>
      <c r="CQ74" s="21" t="b">
        <f ca="1">OR(AND($S74,$I74=Helper!$B$7),$I74&gt;Helper!$B$7)</f>
        <v>1</v>
      </c>
      <c r="CR74" s="21" t="str">
        <f t="shared" ca="1" si="133"/>
        <v/>
      </c>
      <c r="CS74" s="21" cm="1">
        <f t="array" ca="1" aca="1" ref="CS74">CreateID($CS$2,$CV:$CV,$CR74&lt;&gt;"")</f>
        <v>0</v>
      </c>
      <c r="CT74" s="21" t="str">
        <f ca="1">IF(IFERROR(MATCH(","&amp;A74&amp;",",'Risk Treatment'!$AT:$AT,0)&gt;0,FALSE),"",$A74)</f>
        <v/>
      </c>
      <c r="CU74" s="21" cm="1">
        <f t="array" ca="1" aca="1" ref="CU74">CreateID($CU$2,$CU:$CU,$CT74&lt;&gt;"")</f>
        <v>38</v>
      </c>
    </row>
    <row r="75" spans="1:99" ht="15">
      <c r="A75" s="33" t="str" cm="1">
        <f t="array" ca="1" aca="1" ref="A75">IF($B75="","","R"&amp;RemoveDelimiter(SUBSTITUTE(SUBSTITUTE($K75,"AS",""),",","-"),"-"))</f>
        <v/>
      </c>
      <c r="B75" s="33" t="str" cm="1">
        <f t="array" ca="1" aca="1" ref="B75">IF($L75="","",_xlfn.LET(_xlpm._finalAttackStep,$L75,_xlpm._prepAttacks,RemoveFirstElement(_xlpm._finalAttackStep&amp;","&amp;$K75),_xlpm._prepAttackNames,IFERROR(LookupNames(_xlpm._prepAttacks,'Attack Steps'!$A:$B),""),_xlpm._delimiter,REPT(CHAR(150),55),$L75&amp;" "&amp;SimpleLookup($L75,'Attack Steps'!$A:$B)&amp;IF(_xlpm._prepAttackNames="","",CHAR(10)&amp;_xlpm._delimiter&amp;CHAR(10)&amp;_xlpm._prepAttackNames)))</f>
        <v/>
      </c>
      <c r="C75" s="34" t="str" cm="1">
        <f t="array" ca="1" aca="1" ref="C75">IFERROR(LookupNames($M75,'Damage Scenarios'!$A:$V),"")</f>
        <v/>
      </c>
      <c r="D75" s="33" t="str">
        <f ca="1">IFERROR(IF($T75=0,"",INDEX(Definitions!$Q:$Q,MATCH($T75,Definitions!$R:$R,0))),"")</f>
        <v/>
      </c>
      <c r="E75" s="34" t="str" cm="1">
        <f t="array" ca="1" aca="1" ref="E75">IF($A75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75,$A:W,Definitions!$Y:$Y,Definitions!$AB:$AB,1)&amp;CHAR(10)&amp;_xlpm._factorFunction($A75,$A:X,Definitions!$Y:$Y,Definitions!$AB:$AB,2)&amp;CHAR(10)&amp;_xlpm._factorFunction($A75,$A:Y,Definitions!$Y:$Y,Definitions!$AB:$AB,3)&amp;CHAR(10)&amp;_xlpm._factorFunction($A75,$A:Z,Definitions!$Y:$Y,Definitions!$AB:$AB,4)&amp;CHAR(10)&amp;_xlpm._factorFunction($A75,$A:AA,Definitions!$Y:$Y,Definitions!$AB:$AB,5)))</f>
        <v/>
      </c>
      <c r="F75" s="33" t="str">
        <f ca="1">IF($A75="","",IFERROR(VLOOKUP($AG75,Definitions!$V:$W,COLUMNS(Definitions!$V:$W),TRUE),""))</f>
        <v/>
      </c>
      <c r="G75" s="33" t="str">
        <f ca="1">IFERROR(IF(OR($D75="",$F75=""),"",VLOOKUP($D75,Definitions!$AH:$AM,MATCH($F75,Definitions!$AH$3:$AM$3,0),FALSE)),"")</f>
        <v/>
      </c>
      <c r="H75" s="23" cm="1">
        <f t="array" ca="1" aca="1" ref="H75">IF(ROW()=ROW($H$2)+1,0,INDEX($H:$H,ROW()-1))+IF($A75="",0,1)</f>
        <v>38</v>
      </c>
      <c r="I75" s="21" cm="1">
        <f t="array" ca="1" aca="1" ref="I75">IF(ROW()=ROW($I$2)+1,1,INDEX($I:$I,ROW()-1)+IF(INDEX($S:$S,ROW()-1),1,0))</f>
        <v>16</v>
      </c>
      <c r="J75" s="21">
        <f t="shared" ca="1" si="91"/>
        <v>35</v>
      </c>
      <c r="K75" s="21" t="str">
        <f t="shared" ca="1" si="110"/>
        <v/>
      </c>
      <c r="L75" s="21" t="str" cm="1">
        <f t="array" ca="1" aca="1" ref="L75">IF($P75="","",INDEX('Attack Steps'!$A:$A,$P75))</f>
        <v/>
      </c>
      <c r="M75" s="21" t="str" cm="1">
        <f t="array" ca="1" aca="1" ref="M75">IF($P75="","",INDEX('Attack Steps'!$T:$T,$P75))</f>
        <v/>
      </c>
      <c r="N75" s="21" t="str" cm="1">
        <f t="array" ca="1" aca="1" ref="N75">_xlfn.LET(_xlpm._dm,SanitizeInput(GetValuesWithFallback(SanitizeInput($AK75),Assumptions!$A:$I,Countermeasures!$A:$I,"",",",FALSE)),IF(_xlpm._dm="","",","&amp;_xlpm._dm))</f>
        <v/>
      </c>
      <c r="O75" s="21" t="str" cm="1">
        <f t="array" ca="1" aca="1" ref="O75">ApplyDamageMitigation($M75,$N75,"")</f>
        <v/>
      </c>
      <c r="P75" s="21" t="str">
        <f ca="1">IFERROR(MATCH($I75,'Attack Steps'!$V:$V,0),"")</f>
        <v/>
      </c>
      <c r="Q75" s="21" t="str" cm="1">
        <f t="array" ca="1" aca="1" ref="Q75">IF($P75="","","§"&amp;INDEX('Attack Steps'!$S:$S,$P75))</f>
        <v/>
      </c>
      <c r="R75" s="21" t="str" cm="1">
        <f t="array" ca="1" aca="1" ref="R75">IF($P75="","",INDEX('Attack Steps'!$W:$W,$P75))</f>
        <v/>
      </c>
      <c r="S75" s="21" t="b">
        <f t="shared" ca="1" si="111"/>
        <v>0</v>
      </c>
      <c r="T75" s="21" cm="1">
        <f t="array" ca="1" aca="1" ref="T75">_xlfn.LAMBDA(_xlpm._in,_xlpm._val,_xlpm._range,IF(_xlpm._in="",_xlpm._val,_xlfn.LET(_xlpm._id,LEFT(_xlpm._in,FIND(",",_xlpm._in)-1),CalculateMaxFromList(RemoveFirstElement(_xlpm._in),MAX(_xlpm._val,VLOOKUP(_xlpm._id,_xlpm._range,COLUMNS(_xlpm._range),FALSE)),_xlpm._range))))($M75,0,'Damage Scenarios'!$A:$U)</f>
        <v>0</v>
      </c>
      <c r="U75" s="21" cm="1">
        <f t="array" ca="1" aca="1" ref="U75">CalculateMaxFromList($O75,0,'Damage Scenarios'!$A:$U)</f>
        <v>0</v>
      </c>
      <c r="V75" s="21" t="str">
        <f ca="1">IF($U75=0,"",INDEX(Definitions!$Q:$Q,MATCH($U75,Definitions!$R:$R,0)))</f>
        <v/>
      </c>
      <c r="W75" s="21" t="str" cm="1">
        <f t="array" ca="1" aca="1" ref="W75">CalculateMaxAndElements($K75,0,"",'Attack Steps'!$A:X)</f>
        <v>0:</v>
      </c>
      <c r="X75" s="21" t="str" cm="1">
        <f t="array" ca="1" aca="1" ref="X75">CalculateMaxAndElements($K75,0,"",'Attack Steps'!$A:Y)</f>
        <v>0:</v>
      </c>
      <c r="Y75" s="21" t="str" cm="1">
        <f t="array" ca="1" aca="1" ref="Y75">CalculateMaxAndElements($K75,0,"",'Attack Steps'!$A:Z)</f>
        <v>0:</v>
      </c>
      <c r="Z75" s="21" t="str" cm="1">
        <f t="array" ca="1" aca="1" ref="Z75">CalculateMaxAndElements($K75,0,"",'Attack Steps'!$A:AA)</f>
        <v>0:</v>
      </c>
      <c r="AA75" s="21" t="str" cm="1">
        <f t="array" ca="1" aca="1" ref="AA75">CalculateMaxAndElements($K75,0,"",'Attack Steps'!$A:AB)</f>
        <v>0:</v>
      </c>
      <c r="AB75" s="21">
        <f t="shared" ca="1" si="112"/>
        <v>0</v>
      </c>
      <c r="AC75" s="21">
        <f t="shared" ca="1" si="113"/>
        <v>0</v>
      </c>
      <c r="AD75" s="21">
        <f t="shared" ca="1" si="114"/>
        <v>0</v>
      </c>
      <c r="AE75" s="21">
        <f t="shared" ca="1" si="115"/>
        <v>0</v>
      </c>
      <c r="AF75" s="21">
        <f t="shared" ca="1" si="116"/>
        <v>0</v>
      </c>
      <c r="AG75" s="21">
        <f t="shared" ca="1" si="92"/>
        <v>0</v>
      </c>
      <c r="AH75" s="21" t="str" cm="1">
        <f t="array" ca="1" aca="1" ref="AH75">IF(ROW()=ROW($AH$2)+1,"",INDEX($AH:$AH,ROW()-1))&amp;IF($A75="","",$A75&amp;",")</f>
        <v>R1-3,R2-3,R1-4,R2-4,R1-6,R2-6,R1-7,R2-7,R1-3-10,R2-3-10,R1-3-11,R2-3-11,R1-14,R1-16,R2-16,R21-23,R22-23,R1-29,R2-29,R31,R1-3-32,R2-3-32,R1-5-32,R2-5-32,R1-7-32,R2-7-32,R1-16-32,R2-16-32,R21-23-32,R22-23-32,R21-24-32,R22-24-32,R1-29-32,R2-29-32,R37,R38,R1-40,R2-40,</v>
      </c>
      <c r="AI75" s="21" t="str">
        <f t="shared" ca="1" si="117"/>
        <v/>
      </c>
      <c r="AJ75" s="21" cm="1">
        <f t="array" ca="1" aca="1" ref="AJ75">IF($G75="",0,SimpleLookup($G75,Definitions!$AE:$AF))</f>
        <v>0</v>
      </c>
      <c r="AK75" s="21" t="str" cm="1">
        <f t="array" ca="1" aca="1" ref="AK75">InverseLookup($A75,Mitigation!$U$2,Mitigation!$J$2,1,Helper!$B$5,",")</f>
        <v/>
      </c>
      <c r="AL75" s="21" t="str" cm="1">
        <f t="array" ca="1" aca="1" ref="AL75">CalculateMaxAndElementsWithFallback(SanitizeInput($AK75),0,"",Countermeasures!$A:Y,Assumptions!$A:Z)</f>
        <v>0:</v>
      </c>
      <c r="AM75" s="21" t="str" cm="1">
        <f t="array" ca="1" aca="1" ref="AM75">CalculateMaxAndElementsWithFallback(SanitizeInput($AK75),0,"",Countermeasures!$A:Z,Assumptions!$A:AA)</f>
        <v>0:</v>
      </c>
      <c r="AN75" s="21" t="str" cm="1">
        <f t="array" ca="1" aca="1" ref="AN75">CalculateMaxAndElementsWithFallback(SanitizeInput($AK75),0,"",Countermeasures!$A:AA,Assumptions!$A:AB)</f>
        <v>0:</v>
      </c>
      <c r="AO75" s="21" t="str" cm="1">
        <f t="array" ca="1" aca="1" ref="AO75">CalculateMaxAndElementsWithFallback(SanitizeInput($AK75),0,"",Countermeasures!$A:AB,Assumptions!$A:AC)</f>
        <v>0:</v>
      </c>
      <c r="AP75" s="21" t="str" cm="1">
        <f t="array" ca="1" aca="1" ref="AP75">CalculateMaxAndElementsWithFallback(SanitizeInput($AK75),0,"",Countermeasures!$A:AC,Assumptions!$A:AD)</f>
        <v>0:</v>
      </c>
      <c r="AQ75" s="21">
        <f t="shared" ca="1" si="118"/>
        <v>0</v>
      </c>
      <c r="AR75" s="21">
        <f t="shared" ca="1" si="119"/>
        <v>0</v>
      </c>
      <c r="AS75" s="21">
        <f t="shared" ca="1" si="120"/>
        <v>0</v>
      </c>
      <c r="AT75" s="21">
        <f t="shared" ca="1" si="121"/>
        <v>0</v>
      </c>
      <c r="AU75" s="21">
        <f t="shared" ca="1" si="122"/>
        <v>0</v>
      </c>
      <c r="AV75" s="21" t="str">
        <f t="shared" ca="1" si="123"/>
        <v>0:</v>
      </c>
      <c r="AW75" s="21" t="str">
        <f t="shared" ca="1" si="124"/>
        <v>0:</v>
      </c>
      <c r="AX75" s="21" t="str">
        <f t="shared" ca="1" si="125"/>
        <v>0:</v>
      </c>
      <c r="AY75" s="21" t="str">
        <f t="shared" ca="1" si="126"/>
        <v>0:</v>
      </c>
      <c r="AZ75" s="21" t="str">
        <f t="shared" ca="1" si="127"/>
        <v>0:</v>
      </c>
      <c r="BA75" s="21">
        <f t="shared" ca="1" si="128"/>
        <v>0</v>
      </c>
      <c r="BB75" s="21">
        <f t="shared" ca="1" si="129"/>
        <v>0</v>
      </c>
      <c r="BC75" s="21">
        <f t="shared" ca="1" si="130"/>
        <v>0</v>
      </c>
      <c r="BD75" s="21">
        <f t="shared" ca="1" si="131"/>
        <v>0</v>
      </c>
      <c r="BE75" s="21">
        <f t="shared" ca="1" si="132"/>
        <v>0</v>
      </c>
      <c r="BF75" s="21">
        <f t="shared" ca="1" si="93"/>
        <v>0</v>
      </c>
      <c r="BG75" s="21" t="str">
        <f ca="1">IFERROR(VLOOKUP($BF75,Definitions!$V:$W,COLUMNS(Definitions!$V:$W),TRUE),"")</f>
        <v>Basic</v>
      </c>
      <c r="BH75" s="21" t="str">
        <f ca="1">_xlfn.LET(_xlpm._comments,GetValues($K75,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5" s="21" t="str" cm="1">
        <f t="array" ca="1" aca="1" ref="BI75">_xlfn.LET(_xlpm._rapRange,Definitions!$W:$W,_xlpm._calculatedRAP,$BG75,_xlpm._inlineRAP,$BH75,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5" s="21" t="str">
        <f ca="1">IFERROR(IF(OR($V75="",$BI75=""),Definitions!$AE$4,VLOOKUP($V75,Definitions!$AH:$AM,MATCH($BI75,Definitions!$AH$3:$AM$3,0),FALSE)),"")</f>
        <v>No Risk</v>
      </c>
      <c r="BK75" s="21" cm="1">
        <f t="array" ca="1" aca="1" ref="BK75">IF($BJ75="",0,SimpleLookup($BJ75,Definitions!$AE:$AF))</f>
        <v>0</v>
      </c>
      <c r="BL75" s="21" t="str" cm="1">
        <f t="array" ca="1" aca="1" ref="BL75">IFERROR(SimpleLookup($A75,Tracing!$B:$Z),"")</f>
        <v/>
      </c>
      <c r="BM75" s="21" t="str" cm="1">
        <f t="array" ca="1" aca="1" ref="BM75">_xlfn.LET(_xlpm._dm,SanitizeInput(GetValuesWithFallback(SanitizeInput($BL75),Assumptions!$A:$I,Countermeasures!$A:$I,"",",",FALSE)),IF(_xlpm._dm="","",","&amp;_xlpm._dm))</f>
        <v/>
      </c>
      <c r="BN75" s="21" t="str" cm="1">
        <f t="array" ca="1" aca="1" ref="BN75">ApplyDamageMitigation($M75,$BM75,"")</f>
        <v/>
      </c>
      <c r="BO75" s="21" cm="1">
        <f t="array" ca="1" aca="1" ref="BO75">CalculateMaxFromList($BN75,0,'Damage Scenarios'!$A:$U)</f>
        <v>0</v>
      </c>
      <c r="BP75" s="21" t="str">
        <f ca="1">IF($BO75=0,"",INDEX(Definitions!$Q:$Q,MATCH($BO75,Definitions!$R:$R,0)))</f>
        <v/>
      </c>
      <c r="BQ75" s="21" t="str" cm="1">
        <f t="array" ca="1" aca="1" ref="BQ75">CalculateMaxAndElementsWithFallback(SanitizeInput($BL75),0,"",Countermeasures!$A:Y,Assumptions!$A:Z)</f>
        <v>0:</v>
      </c>
      <c r="BR75" s="21" t="str" cm="1">
        <f t="array" ca="1" aca="1" ref="BR75">CalculateMaxAndElementsWithFallback(SanitizeInput($BL75),0,"",Countermeasures!$A:Z,Assumptions!$A:AA)</f>
        <v>0:</v>
      </c>
      <c r="BS75" s="21" t="str" cm="1">
        <f t="array" ca="1" aca="1" ref="BS75">CalculateMaxAndElementsWithFallback(SanitizeInput($BL75),0,"",Countermeasures!$A:AA,Assumptions!$A:AB)</f>
        <v>0:</v>
      </c>
      <c r="BT75" s="21" t="str" cm="1">
        <f t="array" ca="1" aca="1" ref="BT75">CalculateMaxAndElementsWithFallback(SanitizeInput($BL75),0,"",Countermeasures!$A:AB,Assumptions!$A:AC)</f>
        <v>0:</v>
      </c>
      <c r="BU75" s="21" t="str" cm="1">
        <f t="array" ca="1" aca="1" ref="BU75">CalculateMaxAndElementsWithFallback(SanitizeInput($BL75),0,"",Countermeasures!$A:AC,Assumptions!$A:AD)</f>
        <v>0:</v>
      </c>
      <c r="BV75" s="21">
        <f t="shared" ca="1" si="95"/>
        <v>0</v>
      </c>
      <c r="BW75" s="21">
        <f t="shared" ca="1" si="96"/>
        <v>0</v>
      </c>
      <c r="BX75" s="21">
        <f t="shared" ca="1" si="97"/>
        <v>0</v>
      </c>
      <c r="BY75" s="21">
        <f t="shared" ca="1" si="98"/>
        <v>0</v>
      </c>
      <c r="BZ75" s="21">
        <f t="shared" ca="1" si="99"/>
        <v>0</v>
      </c>
      <c r="CA75" s="21" t="str">
        <f t="shared" ca="1" si="100"/>
        <v>0:</v>
      </c>
      <c r="CB75" s="21" t="str">
        <f t="shared" ca="1" si="101"/>
        <v>0:</v>
      </c>
      <c r="CC75" s="21" t="str">
        <f t="shared" ca="1" si="102"/>
        <v>0:</v>
      </c>
      <c r="CD75" s="21" t="str">
        <f t="shared" ca="1" si="103"/>
        <v>0:</v>
      </c>
      <c r="CE75" s="21" t="str">
        <f t="shared" ca="1" si="104"/>
        <v>0:</v>
      </c>
      <c r="CF75" s="21">
        <f t="shared" ca="1" si="105"/>
        <v>0</v>
      </c>
      <c r="CG75" s="21">
        <f t="shared" ca="1" si="106"/>
        <v>0</v>
      </c>
      <c r="CH75" s="21">
        <f t="shared" ca="1" si="107"/>
        <v>0</v>
      </c>
      <c r="CI75" s="21">
        <f t="shared" ca="1" si="108"/>
        <v>0</v>
      </c>
      <c r="CJ75" s="21">
        <f t="shared" ca="1" si="109"/>
        <v>0</v>
      </c>
      <c r="CK75" s="21">
        <f t="shared" ca="1" si="94"/>
        <v>0</v>
      </c>
      <c r="CL75" s="21" t="str">
        <f ca="1">IFERROR(VLOOKUP($CK75,Definitions!$V:$W,COLUMNS(Definitions!$V:$W),TRUE),"")</f>
        <v>Basic</v>
      </c>
      <c r="CM75" s="21" t="str">
        <f ca="1">_xlfn.LET(_xlpm._comments,SimpleLookup($A75,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5" s="21" t="str" cm="1">
        <f t="array" ca="1" aca="1" ref="CN75">_xlfn.LET(_xlpm._rapRange,Definitions!$W:$W,_xlpm._calculatedRAP,$CL75,_xlpm._inlineRAP,$CM75,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5" s="21" t="str">
        <f ca="1">IFERROR(IF(OR($BP75="",$CN75=""),Definitions!$AE$4,VLOOKUP($BP75,Definitions!$AH:$AM,MATCH($CN75,Definitions!$AH$3:$AM$3,0),FALSE)),"")</f>
        <v>No Risk</v>
      </c>
      <c r="CP75" s="21" cm="1">
        <f t="array" ca="1" aca="1" ref="CP75">IF($CO75="",0,SimpleLookup($CO75,Definitions!$AE:$AF))</f>
        <v>0</v>
      </c>
      <c r="CQ75" s="21" t="b">
        <f ca="1">OR(AND($S75,$I75=Helper!$B$7),$I75&gt;Helper!$B$7)</f>
        <v>1</v>
      </c>
      <c r="CR75" s="21" t="str">
        <f t="shared" ca="1" si="133"/>
        <v/>
      </c>
      <c r="CS75" s="21" cm="1">
        <f t="array" ca="1" aca="1" ref="CS75">CreateID($CS$2,$CV:$CV,$CR75&lt;&gt;"")</f>
        <v>0</v>
      </c>
      <c r="CT75" s="21" t="str">
        <f ca="1">IF(IFERROR(MATCH(","&amp;A75&amp;",",'Risk Treatment'!$AT:$AT,0)&gt;0,FALSE),"",$A75)</f>
        <v/>
      </c>
      <c r="CU75" s="21" cm="1">
        <f t="array" ca="1" aca="1" ref="CU75">CreateID($CU$2,$CU:$CU,$CT75&lt;&gt;"")</f>
        <v>38</v>
      </c>
    </row>
    <row r="76" spans="1:99" ht="15">
      <c r="A76" s="33" t="str" cm="1">
        <f t="array" ca="1" aca="1" ref="A76">IF($B76="","","R"&amp;RemoveDelimiter(SUBSTITUTE(SUBSTITUTE($K76,"AS",""),",","-"),"-"))</f>
        <v/>
      </c>
      <c r="B76" s="33" t="str" cm="1">
        <f t="array" ca="1" aca="1" ref="B76">IF($L76="","",_xlfn.LET(_xlpm._finalAttackStep,$L76,_xlpm._prepAttacks,RemoveFirstElement(_xlpm._finalAttackStep&amp;","&amp;$K76),_xlpm._prepAttackNames,IFERROR(LookupNames(_xlpm._prepAttacks,'Attack Steps'!$A:$B),""),_xlpm._delimiter,REPT(CHAR(150),55),$L76&amp;" "&amp;SimpleLookup($L76,'Attack Steps'!$A:$B)&amp;IF(_xlpm._prepAttackNames="","",CHAR(10)&amp;_xlpm._delimiter&amp;CHAR(10)&amp;_xlpm._prepAttackNames)))</f>
        <v/>
      </c>
      <c r="C76" s="34" t="str" cm="1">
        <f t="array" ca="1" aca="1" ref="C76">IFERROR(LookupNames($M76,'Damage Scenarios'!$A:$V),"")</f>
        <v/>
      </c>
      <c r="D76" s="33" t="str">
        <f ca="1">IFERROR(IF($T76=0,"",INDEX(Definitions!$Q:$Q,MATCH($T76,Definitions!$R:$R,0))),"")</f>
        <v/>
      </c>
      <c r="E76" s="34" t="str" cm="1">
        <f t="array" ca="1" aca="1" ref="E76">IF($A76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76,$A:W,Definitions!$Y:$Y,Definitions!$AB:$AB,1)&amp;CHAR(10)&amp;_xlpm._factorFunction($A76,$A:X,Definitions!$Y:$Y,Definitions!$AB:$AB,2)&amp;CHAR(10)&amp;_xlpm._factorFunction($A76,$A:Y,Definitions!$Y:$Y,Definitions!$AB:$AB,3)&amp;CHAR(10)&amp;_xlpm._factorFunction($A76,$A:Z,Definitions!$Y:$Y,Definitions!$AB:$AB,4)&amp;CHAR(10)&amp;_xlpm._factorFunction($A76,$A:AA,Definitions!$Y:$Y,Definitions!$AB:$AB,5)))</f>
        <v/>
      </c>
      <c r="F76" s="33" t="str">
        <f ca="1">IF($A76="","",IFERROR(VLOOKUP($AG76,Definitions!$V:$W,COLUMNS(Definitions!$V:$W),TRUE),""))</f>
        <v/>
      </c>
      <c r="G76" s="33" t="str">
        <f ca="1">IFERROR(IF(OR($D76="",$F76=""),"",VLOOKUP($D76,Definitions!$AH:$AM,MATCH($F76,Definitions!$AH$3:$AM$3,0),FALSE)),"")</f>
        <v/>
      </c>
      <c r="H76" s="23" cm="1">
        <f t="array" ca="1" aca="1" ref="H76">IF(ROW()=ROW($H$2)+1,0,INDEX($H:$H,ROW()-1))+IF($A76="",0,1)</f>
        <v>38</v>
      </c>
      <c r="I76" s="21" cm="1">
        <f t="array" ca="1" aca="1" ref="I76">IF(ROW()=ROW($I$2)+1,1,INDEX($I:$I,ROW()-1)+IF(INDEX($S:$S,ROW()-1),1,0))</f>
        <v>16</v>
      </c>
      <c r="J76" s="21">
        <f t="shared" ca="1" si="91"/>
        <v>36</v>
      </c>
      <c r="K76" s="21" t="str">
        <f t="shared" ca="1" si="110"/>
        <v/>
      </c>
      <c r="L76" s="21" t="str" cm="1">
        <f t="array" ca="1" aca="1" ref="L76">IF($P76="","",INDEX('Attack Steps'!$A:$A,$P76))</f>
        <v/>
      </c>
      <c r="M76" s="21" t="str" cm="1">
        <f t="array" ca="1" aca="1" ref="M76">IF($P76="","",INDEX('Attack Steps'!$T:$T,$P76))</f>
        <v/>
      </c>
      <c r="N76" s="21" t="str" cm="1">
        <f t="array" ca="1" aca="1" ref="N76">_xlfn.LET(_xlpm._dm,SanitizeInput(GetValuesWithFallback(SanitizeInput($AK76),Assumptions!$A:$I,Countermeasures!$A:$I,"",",",FALSE)),IF(_xlpm._dm="","",","&amp;_xlpm._dm))</f>
        <v/>
      </c>
      <c r="O76" s="21" t="str" cm="1">
        <f t="array" ca="1" aca="1" ref="O76">ApplyDamageMitigation($M76,$N76,"")</f>
        <v/>
      </c>
      <c r="P76" s="21" t="str">
        <f ca="1">IFERROR(MATCH($I76,'Attack Steps'!$V:$V,0),"")</f>
        <v/>
      </c>
      <c r="Q76" s="21" t="str" cm="1">
        <f t="array" ca="1" aca="1" ref="Q76">IF($P76="","","§"&amp;INDEX('Attack Steps'!$S:$S,$P76))</f>
        <v/>
      </c>
      <c r="R76" s="21" t="str" cm="1">
        <f t="array" ca="1" aca="1" ref="R76">IF($P76="","",INDEX('Attack Steps'!$W:$W,$P76))</f>
        <v/>
      </c>
      <c r="S76" s="21" t="b">
        <f t="shared" ca="1" si="111"/>
        <v>0</v>
      </c>
      <c r="T76" s="21" cm="1">
        <f t="array" ca="1" aca="1" ref="T76">_xlfn.LAMBDA(_xlpm._in,_xlpm._val,_xlpm._range,IF(_xlpm._in="",_xlpm._val,_xlfn.LET(_xlpm._id,LEFT(_xlpm._in,FIND(",",_xlpm._in)-1),CalculateMaxFromList(RemoveFirstElement(_xlpm._in),MAX(_xlpm._val,VLOOKUP(_xlpm._id,_xlpm._range,COLUMNS(_xlpm._range),FALSE)),_xlpm._range))))($M76,0,'Damage Scenarios'!$A:$U)</f>
        <v>0</v>
      </c>
      <c r="U76" s="21" cm="1">
        <f t="array" ca="1" aca="1" ref="U76">CalculateMaxFromList($O76,0,'Damage Scenarios'!$A:$U)</f>
        <v>0</v>
      </c>
      <c r="V76" s="21" t="str">
        <f ca="1">IF($U76=0,"",INDEX(Definitions!$Q:$Q,MATCH($U76,Definitions!$R:$R,0)))</f>
        <v/>
      </c>
      <c r="W76" s="21" t="str" cm="1">
        <f t="array" ca="1" aca="1" ref="W76">CalculateMaxAndElements($K76,0,"",'Attack Steps'!$A:X)</f>
        <v>0:</v>
      </c>
      <c r="X76" s="21" t="str" cm="1">
        <f t="array" ca="1" aca="1" ref="X76">CalculateMaxAndElements($K76,0,"",'Attack Steps'!$A:Y)</f>
        <v>0:</v>
      </c>
      <c r="Y76" s="21" t="str" cm="1">
        <f t="array" ca="1" aca="1" ref="Y76">CalculateMaxAndElements($K76,0,"",'Attack Steps'!$A:Z)</f>
        <v>0:</v>
      </c>
      <c r="Z76" s="21" t="str" cm="1">
        <f t="array" ca="1" aca="1" ref="Z76">CalculateMaxAndElements($K76,0,"",'Attack Steps'!$A:AA)</f>
        <v>0:</v>
      </c>
      <c r="AA76" s="21" t="str" cm="1">
        <f t="array" ca="1" aca="1" ref="AA76">CalculateMaxAndElements($K76,0,"",'Attack Steps'!$A:AB)</f>
        <v>0:</v>
      </c>
      <c r="AB76" s="21">
        <f t="shared" ca="1" si="112"/>
        <v>0</v>
      </c>
      <c r="AC76" s="21">
        <f t="shared" ca="1" si="113"/>
        <v>0</v>
      </c>
      <c r="AD76" s="21">
        <f t="shared" ca="1" si="114"/>
        <v>0</v>
      </c>
      <c r="AE76" s="21">
        <f t="shared" ca="1" si="115"/>
        <v>0</v>
      </c>
      <c r="AF76" s="21">
        <f t="shared" ca="1" si="116"/>
        <v>0</v>
      </c>
      <c r="AG76" s="21">
        <f t="shared" ca="1" si="92"/>
        <v>0</v>
      </c>
      <c r="AH76" s="21" t="str" cm="1">
        <f t="array" ca="1" aca="1" ref="AH76">IF(ROW()=ROW($AH$2)+1,"",INDEX($AH:$AH,ROW()-1))&amp;IF($A76="","",$A76&amp;",")</f>
        <v>R1-3,R2-3,R1-4,R2-4,R1-6,R2-6,R1-7,R2-7,R1-3-10,R2-3-10,R1-3-11,R2-3-11,R1-14,R1-16,R2-16,R21-23,R22-23,R1-29,R2-29,R31,R1-3-32,R2-3-32,R1-5-32,R2-5-32,R1-7-32,R2-7-32,R1-16-32,R2-16-32,R21-23-32,R22-23-32,R21-24-32,R22-24-32,R1-29-32,R2-29-32,R37,R38,R1-40,R2-40,</v>
      </c>
      <c r="AI76" s="21" t="str">
        <f t="shared" ca="1" si="117"/>
        <v/>
      </c>
      <c r="AJ76" s="21" cm="1">
        <f t="array" ca="1" aca="1" ref="AJ76">IF($G76="",0,SimpleLookup($G76,Definitions!$AE:$AF))</f>
        <v>0</v>
      </c>
      <c r="AK76" s="21" t="str" cm="1">
        <f t="array" ca="1" aca="1" ref="AK76">InverseLookup($A76,Mitigation!$U$2,Mitigation!$J$2,1,Helper!$B$5,",")</f>
        <v/>
      </c>
      <c r="AL76" s="21" t="str" cm="1">
        <f t="array" ca="1" aca="1" ref="AL76">CalculateMaxAndElementsWithFallback(SanitizeInput($AK76),0,"",Countermeasures!$A:Y,Assumptions!$A:Z)</f>
        <v>0:</v>
      </c>
      <c r="AM76" s="21" t="str" cm="1">
        <f t="array" ca="1" aca="1" ref="AM76">CalculateMaxAndElementsWithFallback(SanitizeInput($AK76),0,"",Countermeasures!$A:Z,Assumptions!$A:AA)</f>
        <v>0:</v>
      </c>
      <c r="AN76" s="21" t="str" cm="1">
        <f t="array" ca="1" aca="1" ref="AN76">CalculateMaxAndElementsWithFallback(SanitizeInput($AK76),0,"",Countermeasures!$A:AA,Assumptions!$A:AB)</f>
        <v>0:</v>
      </c>
      <c r="AO76" s="21" t="str" cm="1">
        <f t="array" ca="1" aca="1" ref="AO76">CalculateMaxAndElementsWithFallback(SanitizeInput($AK76),0,"",Countermeasures!$A:AB,Assumptions!$A:AC)</f>
        <v>0:</v>
      </c>
      <c r="AP76" s="21" t="str" cm="1">
        <f t="array" ca="1" aca="1" ref="AP76">CalculateMaxAndElementsWithFallback(SanitizeInput($AK76),0,"",Countermeasures!$A:AC,Assumptions!$A:AD)</f>
        <v>0:</v>
      </c>
      <c r="AQ76" s="21">
        <f t="shared" ca="1" si="118"/>
        <v>0</v>
      </c>
      <c r="AR76" s="21">
        <f t="shared" ca="1" si="119"/>
        <v>0</v>
      </c>
      <c r="AS76" s="21">
        <f t="shared" ca="1" si="120"/>
        <v>0</v>
      </c>
      <c r="AT76" s="21">
        <f t="shared" ca="1" si="121"/>
        <v>0</v>
      </c>
      <c r="AU76" s="21">
        <f t="shared" ca="1" si="122"/>
        <v>0</v>
      </c>
      <c r="AV76" s="21" t="str">
        <f t="shared" ca="1" si="123"/>
        <v>0:</v>
      </c>
      <c r="AW76" s="21" t="str">
        <f t="shared" ca="1" si="124"/>
        <v>0:</v>
      </c>
      <c r="AX76" s="21" t="str">
        <f t="shared" ca="1" si="125"/>
        <v>0:</v>
      </c>
      <c r="AY76" s="21" t="str">
        <f t="shared" ca="1" si="126"/>
        <v>0:</v>
      </c>
      <c r="AZ76" s="21" t="str">
        <f t="shared" ca="1" si="127"/>
        <v>0:</v>
      </c>
      <c r="BA76" s="21">
        <f t="shared" ca="1" si="128"/>
        <v>0</v>
      </c>
      <c r="BB76" s="21">
        <f t="shared" ca="1" si="129"/>
        <v>0</v>
      </c>
      <c r="BC76" s="21">
        <f t="shared" ca="1" si="130"/>
        <v>0</v>
      </c>
      <c r="BD76" s="21">
        <f t="shared" ca="1" si="131"/>
        <v>0</v>
      </c>
      <c r="BE76" s="21">
        <f t="shared" ca="1" si="132"/>
        <v>0</v>
      </c>
      <c r="BF76" s="21">
        <f t="shared" ca="1" si="93"/>
        <v>0</v>
      </c>
      <c r="BG76" s="21" t="str">
        <f ca="1">IFERROR(VLOOKUP($BF76,Definitions!$V:$W,COLUMNS(Definitions!$V:$W),TRUE),"")</f>
        <v>Basic</v>
      </c>
      <c r="BH76" s="21" t="str">
        <f ca="1">_xlfn.LET(_xlpm._comments,GetValues($K76,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6" s="21" t="str" cm="1">
        <f t="array" ca="1" aca="1" ref="BI76">_xlfn.LET(_xlpm._rapRange,Definitions!$W:$W,_xlpm._calculatedRAP,$BG76,_xlpm._inlineRAP,$BH76,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6" s="21" t="str">
        <f ca="1">IFERROR(IF(OR($V76="",$BI76=""),Definitions!$AE$4,VLOOKUP($V76,Definitions!$AH:$AM,MATCH($BI76,Definitions!$AH$3:$AM$3,0),FALSE)),"")</f>
        <v>No Risk</v>
      </c>
      <c r="BK76" s="21" cm="1">
        <f t="array" ca="1" aca="1" ref="BK76">IF($BJ76="",0,SimpleLookup($BJ76,Definitions!$AE:$AF))</f>
        <v>0</v>
      </c>
      <c r="BL76" s="21" t="str" cm="1">
        <f t="array" ca="1" aca="1" ref="BL76">IFERROR(SimpleLookup($A76,Tracing!$B:$Z),"")</f>
        <v/>
      </c>
      <c r="BM76" s="21" t="str" cm="1">
        <f t="array" ca="1" aca="1" ref="BM76">_xlfn.LET(_xlpm._dm,SanitizeInput(GetValuesWithFallback(SanitizeInput($BL76),Assumptions!$A:$I,Countermeasures!$A:$I,"",",",FALSE)),IF(_xlpm._dm="","",","&amp;_xlpm._dm))</f>
        <v/>
      </c>
      <c r="BN76" s="21" t="str" cm="1">
        <f t="array" ca="1" aca="1" ref="BN76">ApplyDamageMitigation($M76,$BM76,"")</f>
        <v/>
      </c>
      <c r="BO76" s="21" cm="1">
        <f t="array" ca="1" aca="1" ref="BO76">CalculateMaxFromList($BN76,0,'Damage Scenarios'!$A:$U)</f>
        <v>0</v>
      </c>
      <c r="BP76" s="21" t="str">
        <f ca="1">IF($BO76=0,"",INDEX(Definitions!$Q:$Q,MATCH($BO76,Definitions!$R:$R,0)))</f>
        <v/>
      </c>
      <c r="BQ76" s="21" t="str" cm="1">
        <f t="array" ca="1" aca="1" ref="BQ76">CalculateMaxAndElementsWithFallback(SanitizeInput($BL76),0,"",Countermeasures!$A:Y,Assumptions!$A:Z)</f>
        <v>0:</v>
      </c>
      <c r="BR76" s="21" t="str" cm="1">
        <f t="array" ca="1" aca="1" ref="BR76">CalculateMaxAndElementsWithFallback(SanitizeInput($BL76),0,"",Countermeasures!$A:Z,Assumptions!$A:AA)</f>
        <v>0:</v>
      </c>
      <c r="BS76" s="21" t="str" cm="1">
        <f t="array" ca="1" aca="1" ref="BS76">CalculateMaxAndElementsWithFallback(SanitizeInput($BL76),0,"",Countermeasures!$A:AA,Assumptions!$A:AB)</f>
        <v>0:</v>
      </c>
      <c r="BT76" s="21" t="str" cm="1">
        <f t="array" ca="1" aca="1" ref="BT76">CalculateMaxAndElementsWithFallback(SanitizeInput($BL76),0,"",Countermeasures!$A:AB,Assumptions!$A:AC)</f>
        <v>0:</v>
      </c>
      <c r="BU76" s="21" t="str" cm="1">
        <f t="array" ca="1" aca="1" ref="BU76">CalculateMaxAndElementsWithFallback(SanitizeInput($BL76),0,"",Countermeasures!$A:AC,Assumptions!$A:AD)</f>
        <v>0:</v>
      </c>
      <c r="BV76" s="21">
        <f t="shared" ca="1" si="95"/>
        <v>0</v>
      </c>
      <c r="BW76" s="21">
        <f t="shared" ca="1" si="96"/>
        <v>0</v>
      </c>
      <c r="BX76" s="21">
        <f t="shared" ca="1" si="97"/>
        <v>0</v>
      </c>
      <c r="BY76" s="21">
        <f t="shared" ca="1" si="98"/>
        <v>0</v>
      </c>
      <c r="BZ76" s="21">
        <f t="shared" ca="1" si="99"/>
        <v>0</v>
      </c>
      <c r="CA76" s="21" t="str">
        <f t="shared" ca="1" si="100"/>
        <v>0:</v>
      </c>
      <c r="CB76" s="21" t="str">
        <f t="shared" ca="1" si="101"/>
        <v>0:</v>
      </c>
      <c r="CC76" s="21" t="str">
        <f t="shared" ca="1" si="102"/>
        <v>0:</v>
      </c>
      <c r="CD76" s="21" t="str">
        <f t="shared" ca="1" si="103"/>
        <v>0:</v>
      </c>
      <c r="CE76" s="21" t="str">
        <f t="shared" ca="1" si="104"/>
        <v>0:</v>
      </c>
      <c r="CF76" s="21">
        <f t="shared" ca="1" si="105"/>
        <v>0</v>
      </c>
      <c r="CG76" s="21">
        <f t="shared" ca="1" si="106"/>
        <v>0</v>
      </c>
      <c r="CH76" s="21">
        <f t="shared" ca="1" si="107"/>
        <v>0</v>
      </c>
      <c r="CI76" s="21">
        <f t="shared" ca="1" si="108"/>
        <v>0</v>
      </c>
      <c r="CJ76" s="21">
        <f t="shared" ca="1" si="109"/>
        <v>0</v>
      </c>
      <c r="CK76" s="21">
        <f t="shared" ca="1" si="94"/>
        <v>0</v>
      </c>
      <c r="CL76" s="21" t="str">
        <f ca="1">IFERROR(VLOOKUP($CK76,Definitions!$V:$W,COLUMNS(Definitions!$V:$W),TRUE),"")</f>
        <v>Basic</v>
      </c>
      <c r="CM76" s="21" t="str">
        <f ca="1">_xlfn.LET(_xlpm._comments,SimpleLookup($A76,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6" s="21" t="str" cm="1">
        <f t="array" ca="1" aca="1" ref="CN76">_xlfn.LET(_xlpm._rapRange,Definitions!$W:$W,_xlpm._calculatedRAP,$CL76,_xlpm._inlineRAP,$CM76,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6" s="21" t="str">
        <f ca="1">IFERROR(IF(OR($BP76="",$CN76=""),Definitions!$AE$4,VLOOKUP($BP76,Definitions!$AH:$AM,MATCH($CN76,Definitions!$AH$3:$AM$3,0),FALSE)),"")</f>
        <v>No Risk</v>
      </c>
      <c r="CP76" s="21" cm="1">
        <f t="array" ca="1" aca="1" ref="CP76">IF($CO76="",0,SimpleLookup($CO76,Definitions!$AE:$AF))</f>
        <v>0</v>
      </c>
      <c r="CQ76" s="21" t="b">
        <f ca="1">OR(AND($S76,$I76=Helper!$B$7),$I76&gt;Helper!$B$7)</f>
        <v>1</v>
      </c>
      <c r="CR76" s="21" t="str">
        <f t="shared" ca="1" si="133"/>
        <v/>
      </c>
      <c r="CS76" s="21" cm="1">
        <f t="array" ca="1" aca="1" ref="CS76">CreateID($CS$2,$CV:$CV,$CR76&lt;&gt;"")</f>
        <v>0</v>
      </c>
      <c r="CT76" s="21" t="str">
        <f ca="1">IF(IFERROR(MATCH(","&amp;A76&amp;",",'Risk Treatment'!$AT:$AT,0)&gt;0,FALSE),"",$A76)</f>
        <v/>
      </c>
      <c r="CU76" s="21" cm="1">
        <f t="array" ca="1" aca="1" ref="CU76">CreateID($CU$2,$CU:$CU,$CT76&lt;&gt;"")</f>
        <v>38</v>
      </c>
    </row>
    <row r="77" spans="1:99" ht="15">
      <c r="A77" s="33" t="str" cm="1">
        <f t="array" ca="1" aca="1" ref="A77">IF($B77="","","R"&amp;RemoveDelimiter(SUBSTITUTE(SUBSTITUTE($K77,"AS",""),",","-"),"-"))</f>
        <v/>
      </c>
      <c r="B77" s="33" t="str" cm="1">
        <f t="array" ca="1" aca="1" ref="B77">IF($L77="","",_xlfn.LET(_xlpm._finalAttackStep,$L77,_xlpm._prepAttacks,RemoveFirstElement(_xlpm._finalAttackStep&amp;","&amp;$K77),_xlpm._prepAttackNames,IFERROR(LookupNames(_xlpm._prepAttacks,'Attack Steps'!$A:$B),""),_xlpm._delimiter,REPT(CHAR(150),55),$L77&amp;" "&amp;SimpleLookup($L77,'Attack Steps'!$A:$B)&amp;IF(_xlpm._prepAttackNames="","",CHAR(10)&amp;_xlpm._delimiter&amp;CHAR(10)&amp;_xlpm._prepAttackNames)))</f>
        <v/>
      </c>
      <c r="C77" s="34" t="str" cm="1">
        <f t="array" ca="1" aca="1" ref="C77">IFERROR(LookupNames($M77,'Damage Scenarios'!$A:$V),"")</f>
        <v/>
      </c>
      <c r="D77" s="33" t="str">
        <f ca="1">IFERROR(IF($T77=0,"",INDEX(Definitions!$Q:$Q,MATCH($T77,Definitions!$R:$R,0))),"")</f>
        <v/>
      </c>
      <c r="E77" s="34" t="str" cm="1">
        <f t="array" ca="1" aca="1" ref="E77">IF($A77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A77,$A:W,Definitions!$Y:$Y,Definitions!$AB:$AB,1)&amp;CHAR(10)&amp;_xlpm._factorFunction($A77,$A:X,Definitions!$Y:$Y,Definitions!$AB:$AB,2)&amp;CHAR(10)&amp;_xlpm._factorFunction($A77,$A:Y,Definitions!$Y:$Y,Definitions!$AB:$AB,3)&amp;CHAR(10)&amp;_xlpm._factorFunction($A77,$A:Z,Definitions!$Y:$Y,Definitions!$AB:$AB,4)&amp;CHAR(10)&amp;_xlpm._factorFunction($A77,$A:AA,Definitions!$Y:$Y,Definitions!$AB:$AB,5)))</f>
        <v/>
      </c>
      <c r="F77" s="33" t="str">
        <f ca="1">IF($A77="","",IFERROR(VLOOKUP($AG77,Definitions!$V:$W,COLUMNS(Definitions!$V:$W),TRUE),""))</f>
        <v/>
      </c>
      <c r="G77" s="33" t="str">
        <f ca="1">IFERROR(IF(OR($D77="",$F77=""),"",VLOOKUP($D77,Definitions!$AH:$AM,MATCH($F77,Definitions!$AH$3:$AM$3,0),FALSE)),"")</f>
        <v/>
      </c>
      <c r="H77" s="23" cm="1">
        <f t="array" ca="1" aca="1" ref="H77">IF(ROW()=ROW($H$2)+1,0,INDEX($H:$H,ROW()-1))+IF($A77="",0,1)</f>
        <v>38</v>
      </c>
      <c r="I77" s="21" cm="1">
        <f t="array" ca="1" aca="1" ref="I77">IF(ROW()=ROW($I$2)+1,1,INDEX($I:$I,ROW()-1)+IF(INDEX($S:$S,ROW()-1),1,0))</f>
        <v>16</v>
      </c>
      <c r="J77" s="21">
        <f t="shared" ca="1" si="91"/>
        <v>37</v>
      </c>
      <c r="K77" s="21" t="str">
        <f t="shared" ca="1" si="110"/>
        <v/>
      </c>
      <c r="L77" s="21" t="str" cm="1">
        <f t="array" ca="1" aca="1" ref="L77">IF($P77="","",INDEX('Attack Steps'!$A:$A,$P77))</f>
        <v/>
      </c>
      <c r="M77" s="21" t="str" cm="1">
        <f t="array" ca="1" aca="1" ref="M77">IF($P77="","",INDEX('Attack Steps'!$T:$T,$P77))</f>
        <v/>
      </c>
      <c r="N77" s="21" t="str" cm="1">
        <f t="array" ca="1" aca="1" ref="N77">_xlfn.LET(_xlpm._dm,SanitizeInput(GetValuesWithFallback(SanitizeInput($AK77),Assumptions!$A:$I,Countermeasures!$A:$I,"",",",FALSE)),IF(_xlpm._dm="","",","&amp;_xlpm._dm))</f>
        <v/>
      </c>
      <c r="O77" s="21" t="str" cm="1">
        <f t="array" ca="1" aca="1" ref="O77">ApplyDamageMitigation($M77,$N77,"")</f>
        <v/>
      </c>
      <c r="P77" s="21" t="str">
        <f ca="1">IFERROR(MATCH($I77,'Attack Steps'!$V:$V,0),"")</f>
        <v/>
      </c>
      <c r="Q77" s="21" t="str" cm="1">
        <f t="array" ca="1" aca="1" ref="Q77">IF($P77="","","§"&amp;INDEX('Attack Steps'!$S:$S,$P77))</f>
        <v/>
      </c>
      <c r="R77" s="21" t="str" cm="1">
        <f t="array" ca="1" aca="1" ref="R77">IF($P77="","",INDEX('Attack Steps'!$W:$W,$P77))</f>
        <v/>
      </c>
      <c r="S77" s="21" t="b">
        <f t="shared" ca="1" si="111"/>
        <v>0</v>
      </c>
      <c r="T77" s="21" cm="1">
        <f t="array" ca="1" aca="1" ref="T77">_xlfn.LAMBDA(_xlpm._in,_xlpm._val,_xlpm._range,IF(_xlpm._in="",_xlpm._val,_xlfn.LET(_xlpm._id,LEFT(_xlpm._in,FIND(",",_xlpm._in)-1),CalculateMaxFromList(RemoveFirstElement(_xlpm._in),MAX(_xlpm._val,VLOOKUP(_xlpm._id,_xlpm._range,COLUMNS(_xlpm._range),FALSE)),_xlpm._range))))($M77,0,'Damage Scenarios'!$A:$U)</f>
        <v>0</v>
      </c>
      <c r="U77" s="21" cm="1">
        <f t="array" ca="1" aca="1" ref="U77">CalculateMaxFromList($O77,0,'Damage Scenarios'!$A:$U)</f>
        <v>0</v>
      </c>
      <c r="V77" s="21" t="str">
        <f ca="1">IF($U77=0,"",INDEX(Definitions!$Q:$Q,MATCH($U77,Definitions!$R:$R,0)))</f>
        <v/>
      </c>
      <c r="W77" s="21" t="str" cm="1">
        <f t="array" ca="1" aca="1" ref="W77">CalculateMaxAndElements($K77,0,"",'Attack Steps'!$A:X)</f>
        <v>0:</v>
      </c>
      <c r="X77" s="21" t="str" cm="1">
        <f t="array" ca="1" aca="1" ref="X77">CalculateMaxAndElements($K77,0,"",'Attack Steps'!$A:Y)</f>
        <v>0:</v>
      </c>
      <c r="Y77" s="21" t="str" cm="1">
        <f t="array" ca="1" aca="1" ref="Y77">CalculateMaxAndElements($K77,0,"",'Attack Steps'!$A:Z)</f>
        <v>0:</v>
      </c>
      <c r="Z77" s="21" t="str" cm="1">
        <f t="array" ca="1" aca="1" ref="Z77">CalculateMaxAndElements($K77,0,"",'Attack Steps'!$A:AA)</f>
        <v>0:</v>
      </c>
      <c r="AA77" s="21" t="str" cm="1">
        <f t="array" ca="1" aca="1" ref="AA77">CalculateMaxAndElements($K77,0,"",'Attack Steps'!$A:AB)</f>
        <v>0:</v>
      </c>
      <c r="AB77" s="21">
        <f t="shared" ca="1" si="112"/>
        <v>0</v>
      </c>
      <c r="AC77" s="21">
        <f t="shared" ca="1" si="113"/>
        <v>0</v>
      </c>
      <c r="AD77" s="21">
        <f t="shared" ca="1" si="114"/>
        <v>0</v>
      </c>
      <c r="AE77" s="21">
        <f t="shared" ca="1" si="115"/>
        <v>0</v>
      </c>
      <c r="AF77" s="21">
        <f t="shared" ca="1" si="116"/>
        <v>0</v>
      </c>
      <c r="AG77" s="21">
        <f t="shared" ca="1" si="92"/>
        <v>0</v>
      </c>
      <c r="AH77" s="21" t="str" cm="1">
        <f t="array" ca="1" aca="1" ref="AH77">IF(ROW()=ROW($AH$2)+1,"",INDEX($AH:$AH,ROW()-1))&amp;IF($A77="","",$A77&amp;",")</f>
        <v>R1-3,R2-3,R1-4,R2-4,R1-6,R2-6,R1-7,R2-7,R1-3-10,R2-3-10,R1-3-11,R2-3-11,R1-14,R1-16,R2-16,R21-23,R22-23,R1-29,R2-29,R31,R1-3-32,R2-3-32,R1-5-32,R2-5-32,R1-7-32,R2-7-32,R1-16-32,R2-16-32,R21-23-32,R22-23-32,R21-24-32,R22-24-32,R1-29-32,R2-29-32,R37,R38,R1-40,R2-40,</v>
      </c>
      <c r="AI77" s="21" t="str">
        <f t="shared" ca="1" si="117"/>
        <v/>
      </c>
      <c r="AJ77" s="21" cm="1">
        <f t="array" ca="1" aca="1" ref="AJ77">IF($G77="",0,SimpleLookup($G77,Definitions!$AE:$AF))</f>
        <v>0</v>
      </c>
      <c r="AK77" s="21" t="str" cm="1">
        <f t="array" ca="1" aca="1" ref="AK77">InverseLookup($A77,Mitigation!$U$2,Mitigation!$J$2,1,Helper!$B$5,",")</f>
        <v/>
      </c>
      <c r="AL77" s="21" t="str" cm="1">
        <f t="array" ca="1" aca="1" ref="AL77">CalculateMaxAndElementsWithFallback(SanitizeInput($AK77),0,"",Countermeasures!$A:Y,Assumptions!$A:Z)</f>
        <v>0:</v>
      </c>
      <c r="AM77" s="21" t="str" cm="1">
        <f t="array" ca="1" aca="1" ref="AM77">CalculateMaxAndElementsWithFallback(SanitizeInput($AK77),0,"",Countermeasures!$A:Z,Assumptions!$A:AA)</f>
        <v>0:</v>
      </c>
      <c r="AN77" s="21" t="str" cm="1">
        <f t="array" ca="1" aca="1" ref="AN77">CalculateMaxAndElementsWithFallback(SanitizeInput($AK77),0,"",Countermeasures!$A:AA,Assumptions!$A:AB)</f>
        <v>0:</v>
      </c>
      <c r="AO77" s="21" t="str" cm="1">
        <f t="array" ca="1" aca="1" ref="AO77">CalculateMaxAndElementsWithFallback(SanitizeInput($AK77),0,"",Countermeasures!$A:AB,Assumptions!$A:AC)</f>
        <v>0:</v>
      </c>
      <c r="AP77" s="21" t="str" cm="1">
        <f t="array" ca="1" aca="1" ref="AP77">CalculateMaxAndElementsWithFallback(SanitizeInput($AK77),0,"",Countermeasures!$A:AC,Assumptions!$A:AD)</f>
        <v>0:</v>
      </c>
      <c r="AQ77" s="21">
        <f t="shared" ca="1" si="118"/>
        <v>0</v>
      </c>
      <c r="AR77" s="21">
        <f t="shared" ca="1" si="119"/>
        <v>0</v>
      </c>
      <c r="AS77" s="21">
        <f t="shared" ca="1" si="120"/>
        <v>0</v>
      </c>
      <c r="AT77" s="21">
        <f t="shared" ca="1" si="121"/>
        <v>0</v>
      </c>
      <c r="AU77" s="21">
        <f t="shared" ca="1" si="122"/>
        <v>0</v>
      </c>
      <c r="AV77" s="21" t="str">
        <f t="shared" ca="1" si="123"/>
        <v>0:</v>
      </c>
      <c r="AW77" s="21" t="str">
        <f t="shared" ca="1" si="124"/>
        <v>0:</v>
      </c>
      <c r="AX77" s="21" t="str">
        <f t="shared" ca="1" si="125"/>
        <v>0:</v>
      </c>
      <c r="AY77" s="21" t="str">
        <f t="shared" ca="1" si="126"/>
        <v>0:</v>
      </c>
      <c r="AZ77" s="21" t="str">
        <f t="shared" ca="1" si="127"/>
        <v>0:</v>
      </c>
      <c r="BA77" s="21">
        <f t="shared" ca="1" si="128"/>
        <v>0</v>
      </c>
      <c r="BB77" s="21">
        <f t="shared" ca="1" si="129"/>
        <v>0</v>
      </c>
      <c r="BC77" s="21">
        <f t="shared" ca="1" si="130"/>
        <v>0</v>
      </c>
      <c r="BD77" s="21">
        <f t="shared" ca="1" si="131"/>
        <v>0</v>
      </c>
      <c r="BE77" s="21">
        <f t="shared" ca="1" si="132"/>
        <v>0</v>
      </c>
      <c r="BF77" s="21">
        <f t="shared" ca="1" si="93"/>
        <v>0</v>
      </c>
      <c r="BG77" s="21" t="str">
        <f ca="1">IFERROR(VLOOKUP($BF77,Definitions!$V:$W,COLUMNS(Definitions!$V:$W),TRUE),"")</f>
        <v>Basic</v>
      </c>
      <c r="BH77" s="21" t="str">
        <f ca="1">_xlfn.LET(_xlpm._comments,GetValues($K77,Mitigation!$A:$O,"","",FALSE),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BI77" s="21" t="str" cm="1">
        <f t="array" ca="1" aca="1" ref="BI77">_xlfn.LET(_xlpm._rapRange,Definitions!$W:$W,_xlpm._calculatedRAP,$BG77,_xlpm._inlineRAP,$BH77,_xlpm._calculatedRAPValue,IF(_xlpm._calculatedRAP="",0,MATCH(_xlpm._calculatedRAP,_xlpm._rapRange,0)),_xlpm._inlineRAPValue,IF(_xlpm._inlineRAP="",0,MATCH(_xlpm._inlineRAP,_xlpm._rapRange,0)),_xlpm._maxRAP,MAX(_xlpm._calculatedRAPValue,_xlpm._inlineRAPValue),IF(_xlpm._maxRAP=0,"",INDEX(_xlpm._rapRange,_xlpm._maxRAP)))</f>
        <v>Basic</v>
      </c>
      <c r="BJ77" s="21" t="str">
        <f ca="1">IFERROR(IF(OR($V77="",$BI77=""),Definitions!$AE$4,VLOOKUP($V77,Definitions!$AH:$AM,MATCH($BI77,Definitions!$AH$3:$AM$3,0),FALSE)),"")</f>
        <v>No Risk</v>
      </c>
      <c r="BK77" s="21" cm="1">
        <f t="array" ca="1" aca="1" ref="BK77">IF($BJ77="",0,SimpleLookup($BJ77,Definitions!$AE:$AF))</f>
        <v>0</v>
      </c>
      <c r="BL77" s="21" t="str" cm="1">
        <f t="array" ca="1" aca="1" ref="BL77">IFERROR(SimpleLookup($A77,Tracing!$B:$Z),"")</f>
        <v/>
      </c>
      <c r="BM77" s="21" t="str" cm="1">
        <f t="array" ca="1" aca="1" ref="BM77">_xlfn.LET(_xlpm._dm,SanitizeInput(GetValuesWithFallback(SanitizeInput($BL77),Assumptions!$A:$I,Countermeasures!$A:$I,"",",",FALSE)),IF(_xlpm._dm="","",","&amp;_xlpm._dm))</f>
        <v/>
      </c>
      <c r="BN77" s="21" t="str" cm="1">
        <f t="array" ca="1" aca="1" ref="BN77">ApplyDamageMitigation($M77,$BM77,"")</f>
        <v/>
      </c>
      <c r="BO77" s="21" cm="1">
        <f t="array" ca="1" aca="1" ref="BO77">CalculateMaxFromList($BN77,0,'Damage Scenarios'!$A:$U)</f>
        <v>0</v>
      </c>
      <c r="BP77" s="21" t="str">
        <f ca="1">IF($BO77=0,"",INDEX(Definitions!$Q:$Q,MATCH($BO77,Definitions!$R:$R,0)))</f>
        <v/>
      </c>
      <c r="BQ77" s="21" t="str" cm="1">
        <f t="array" ca="1" aca="1" ref="BQ77">CalculateMaxAndElementsWithFallback(SanitizeInput($BL77),0,"",Countermeasures!$A:Y,Assumptions!$A:Z)</f>
        <v>0:</v>
      </c>
      <c r="BR77" s="21" t="str" cm="1">
        <f t="array" ca="1" aca="1" ref="BR77">CalculateMaxAndElementsWithFallback(SanitizeInput($BL77),0,"",Countermeasures!$A:Z,Assumptions!$A:AA)</f>
        <v>0:</v>
      </c>
      <c r="BS77" s="21" t="str" cm="1">
        <f t="array" ca="1" aca="1" ref="BS77">CalculateMaxAndElementsWithFallback(SanitizeInput($BL77),0,"",Countermeasures!$A:AA,Assumptions!$A:AB)</f>
        <v>0:</v>
      </c>
      <c r="BT77" s="21" t="str" cm="1">
        <f t="array" ca="1" aca="1" ref="BT77">CalculateMaxAndElementsWithFallback(SanitizeInput($BL77),0,"",Countermeasures!$A:AB,Assumptions!$A:AC)</f>
        <v>0:</v>
      </c>
      <c r="BU77" s="21" t="str" cm="1">
        <f t="array" ca="1" aca="1" ref="BU77">CalculateMaxAndElementsWithFallback(SanitizeInput($BL77),0,"",Countermeasures!$A:AC,Assumptions!$A:AD)</f>
        <v>0:</v>
      </c>
      <c r="BV77" s="21">
        <f t="shared" ca="1" si="95"/>
        <v>0</v>
      </c>
      <c r="BW77" s="21">
        <f t="shared" ca="1" si="96"/>
        <v>0</v>
      </c>
      <c r="BX77" s="21">
        <f t="shared" ca="1" si="97"/>
        <v>0</v>
      </c>
      <c r="BY77" s="21">
        <f t="shared" ca="1" si="98"/>
        <v>0</v>
      </c>
      <c r="BZ77" s="21">
        <f t="shared" ca="1" si="99"/>
        <v>0</v>
      </c>
      <c r="CA77" s="21" t="str">
        <f t="shared" ca="1" si="100"/>
        <v>0:</v>
      </c>
      <c r="CB77" s="21" t="str">
        <f t="shared" ca="1" si="101"/>
        <v>0:</v>
      </c>
      <c r="CC77" s="21" t="str">
        <f t="shared" ca="1" si="102"/>
        <v>0:</v>
      </c>
      <c r="CD77" s="21" t="str">
        <f t="shared" ca="1" si="103"/>
        <v>0:</v>
      </c>
      <c r="CE77" s="21" t="str">
        <f t="shared" ca="1" si="104"/>
        <v>0:</v>
      </c>
      <c r="CF77" s="21">
        <f t="shared" ca="1" si="105"/>
        <v>0</v>
      </c>
      <c r="CG77" s="21">
        <f t="shared" ca="1" si="106"/>
        <v>0</v>
      </c>
      <c r="CH77" s="21">
        <f t="shared" ca="1" si="107"/>
        <v>0</v>
      </c>
      <c r="CI77" s="21">
        <f t="shared" ca="1" si="108"/>
        <v>0</v>
      </c>
      <c r="CJ77" s="21">
        <f t="shared" ca="1" si="109"/>
        <v>0</v>
      </c>
      <c r="CK77" s="21">
        <f t="shared" ca="1" si="94"/>
        <v>0</v>
      </c>
      <c r="CL77" s="21" t="str">
        <f ca="1">IFERROR(VLOOKUP($CK77,Definitions!$V:$W,COLUMNS(Definitions!$V:$W),TRUE),"")</f>
        <v>Basic</v>
      </c>
      <c r="CM77" s="21" t="str">
        <f ca="1">_xlfn.LET(_xlpm._comments,SimpleLookup($A77,Tracing!$B:$AB),_xlpm._attackPotentialHeader,Definitions!$W$3,_xlpm._attackPotentialColumn,Definitions!$W:$W,_xlpm._attackPotentialsRange,OFFSET(_xlpm._attackPotentialHeader,1,0,COUNTA(_xlpm._attackPotentialColumn),1),_xlpm._parsedAttackPotentialA,ParseAttackPotentialFromComment(_xlpm._comments,Definitions!$AR$6,Definitions!$AS$4,_xlpm._attackPotentialsRange,0),_xlpm._parsedAttackPotentialC,ParseAttackPotentialFromComment(_xlpm._comments,Definitions!$AR$6,Definitions!$AS$5,_xlpm._attackPotentialsRange,0),_xlpm._parsedAttackPotentialValue,MAX(_xlpm._parsedAttackPotentialA,_xlpm._parsedAttackPotentialC),IF(_xlpm._parsedAttackPotentialValue=0,"",OFFSET(_xlpm._attackPotentialHeader,_xlpm._parsedAttackPotentialValue,0)))</f>
        <v/>
      </c>
      <c r="CN77" s="21" t="str" cm="1">
        <f t="array" ca="1" aca="1" ref="CN77">_xlfn.LET(_xlpm._rapRange,Definitions!$W:$W,_xlpm._calculatedRAP,$CL77,_xlpm._inlineRAP,$CM77,_xlpm._calculatedRAPValue,IF(_xlpm._calculatedRAP="",0,MATCH(_xlpm._calculatedRAP,_xlpm._rapRange,0)),_xlpm._inlineRAPValue,IF(_xlpm._inlineRAP="",0,MATCH(_xlpm._inlineRAP,_xlpm._rapRange,0)),_xlpm._maxRAP,MAX(_xlpm._calculatedRAPValue,_xlpm._inlineRAPValue),IF(_xlpm._maxRAP=0,"",INDEX(_xlpm._rapRange,_xlpm._maxRAP)))</f>
        <v>Basic</v>
      </c>
      <c r="CO77" s="21" t="str">
        <f ca="1">IFERROR(IF(OR($BP77="",$CN77=""),Definitions!$AE$4,VLOOKUP($BP77,Definitions!$AH:$AM,MATCH($CN77,Definitions!$AH$3:$AM$3,0),FALSE)),"")</f>
        <v>No Risk</v>
      </c>
      <c r="CP77" s="21" cm="1">
        <f t="array" ca="1" aca="1" ref="CP77">IF($CO77="",0,SimpleLookup($CO77,Definitions!$AE:$AF))</f>
        <v>0</v>
      </c>
      <c r="CQ77" s="21" t="b">
        <f ca="1">OR(AND($S77,$I77=Helper!$B$7),$I77&gt;Helper!$B$7)</f>
        <v>1</v>
      </c>
      <c r="CR77" s="21" t="str">
        <f t="shared" ca="1" si="133"/>
        <v/>
      </c>
      <c r="CS77" s="21" cm="1">
        <f t="array" ca="1" aca="1" ref="CS77">CreateID($CS$2,$CV:$CV,$CR77&lt;&gt;"")</f>
        <v>0</v>
      </c>
      <c r="CT77" s="21" t="str">
        <f ca="1">IF(IFERROR(MATCH(","&amp;A77&amp;",",'Risk Treatment'!$AT:$AT,0)&gt;0,FALSE),"",$A77)</f>
        <v/>
      </c>
      <c r="CU77" s="21" cm="1">
        <f t="array" ca="1" aca="1" ref="CU77">CreateID($CU$2,$CU:$CU,$CT77&lt;&gt;"")</f>
        <v>38</v>
      </c>
    </row>
  </sheetData>
  <sheetProtection password="E833" sheet="1" objects="1" scenarios="1"/>
  <conditionalFormatting sqref="A1:G1048576">
    <cfRule type="expression" priority="428" dxfId="42">
      <formula>AND($CQ1="",$CR1=FALSE,$CR1&lt;&gt;"")</formula>
    </cfRule>
  </conditionalFormatting>
  <conditionalFormatting sqref="A1:G1048576">
    <cfRule type="expression" priority="429" dxfId="41">
      <formula>AND(ROW(A1)&gt;ROW(A$2),$A1="",ROW(A1)-ROW(A$2)&lt;=Helper!$B$13)</formula>
    </cfRule>
  </conditionalFormatting>
  <conditionalFormatting sqref="G1:G1048576">
    <cfRule type="expression" priority="378" dxfId="690">
      <formula>$G1=Definitions!$AE$4</formula>
    </cfRule>
    <cfRule type="expression" priority="379" dxfId="691">
      <formula>$G1=Definitions!$AE$5</formula>
    </cfRule>
    <cfRule type="expression" priority="380" dxfId="692">
      <formula>$G1=Definitions!$AE$6</formula>
    </cfRule>
    <cfRule type="expression" priority="381" dxfId="693">
      <formula>$G1=Definitions!$AE$7</formula>
    </cfRule>
    <cfRule type="expression" priority="382" dxfId="694">
      <formula>$G1=Definitions!$AE$8</formula>
    </cfRule>
  </conditionalFormatting>
  <pageMargins left="0.7" right="0.7" top="0.75" bottom="0.75" header="0.3" footer="0.3"/>
  <pageSetup orientation="portrait" paperSize="9" r:id="rId2"/>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F00BD4-9312-4775-A47D-90BF49352759}">
  <sheetPr>
    <tabColor theme="1" tint="0.15"/>
  </sheetPr>
  <dimension ref="A1:AN48"/>
  <sheetViews>
    <sheetView windowProtection="1" workbookViewId="0" topLeftCell="A1">
      <pane xSplit="5" ySplit="2" topLeftCell="F39" activePane="bottomRight" state="frozen"/>
      <selection pane="topLeft" activeCell="A1" sqref="A1"/>
      <selection pane="bottomLeft" activeCell="A2" sqref="A2"/>
      <selection pane="topRight" activeCell="F1" sqref="F1"/>
      <selection pane="bottomRight" activeCell="J3" sqref="J3"/>
    </sheetView>
  </sheetViews>
  <sheetFormatPr defaultColWidth="9.14428571428571" defaultRowHeight="15" outlineLevelCol="2"/>
  <cols>
    <col min="1" max="1" width="9.14285714285714" style="8"/>
    <col min="2" max="2" width="30.7142857142857" style="8" customWidth="1"/>
    <col min="3" max="3" width="21.2857142857143" style="8" hidden="1" customWidth="1" outlineLevel="2"/>
    <col min="4" max="4" width="70.7142857142857" style="8" hidden="1" customWidth="1" outlineLevel="1"/>
    <col min="5" max="5" width="15.7142857142857" style="8" customWidth="1" collapsed="1"/>
    <col min="6" max="8" width="15.7142857142857" style="8" customWidth="1" outlineLevel="1"/>
    <col min="9" max="9" width="30.7142857142857" style="8" customWidth="1" outlineLevel="1"/>
    <col min="10" max="10" width="15.7142857142857" style="4" customWidth="1"/>
    <col min="11" max="11" width="30.7142857142857" style="8" customWidth="1"/>
    <col min="12" max="12" width="21.2857142857143" style="4" hidden="1" customWidth="1" outlineLevel="2"/>
    <col min="13" max="13" width="70.7142857142857" style="8" customWidth="1" outlineLevel="1" collapsed="1"/>
    <col min="14" max="14" width="15.7142857142857" style="8" customWidth="1"/>
    <col min="15" max="15" width="40.7142857142857" style="4" customWidth="1"/>
    <col min="16" max="17" width="12.5714285714286" style="2" hidden="1" customWidth="1"/>
    <col min="18" max="18" width="9.14285714285714" style="2" hidden="1" customWidth="1"/>
    <col min="19" max="19" width="24.4285714285714" style="2" hidden="1" customWidth="1"/>
    <col min="20" max="20" width="9.14285714285714" style="2" hidden="1" customWidth="1"/>
    <col min="21" max="21" width="13.5714285714286" style="2" hidden="1" customWidth="1"/>
    <col min="22" max="22" width="9.14285714285714" style="2" hidden="1" customWidth="1"/>
    <col min="23" max="23" width="14.5714285714286" style="2" hidden="1" customWidth="1"/>
    <col min="24" max="24" width="19" style="2" hidden="1" customWidth="1"/>
    <col min="25" max="25" width="19.5714285714286" style="2" hidden="1" customWidth="1"/>
    <col min="26" max="27" width="26.2857142857143" style="2" hidden="1" customWidth="1"/>
    <col min="28" max="29" width="30.7142857142857" style="2" hidden="1" customWidth="1"/>
    <col min="30" max="30" width="22.2857142857143" style="2" hidden="1" customWidth="1"/>
    <col min="31" max="31" width="44.8571428571429" style="2" hidden="1" customWidth="1"/>
    <col min="32" max="32" width="17.4285714285714" style="2" hidden="1" customWidth="1"/>
    <col min="33" max="33" width="23.4285714285714" style="2" hidden="1" customWidth="1"/>
    <col min="34" max="34" width="12.7142857142857" style="2" hidden="1" customWidth="1"/>
    <col min="35" max="35" width="34" style="2" hidden="1" customWidth="1"/>
    <col min="36" max="36" width="32" style="2" hidden="1" customWidth="1"/>
    <col min="37" max="37" width="41.1428571428571" style="2" hidden="1" customWidth="1"/>
    <col min="38" max="38" width="39" style="2" hidden="1" customWidth="1"/>
    <col min="39" max="39" width="16.7142857142857" style="2" hidden="1" customWidth="1"/>
    <col min="40" max="40" width="14.5714285714286" style="2" hidden="1" customWidth="1"/>
    <col min="41" max="16384" width="9.14285714285714" style="2"/>
  </cols>
  <sheetData>
    <row r="1" spans="1:15" s="115" customFormat="1" ht="15">
      <c r="A1" s="114"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A$2,README!$E:$E,README!$I$36,README!$B$36)</f>
        <v>◈</v>
      </c>
      <c r="B1" s="114"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B$2,README!$E:$E,README!$I$36,README!$B$36)</f>
        <v>◈</v>
      </c>
      <c r="C1" s="114"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C$2,README!$E:$E,README!$I$36,README!$B$36)</f>
        <v>◈</v>
      </c>
      <c r="D1" s="114"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D$2,README!$E:$E,README!$I$36,README!$B$36)</f>
        <v>◈</v>
      </c>
      <c r="E1" s="114"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E$2,README!$E:$E,README!$I$36,README!$B$36)</f>
        <v>◈</v>
      </c>
      <c r="F1" s="114"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F$2,README!$E:$E,README!$I$36,README!$B$36)</f>
        <v>◈</v>
      </c>
      <c r="G1" s="114"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G$2,README!$E:$E,README!$I$36,README!$B$36)</f>
        <v>◈</v>
      </c>
      <c r="H1" s="114" t="str" cm="1">
        <f t="array" ca="1" aca="1" ref="H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H$2,README!$E:$E,README!$I$36,README!$B$36)</f>
        <v>◈</v>
      </c>
      <c r="I1" s="114" t="str" cm="1">
        <f t="array" ca="1" aca="1" ref="I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I$2,README!$E:$E,README!$I$36,README!$B$36)</f>
        <v>◈</v>
      </c>
      <c r="J1" s="114" t="str" cm="1">
        <f t="array" ca="1" aca="1" ref="J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J$2,README!$E:$E,README!$I$36,README!$B$36)</f>
        <v>◈</v>
      </c>
      <c r="K1" s="114" t="str" cm="1">
        <f t="array" ca="1" aca="1" ref="K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K$2,README!$E:$E,README!$I$36,README!$B$36)</f>
        <v>◈</v>
      </c>
      <c r="L1" s="114" t="str" cm="1">
        <f t="array" ca="1" aca="1" ref="L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L$2,README!$E:$E,README!$I$36,README!$B$36)</f>
        <v>◈</v>
      </c>
      <c r="M1" s="114" t="str" cm="1">
        <f t="array" ca="1" aca="1" ref="M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M$2,README!$E:$E,README!$I$36,README!$B$36)</f>
        <v>◈</v>
      </c>
      <c r="N1" s="114" t="str" cm="1">
        <f t="array" ca="1" aca="1" ref="N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N$2,README!$E:$E,README!$I$36,README!$B$36)</f>
        <v>◈</v>
      </c>
      <c r="O1" s="114" t="str" cm="1">
        <f t="array" ca="1" aca="1" ref="O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$13,O$2,README!$E:$E,README!$I$36,README!$B$36)</f>
        <v>◈</v>
      </c>
    </row>
    <row r="2" spans="1:40" ht="63.75">
      <c r="A2" s="16" t="s">
        <v>286</v>
      </c>
      <c r="B2" s="16" t="s">
        <v>107</v>
      </c>
      <c r="C2" s="13" t="s">
        <v>1329</v>
      </c>
      <c r="D2" s="16" t="s">
        <v>320</v>
      </c>
      <c r="E2" s="16" t="s">
        <v>287</v>
      </c>
      <c r="F2" s="16" t="s">
        <v>1330</v>
      </c>
      <c r="G2" s="16" t="s">
        <v>934</v>
      </c>
      <c r="H2" s="16" t="s">
        <v>937</v>
      </c>
      <c r="I2" s="16" t="s">
        <v>279</v>
      </c>
      <c r="J2" s="13" t="s">
        <v>280</v>
      </c>
      <c r="K2" s="16" t="s">
        <v>278</v>
      </c>
      <c r="L2" s="13" t="s">
        <v>967</v>
      </c>
      <c r="M2" s="16" t="s">
        <v>319</v>
      </c>
      <c r="N2" s="8" t="s">
        <v>576</v>
      </c>
      <c r="O2" s="13" t="s">
        <v>1282</v>
      </c>
      <c r="P2" s="10" t="s">
        <v>54</v>
      </c>
      <c r="Q2" s="10" t="s">
        <v>230</v>
      </c>
      <c r="R2" s="10" t="s">
        <v>104</v>
      </c>
      <c r="S2" s="10" t="s">
        <v>321</v>
      </c>
      <c r="T2" s="10" t="s">
        <v>290</v>
      </c>
      <c r="U2" s="10" t="s">
        <v>302</v>
      </c>
      <c r="V2" s="10" t="s">
        <v>317</v>
      </c>
      <c r="W2" s="10" t="s">
        <v>318</v>
      </c>
      <c r="X2" s="10" t="s">
        <v>439</v>
      </c>
      <c r="Y2" s="10" t="s">
        <v>556</v>
      </c>
      <c r="Z2" s="10" t="s">
        <v>669</v>
      </c>
      <c r="AA2" s="10" t="s">
        <v>670</v>
      </c>
      <c r="AB2" s="10" t="s">
        <v>688</v>
      </c>
      <c r="AC2" s="10" t="s">
        <v>689</v>
      </c>
      <c r="AD2" s="10" t="s">
        <v>708</v>
      </c>
      <c r="AE2" s="10" t="s">
        <v>1129</v>
      </c>
      <c r="AF2" s="10" t="s">
        <v>1130</v>
      </c>
      <c r="AG2" s="10" t="s">
        <v>1287</v>
      </c>
      <c r="AH2" s="10" t="s">
        <v>1359</v>
      </c>
      <c r="AI2" s="10" t="s">
        <v>1357</v>
      </c>
      <c r="AJ2" s="10" t="s">
        <v>1358</v>
      </c>
      <c r="AK2" s="10" t="s">
        <v>1360</v>
      </c>
      <c r="AL2" s="10" t="s">
        <v>1361</v>
      </c>
      <c r="AM2" s="10" t="s">
        <v>1502</v>
      </c>
      <c r="AN2" s="10" t="s">
        <v>1503</v>
      </c>
    </row>
    <row r="3" spans="1:40" ht="124.5">
      <c r="A3" s="16" t="str" cm="1">
        <f t="array" ref="A3">IF($R3=0,"",INDEX('Attack Steps'!A:A,$R3))</f>
        <v>AS1</v>
      </c>
      <c r="B3" s="16" t="str" cm="1">
        <f t="array" ref="B3">IF($R3=0,"",INDEX('Attack Steps'!B:B,$R3))</f>
        <v>Getting access to a trusted operational environment</v>
      </c>
      <c r="C3" s="13">
        <f>3</f>
        <v>3</v>
      </c>
      <c r="D3" s="19" t="str" cm="1">
        <f t="array" ca="1" aca="1" ref="D3">_xlfn.LET(_xlpm._displayLimit,$C3,_xlpm._risks,$S3,_xlpm._delimiter,CHAR(10)&amp;REPT(_xlfn.UNICHAR(9552),50)&amp;CHAR(10),_xlpm._attackPaths,RemoveDelimiter(GetValues(RIGHT(_xlpm._risks,LEN(_xlpm._risks)-FIND(":",_xlpm._risks)),Risks!$A:$B,"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 AS3 Compromising the product using a software vulnerability
–––––––––––––––––––––––––––––––––––––––––––––––––––––––
AS1 Getting access to a trusted operational environment
══════════════════════════════════════════════════
R1-4 AS4 Interrupting the product with a denial of service attack
–––––––––––––––––––––––––––––––––––––––––––––––––––––––
AS1 Getting access to a trusted operational environment
══════════════════════════════════════════════════
R1-6 AS6 Spoofing / tampering with the product's outgoing communication
–––––––––––––––––––––––––––––––––––––––––––––––––––––––
AS1 Getting access to a trusted operational environment</v>
      </c>
      <c r="E3" s="16" t="str" cm="1">
        <f t="array" ca="1" aca="1" ref="E3">_xlfn.LET(_xlpm._riskValue,CalculateMaxFromList($T3,0,Risks!$A:$AJ),INDEX(Definitions!$AE:$AE,MATCH(_xlpm._riskValue,Definitions!$AF:$AF,0)))</f>
        <v>Very High</v>
      </c>
      <c r="F3" s="16" t="str" cm="1">
        <f t="array" ca="1" aca="1" ref="F3">IF($A3="","",SUBSTITUTE(RemoveDelimiter(SanitizeInput(SimpleLookup($A3,'Attack Steps'!$A:$AE)),","),",",", "))</f>
        <v/>
      </c>
      <c r="G3" s="16" t="str" cm="1">
        <f t="array" ca="1" aca="1" ref="G3">IF($A3="","",SUBSTITUTE(RemoveDelimiter(SanitizeInput(SimpleLookup($A3,'Attack Steps'!$A:$AF)),","),",",", "))</f>
        <v>A12</v>
      </c>
      <c r="H3" s="79" t="str" cm="1">
        <f t="array" ca="1" aca="1" ref="H3">IF($A3="","",_xlfn.LET(_xlpm._proposedActive,SanitizeInput($G3),_xlpm._proposedAll,SimpleLookup($A3,'Attack Steps'!$A:$AG),_xlpm._proposedDiff,FilterElementsFromList(_xlpm._proposedAll,_xlpm._proposedActive,FALSE,","),SUBSTITUTE(RemoveDelimiter(SanitizeInput(_xlpm._proposedDiff),","),",",", ")))</f>
        <v/>
      </c>
      <c r="I3" s="16" t="str" cm="1">
        <f t="array" ca="1" aca="1" ref="I3">RemoveDelimiter(GetValuesWithFallback(SanitizeInput($F3)&amp;SanitizeInput($G3)&amp;SanitizeInput($H3),Countermeasures!$A:$B,Assumptions!$A:$B," ",","&amp;CHAR(10),TRUE),","&amp;CHAR(10))</f>
        <v>A12 SDR 1.10 – Device operates in trustworthy operational environment</v>
      </c>
      <c r="J3" s="13"/>
      <c r="K3" s="16" t="str" cm="1">
        <f t="array" ref="K3">RemoveDelimiter(GetValuesWithFallback(SanitizeInput($J3),Countermeasures!$A:$B,Assumptions!$A:$B," ",","&amp;CHAR(10),TRUE),","&amp;CHAR(10))</f>
        <v/>
      </c>
      <c r="L3" s="13">
        <f>3</f>
        <v>3</v>
      </c>
      <c r="M3" s="19" t="str" cm="1">
        <f t="array" ca="1" aca="1" ref="M3">_xlfn.LET(_xlpm._displayLimit,$L3,_xlpm._risks,$V3,_xlpm._delimiter,CHAR(10)&amp;REPT(_xlfn.UNICHAR(9552),50)&amp;CHAR(10),_xlpm._attackPaths,RemoveDelimiter(GetValues(RIGHT(_xlpm._risks,LEN(_xlpm._risks)-FIND(":",_xlpm._risks)),Risks!$A:$B,"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 AS3 Compromising the product using a software vulnerability
–––––––––––––––––––––––––––––––––––––––––––––––––––––––
AS1 Getting access to a trusted operational environment
══════════════════════════════════════════════════
R1-4 AS4 Interrupting the product with a denial of service attack
–––––––––––––––––––––––––––––––––––––––––––––––––––––––
AS1 Getting access to a trusted operational environment
══════════════════════════════════════════════════
R1-6 AS6 Spoofing / tampering with the product's outgoing communication
–––––––––––––––––––––––––––––––––––––––––––––––––––––––
AS1 Getting access to a trusted operational environment</v>
      </c>
      <c r="N3" s="16" t="str">
        <f ca="1">INDEX(Definitions!$AE:$AE,MATCH($W3,Definitions!$AF:$AF,0))</f>
        <v>Very High</v>
      </c>
      <c r="O3" s="13"/>
      <c r="P3" s="10" cm="1">
        <f t="array" ref="P3">GenerateShadowID(ROW(),$P$2,$P:$P,0,$A3&lt;&gt;"")</f>
        <v>1</v>
      </c>
      <c r="Q3" s="10" cm="1">
        <f t="array" ref="Q3">CreateTaskID($Q$2,$Q:$Q,Tasks!$B$17,$O3)</f>
        <v>0</v>
      </c>
      <c r="R3" s="10">
        <f>IFERROR(MATCH(ROW()-ROW($R$2),'Attack Steps'!$Q:$Q,0),0)</f>
        <v>3</v>
      </c>
      <c r="S3" s="10" t="str" cm="1">
        <f t="array" ca="1" aca="1" ref="S3">CalculateMaxAndElements($T3,0,"",Risks!$A:$AJ)</f>
        <v>4:R1-3,R1-4,R1-6,R1-7,R1-3-10,R1-3-11,R1-14,R1-16,R1-29,R1-3-32,R1-5-32,R1-7-32,R1-16-32,R1-29-32,R1-40,</v>
      </c>
      <c r="T3" s="10" t="str" cm="1">
        <f t="array" ca="1" aca="1" ref="T3">InverseLookup($A3,Risks!$AI$2,Risks!$A$2,1,Helper!$B$1,",")</f>
        <v>R1-3,R1-4,R1-6,R1-7,R1-3-10,R1-3-11,R1-14,R1-16,R1-29,R1-3-32,R1-5-32,R1-7-32,R1-16-32,R1-29-32,R1-40,</v>
      </c>
      <c r="U3" s="10" t="str">
        <f ca="1" t="shared" si="0" ref="U3:U16">IF($T3="","",","&amp;$T3)</f>
        <v>,R1-3,R1-4,R1-6,R1-7,R1-3-10,R1-3-11,R1-14,R1-16,R1-29,R1-3-32,R1-5-32,R1-7-32,R1-16-32,R1-29-32,R1-40,</v>
      </c>
      <c r="V3" s="10" t="str" cm="1">
        <f t="array" ca="1" aca="1" ref="V3">CalculateMaxAndElements($T3,0,"",Risks!$A:$BK)</f>
        <v>4:R1-3,R1-4,R1-6,R1-7,R1-3-10,R1-3-11,R1-14,R1-16,R1-29,R1-3-32,R1-5-32,R1-7-32,R1-16-32,R1-29-32,R1-40,</v>
      </c>
      <c r="W3" s="21">
        <f ca="1" t="shared" si="1" ref="W3:W16">IF($V3="","",VALUE(LEFT($V3,FIND(":",$V3)-1)))</f>
        <v>4</v>
      </c>
      <c r="X3" s="21" t="str" cm="1">
        <f t="array" ref="X3">IF($J3="","",","&amp;SanitizeInput($J3))</f>
        <v/>
      </c>
      <c r="Y3" s="21" t="b" cm="1">
        <f t="array" ca="1" aca="1" ref="Y3">INDEX('Attack Steps'!$AI:$AI,$R3)</f>
        <v>1</v>
      </c>
      <c r="Z3" s="21" cm="1">
        <f t="array" ref="Z3">CreateID($Z$2,$Z:$Z,IFERROR(FIND(Definitions!$AR$4,$O3)&gt;0,FALSE))</f>
        <v>0</v>
      </c>
      <c r="AA3" s="21">
        <f>_xlfn.LET(_xlpm._comment,$O3,_xlpm._keyWord,Definitions!$AR$4,_xlpm._diffLen,LEN(_xlpm._comment)-LEN(SUBSTITUTE(_xlpm._comment,_xlpm._keyWord,"")),_xlpm._diffLen/LEN(_xlpm._keyWord))</f>
        <v>0</v>
      </c>
      <c r="AB3" s="21" cm="1">
        <f t="array" ref="AB3">CreateID($AB$2,$AB:$AB,IFERROR(FIND(Definitions!$AR$5,$O3)&gt;0,FALSE))</f>
        <v>0</v>
      </c>
      <c r="AC3" s="21">
        <f>_xlfn.LET(_xlpm._comment,$O3,_xlpm._keyWord,Definitions!$AR$5,_xlpm._diffLen,LEN(_xlpm._comment)-LEN(SUBSTITUTE(_xlpm._comment,_xlpm._keyWord,"")),_xlpm._diffLen/LEN(_xlpm._keyWord))</f>
        <v>0</v>
      </c>
      <c r="AD3" s="21" t="str" cm="1">
        <f t="array" ref="AD3">CreateSearchString($J3)</f>
        <v/>
      </c>
      <c r="AE3" s="21" t="str" cm="1">
        <f t="array" ca="1" aca="1" ref="AE3">_xlfn.LET(_xlpm._selected,SanitizeInput($J3),_xlpm._catalogOptions,SanitizeInput($F3)&amp;SanitizeInput($G3)&amp;SanitizeInput($H3),_xlpm._selectedNotInOptions,FilterElementsFromList(_xlpm._selected,_xlpm._catalogOptions,FALSE,","),IF(_xlpm._selectedNotInOptions="","",$A3&amp;" "&amp;$B3&amp;": "&amp;SUBSTITUTE(RemoveDelimiter(_xlpm._selectedNotInOptions,","),",",", ")))</f>
        <v/>
      </c>
      <c r="AF3" s="21" cm="1">
        <f t="array" ca="1" aca="1" ref="AF3">CreateID($AF$2,$AF:$AF,$AE3&lt;&gt;"")</f>
        <v>0</v>
      </c>
      <c r="AG3" s="21" t="str" cm="1">
        <f t="array" ref="AG3">_xlfn.LET(_xlpm._delimiter,","&amp;CHAR(10),_xlpm._assumptions,ParseAllMitigationsFromComment($A3,"-","A",$O3,Definitions!$AR$4,Definitions!$AS$4,Definitions!$AR$6,_xlpm._delimiter,1),_xlpm._countermeasures,ParseAllMitigationsFromComment($A3,"-","C",$O3,Definitions!$AR$5,Definitions!$AS$5,Definitions!$AR$6,_xlpm._delimiter,1),IF(_xlpm._countermeasures="",RemoveDelimiter(_xlpm._assumptions,_xlpm._delimiter),_xlpm._assumptions&amp;RemoveDelimiter(_xlpm._countermeasures,_xlpm._delimiter)))</f>
        <v/>
      </c>
      <c r="AH3" s="21" t="str" cm="1">
        <f t="array" ref="AH3">CreateSearchString(SanitizeInput($J3)&amp;GetValuesIgnoreErrors(SanitizeInput($J3),Countermeasures!$A:$G,"",",",FALSE))</f>
        <v/>
      </c>
      <c r="AI3" s="21" t="str" cm="1">
        <f t="array" ca="1" aca="1" ref="AI3">IF(AND(IFERROR(FIND(","&amp;Countermeasures!$A$30&amp;",",$AH3)&gt;0,FALSE),Countermeasures!$AF$30=TRUE,SimpleLookup(Questions!$A$48,Questionnaire!$A:$C)=Definitions!$A$5),$A3&amp;" "&amp;$B3,"")</f>
        <v/>
      </c>
      <c r="AJ3" s="21" cm="1">
        <f t="array" ca="1" aca="1" ref="AJ3">CreateID($AJ$2,$AJ:$AJ,$AI3&lt;&gt;"")</f>
        <v>0</v>
      </c>
      <c r="AK3" s="21" t="str">
        <f ca="1" t="shared" si="2" ref="AK3:AK41">IF(AND($Y3=FALSE,$J3&lt;&gt;""),$A3&amp;" "&amp;$B3,"")</f>
        <v/>
      </c>
      <c r="AL3" s="21" cm="1">
        <f t="array" ca="1" aca="1" ref="AL3">CreateID($AL$2,$AL:$AL,$AK3&lt;&gt;"")</f>
        <v>0</v>
      </c>
      <c r="AM3" s="21" t="str">
        <f t="shared" si="3" ref="AM3:AM42">IF(IFERROR(FIND("ERROR:",$K3)&gt;0,FALSE),$A3&amp;" "&amp;$B3,"")</f>
        <v/>
      </c>
      <c r="AN3" s="21" cm="1">
        <f t="array" ref="AN3">CreateID($AN$2,$AN:$AN,$AM3&lt;&gt;"")</f>
        <v>0</v>
      </c>
    </row>
    <row r="4" spans="1:40" ht="124.5">
      <c r="A4" s="16" t="str" cm="1">
        <f t="array" ref="A4">IF($R4=0,"",INDEX('Attack Steps'!A:A,$R4))</f>
        <v>AS2</v>
      </c>
      <c r="B4" s="16" t="str" cm="1">
        <f t="array" ref="B4">IF($R4=0,"",INDEX('Attack Steps'!B:B,$R4))</f>
        <v>Getting access to a wireless network</v>
      </c>
      <c r="C4" s="13">
        <f>3</f>
        <v>3</v>
      </c>
      <c r="D4" s="19" t="str" cm="1">
        <f t="array" ca="1" aca="1" ref="D4">_xlfn.LET(_xlpm._displayLimit,$C4,_xlpm._risks,$S4,_xlpm._delimiter,CHAR(10)&amp;REPT(_xlfn.UNICHAR(9552),50)&amp;CHAR(10),_xlpm._attackPaths,RemoveDelimiter(GetValues(RIGHT(_xlpm._risks,LEN(_xlpm._risks)-FIND(":",_xlpm._risks)),Risks!$A:$B,"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R2-3 AS3 Compromising the product using a software vulnerability
–––––––––––––––––––––––––––––––––––––––––––––––––––––––
AS2 Getting access to a wireless network
══════════════════════════════════════════════════
R2-4 AS4 Interrupting the product with a denial of service attack
–––––––––––––––––––––––––––––––––––––––––––––––––––––––
AS2 Getting access to a wireless network
══════════════════════════════════════════════════
R2-6 AS6 Spoofing / tampering with the product's outgoing communication
–––––––––––––––––––––––––––––––––––––––––––––––––––––––
AS2 Getting access to a wireless network</v>
      </c>
      <c r="E4" s="16" t="str" cm="1">
        <f t="array" ca="1" aca="1" ref="E4">_xlfn.LET(_xlpm._riskValue,CalculateMaxFromList($T4,0,Risks!$A:$AJ),INDEX(Definitions!$AE:$AE,MATCH(_xlpm._riskValue,Definitions!$AF:$AF,0)))</f>
        <v>Very High</v>
      </c>
      <c r="F4" s="16" t="str" cm="1">
        <f t="array" ca="1" aca="1" ref="F4">IF($A4="","",SUBSTITUTE(RemoveDelimiter(SanitizeInput(SimpleLookup($A4,'Attack Steps'!$A:$AE)),","),",",", "))</f>
        <v>CM20</v>
      </c>
      <c r="G4" s="16" t="str" cm="1">
        <f t="array" ca="1" aca="1" ref="G4">IF($A4="","",SUBSTITUTE(RemoveDelimiter(SanitizeInput(SimpleLookup($A4,'Attack Steps'!$A:$AF)),","),",",", "))</f>
        <v>A36</v>
      </c>
      <c r="H4" s="79" t="str" cm="1">
        <f t="array" ca="1" aca="1" ref="H4">IF($A4="","",_xlfn.LET(_xlpm._proposedActive,SanitizeInput($G4),_xlpm._proposedAll,SimpleLookup($A4,'Attack Steps'!$A:$AG),_xlpm._proposedDiff,FilterElementsFromList(_xlpm._proposedAll,_xlpm._proposedActive,FALSE,","),SUBSTITUTE(RemoveDelimiter(SanitizeInput(_xlpm._proposedDiff),","),",",", ")))</f>
        <v/>
      </c>
      <c r="I4" s="16" t="str" cm="1">
        <f t="array" ca="1" aca="1" ref="I4">RemoveDelimiter(GetValuesWithFallback(SanitizeInput($F4)&amp;SanitizeInput($G4)&amp;SanitizeInput($H4),Countermeasures!$A:$B,Assumptions!$A:$B," ",","&amp;CHAR(10),TRUE),","&amp;CHAR(10))</f>
        <v>CM20 SCR 2.11 - Secure Wi-Fi,
A36 SDR 1.18 - Well-protected trustworthy wireless network</v>
      </c>
      <c r="J4" s="13"/>
      <c r="K4" s="16" t="str" cm="1">
        <f t="array" ref="K4">RemoveDelimiter(GetValuesWithFallback(SanitizeInput($J4),Countermeasures!$A:$B,Assumptions!$A:$B," ",","&amp;CHAR(10),TRUE),","&amp;CHAR(10))</f>
        <v/>
      </c>
      <c r="L4" s="13">
        <f>3</f>
        <v>3</v>
      </c>
      <c r="M4" s="19" t="str" cm="1">
        <f t="array" ca="1" aca="1" ref="M4">_xlfn.LET(_xlpm._displayLimit,$L4,_xlpm._risks,$V4,_xlpm._delimiter,CHAR(10)&amp;REPT(_xlfn.UNICHAR(9552),50)&amp;CHAR(10),_xlpm._attackPaths,RemoveDelimiter(GetValues(RIGHT(_xlpm._risks,LEN(_xlpm._risks)-FIND(":",_xlpm._risks)),Risks!$A:$B,"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R2-3 AS3 Compromising the product using a software vulnerability
–––––––––––––––––––––––––––––––––––––––––––––––––––––––
AS2 Getting access to a wireless network
══════════════════════════════════════════════════
R2-4 AS4 Interrupting the product with a denial of service attack
–––––––––––––––––––––––––––––––––––––––––––––––––––––––
AS2 Getting access to a wireless network
══════════════════════════════════════════════════
R2-6 AS6 Spoofing / tampering with the product's outgoing communication
–––––––––––––––––––––––––––––––––––––––––––––––––––––––
AS2 Getting access to a wireless network</v>
      </c>
      <c r="N4" s="8" t="str">
        <f ca="1">INDEX(Definitions!$AE:$AE,MATCH($W4,Definitions!$AF:$AF,0))</f>
        <v>Very High</v>
      </c>
      <c r="O4" s="13"/>
      <c r="P4" s="10" cm="1">
        <f t="array" ref="P4">GenerateShadowID(ROW(),$P$2,$P:$P,0,$A4&lt;&gt;"")</f>
        <v>2</v>
      </c>
      <c r="Q4" s="10" cm="1">
        <f t="array" ref="Q4">CreateTaskID($Q$2,$Q:$Q,Tasks!$B$17,$O4)</f>
        <v>0</v>
      </c>
      <c r="R4" s="10">
        <f>IFERROR(MATCH(ROW()-ROW($R$2),'Attack Steps'!$Q:$Q,0),0)</f>
        <v>4</v>
      </c>
      <c r="S4" s="10" t="str" cm="1">
        <f t="array" ca="1" aca="1" ref="S4">CalculateMaxAndElements($T4,0,"",Risks!$A:$AJ)</f>
        <v>4:R2-3,R2-4,R2-6,R2-7,R2-3-10,R2-3-11,R2-16,R2-29,R2-5-32,R2-7-32,R2-16-32,R2-29-32,R2-40,</v>
      </c>
      <c r="T4" s="10" t="str" cm="1">
        <f t="array" ca="1" aca="1" ref="T4">InverseLookup($A4,Risks!$AI$2,Risks!$A$2,1,Helper!$B$1,",")</f>
        <v>R2-3,R2-4,R2-6,R2-7,R2-3-10,R2-3-11,R2-16,R2-29,R2-3-32,R2-5-32,R2-7-32,R2-16-32,R2-29-32,R2-40,</v>
      </c>
      <c r="U4" s="10" t="str">
        <f t="shared" ca="1" si="0"/>
        <v>,R2-3,R2-4,R2-6,R2-7,R2-3-10,R2-3-11,R2-16,R2-29,R2-3-32,R2-5-32,R2-7-32,R2-16-32,R2-29-32,R2-40,</v>
      </c>
      <c r="V4" s="10" t="str" cm="1">
        <f t="array" ca="1" aca="1" ref="V4">CalculateMaxAndElements($T4,0,"",Risks!$A:$BK)</f>
        <v>4:R2-3,R2-4,R2-6,R2-7,R2-3-10,R2-3-11,R2-16,R2-29,R2-5-32,R2-7-32,R2-16-32,R2-29-32,R2-40,</v>
      </c>
      <c r="W4" s="21">
        <f t="shared" ca="1" si="1"/>
        <v>4</v>
      </c>
      <c r="X4" s="21" t="str" cm="1">
        <f t="array" ref="X4">IF($J4="","",","&amp;SanitizeInput($J4))</f>
        <v/>
      </c>
      <c r="Y4" s="21" t="b" cm="1">
        <f t="array" ca="1" aca="1" ref="Y4">INDEX('Attack Steps'!$AI:$AI,$R4)</f>
        <v>1</v>
      </c>
      <c r="Z4" s="21" cm="1">
        <f t="array" ref="Z4">CreateID($Z$2,$Z:$Z,IFERROR(FIND(Definitions!$AR$4,$O4)&gt;0,FALSE))</f>
        <v>0</v>
      </c>
      <c r="AA4" s="21">
        <f>_xlfn.LET(_xlpm._comment,$O4,_xlpm._keyWord,Definitions!$AR$4,_xlpm._diffLen,LEN(_xlpm._comment)-LEN(SUBSTITUTE(_xlpm._comment,_xlpm._keyWord,"")),_xlpm._diffLen/LEN(_xlpm._keyWord))</f>
        <v>0</v>
      </c>
      <c r="AB4" s="21" cm="1">
        <f t="array" ref="AB4">CreateID($AB$2,$AB:$AB,IFERROR(FIND(Definitions!$AR$5,$O4)&gt;0,FALSE))</f>
        <v>0</v>
      </c>
      <c r="AC4" s="21">
        <f>_xlfn.LET(_xlpm._comment,$O4,_xlpm._keyWord,Definitions!$AR$5,_xlpm._diffLen,LEN(_xlpm._comment)-LEN(SUBSTITUTE(_xlpm._comment,_xlpm._keyWord,"")),_xlpm._diffLen/LEN(_xlpm._keyWord))</f>
        <v>0</v>
      </c>
      <c r="AD4" s="21" t="str" cm="1">
        <f t="array" ref="AD4">CreateSearchString($J4)</f>
        <v/>
      </c>
      <c r="AE4" s="21" t="str" cm="1">
        <f t="array" ca="1" aca="1" ref="AE4">_xlfn.LET(_xlpm._selected,SanitizeInput($J4),_xlpm._catalogOptions,SanitizeInput($F4)&amp;SanitizeInput($G4)&amp;SanitizeInput($H4),_xlpm._selectedNotInOptions,FilterElementsFromList(_xlpm._selected,_xlpm._catalogOptions,FALSE,","),IF(_xlpm._selectedNotInOptions="","",$A4&amp;" "&amp;$B4&amp;": "&amp;SUBSTITUTE(RemoveDelimiter(_xlpm._selectedNotInOptions,","),",",", ")))</f>
        <v/>
      </c>
      <c r="AF4" s="21" cm="1">
        <f t="array" ca="1" aca="1" ref="AF4">CreateID($AF$2,$AF:$AF,$AE4&lt;&gt;"")</f>
        <v>0</v>
      </c>
      <c r="AG4" s="21" t="str" cm="1">
        <f t="array" ref="AG4">_xlfn.LET(_xlpm._delimiter,","&amp;CHAR(10),_xlpm._assumptions,ParseAllMitigationsFromComment($A4,"-","A",$O4,Definitions!$AR$4,Definitions!$AS$4,Definitions!$AR$6,_xlpm._delimiter,1),_xlpm._countermeasures,ParseAllMitigationsFromComment($A4,"-","C",$O4,Definitions!$AR$5,Definitions!$AS$5,Definitions!$AR$6,_xlpm._delimiter,1),IF(_xlpm._countermeasures="",RemoveDelimiter(_xlpm._assumptions,_xlpm._delimiter),_xlpm._assumptions&amp;RemoveDelimiter(_xlpm._countermeasures,_xlpm._delimiter)))</f>
        <v/>
      </c>
      <c r="AH4" s="21" t="str" cm="1">
        <f t="array" ref="AH4">CreateSearchString(SanitizeInput($J4)&amp;GetValuesIgnoreErrors(SanitizeInput($J4),Countermeasures!$A:$G,"",",",FALSE))</f>
        <v/>
      </c>
      <c r="AI4" s="21" t="str" cm="1">
        <f t="array" ca="1" aca="1" ref="AI4">IF(AND(IFERROR(FIND(","&amp;Countermeasures!$A$30&amp;",",$AH4)&gt;0,FALSE),Countermeasures!$AF$30=TRUE,SimpleLookup(Questions!$A$48,Questionnaire!$A:$C)=Definitions!$A$5),$A4&amp;" "&amp;$B4,"")</f>
        <v/>
      </c>
      <c r="AJ4" s="21" cm="1">
        <f t="array" ca="1" aca="1" ref="AJ4">CreateID($AJ$2,$AJ:$AJ,$AI4&lt;&gt;"")</f>
        <v>0</v>
      </c>
      <c r="AK4" s="21" t="str">
        <f t="shared" ca="1" si="2"/>
        <v/>
      </c>
      <c r="AL4" s="21" cm="1">
        <f t="array" ca="1" aca="1" ref="AL4">CreateID($AL$2,$AL:$AL,$AK4&lt;&gt;"")</f>
        <v>0</v>
      </c>
      <c r="AM4" s="21" t="str">
        <f t="shared" si="3"/>
        <v/>
      </c>
      <c r="AN4" s="21" cm="1">
        <f t="array" ref="AN4">CreateID($AN$2,$AN:$AN,$AM4&lt;&gt;"")</f>
        <v>0</v>
      </c>
    </row>
    <row r="5" spans="1:40" ht="135.75">
      <c r="A5" s="16" t="str" cm="1">
        <f t="array" ref="A5">IF($R5=0,"",INDEX('Attack Steps'!A:A,$R5))</f>
        <v>AS3</v>
      </c>
      <c r="B5" s="16" t="str" cm="1">
        <f t="array" ref="B5">IF($R5=0,"",INDEX('Attack Steps'!B:B,$R5))</f>
        <v>Compromising the product using a software vulnerability</v>
      </c>
      <c r="C5" s="13">
        <f>3</f>
        <v>3</v>
      </c>
      <c r="D5" s="19" t="str" cm="1">
        <f t="array" ca="1" aca="1" ref="D5">_xlfn.LET(_xlpm._displayLimit,$C5,_xlpm._risks,$S5,_xlpm._delimiter,CHAR(10)&amp;REPT(_xlfn.UNICHAR(9552),50)&amp;CHAR(10),_xlpm._attackPaths,RemoveDelimiter(GetValues(RIGHT(_xlpm._risks,LEN(_xlpm._risks)-FIND(":",_xlpm._risks)),Risks!$A:$B,"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 AS3 Compromising the product using a software vulnerability
–––––––––––––––––––––––––––––––––––––––––––––––––––––––
AS1 Getting access to a trusted operational environment
══════════════════════════════════════════════════
R2-3 AS3 Compromising the product using a software vulnerability
–––––––––––––––––––––––––––––––––––––––––––––––––––––––
AS2 Getting access to a wireless network
══════════════════════════════════════════════════
R1-3-10 AS10 Attacking devices in the customer's network
–––––––––––––––––––––––––––––––––––––––––––––––––––––––
AS1 Getting access to a trusted operational environment,
AS3 Compromising the product using a software vulnerability</v>
      </c>
      <c r="E5" s="16" t="str" cm="1">
        <f t="array" ca="1" aca="1" ref="E5">_xlfn.LET(_xlpm._riskValue,CalculateMaxFromList($T5,0,Risks!$A:$AJ),INDEX(Definitions!$AE:$AE,MATCH(_xlpm._riskValue,Definitions!$AF:$AF,0)))</f>
        <v>Very High</v>
      </c>
      <c r="F5" s="16" t="str" cm="1">
        <f t="array" ca="1" aca="1" ref="F5">IF($A5="","",SUBSTITUTE(RemoveDelimiter(SanitizeInput(SimpleLookup($A5,'Attack Steps'!$A:$AE)),","),",",", "))</f>
        <v>CM2a, CM2b, CM21, CM22</v>
      </c>
      <c r="G5" s="16" t="str" cm="1">
        <f t="array" ca="1" aca="1" ref="G5">IF($A5="","",SUBSTITUTE(RemoveDelimiter(SanitizeInput(SimpleLookup($A5,'Attack Steps'!$A:$AF)),","),",",", "))</f>
        <v/>
      </c>
      <c r="H5" s="79" t="str" cm="1">
        <f t="array" ca="1" aca="1" ref="H5">IF($A5="","",_xlfn.LET(_xlpm._proposedActive,SanitizeInput($G5),_xlpm._proposedAll,SimpleLookup($A5,'Attack Steps'!$A:$AG),_xlpm._proposedDiff,FilterElementsFromList(_xlpm._proposedAll,_xlpm._proposedActive,FALSE,","),SUBSTITUTE(RemoveDelimiter(SanitizeInput(_xlpm._proposedDiff),","),",",", ")))</f>
        <v/>
      </c>
      <c r="I5" s="16" t="str" cm="1">
        <f t="array" ca="1" aca="1" ref="I5">RemoveDelimiter(GetValuesWithFallback(SanitizeInput($F5)&amp;SanitizeInput($G5)&amp;SanitizeInput($H5),Countermeasures!$A:$B,Assumptions!$A:$B," ",","&amp;CHAR(10),TRUE),","&amp;CHAR(10))</f>
        <v>CM2a acontis techonlogies GmbH-specific SDL,
CM2b SDL IEC 62443 Cybersecurity,
CM21 SCR 2.12 - Trusted Execution Environment (TEE),
CM22 Isolation using virtualization or containers</v>
      </c>
      <c r="J5" s="13"/>
      <c r="K5" s="16" t="str" cm="1">
        <f t="array" ref="K5">RemoveDelimiter(GetValuesWithFallback(SanitizeInput($J5),Countermeasures!$A:$B,Assumptions!$A:$B," ",","&amp;CHAR(10),TRUE),","&amp;CHAR(10))</f>
        <v/>
      </c>
      <c r="L5" s="13">
        <f>3</f>
        <v>3</v>
      </c>
      <c r="M5" s="19" t="str" cm="1">
        <f t="array" ca="1" aca="1" ref="M5">_xlfn.LET(_xlpm._displayLimit,$L5,_xlpm._risks,$V5,_xlpm._delimiter,CHAR(10)&amp;REPT(_xlfn.UNICHAR(9552),50)&amp;CHAR(10),_xlpm._attackPaths,RemoveDelimiter(GetValues(RIGHT(_xlpm._risks,LEN(_xlpm._risks)-FIND(":",_xlpm._risks)),Risks!$A:$B,"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 AS3 Compromising the product using a software vulnerability
–––––––––––––––––––––––––––––––––––––––––––––––––––––––
AS1 Getting access to a trusted operational environment
══════════════════════════════════════════════════
R2-3 AS3 Compromising the product using a software vulnerability
–––––––––––––––––––––––––––––––––––––––––––––––––––––––
AS2 Getting access to a wireless network
══════════════════════════════════════════════════
R1-3-10 AS10 Attacking devices in the customer's network
–––––––––––––––––––––––––––––––––––––––––––––––––––––––
AS1 Getting access to a trusted operational environment,
AS3 Compromising the product using a software vulnerability</v>
      </c>
      <c r="N5" s="16" t="str">
        <f ca="1">INDEX(Definitions!$AE:$AE,MATCH($W5,Definitions!$AF:$AF,0))</f>
        <v>Very High</v>
      </c>
      <c r="O5" s="13"/>
      <c r="P5" s="10" cm="1">
        <f t="array" ref="P5">GenerateShadowID(ROW(),$P$2,$P:$P,0,$A5&lt;&gt;"")</f>
        <v>3</v>
      </c>
      <c r="Q5" s="10" cm="1">
        <f t="array" ref="Q5">CreateTaskID($Q$2,$Q:$Q,Tasks!$B$17,$O5)</f>
        <v>0</v>
      </c>
      <c r="R5" s="10">
        <f>IFERROR(MATCH(ROW()-ROW($R$2),'Attack Steps'!$Q:$Q,0),0)</f>
        <v>5</v>
      </c>
      <c r="S5" s="10" t="str" cm="1">
        <f t="array" ca="1" aca="1" ref="S5">CalculateMaxAndElements($T5,0,"",Risks!$A:$AJ)</f>
        <v>4:R1-3,R2-3,R1-3-10,R2-3-10,R1-3-11,R2-3-11,R1-3-32,</v>
      </c>
      <c r="T5" s="10" t="str" cm="1">
        <f t="array" ca="1" aca="1" ref="T5">InverseLookup($A5,Risks!$AI$2,Risks!$A$2,1,Helper!$B$1,",")</f>
        <v>R1-3,R2-3,R1-3-10,R2-3-10,R1-3-11,R2-3-11,R1-3-32,R2-3-32,</v>
      </c>
      <c r="U5" s="10" t="str">
        <f t="shared" ca="1" si="0"/>
        <v>,R1-3,R2-3,R1-3-10,R2-3-10,R1-3-11,R2-3-11,R1-3-32,R2-3-32,</v>
      </c>
      <c r="V5" s="10" t="str" cm="1">
        <f t="array" ca="1" aca="1" ref="V5">CalculateMaxAndElements($T5,0,"",Risks!$A:$BK)</f>
        <v>4:R1-3,R2-3,R1-3-10,R2-3-10,R1-3-11,R2-3-11,R1-3-32,</v>
      </c>
      <c r="W5" s="21">
        <f t="shared" ca="1" si="1"/>
        <v>4</v>
      </c>
      <c r="X5" s="21" t="str" cm="1">
        <f t="array" ref="X5">IF($J5="","",","&amp;SanitizeInput($J5))</f>
        <v/>
      </c>
      <c r="Y5" s="21" t="b" cm="1">
        <f t="array" ca="1" aca="1" ref="Y5">INDEX('Attack Steps'!$AI:$AI,$R5)</f>
        <v>1</v>
      </c>
      <c r="Z5" s="21" cm="1">
        <f t="array" ref="Z5">CreateID($Z$2,$Z:$Z,IFERROR(FIND(Definitions!$AR$4,$O5)&gt;0,FALSE))</f>
        <v>0</v>
      </c>
      <c r="AA5" s="21">
        <f>_xlfn.LET(_xlpm._comment,$O5,_xlpm._keyWord,Definitions!$AR$4,_xlpm._diffLen,LEN(_xlpm._comment)-LEN(SUBSTITUTE(_xlpm._comment,_xlpm._keyWord,"")),_xlpm._diffLen/LEN(_xlpm._keyWord))</f>
        <v>0</v>
      </c>
      <c r="AB5" s="21" cm="1">
        <f t="array" ref="AB5">CreateID($AB$2,$AB:$AB,IFERROR(FIND(Definitions!$AR$5,$O5)&gt;0,FALSE))</f>
        <v>0</v>
      </c>
      <c r="AC5" s="21">
        <f>_xlfn.LET(_xlpm._comment,$O5,_xlpm._keyWord,Definitions!$AR$5,_xlpm._diffLen,LEN(_xlpm._comment)-LEN(SUBSTITUTE(_xlpm._comment,_xlpm._keyWord,"")),_xlpm._diffLen/LEN(_xlpm._keyWord))</f>
        <v>0</v>
      </c>
      <c r="AD5" s="21" t="str" cm="1">
        <f t="array" ref="AD5">CreateSearchString($J5)</f>
        <v/>
      </c>
      <c r="AE5" s="21" t="str" cm="1">
        <f t="array" ca="1" aca="1" ref="AE5">_xlfn.LET(_xlpm._selected,SanitizeInput($J5),_xlpm._catalogOptions,SanitizeInput($F5)&amp;SanitizeInput($G5)&amp;SanitizeInput($H5),_xlpm._selectedNotInOptions,FilterElementsFromList(_xlpm._selected,_xlpm._catalogOptions,FALSE,","),IF(_xlpm._selectedNotInOptions="","",$A5&amp;" "&amp;$B5&amp;": "&amp;SUBSTITUTE(RemoveDelimiter(_xlpm._selectedNotInOptions,","),",",", ")))</f>
        <v/>
      </c>
      <c r="AF5" s="21" cm="1">
        <f t="array" ca="1" aca="1" ref="AF5">CreateID($AF$2,$AF:$AF,$AE5&lt;&gt;"")</f>
        <v>0</v>
      </c>
      <c r="AG5" s="21" t="str" cm="1">
        <f t="array" ref="AG5">_xlfn.LET(_xlpm._delimiter,","&amp;CHAR(10),_xlpm._assumptions,ParseAllMitigationsFromComment($A5,"-","A",$O5,Definitions!$AR$4,Definitions!$AS$4,Definitions!$AR$6,_xlpm._delimiter,1),_xlpm._countermeasures,ParseAllMitigationsFromComment($A5,"-","C",$O5,Definitions!$AR$5,Definitions!$AS$5,Definitions!$AR$6,_xlpm._delimiter,1),IF(_xlpm._countermeasures="",RemoveDelimiter(_xlpm._assumptions,_xlpm._delimiter),_xlpm._assumptions&amp;RemoveDelimiter(_xlpm._countermeasures,_xlpm._delimiter)))</f>
        <v/>
      </c>
      <c r="AH5" s="21" t="str" cm="1">
        <f t="array" ref="AH5">CreateSearchString(SanitizeInput($J5)&amp;GetValuesIgnoreErrors(SanitizeInput($J5),Countermeasures!$A:$G,"",",",FALSE))</f>
        <v/>
      </c>
      <c r="AI5" s="21" t="str" cm="1">
        <f t="array" ca="1" aca="1" ref="AI5">IF(AND(IFERROR(FIND(","&amp;Countermeasures!$A$30&amp;",",$AH5)&gt;0,FALSE),Countermeasures!$AF$30=TRUE,SimpleLookup(Questions!$A$48,Questionnaire!$A:$C)=Definitions!$A$5),$A5&amp;" "&amp;$B5,"")</f>
        <v/>
      </c>
      <c r="AJ5" s="21" cm="1">
        <f t="array" ca="1" aca="1" ref="AJ5">CreateID($AJ$2,$AJ:$AJ,$AI5&lt;&gt;"")</f>
        <v>0</v>
      </c>
      <c r="AK5" s="21" t="str">
        <f t="shared" ca="1" si="2"/>
        <v/>
      </c>
      <c r="AL5" s="21" cm="1">
        <f t="array" ca="1" aca="1" ref="AL5">CreateID($AL$2,$AL:$AL,$AK5&lt;&gt;"")</f>
        <v>0</v>
      </c>
      <c r="AM5" s="21" t="str">
        <f t="shared" si="3"/>
        <v/>
      </c>
      <c r="AN5" s="21" cm="1">
        <f t="array" ref="AN5">CreateID($AN$2,$AN:$AN,$AM5&lt;&gt;"")</f>
        <v>0</v>
      </c>
    </row>
    <row r="6" spans="1:40" ht="79.5">
      <c r="A6" s="16" t="str" cm="1">
        <f t="array" ref="A6">IF($R6=0,"",INDEX('Attack Steps'!A:A,$R6))</f>
        <v>AS4</v>
      </c>
      <c r="B6" s="16" t="str" cm="1">
        <f t="array" ref="B6">IF($R6=0,"",INDEX('Attack Steps'!B:B,$R6))</f>
        <v>Interrupting the product with a denial of service attack</v>
      </c>
      <c r="C6" s="13">
        <f>3</f>
        <v>3</v>
      </c>
      <c r="D6" s="19" t="str" cm="1">
        <f t="array" ca="1" aca="1" ref="D6">_xlfn.LET(_xlpm._displayLimit,$C6,_xlpm._risks,$S6,_xlpm._delimiter,CHAR(10)&amp;REPT(_xlfn.UNICHAR(9552),50)&amp;CHAR(10),_xlpm._attackPaths,RemoveDelimiter(GetValues(RIGHT(_xlpm._risks,LEN(_xlpm._risks)-FIND(":",_xlpm._risks)),Risks!$A:$B,"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R1-4 AS4 Interrupting the product with a denial of service attack
–––––––––––––––––––––––––––––––––––––––––––––––––––––––
AS1 Getting access to a trusted operational environment
══════════════════════════════════════════════════
R2-4 AS4 Interrupting the product with a denial of service attack
–––––––––––––––––––––––––––––––––––––––––––––––––––––––
AS2 Getting access to a wireless network</v>
      </c>
      <c r="E6" s="16" t="str" cm="1">
        <f t="array" ca="1" aca="1" ref="E6">_xlfn.LET(_xlpm._riskValue,CalculateMaxFromList($T6,0,Risks!$A:$AJ),INDEX(Definitions!$AE:$AE,MATCH(_xlpm._riskValue,Definitions!$AF:$AF,0)))</f>
        <v>Very High</v>
      </c>
      <c r="F6" s="16" t="str" cm="1">
        <f t="array" ca="1" aca="1" ref="F6">IF($A6="","",SUBSTITUTE(RemoveDelimiter(SanitizeInput(SimpleLookup($A6,'Attack Steps'!$A:$AE)),","),",",", "))</f>
        <v>C20, C21</v>
      </c>
      <c r="G6" s="16" t="str" cm="1">
        <f t="array" ca="1" aca="1" ref="G6">IF($A6="","",SUBSTITUTE(RemoveDelimiter(SanitizeInput(SimpleLookup($A6,'Attack Steps'!$A:$AF)),","),",",", "))</f>
        <v/>
      </c>
      <c r="H6" s="79" t="str" cm="1">
        <f t="array" ca="1" aca="1" ref="H6">IF($A6="","",_xlfn.LET(_xlpm._proposedActive,SanitizeInput($G6),_xlpm._proposedAll,SimpleLookup($A6,'Attack Steps'!$A:$AG),_xlpm._proposedDiff,FilterElementsFromList(_xlpm._proposedAll,_xlpm._proposedActive,FALSE,","),SUBSTITUTE(RemoveDelimiter(SanitizeInput(_xlpm._proposedDiff),","),",",", ")))</f>
        <v/>
      </c>
      <c r="I6" s="16" t="str" cm="1">
        <f t="array" ca="1" aca="1" ref="I6">RemoveDelimiter(GetValuesWithFallback(SanitizeInput($F6)&amp;SanitizeInput($G6)&amp;SanitizeInput($H6),Countermeasures!$A:$B,Assumptions!$A:$B," ",","&amp;CHAR(10),TRUE),","&amp;CHAR(10))</f>
        <v>C20 CR 7.1 – Denial of service protection,
C21 CR 7.1 RE 1 Manage communication load from component</v>
      </c>
      <c r="J6" s="13"/>
      <c r="K6" s="16" t="str" cm="1">
        <f t="array" ref="K6">RemoveDelimiter(GetValuesWithFallback(SanitizeInput($J6),Countermeasures!$A:$B,Assumptions!$A:$B," ",","&amp;CHAR(10),TRUE),","&amp;CHAR(10))</f>
        <v/>
      </c>
      <c r="L6" s="13">
        <f>3</f>
        <v>3</v>
      </c>
      <c r="M6" s="19" t="str" cm="1">
        <f t="array" ca="1" aca="1" ref="M6">_xlfn.LET(_xlpm._displayLimit,$L6,_xlpm._risks,$V6,_xlpm._delimiter,CHAR(10)&amp;REPT(_xlfn.UNICHAR(9552),50)&amp;CHAR(10),_xlpm._attackPaths,RemoveDelimiter(GetValues(RIGHT(_xlpm._risks,LEN(_xlpm._risks)-FIND(":",_xlpm._risks)),Risks!$A:$B,"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R1-4 AS4 Interrupting the product with a denial of service attack
–––––––––––––––––––––––––––––––––––––––––––––––––––––––
AS1 Getting access to a trusted operational environment
══════════════════════════════════════════════════
R2-4 AS4 Interrupting the product with a denial of service attack
–––––––––––––––––––––––––––––––––––––––––––––––––––––––
AS2 Getting access to a wireless network</v>
      </c>
      <c r="N6" s="16" t="str">
        <f ca="1">INDEX(Definitions!$AE:$AE,MATCH($W6,Definitions!$AF:$AF,0))</f>
        <v>Very High</v>
      </c>
      <c r="O6" s="13"/>
      <c r="P6" s="10" cm="1">
        <f t="array" ref="P6">GenerateShadowID(ROW(),$P$2,$P:$P,0,$A6&lt;&gt;"")</f>
        <v>4</v>
      </c>
      <c r="Q6" s="10" cm="1">
        <f t="array" ref="Q6">CreateTaskID($Q$2,$Q:$Q,Tasks!$B$17,$O6)</f>
        <v>0</v>
      </c>
      <c r="R6" s="10">
        <f>IFERROR(MATCH(ROW()-ROW($R$2),'Attack Steps'!$Q:$Q,0),0)</f>
        <v>6</v>
      </c>
      <c r="S6" s="10" t="str" cm="1">
        <f t="array" ca="1" aca="1" ref="S6">CalculateMaxAndElements($T6,0,"",Risks!$A:$AJ)</f>
        <v>4:R1-4,R2-4,</v>
      </c>
      <c r="T6" s="10" t="str" cm="1">
        <f t="array" ca="1" aca="1" ref="T6">InverseLookup($A6,Risks!$AI$2,Risks!$A$2,1,Helper!$B$1,",")</f>
        <v>R1-4,R2-4,</v>
      </c>
      <c r="U6" s="10" t="str">
        <f t="shared" ca="1" si="0"/>
        <v>,R1-4,R2-4,</v>
      </c>
      <c r="V6" s="10" t="str" cm="1">
        <f t="array" ca="1" aca="1" ref="V6">CalculateMaxAndElements($T6,0,"",Risks!$A:$BK)</f>
        <v>4:R1-4,R2-4,</v>
      </c>
      <c r="W6" s="21">
        <f t="shared" ca="1" si="1"/>
        <v>4</v>
      </c>
      <c r="X6" s="21" t="str" cm="1">
        <f t="array" ref="X6">IF($J6="","",","&amp;SanitizeInput($J6))</f>
        <v/>
      </c>
      <c r="Y6" s="21" t="b" cm="1">
        <f t="array" ca="1" aca="1" ref="Y6">INDEX('Attack Steps'!$AI:$AI,$R6)</f>
        <v>1</v>
      </c>
      <c r="Z6" s="21" cm="1">
        <f t="array" ref="Z6">CreateID($Z$2,$Z:$Z,IFERROR(FIND(Definitions!$AR$4,$O6)&gt;0,FALSE))</f>
        <v>0</v>
      </c>
      <c r="AA6" s="21">
        <f>_xlfn.LET(_xlpm._comment,$O6,_xlpm._keyWord,Definitions!$AR$4,_xlpm._diffLen,LEN(_xlpm._comment)-LEN(SUBSTITUTE(_xlpm._comment,_xlpm._keyWord,"")),_xlpm._diffLen/LEN(_xlpm._keyWord))</f>
        <v>0</v>
      </c>
      <c r="AB6" s="21" cm="1">
        <f t="array" ref="AB6">CreateID($AB$2,$AB:$AB,IFERROR(FIND(Definitions!$AR$5,$O6)&gt;0,FALSE))</f>
        <v>0</v>
      </c>
      <c r="AC6" s="21">
        <f>_xlfn.LET(_xlpm._comment,$O6,_xlpm._keyWord,Definitions!$AR$5,_xlpm._diffLen,LEN(_xlpm._comment)-LEN(SUBSTITUTE(_xlpm._comment,_xlpm._keyWord,"")),_xlpm._diffLen/LEN(_xlpm._keyWord))</f>
        <v>0</v>
      </c>
      <c r="AD6" s="21" t="str" cm="1">
        <f t="array" ref="AD6">CreateSearchString($J6)</f>
        <v/>
      </c>
      <c r="AE6" s="21" t="str" cm="1">
        <f t="array" ca="1" aca="1" ref="AE6">_xlfn.LET(_xlpm._selected,SanitizeInput($J6),_xlpm._catalogOptions,SanitizeInput($F6)&amp;SanitizeInput($G6)&amp;SanitizeInput($H6),_xlpm._selectedNotInOptions,FilterElementsFromList(_xlpm._selected,_xlpm._catalogOptions,FALSE,","),IF(_xlpm._selectedNotInOptions="","",$A6&amp;" "&amp;$B6&amp;": "&amp;SUBSTITUTE(RemoveDelimiter(_xlpm._selectedNotInOptions,","),",",", ")))</f>
        <v/>
      </c>
      <c r="AF6" s="21" cm="1">
        <f t="array" ca="1" aca="1" ref="AF6">CreateID($AF$2,$AF:$AF,$AE6&lt;&gt;"")</f>
        <v>0</v>
      </c>
      <c r="AG6" s="21" t="str" cm="1">
        <f t="array" ref="AG6">_xlfn.LET(_xlpm._delimiter,","&amp;CHAR(10),_xlpm._assumptions,ParseAllMitigationsFromComment($A6,"-","A",$O6,Definitions!$AR$4,Definitions!$AS$4,Definitions!$AR$6,_xlpm._delimiter,1),_xlpm._countermeasures,ParseAllMitigationsFromComment($A6,"-","C",$O6,Definitions!$AR$5,Definitions!$AS$5,Definitions!$AR$6,_xlpm._delimiter,1),IF(_xlpm._countermeasures="",RemoveDelimiter(_xlpm._assumptions,_xlpm._delimiter),_xlpm._assumptions&amp;RemoveDelimiter(_xlpm._countermeasures,_xlpm._delimiter)))</f>
        <v/>
      </c>
      <c r="AH6" s="21" t="str" cm="1">
        <f t="array" ref="AH6">CreateSearchString(SanitizeInput($J6)&amp;GetValuesIgnoreErrors(SanitizeInput($J6),Countermeasures!$A:$G,"",",",FALSE))</f>
        <v/>
      </c>
      <c r="AI6" s="21" t="str" cm="1">
        <f t="array" ca="1" aca="1" ref="AI6">IF(AND(IFERROR(FIND(","&amp;Countermeasures!$A$30&amp;",",$AH6)&gt;0,FALSE),Countermeasures!$AF$30=TRUE,SimpleLookup(Questions!$A$48,Questionnaire!$A:$C)=Definitions!$A$5),$A6&amp;" "&amp;$B6,"")</f>
        <v/>
      </c>
      <c r="AJ6" s="21" cm="1">
        <f t="array" ca="1" aca="1" ref="AJ6">CreateID($AJ$2,$AJ:$AJ,$AI6&lt;&gt;"")</f>
        <v>0</v>
      </c>
      <c r="AK6" s="21" t="str">
        <f t="shared" ca="1" si="2"/>
        <v/>
      </c>
      <c r="AL6" s="21" cm="1">
        <f t="array" ca="1" aca="1" ref="AL6">CreateID($AL$2,$AL:$AL,$AK6&lt;&gt;"")</f>
        <v>0</v>
      </c>
      <c r="AM6" s="21" t="str">
        <f t="shared" si="3"/>
        <v/>
      </c>
      <c r="AN6" s="21" cm="1">
        <f t="array" ref="AN6">CreateID($AN$2,$AN:$AN,$AM6&lt;&gt;"")</f>
        <v>0</v>
      </c>
    </row>
    <row r="7" spans="1:40" ht="135">
      <c r="A7" s="16" t="str" cm="1">
        <f t="array" ref="A7">IF($R7=0,"",INDEX('Attack Steps'!A:A,$R7))</f>
        <v>AS5</v>
      </c>
      <c r="B7" s="16" t="str" cm="1">
        <f t="array" ref="B7">IF($R7=0,"",INDEX('Attack Steps'!B:B,$R7))</f>
        <v>Eavesdropping on the product's communication</v>
      </c>
      <c r="C7" s="13">
        <f>3</f>
        <v>3</v>
      </c>
      <c r="D7" s="19" t="str" cm="1">
        <f t="array" ca="1" aca="1" ref="D7">_xlfn.LET(_xlpm._displayLimit,$C7,_xlpm._risks,$S7,_xlpm._delimiter,CHAR(10)&amp;REPT(_xlfn.UNICHAR(9552),50)&amp;CHAR(10),_xlpm._attackPaths,RemoveDelimiter(GetValues(RIGHT(_xlpm._risks,LEN(_xlpm._risks)-FIND(":",_xlpm._risks)),Risks!$A:$B,"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R1-5-32 AS32 Extracting or misusing acontis techonlogies GmbH IP
–––––––––––––––––––––––––––––––––––––––––––––––––––––––
AS1 Getting access to a trusted operational environment,
AS5 Eavesdropping on the product's communication
══════════════════════════════════════════════════
R2-5-32 AS32 Extracting or misusing acontis techonlogies GmbH IP
–––––––––––––––––––––––––––––––––––––––––––––––––––––––
AS2 Getting access to a wireless network,
AS5 Eavesdropping on the product's communication</v>
      </c>
      <c r="E7" s="16" t="str" cm="1">
        <f t="array" ca="1" aca="1" ref="E7">_xlfn.LET(_xlpm._riskValue,CalculateMaxFromList($T7,0,Risks!$A:$AJ),INDEX(Definitions!$AE:$AE,MATCH(_xlpm._riskValue,Definitions!$AF:$AF,0)))</f>
        <v>Very High</v>
      </c>
      <c r="F7" s="16" t="str" cm="1">
        <f t="array" ca="1" aca="1" ref="F7">IF($A7="","",SUBSTITUTE(RemoveDelimiter(SanitizeInput(SimpleLookup($A7,'Attack Steps'!$A:$AE)),","),",",", "))</f>
        <v>C29</v>
      </c>
      <c r="G7" s="16" t="str" cm="1">
        <f t="array" ca="1" aca="1" ref="G7">IF($A7="","",SUBSTITUTE(RemoveDelimiter(SanitizeInput(SimpleLookup($A7,'Attack Steps'!$A:$AF)),","),",",", "))</f>
        <v/>
      </c>
      <c r="H7" s="79" t="str" cm="1">
        <f t="array" ca="1" aca="1" ref="H7">IF($A7="","",_xlfn.LET(_xlpm._proposedActive,SanitizeInput($G7),_xlpm._proposedAll,SimpleLookup($A7,'Attack Steps'!$A:$AG),_xlpm._proposedDiff,FilterElementsFromList(_xlpm._proposedAll,_xlpm._proposedActive,FALSE,","),SUBSTITUTE(RemoveDelimiter(SanitizeInput(_xlpm._proposedDiff),","),",",", ")))</f>
        <v>A28, A37</v>
      </c>
      <c r="I7" s="16" t="str" cm="1">
        <f t="array" ca="1" aca="1" ref="I7">RemoveDelimiter(GetValuesWithFallback(SanitizeInput($F7)&amp;SanitizeInput($G7)&amp;SanitizeInput($H7),Countermeasures!$A:$B,Assumptions!$A:$B," ",","&amp;CHAR(10),TRUE),","&amp;CHAR(10))</f>
        <v>C29 CR 4.1 – Information confidentiality,
A28 SDR 1.25 - The product does not transmit confidential cryptographic material (such as passwords),
A37 SDR 2.6 - Limited accessibility of short-range wireless communication</v>
      </c>
      <c r="J7" s="13"/>
      <c r="K7" s="16" t="str" cm="1">
        <f t="array" ref="K7">RemoveDelimiter(GetValuesWithFallback(SanitizeInput($J7),Countermeasures!$A:$B,Assumptions!$A:$B," ",","&amp;CHAR(10),TRUE),","&amp;CHAR(10))</f>
        <v/>
      </c>
      <c r="L7" s="13">
        <f>3</f>
        <v>3</v>
      </c>
      <c r="M7" s="19" t="str" cm="1">
        <f t="array" ca="1" aca="1" ref="M7">_xlfn.LET(_xlpm._displayLimit,$L7,_xlpm._risks,$V7,_xlpm._delimiter,CHAR(10)&amp;REPT(_xlfn.UNICHAR(9552),50)&amp;CHAR(10),_xlpm._attackPaths,RemoveDelimiter(GetValues(RIGHT(_xlpm._risks,LEN(_xlpm._risks)-FIND(":",_xlpm._risks)),Risks!$A:$B,"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R1-5-32 AS32 Extracting or misusing acontis techonlogies GmbH IP
–––––––––––––––––––––––––––––––––––––––––––––––––––––––
AS1 Getting access to a trusted operational environment,
AS5 Eavesdropping on the product's communication
══════════════════════════════════════════════════
R2-5-32 AS32 Extracting or misusing acontis techonlogies GmbH IP
–––––––––––––––––––––––––––––––––––––––––––––––––––––––
AS2 Getting access to a wireless network,
AS5 Eavesdropping on the product's communication</v>
      </c>
      <c r="N7" s="16" t="str">
        <f ca="1">INDEX(Definitions!$AE:$AE,MATCH($W7,Definitions!$AF:$AF,0))</f>
        <v>Very High</v>
      </c>
      <c r="O7" s="13"/>
      <c r="P7" s="10" cm="1">
        <f t="array" ref="P7">GenerateShadowID(ROW(),$P$2,$P:$P,0,$A7&lt;&gt;"")</f>
        <v>5</v>
      </c>
      <c r="Q7" s="10" cm="1">
        <f t="array" ref="Q7">CreateTaskID($Q$2,$Q:$Q,Tasks!$B$17,$O7)</f>
        <v>0</v>
      </c>
      <c r="R7" s="10">
        <f>IFERROR(MATCH(ROW()-ROW($R$2),'Attack Steps'!$Q:$Q,0),0)</f>
        <v>7</v>
      </c>
      <c r="S7" s="10" t="str" cm="1">
        <f t="array" ca="1" aca="1" ref="S7">CalculateMaxAndElements($T7,0,"",Risks!$A:$AJ)</f>
        <v>4:R1-5-32,R2-5-32,</v>
      </c>
      <c r="T7" s="10" t="str" cm="1">
        <f t="array" ca="1" aca="1" ref="T7">InverseLookup($A7,Risks!$AI$2,Risks!$A$2,1,Helper!$B$1,",")</f>
        <v>R1-5-32,R2-5-32,</v>
      </c>
      <c r="U7" s="10" t="str">
        <f t="shared" ca="1" si="0"/>
        <v>,R1-5-32,R2-5-32,</v>
      </c>
      <c r="V7" s="10" t="str" cm="1">
        <f t="array" ca="1" aca="1" ref="V7">CalculateMaxAndElements($T7,0,"",Risks!$A:$BK)</f>
        <v>4:R1-5-32,R2-5-32,</v>
      </c>
      <c r="W7" s="21">
        <f t="shared" ca="1" si="1"/>
        <v>4</v>
      </c>
      <c r="X7" s="21" t="str" cm="1">
        <f t="array" ref="X7">IF($J7="","",","&amp;SanitizeInput($J7))</f>
        <v/>
      </c>
      <c r="Y7" s="21" t="b" cm="1">
        <f t="array" ca="1" aca="1" ref="Y7">INDEX('Attack Steps'!$AI:$AI,$R7)</f>
        <v>1</v>
      </c>
      <c r="Z7" s="21" cm="1">
        <f t="array" ref="Z7">CreateID($Z$2,$Z:$Z,IFERROR(FIND(Definitions!$AR$4,$O7)&gt;0,FALSE))</f>
        <v>0</v>
      </c>
      <c r="AA7" s="21">
        <f>_xlfn.LET(_xlpm._comment,$O7,_xlpm._keyWord,Definitions!$AR$4,_xlpm._diffLen,LEN(_xlpm._comment)-LEN(SUBSTITUTE(_xlpm._comment,_xlpm._keyWord,"")),_xlpm._diffLen/LEN(_xlpm._keyWord))</f>
        <v>0</v>
      </c>
      <c r="AB7" s="21" cm="1">
        <f t="array" ref="AB7">CreateID($AB$2,$AB:$AB,IFERROR(FIND(Definitions!$AR$5,$O7)&gt;0,FALSE))</f>
        <v>0</v>
      </c>
      <c r="AC7" s="21">
        <f>_xlfn.LET(_xlpm._comment,$O7,_xlpm._keyWord,Definitions!$AR$5,_xlpm._diffLen,LEN(_xlpm._comment)-LEN(SUBSTITUTE(_xlpm._comment,_xlpm._keyWord,"")),_xlpm._diffLen/LEN(_xlpm._keyWord))</f>
        <v>0</v>
      </c>
      <c r="AD7" s="21" t="str" cm="1">
        <f t="array" ref="AD7">CreateSearchString($J7)</f>
        <v/>
      </c>
      <c r="AE7" s="21" t="str" cm="1">
        <f t="array" ca="1" aca="1" ref="AE7">_xlfn.LET(_xlpm._selected,SanitizeInput($J7),_xlpm._catalogOptions,SanitizeInput($F7)&amp;SanitizeInput($G7)&amp;SanitizeInput($H7),_xlpm._selectedNotInOptions,FilterElementsFromList(_xlpm._selected,_xlpm._catalogOptions,FALSE,","),IF(_xlpm._selectedNotInOptions="","",$A7&amp;" "&amp;$B7&amp;": "&amp;SUBSTITUTE(RemoveDelimiter(_xlpm._selectedNotInOptions,","),",",", ")))</f>
        <v/>
      </c>
      <c r="AF7" s="21" cm="1">
        <f t="array" ca="1" aca="1" ref="AF7">CreateID($AF$2,$AF:$AF,$AE7&lt;&gt;"")</f>
        <v>0</v>
      </c>
      <c r="AG7" s="21" t="str" cm="1">
        <f t="array" ref="AG7">_xlfn.LET(_xlpm._delimiter,","&amp;CHAR(10),_xlpm._assumptions,ParseAllMitigationsFromComment($A7,"-","A",$O7,Definitions!$AR$4,Definitions!$AS$4,Definitions!$AR$6,_xlpm._delimiter,1),_xlpm._countermeasures,ParseAllMitigationsFromComment($A7,"-","C",$O7,Definitions!$AR$5,Definitions!$AS$5,Definitions!$AR$6,_xlpm._delimiter,1),IF(_xlpm._countermeasures="",RemoveDelimiter(_xlpm._assumptions,_xlpm._delimiter),_xlpm._assumptions&amp;RemoveDelimiter(_xlpm._countermeasures,_xlpm._delimiter)))</f>
        <v/>
      </c>
      <c r="AH7" s="21" t="str" cm="1">
        <f t="array" ref="AH7">CreateSearchString(SanitizeInput($J7)&amp;GetValuesIgnoreErrors(SanitizeInput($J7),Countermeasures!$A:$G,"",",",FALSE))</f>
        <v/>
      </c>
      <c r="AI7" s="21" t="str" cm="1">
        <f t="array" ca="1" aca="1" ref="AI7">IF(AND(IFERROR(FIND(","&amp;Countermeasures!$A$30&amp;",",$AH7)&gt;0,FALSE),Countermeasures!$AF$30=TRUE,SimpleLookup(Questions!$A$48,Questionnaire!$A:$C)=Definitions!$A$5),$A7&amp;" "&amp;$B7,"")</f>
        <v/>
      </c>
      <c r="AJ7" s="21" cm="1">
        <f t="array" ca="1" aca="1" ref="AJ7">CreateID($AJ$2,$AJ:$AJ,$AI7&lt;&gt;"")</f>
        <v>0</v>
      </c>
      <c r="AK7" s="21" t="str">
        <f t="shared" ca="1" si="2"/>
        <v/>
      </c>
      <c r="AL7" s="21" cm="1">
        <f t="array" ca="1" aca="1" ref="AL7">CreateID($AL$2,$AL:$AL,$AK7&lt;&gt;"")</f>
        <v>0</v>
      </c>
      <c r="AM7" s="21" t="str">
        <f t="shared" si="3"/>
        <v/>
      </c>
      <c r="AN7" s="21" cm="1">
        <f t="array" ref="AN7">CreateID($AN$2,$AN:$AN,$AM7&lt;&gt;"")</f>
        <v>0</v>
      </c>
    </row>
    <row r="8" spans="1:40" ht="79.5">
      <c r="A8" s="16" t="str" cm="1">
        <f t="array" ref="A8">IF($R8=0,"",INDEX('Attack Steps'!A:A,$R8))</f>
        <v>AS6</v>
      </c>
      <c r="B8" s="16" t="str" cm="1">
        <f t="array" ref="B8">IF($R8=0,"",INDEX('Attack Steps'!B:B,$R8))</f>
        <v>Spoofing / tampering with the product's outgoing communication</v>
      </c>
      <c r="C8" s="13">
        <f>3</f>
        <v>3</v>
      </c>
      <c r="D8" s="19" t="str" cm="1">
        <f t="array" ca="1" aca="1" ref="D8">_xlfn.LET(_xlpm._displayLimit,$C8,_xlpm._risks,$S8,_xlpm._delimiter,CHAR(10)&amp;REPT(_xlfn.UNICHAR(9552),50)&amp;CHAR(10),_xlpm._attackPaths,RemoveDelimiter(GetValues(RIGHT(_xlpm._risks,LEN(_xlpm._risks)-FIND(":",_xlpm._risks)),Risks!$A:$B,"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R1-6 AS6 Spoofing / tampering with the product's outgoing communication
–––––––––––––––––––––––––––––––––––––––––––––––––––––––
AS1 Getting access to a trusted operational environment
══════════════════════════════════════════════════
R2-6 AS6 Spoofing / tampering with the product's outgoing communication
–––––––––––––––––––––––––––––––––––––––––––––––––––––––
AS2 Getting access to a wireless network</v>
      </c>
      <c r="E8" s="16" t="str" cm="1">
        <f t="array" ca="1" aca="1" ref="E8">_xlfn.LET(_xlpm._riskValue,CalculateMaxFromList($T8,0,Risks!$A:$AJ),INDEX(Definitions!$AE:$AE,MATCH(_xlpm._riskValue,Definitions!$AF:$AF,0)))</f>
        <v>Very High</v>
      </c>
      <c r="F8" s="16" t="str" cm="1">
        <f t="array" ca="1" aca="1" ref="F8">IF($A8="","",SUBSTITUTE(RemoveDelimiter(SanitizeInput(SimpleLookup($A8,'Attack Steps'!$A:$AE)),","),",",", "))</f>
        <v>CM10</v>
      </c>
      <c r="G8" s="16" t="str" cm="1">
        <f t="array" ca="1" aca="1" ref="G8">IF($A8="","",SUBSTITUTE(RemoveDelimiter(SanitizeInput(SimpleLookup($A8,'Attack Steps'!$A:$AF)),","),",",", "))</f>
        <v/>
      </c>
      <c r="H8" s="79" t="str" cm="1">
        <f t="array" ca="1" aca="1" ref="H8">IF($A8="","",_xlfn.LET(_xlpm._proposedActive,SanitizeInput($G8),_xlpm._proposedAll,SimpleLookup($A8,'Attack Steps'!$A:$AG),_xlpm._proposedDiff,FilterElementsFromList(_xlpm._proposedAll,_xlpm._proposedActive,FALSE,","),SUBSTITUTE(RemoveDelimiter(SanitizeInput(_xlpm._proposedDiff),","),",",", ")))</f>
        <v>A37</v>
      </c>
      <c r="I8" s="16" t="str" cm="1">
        <f t="array" ca="1" aca="1" ref="I8">RemoveDelimiter(GetValuesWithFallback(SanitizeInput($F8)&amp;SanitizeInput($G8)&amp;SanitizeInput($H8),Countermeasures!$A:$B,Assumptions!$A:$B," ",","&amp;CHAR(10),TRUE),","&amp;CHAR(10))</f>
        <v>CM10 SCR 2.6 - Secure channel with product authentication,
A37 SDR 2.6 - Limited accessibility of short-range wireless communication</v>
      </c>
      <c r="J8" s="13"/>
      <c r="K8" s="16" t="str" cm="1">
        <f t="array" ref="K8">RemoveDelimiter(GetValuesWithFallback(SanitizeInput($J8),Countermeasures!$A:$B,Assumptions!$A:$B," ",","&amp;CHAR(10),TRUE),","&amp;CHAR(10))</f>
        <v/>
      </c>
      <c r="L8" s="13">
        <f>3</f>
        <v>3</v>
      </c>
      <c r="M8" s="19" t="str" cm="1">
        <f t="array" ca="1" aca="1" ref="M8">_xlfn.LET(_xlpm._displayLimit,$L8,_xlpm._risks,$V8,_xlpm._delimiter,CHAR(10)&amp;REPT(_xlfn.UNICHAR(9552),50)&amp;CHAR(10),_xlpm._attackPaths,RemoveDelimiter(GetValues(RIGHT(_xlpm._risks,LEN(_xlpm._risks)-FIND(":",_xlpm._risks)),Risks!$A:$B,"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R1-6 AS6 Spoofing / tampering with the product's outgoing communication
–––––––––––––––––––––––––––––––––––––––––––––––––––––––
AS1 Getting access to a trusted operational environment
══════════════════════════════════════════════════
R2-6 AS6 Spoofing / tampering with the product's outgoing communication
–––––––––––––––––––––––––––––––––––––––––––––––––––––––
AS2 Getting access to a wireless network</v>
      </c>
      <c r="N8" s="16" t="str">
        <f ca="1">INDEX(Definitions!$AE:$AE,MATCH($W8,Definitions!$AF:$AF,0))</f>
        <v>Very High</v>
      </c>
      <c r="O8" s="13"/>
      <c r="P8" s="10" cm="1">
        <f t="array" ref="P8">GenerateShadowID(ROW(),$P$2,$P:$P,0,$A8&lt;&gt;"")</f>
        <v>6</v>
      </c>
      <c r="Q8" s="10" cm="1">
        <f t="array" ref="Q8">CreateTaskID($Q$2,$Q:$Q,Tasks!$B$17,$O8)</f>
        <v>0</v>
      </c>
      <c r="R8" s="10">
        <f>IFERROR(MATCH(ROW()-ROW($R$2),'Attack Steps'!$Q:$Q,0),0)</f>
        <v>8</v>
      </c>
      <c r="S8" s="10" t="str" cm="1">
        <f t="array" ca="1" aca="1" ref="S8">CalculateMaxAndElements($T8,0,"",Risks!$A:$AJ)</f>
        <v>4:R1-6,R2-6,</v>
      </c>
      <c r="T8" s="10" t="str" cm="1">
        <f t="array" ca="1" aca="1" ref="T8">InverseLookup($A8,Risks!$AI$2,Risks!$A$2,1,Helper!$B$1,",")</f>
        <v>R1-6,R2-6,</v>
      </c>
      <c r="U8" s="10" t="str">
        <f t="shared" ca="1" si="0"/>
        <v>,R1-6,R2-6,</v>
      </c>
      <c r="V8" s="10" t="str" cm="1">
        <f t="array" ca="1" aca="1" ref="V8">CalculateMaxAndElements($T8,0,"",Risks!$A:$BK)</f>
        <v>4:R1-6,R2-6,</v>
      </c>
      <c r="W8" s="21">
        <f t="shared" ca="1" si="1"/>
        <v>4</v>
      </c>
      <c r="X8" s="21" t="str" cm="1">
        <f t="array" ref="X8">IF($J8="","",","&amp;SanitizeInput($J8))</f>
        <v/>
      </c>
      <c r="Y8" s="21" t="b" cm="1">
        <f t="array" ca="1" aca="1" ref="Y8">INDEX('Attack Steps'!$AI:$AI,$R8)</f>
        <v>1</v>
      </c>
      <c r="Z8" s="21" cm="1">
        <f t="array" ref="Z8">CreateID($Z$2,$Z:$Z,IFERROR(FIND(Definitions!$AR$4,$O8)&gt;0,FALSE))</f>
        <v>0</v>
      </c>
      <c r="AA8" s="21">
        <f>_xlfn.LET(_xlpm._comment,$O8,_xlpm._keyWord,Definitions!$AR$4,_xlpm._diffLen,LEN(_xlpm._comment)-LEN(SUBSTITUTE(_xlpm._comment,_xlpm._keyWord,"")),_xlpm._diffLen/LEN(_xlpm._keyWord))</f>
        <v>0</v>
      </c>
      <c r="AB8" s="21" cm="1">
        <f t="array" ref="AB8">CreateID($AB$2,$AB:$AB,IFERROR(FIND(Definitions!$AR$5,$O8)&gt;0,FALSE))</f>
        <v>0</v>
      </c>
      <c r="AC8" s="21">
        <f>_xlfn.LET(_xlpm._comment,$O8,_xlpm._keyWord,Definitions!$AR$5,_xlpm._diffLen,LEN(_xlpm._comment)-LEN(SUBSTITUTE(_xlpm._comment,_xlpm._keyWord,"")),_xlpm._diffLen/LEN(_xlpm._keyWord))</f>
        <v>0</v>
      </c>
      <c r="AD8" s="21" t="str" cm="1">
        <f t="array" ref="AD8">CreateSearchString($J8)</f>
        <v/>
      </c>
      <c r="AE8" s="61" t="str" cm="1">
        <f t="array" ca="1" aca="1" ref="AE8">_xlfn.LET(_xlpm._selected,SanitizeInput($J8),_xlpm._catalogOptions,SanitizeInput($F8)&amp;SanitizeInput($G8)&amp;SanitizeInput($H8),_xlpm._selectedNotInOptions,FilterElementsFromList(_xlpm._selected,_xlpm._catalogOptions,FALSE,","),IF(_xlpm._selectedNotInOptions="","",$A8&amp;" "&amp;$B8&amp;": "&amp;SUBSTITUTE(RemoveDelimiter(_xlpm._selectedNotInOptions,","),",",", ")))</f>
        <v/>
      </c>
      <c r="AF8" s="21" cm="1">
        <f t="array" ca="1" aca="1" ref="AF8">CreateID($AF$2,$AF:$AF,$AE8&lt;&gt;"")</f>
        <v>0</v>
      </c>
      <c r="AG8" s="21" t="str" cm="1">
        <f t="array" ref="AG8">_xlfn.LET(_xlpm._delimiter,","&amp;CHAR(10),_xlpm._assumptions,ParseAllMitigationsFromComment($A8,"-","A",$O8,Definitions!$AR$4,Definitions!$AS$4,Definitions!$AR$6,_xlpm._delimiter,1),_xlpm._countermeasures,ParseAllMitigationsFromComment($A8,"-","C",$O8,Definitions!$AR$5,Definitions!$AS$5,Definitions!$AR$6,_xlpm._delimiter,1),IF(_xlpm._countermeasures="",RemoveDelimiter(_xlpm._assumptions,_xlpm._delimiter),_xlpm._assumptions&amp;RemoveDelimiter(_xlpm._countermeasures,_xlpm._delimiter)))</f>
        <v/>
      </c>
      <c r="AH8" s="21" t="str" cm="1">
        <f t="array" ref="AH8">CreateSearchString(SanitizeInput($J8)&amp;GetValuesIgnoreErrors(SanitizeInput($J8),Countermeasures!$A:$G,"",",",FALSE))</f>
        <v/>
      </c>
      <c r="AI8" s="21" t="str" cm="1">
        <f t="array" ca="1" aca="1" ref="AI8">IF(AND(IFERROR(FIND(","&amp;Countermeasures!$A$30&amp;",",$AH8)&gt;0,FALSE),Countermeasures!$AF$30=TRUE,SimpleLookup(Questions!$A$48,Questionnaire!$A:$C)=Definitions!$A$5),$A8&amp;" "&amp;$B8,"")</f>
        <v/>
      </c>
      <c r="AJ8" s="21" cm="1">
        <f t="array" ca="1" aca="1" ref="AJ8">CreateID($AJ$2,$AJ:$AJ,$AI8&lt;&gt;"")</f>
        <v>0</v>
      </c>
      <c r="AK8" s="21" t="str">
        <f t="shared" ca="1" si="2"/>
        <v/>
      </c>
      <c r="AL8" s="21" cm="1">
        <f t="array" ca="1" aca="1" ref="AL8">CreateID($AL$2,$AL:$AL,$AK8&lt;&gt;"")</f>
        <v>0</v>
      </c>
      <c r="AM8" s="21" t="str">
        <f t="shared" si="3"/>
        <v/>
      </c>
      <c r="AN8" s="21" cm="1">
        <f t="array" ref="AN8">CreateID($AN$2,$AN:$AN,$AM8&lt;&gt;"")</f>
        <v>0</v>
      </c>
    </row>
    <row r="9" spans="1:40" ht="135.75">
      <c r="A9" s="16" t="str" cm="1">
        <f t="array" ref="A9">IF($R9=0,"",INDEX('Attack Steps'!A:A,$R9))</f>
        <v>AS7</v>
      </c>
      <c r="B9" s="16" t="str" cm="1">
        <f t="array" ref="B9">IF($R9=0,"",INDEX('Attack Steps'!B:B,$R9))</f>
        <v>Spoofing / tampering with the product's incoming communication</v>
      </c>
      <c r="C9" s="13">
        <f>3</f>
        <v>3</v>
      </c>
      <c r="D9" s="19" t="str" cm="1">
        <f t="array" ca="1" aca="1" ref="D9">_xlfn.LET(_xlpm._displayLimit,$C9,_xlpm._risks,$S9,_xlpm._delimiter,CHAR(10)&amp;REPT(_xlfn.UNICHAR(9552),50)&amp;CHAR(10),_xlpm._attackPaths,RemoveDelimiter(GetValues(RIGHT(_xlpm._risks,LEN(_xlpm._risks)-FIND(":",_xlpm._risks)),Risks!$A:$B,"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R1-7 AS7 Spoofing / tampering with the product's incoming communication
–––––––––––––––––––––––––––––––––––––––––––––––––––––––
AS1 Getting access to a trusted operational environment
══════════════════════════════════════════════════
R2-7 AS7 Spoofing / tampering with the product's incoming communication
–––––––––––––––––––––––––––––––––––––––––––––––––––––––
AS2 Getting access to a wireless network
══════════════════════════════════════════════════
R1-7-32 AS32 Extracting or misusing acontis techonlogies GmbH IP
–––––––––––––––––––––––––––––––––––––––––––––––––––––––
AS1 Getting access to a trusted operational environment,
AS7 Spoofing / tampering with the product's incoming communication</v>
      </c>
      <c r="E9" s="16" t="str" cm="1">
        <f t="array" ca="1" aca="1" ref="E9">_xlfn.LET(_xlpm._riskValue,CalculateMaxFromList($T9,0,Risks!$A:$AJ),INDEX(Definitions!$AE:$AE,MATCH(_xlpm._riskValue,Definitions!$AF:$AF,0)))</f>
        <v>Very High</v>
      </c>
      <c r="F9" s="16" t="str" cm="1">
        <f t="array" ca="1" aca="1" ref="F9">IF($A9="","",SUBSTITUTE(RemoveDelimiter(SanitizeInput(SimpleLookup($A9,'Attack Steps'!$A:$AE)),","),",",", "))</f>
        <v>CM11</v>
      </c>
      <c r="G9" s="16" t="str" cm="1">
        <f t="array" ca="1" aca="1" ref="G9">IF($A9="","",SUBSTITUTE(RemoveDelimiter(SanitizeInput(SimpleLookup($A9,'Attack Steps'!$A:$AF)),","),",",", "))</f>
        <v/>
      </c>
      <c r="H9" s="79" t="str" cm="1">
        <f t="array" ca="1" aca="1" ref="H9">IF($A9="","",_xlfn.LET(_xlpm._proposedActive,SanitizeInput($G9),_xlpm._proposedAll,SimpleLookup($A9,'Attack Steps'!$A:$AG),_xlpm._proposedDiff,FilterElementsFromList(_xlpm._proposedAll,_xlpm._proposedActive,FALSE,","),SUBSTITUTE(RemoveDelimiter(SanitizeInput(_xlpm._proposedDiff),","),",",", ")))</f>
        <v/>
      </c>
      <c r="I9" s="16" t="str" cm="1">
        <f t="array" ca="1" aca="1" ref="I9">RemoveDelimiter(GetValuesWithFallback(SanitizeInput($F9)&amp;SanitizeInput($G9)&amp;SanitizeInput($H9),Countermeasures!$A:$B,Assumptions!$A:$B," ",","&amp;CHAR(10),TRUE),","&amp;CHAR(10))</f>
        <v>CM11 SCR 2.9 - Secure channel with communication partner authentication</v>
      </c>
      <c r="J9" s="13"/>
      <c r="K9" s="16" t="str" cm="1">
        <f t="array" ref="K9">RemoveDelimiter(GetValuesWithFallback(SanitizeInput($J9),Countermeasures!$A:$B,Assumptions!$A:$B," ",","&amp;CHAR(10),TRUE),","&amp;CHAR(10))</f>
        <v/>
      </c>
      <c r="L9" s="13">
        <f>3</f>
        <v>3</v>
      </c>
      <c r="M9" s="19" t="str" cm="1">
        <f t="array" ca="1" aca="1" ref="M9">_xlfn.LET(_xlpm._displayLimit,$L9,_xlpm._risks,$V9,_xlpm._delimiter,CHAR(10)&amp;REPT(_xlfn.UNICHAR(9552),50)&amp;CHAR(10),_xlpm._attackPaths,RemoveDelimiter(GetValues(RIGHT(_xlpm._risks,LEN(_xlpm._risks)-FIND(":",_xlpm._risks)),Risks!$A:$B,"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R1-7 AS7 Spoofing / tampering with the product's incoming communication
–––––––––––––––––––––––––––––––––––––––––––––––––––––––
AS1 Getting access to a trusted operational environment
══════════════════════════════════════════════════
R2-7 AS7 Spoofing / tampering with the product's incoming communication
–––––––––––––––––––––––––––––––––––––––––––––––––––––––
AS2 Getting access to a wireless network
══════════════════════════════════════════════════
R1-7-32 AS32 Extracting or misusing acontis techonlogies GmbH IP
–––––––––––––––––––––––––––––––––––––––––––––––––––––––
AS1 Getting access to a trusted operational environment,
AS7 Spoofing / tampering with the product's incoming communication</v>
      </c>
      <c r="N9" s="16" t="str">
        <f ca="1">INDEX(Definitions!$AE:$AE,MATCH($W9,Definitions!$AF:$AF,0))</f>
        <v>Very High</v>
      </c>
      <c r="O9" s="13"/>
      <c r="P9" s="10" cm="1">
        <f t="array" ref="P9">GenerateShadowID(ROW(),$P$2,$P:$P,0,$A9&lt;&gt;"")</f>
        <v>7</v>
      </c>
      <c r="Q9" s="10" cm="1">
        <f t="array" ref="Q9">CreateTaskID($Q$2,$Q:$Q,Tasks!$B$17,$O9)</f>
        <v>0</v>
      </c>
      <c r="R9" s="10">
        <f>IFERROR(MATCH(ROW()-ROW($R$2),'Attack Steps'!$Q:$Q,0),0)</f>
        <v>9</v>
      </c>
      <c r="S9" s="10" t="str" cm="1">
        <f t="array" ca="1" aca="1" ref="S9">CalculateMaxAndElements($T9,0,"",Risks!$A:$AJ)</f>
        <v>4:R1-7,R2-7,R1-7-32,R2-7-32,</v>
      </c>
      <c r="T9" s="10" t="str" cm="1">
        <f t="array" ca="1" aca="1" ref="T9">InverseLookup($A9,Risks!$AI$2,Risks!$A$2,1,Helper!$B$1,",")</f>
        <v>R1-7,R2-7,R1-7-32,R2-7-32,</v>
      </c>
      <c r="U9" s="10" t="str">
        <f t="shared" ca="1" si="0"/>
        <v>,R1-7,R2-7,R1-7-32,R2-7-32,</v>
      </c>
      <c r="V9" s="10" t="str" cm="1">
        <f t="array" ca="1" aca="1" ref="V9">CalculateMaxAndElements($T9,0,"",Risks!$A:$BK)</f>
        <v>4:R1-7,R2-7,R1-7-32,R2-7-32,</v>
      </c>
      <c r="W9" s="21">
        <f t="shared" ca="1" si="1"/>
        <v>4</v>
      </c>
      <c r="X9" s="21" t="str" cm="1">
        <f t="array" ref="X9">IF($J9="","",","&amp;SanitizeInput($J9))</f>
        <v/>
      </c>
      <c r="Y9" s="21" t="b" cm="1">
        <f t="array" ca="1" aca="1" ref="Y9">INDEX('Attack Steps'!$AI:$AI,$R9)</f>
        <v>1</v>
      </c>
      <c r="Z9" s="21" cm="1">
        <f t="array" ref="Z9">CreateID($Z$2,$Z:$Z,IFERROR(FIND(Definitions!$AR$4,$O9)&gt;0,FALSE))</f>
        <v>0</v>
      </c>
      <c r="AA9" s="21">
        <f>_xlfn.LET(_xlpm._comment,$O9,_xlpm._keyWord,Definitions!$AR$4,_xlpm._diffLen,LEN(_xlpm._comment)-LEN(SUBSTITUTE(_xlpm._comment,_xlpm._keyWord,"")),_xlpm._diffLen/LEN(_xlpm._keyWord))</f>
        <v>0</v>
      </c>
      <c r="AB9" s="21" cm="1">
        <f t="array" ref="AB9">CreateID($AB$2,$AB:$AB,IFERROR(FIND(Definitions!$AR$5,$O9)&gt;0,FALSE))</f>
        <v>0</v>
      </c>
      <c r="AC9" s="21">
        <f>_xlfn.LET(_xlpm._comment,$O9,_xlpm._keyWord,Definitions!$AR$5,_xlpm._diffLen,LEN(_xlpm._comment)-LEN(SUBSTITUTE(_xlpm._comment,_xlpm._keyWord,"")),_xlpm._diffLen/LEN(_xlpm._keyWord))</f>
        <v>0</v>
      </c>
      <c r="AD9" s="21" t="str" cm="1">
        <f t="array" ref="AD9">CreateSearchString($J9)</f>
        <v/>
      </c>
      <c r="AE9" s="21" t="str" cm="1">
        <f t="array" ca="1" aca="1" ref="AE9">_xlfn.LET(_xlpm._selected,SanitizeInput($J9),_xlpm._catalogOptions,SanitizeInput($F9)&amp;SanitizeInput($G9)&amp;SanitizeInput($H9),_xlpm._selectedNotInOptions,FilterElementsFromList(_xlpm._selected,_xlpm._catalogOptions,FALSE,","),IF(_xlpm._selectedNotInOptions="","",$A9&amp;" "&amp;$B9&amp;": "&amp;SUBSTITUTE(RemoveDelimiter(_xlpm._selectedNotInOptions,","),",",", ")))</f>
        <v/>
      </c>
      <c r="AF9" s="21" cm="1">
        <f t="array" ca="1" aca="1" ref="AF9">CreateID($AF$2,$AF:$AF,$AE9&lt;&gt;"")</f>
        <v>0</v>
      </c>
      <c r="AG9" s="21" t="str" cm="1">
        <f t="array" ref="AG9">_xlfn.LET(_xlpm._delimiter,","&amp;CHAR(10),_xlpm._assumptions,ParseAllMitigationsFromComment($A9,"-","A",$O9,Definitions!$AR$4,Definitions!$AS$4,Definitions!$AR$6,_xlpm._delimiter,1),_xlpm._countermeasures,ParseAllMitigationsFromComment($A9,"-","C",$O9,Definitions!$AR$5,Definitions!$AS$5,Definitions!$AR$6,_xlpm._delimiter,1),IF(_xlpm._countermeasures="",RemoveDelimiter(_xlpm._assumptions,_xlpm._delimiter),_xlpm._assumptions&amp;RemoveDelimiter(_xlpm._countermeasures,_xlpm._delimiter)))</f>
        <v/>
      </c>
      <c r="AH9" s="21" t="str" cm="1">
        <f t="array" ref="AH9">CreateSearchString(SanitizeInput($J9)&amp;GetValuesIgnoreErrors(SanitizeInput($J9),Countermeasures!$A:$G,"",",",FALSE))</f>
        <v/>
      </c>
      <c r="AI9" s="21" t="str" cm="1">
        <f t="array" ca="1" aca="1" ref="AI9">IF(AND(IFERROR(FIND(","&amp;Countermeasures!$A$30&amp;",",$AH9)&gt;0,FALSE),Countermeasures!$AF$30=TRUE,SimpleLookup(Questions!$A$48,Questionnaire!$A:$C)=Definitions!$A$5),$A9&amp;" "&amp;$B9,"")</f>
        <v/>
      </c>
      <c r="AJ9" s="21" cm="1">
        <f t="array" ca="1" aca="1" ref="AJ9">CreateID($AJ$2,$AJ:$AJ,$AI9&lt;&gt;"")</f>
        <v>0</v>
      </c>
      <c r="AK9" s="21" t="str">
        <f t="shared" ca="1" si="2"/>
        <v/>
      </c>
      <c r="AL9" s="21" cm="1">
        <f t="array" ca="1" aca="1" ref="AL9">CreateID($AL$2,$AL:$AL,$AK9&lt;&gt;"")</f>
        <v>0</v>
      </c>
      <c r="AM9" s="21" t="str">
        <f t="shared" si="3"/>
        <v/>
      </c>
      <c r="AN9" s="21" cm="1">
        <f t="array" ref="AN9">CreateID($AN$2,$AN:$AN,$AM9&lt;&gt;"")</f>
        <v>0</v>
      </c>
    </row>
    <row r="10" spans="1:40" ht="60">
      <c r="A10" s="16" t="str" cm="1">
        <f t="array" ref="A10">IF($R10=0,"",INDEX('Attack Steps'!A:A,$R10))</f>
        <v>AS8</v>
      </c>
      <c r="B10" s="16" t="str" cm="1">
        <f t="array" ref="B10">IF($R10=0,"",INDEX('Attack Steps'!B:B,$R10))</f>
        <v>Disrupting the product's communication over the wireless network</v>
      </c>
      <c r="C10" s="13">
        <f>3</f>
        <v>3</v>
      </c>
      <c r="D10" s="19" t="str" cm="1">
        <f t="array" ca="1" aca="1" ref="D10">_xlfn.LET(_xlpm._displayLimit,$C10,_xlpm._risks,$S10,_xlpm._delimiter,CHAR(10)&amp;REPT(_xlfn.UNICHAR(9552),50)&amp;CHAR(10),_xlpm._attackPaths,RemoveDelimiter(GetValues(RIGHT(_xlpm._risks,LEN(_xlpm._risks)-FIND(":",_xlpm._risks)),Risks!$A:$B,"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10" s="16" t="str" cm="1">
        <f t="array" ca="1" aca="1" ref="E10">_xlfn.LET(_xlpm._riskValue,CalculateMaxFromList($T10,0,Risks!$A:$AJ),INDEX(Definitions!$AE:$AE,MATCH(_xlpm._riskValue,Definitions!$AF:$AF,0)))</f>
        <v>No Risk</v>
      </c>
      <c r="F10" s="16" t="str" cm="1">
        <f t="array" ca="1" aca="1" ref="F10">IF($A10="","",SUBSTITUTE(RemoveDelimiter(SanitizeInput(SimpleLookup($A10,'Attack Steps'!$A:$AE)),","),",",", "))</f>
        <v/>
      </c>
      <c r="G10" s="16" t="str" cm="1">
        <f t="array" ca="1" aca="1" ref="G10">IF($A10="","",SUBSTITUTE(RemoveDelimiter(SanitizeInput(SimpleLookup($A10,'Attack Steps'!$A:$AF)),","),",",", "))</f>
        <v/>
      </c>
      <c r="H10" s="79" t="str" cm="1">
        <f t="array" ca="1" aca="1" ref="H10">IF($A10="","",_xlfn.LET(_xlpm._proposedActive,SanitizeInput($G10),_xlpm._proposedAll,SimpleLookup($A10,'Attack Steps'!$A:$AG),_xlpm._proposedDiff,FilterElementsFromList(_xlpm._proposedAll,_xlpm._proposedActive,FALSE,","),SUBSTITUTE(RemoveDelimiter(SanitizeInput(_xlpm._proposedDiff),","),",",", ")))</f>
        <v>A29</v>
      </c>
      <c r="I10" s="16" t="str" cm="1">
        <f t="array" ca="1" aca="1" ref="I10">RemoveDelimiter(GetValuesWithFallback(SanitizeInput($F10)&amp;SanitizeInput($G10)&amp;SanitizeInput($H10),Countermeasures!$A:$B,Assumptions!$A:$B," ",","&amp;CHAR(10),TRUE),","&amp;CHAR(10))</f>
        <v>A29 SDR 1.26 - The customer ensures that a loss of wireless communication with the product is manageable</v>
      </c>
      <c r="J10" s="13"/>
      <c r="K10" s="16" t="str" cm="1">
        <f t="array" ref="K10">RemoveDelimiter(GetValuesWithFallback(SanitizeInput($J10),Countermeasures!$A:$B,Assumptions!$A:$B," ",","&amp;CHAR(10),TRUE),","&amp;CHAR(10))</f>
        <v/>
      </c>
      <c r="L10" s="13">
        <f>3</f>
        <v>3</v>
      </c>
      <c r="M10" s="19" t="str" cm="1">
        <f t="array" ca="1" aca="1" ref="M10">_xlfn.LET(_xlpm._displayLimit,$L10,_xlpm._risks,$V10,_xlpm._delimiter,CHAR(10)&amp;REPT(_xlfn.UNICHAR(9552),50)&amp;CHAR(10),_xlpm._attackPaths,RemoveDelimiter(GetValues(RIGHT(_xlpm._risks,LEN(_xlpm._risks)-FIND(":",_xlpm._risks)),Risks!$A:$B,"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10" s="16" t="str">
        <f ca="1">INDEX(Definitions!$AE:$AE,MATCH($W10,Definitions!$AF:$AF,0))</f>
        <v>No Risk</v>
      </c>
      <c r="O10" s="13"/>
      <c r="P10" s="10" cm="1">
        <f t="array" ref="P10">GenerateShadowID(ROW(),$P$2,$P:$P,0,$A10&lt;&gt;"")</f>
        <v>8</v>
      </c>
      <c r="Q10" s="10" cm="1">
        <f t="array" ref="Q10">CreateTaskID($Q$2,$Q:$Q,Tasks!$B$17,$O10)</f>
        <v>0</v>
      </c>
      <c r="R10" s="10">
        <f>IFERROR(MATCH(ROW()-ROW($R$2),'Attack Steps'!$Q:$Q,0),0)</f>
        <v>10</v>
      </c>
      <c r="S10" s="10" t="str" cm="1">
        <f t="array" ca="1" aca="1" ref="S10">CalculateMaxAndElements($T10,0,"",Risks!$A:$AJ)</f>
        <v>0:</v>
      </c>
      <c r="T10" s="10" t="str" cm="1">
        <f t="array" ca="1" aca="1" ref="T10">InverseLookup($A10,Risks!$AI$2,Risks!$A$2,1,Helper!$B$1,",")</f>
        <v/>
      </c>
      <c r="U10" s="10" t="str">
        <f t="shared" ca="1" si="0"/>
        <v/>
      </c>
      <c r="V10" s="10" t="str" cm="1">
        <f t="array" ca="1" aca="1" ref="V10">CalculateMaxAndElements($T10,0,"",Risks!$A:$BK)</f>
        <v>0:</v>
      </c>
      <c r="W10" s="21">
        <f t="shared" ca="1" si="1"/>
        <v>0</v>
      </c>
      <c r="X10" s="21" t="str" cm="1">
        <f t="array" ref="X10">IF($J10="","",","&amp;SanitizeInput($J10))</f>
        <v/>
      </c>
      <c r="Y10" s="21" t="b" cm="1">
        <f t="array" ca="1" aca="1" ref="Y10">INDEX('Attack Steps'!$AI:$AI,$R10)</f>
        <v>0</v>
      </c>
      <c r="Z10" s="21" cm="1">
        <f t="array" ref="Z10">CreateID($Z$2,$Z:$Z,IFERROR(FIND(Definitions!$AR$4,$O10)&gt;0,FALSE))</f>
        <v>0</v>
      </c>
      <c r="AA10" s="21">
        <f>_xlfn.LET(_xlpm._comment,$O10,_xlpm._keyWord,Definitions!$AR$4,_xlpm._diffLen,LEN(_xlpm._comment)-LEN(SUBSTITUTE(_xlpm._comment,_xlpm._keyWord,"")),_xlpm._diffLen/LEN(_xlpm._keyWord))</f>
        <v>0</v>
      </c>
      <c r="AB10" s="21" cm="1">
        <f t="array" ref="AB10">CreateID($AB$2,$AB:$AB,IFERROR(FIND(Definitions!$AR$5,$O10)&gt;0,FALSE))</f>
        <v>0</v>
      </c>
      <c r="AC10" s="21">
        <f>_xlfn.LET(_xlpm._comment,$O10,_xlpm._keyWord,Definitions!$AR$5,_xlpm._diffLen,LEN(_xlpm._comment)-LEN(SUBSTITUTE(_xlpm._comment,_xlpm._keyWord,"")),_xlpm._diffLen/LEN(_xlpm._keyWord))</f>
        <v>0</v>
      </c>
      <c r="AD10" s="21" t="str" cm="1">
        <f t="array" ref="AD10">CreateSearchString($J10)</f>
        <v/>
      </c>
      <c r="AE10" s="21" t="str" cm="1">
        <f t="array" ca="1" aca="1" ref="AE10">_xlfn.LET(_xlpm._selected,SanitizeInput($J10),_xlpm._catalogOptions,SanitizeInput($F10)&amp;SanitizeInput($G10)&amp;SanitizeInput($H10),_xlpm._selectedNotInOptions,FilterElementsFromList(_xlpm._selected,_xlpm._catalogOptions,FALSE,","),IF(_xlpm._selectedNotInOptions="","",$A10&amp;" "&amp;$B10&amp;": "&amp;SUBSTITUTE(RemoveDelimiter(_xlpm._selectedNotInOptions,","),",",", ")))</f>
        <v/>
      </c>
      <c r="AF10" s="21" cm="1">
        <f t="array" ca="1" aca="1" ref="AF10">CreateID($AF$2,$AF:$AF,$AE10&lt;&gt;"")</f>
        <v>0</v>
      </c>
      <c r="AG10" s="21" t="str" cm="1">
        <f t="array" ref="AG10">_xlfn.LET(_xlpm._delimiter,","&amp;CHAR(10),_xlpm._assumptions,ParseAllMitigationsFromComment($A10,"-","A",$O10,Definitions!$AR$4,Definitions!$AS$4,Definitions!$AR$6,_xlpm._delimiter,1),_xlpm._countermeasures,ParseAllMitigationsFromComment($A10,"-","C",$O10,Definitions!$AR$5,Definitions!$AS$5,Definitions!$AR$6,_xlpm._delimiter,1),IF(_xlpm._countermeasures="",RemoveDelimiter(_xlpm._assumptions,_xlpm._delimiter),_xlpm._assumptions&amp;RemoveDelimiter(_xlpm._countermeasures,_xlpm._delimiter)))</f>
        <v/>
      </c>
      <c r="AH10" s="21" t="str" cm="1">
        <f t="array" ref="AH10">CreateSearchString(SanitizeInput($J10)&amp;GetValuesIgnoreErrors(SanitizeInput($J10),Countermeasures!$A:$G,"",",",FALSE))</f>
        <v/>
      </c>
      <c r="AI10" s="21" t="str" cm="1">
        <f t="array" ca="1" aca="1" ref="AI10">IF(AND(IFERROR(FIND(","&amp;Countermeasures!$A$30&amp;",",$AH10)&gt;0,FALSE),Countermeasures!$AF$30=TRUE,SimpleLookup(Questions!$A$48,Questionnaire!$A:$C)=Definitions!$A$5),$A10&amp;" "&amp;$B10,"")</f>
        <v/>
      </c>
      <c r="AJ10" s="21" cm="1">
        <f t="array" ca="1" aca="1" ref="AJ10">CreateID($AJ$2,$AJ:$AJ,$AI10&lt;&gt;"")</f>
        <v>0</v>
      </c>
      <c r="AK10" s="21" t="str">
        <f t="shared" ca="1" si="2"/>
        <v/>
      </c>
      <c r="AL10" s="21" cm="1">
        <f t="array" ca="1" aca="1" ref="AL10">CreateID($AL$2,$AL:$AL,$AK10&lt;&gt;"")</f>
        <v>0</v>
      </c>
      <c r="AM10" s="21" t="str">
        <f t="shared" si="3"/>
        <v/>
      </c>
      <c r="AN10" s="21" cm="1">
        <f t="array" ref="AN10">CreateID($AN$2,$AN:$AN,$AM10&lt;&gt;"")</f>
        <v>0</v>
      </c>
    </row>
    <row r="11" spans="1:40" ht="30">
      <c r="A11" s="16" t="str" cm="1">
        <f t="array" ref="A11">IF($R11=0,"",INDEX('Attack Steps'!A:A,$R11))</f>
        <v>AS9</v>
      </c>
      <c r="B11" s="16" t="str" cm="1">
        <f t="array" ref="B11">IF($R11=0,"",INDEX('Attack Steps'!B:B,$R11))</f>
        <v>Attacking the product's internal gateway from the Internet</v>
      </c>
      <c r="C11" s="13">
        <f>3</f>
        <v>3</v>
      </c>
      <c r="D11" s="19" t="str" cm="1">
        <f t="array" ca="1" aca="1" ref="D11">_xlfn.LET(_xlpm._displayLimit,$C11,_xlpm._risks,$S11,_xlpm._delimiter,CHAR(10)&amp;REPT(_xlfn.UNICHAR(9552),50)&amp;CHAR(10),_xlpm._attackPaths,RemoveDelimiter(GetValues(RIGHT(_xlpm._risks,LEN(_xlpm._risks)-FIND(":",_xlpm._risks)),Risks!$A:$B,"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11" s="16" t="str" cm="1">
        <f t="array" ca="1" aca="1" ref="E11">_xlfn.LET(_xlpm._riskValue,CalculateMaxFromList($T11,0,Risks!$A:$AJ),INDEX(Definitions!$AE:$AE,MATCH(_xlpm._riskValue,Definitions!$AF:$AF,0)))</f>
        <v>No Risk</v>
      </c>
      <c r="F11" s="16" t="str" cm="1">
        <f t="array" ca="1" aca="1" ref="F11">IF($A11="","",SUBSTITUTE(RemoveDelimiter(SanitizeInput(SimpleLookup($A11,'Attack Steps'!$A:$AE)),","),",",", "))</f>
        <v>CM1</v>
      </c>
      <c r="G11" s="16" t="str" cm="1">
        <f t="array" ca="1" aca="1" ref="G11">IF($A11="","",SUBSTITUTE(RemoveDelimiter(SanitizeInput(SimpleLookup($A11,'Attack Steps'!$A:$AF)),","),",",", "))</f>
        <v/>
      </c>
      <c r="H11" s="79" t="str" cm="1">
        <f t="array" ca="1" aca="1" ref="H11">IF($A11="","",_xlfn.LET(_xlpm._proposedActive,SanitizeInput($G11),_xlpm._proposedAll,SimpleLookup($A11,'Attack Steps'!$A:$AG),_xlpm._proposedDiff,FilterElementsFromList(_xlpm._proposedAll,_xlpm._proposedActive,FALSE,","),SUBSTITUTE(RemoveDelimiter(SanitizeInput(_xlpm._proposedDiff),","),",",", ")))</f>
        <v/>
      </c>
      <c r="I11" s="16" t="str" cm="1">
        <f t="array" ca="1" aca="1" ref="I11">RemoveDelimiter(GetValuesWithFallback(SanitizeInput($F11)&amp;SanitizeInput($G11)&amp;SanitizeInput($H11),Countermeasures!$A:$B,Assumptions!$A:$B," ",","&amp;CHAR(10),TRUE),","&amp;CHAR(10))</f>
        <v>CM1 SCR 2.1 - Device Firewall</v>
      </c>
      <c r="J11" s="13"/>
      <c r="K11" s="16" t="str" cm="1">
        <f t="array" ref="K11">RemoveDelimiter(GetValuesWithFallback(SanitizeInput($J11),Countermeasures!$A:$B,Assumptions!$A:$B," ",","&amp;CHAR(10),TRUE),","&amp;CHAR(10))</f>
        <v/>
      </c>
      <c r="L11" s="13">
        <f>3</f>
        <v>3</v>
      </c>
      <c r="M11" s="19" t="str" cm="1">
        <f t="array" ca="1" aca="1" ref="M11">_xlfn.LET(_xlpm._displayLimit,$L11,_xlpm._risks,$V11,_xlpm._delimiter,CHAR(10)&amp;REPT(_xlfn.UNICHAR(9552),50)&amp;CHAR(10),_xlpm._attackPaths,RemoveDelimiter(GetValues(RIGHT(_xlpm._risks,LEN(_xlpm._risks)-FIND(":",_xlpm._risks)),Risks!$A:$B,"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11" s="16" t="str">
        <f ca="1">INDEX(Definitions!$AE:$AE,MATCH($W11,Definitions!$AF:$AF,0))</f>
        <v>No Risk</v>
      </c>
      <c r="O11" s="13"/>
      <c r="P11" s="10" cm="1">
        <f t="array" ref="P11">GenerateShadowID(ROW(),$P$2,$P:$P,0,$A11&lt;&gt;"")</f>
        <v>9</v>
      </c>
      <c r="Q11" s="10" cm="1">
        <f t="array" ref="Q11">CreateTaskID($Q$2,$Q:$Q,Tasks!$B$17,$O11)</f>
        <v>0</v>
      </c>
      <c r="R11" s="10">
        <f>IFERROR(MATCH(ROW()-ROW($R$2),'Attack Steps'!$Q:$Q,0),0)</f>
        <v>11</v>
      </c>
      <c r="S11" s="10" t="str" cm="1">
        <f t="array" ca="1" aca="1" ref="S11">CalculateMaxAndElements($T11,0,"",Risks!$A:$AJ)</f>
        <v>0:</v>
      </c>
      <c r="T11" s="10" t="str" cm="1">
        <f t="array" ca="1" aca="1" ref="T11">InverseLookup($A11,Risks!$AI$2,Risks!$A$2,1,Helper!$B$1,",")</f>
        <v/>
      </c>
      <c r="U11" s="10" t="str">
        <f t="shared" ca="1" si="0"/>
        <v/>
      </c>
      <c r="V11" s="10" t="str" cm="1">
        <f t="array" ca="1" aca="1" ref="V11">CalculateMaxAndElements($T11,0,"",Risks!$A:$BK)</f>
        <v>0:</v>
      </c>
      <c r="W11" s="21">
        <f t="shared" ca="1" si="1"/>
        <v>0</v>
      </c>
      <c r="X11" s="21" t="str" cm="1">
        <f t="array" ref="X11">IF($J11="","",","&amp;SanitizeInput($J11))</f>
        <v/>
      </c>
      <c r="Y11" s="21" t="b" cm="1">
        <f t="array" ca="1" aca="1" ref="Y11">INDEX('Attack Steps'!$AI:$AI,$R11)</f>
        <v>0</v>
      </c>
      <c r="Z11" s="21" cm="1">
        <f t="array" ref="Z11">CreateID($Z$2,$Z:$Z,IFERROR(FIND(Definitions!$AR$4,$O11)&gt;0,FALSE))</f>
        <v>0</v>
      </c>
      <c r="AA11" s="21">
        <f>_xlfn.LET(_xlpm._comment,$O11,_xlpm._keyWord,Definitions!$AR$4,_xlpm._diffLen,LEN(_xlpm._comment)-LEN(SUBSTITUTE(_xlpm._comment,_xlpm._keyWord,"")),_xlpm._diffLen/LEN(_xlpm._keyWord))</f>
        <v>0</v>
      </c>
      <c r="AB11" s="21" cm="1">
        <f t="array" ref="AB11">CreateID($AB$2,$AB:$AB,IFERROR(FIND(Definitions!$AR$5,$O11)&gt;0,FALSE))</f>
        <v>0</v>
      </c>
      <c r="AC11" s="21">
        <f>_xlfn.LET(_xlpm._comment,$O11,_xlpm._keyWord,Definitions!$AR$5,_xlpm._diffLen,LEN(_xlpm._comment)-LEN(SUBSTITUTE(_xlpm._comment,_xlpm._keyWord,"")),_xlpm._diffLen/LEN(_xlpm._keyWord))</f>
        <v>0</v>
      </c>
      <c r="AD11" s="21" t="str" cm="1">
        <f t="array" ref="AD11">CreateSearchString($J11)</f>
        <v/>
      </c>
      <c r="AE11" s="21" t="str" cm="1">
        <f t="array" ca="1" aca="1" ref="AE11">_xlfn.LET(_xlpm._selected,SanitizeInput($J11),_xlpm._catalogOptions,SanitizeInput($F11)&amp;SanitizeInput($G11)&amp;SanitizeInput($H11),_xlpm._selectedNotInOptions,FilterElementsFromList(_xlpm._selected,_xlpm._catalogOptions,FALSE,","),IF(_xlpm._selectedNotInOptions="","",$A11&amp;" "&amp;$B11&amp;": "&amp;SUBSTITUTE(RemoveDelimiter(_xlpm._selectedNotInOptions,","),",",", ")))</f>
        <v/>
      </c>
      <c r="AF11" s="21" cm="1">
        <f t="array" ca="1" aca="1" ref="AF11">CreateID($AF$2,$AF:$AF,$AE11&lt;&gt;"")</f>
        <v>0</v>
      </c>
      <c r="AG11" s="21" t="str" cm="1">
        <f t="array" ref="AG11">_xlfn.LET(_xlpm._delimiter,","&amp;CHAR(10),_xlpm._assumptions,ParseAllMitigationsFromComment($A11,"-","A",$O11,Definitions!$AR$4,Definitions!$AS$4,Definitions!$AR$6,_xlpm._delimiter,1),_xlpm._countermeasures,ParseAllMitigationsFromComment($A11,"-","C",$O11,Definitions!$AR$5,Definitions!$AS$5,Definitions!$AR$6,_xlpm._delimiter,1),IF(_xlpm._countermeasures="",RemoveDelimiter(_xlpm._assumptions,_xlpm._delimiter),_xlpm._assumptions&amp;RemoveDelimiter(_xlpm._countermeasures,_xlpm._delimiter)))</f>
        <v/>
      </c>
      <c r="AH11" s="21" t="str" cm="1">
        <f t="array" ref="AH11">CreateSearchString(SanitizeInput($J11)&amp;GetValuesIgnoreErrors(SanitizeInput($J11),Countermeasures!$A:$G,"",",",FALSE))</f>
        <v/>
      </c>
      <c r="AI11" s="21" t="str" cm="1">
        <f t="array" ca="1" aca="1" ref="AI11">IF(AND(IFERROR(FIND(","&amp;Countermeasures!$A$30&amp;",",$AH11)&gt;0,FALSE),Countermeasures!$AF$30=TRUE,SimpleLookup(Questions!$A$48,Questionnaire!$A:$C)=Definitions!$A$5),$A11&amp;" "&amp;$B11,"")</f>
        <v/>
      </c>
      <c r="AJ11" s="21" cm="1">
        <f t="array" ca="1" aca="1" ref="AJ11">CreateID($AJ$2,$AJ:$AJ,$AI11&lt;&gt;"")</f>
        <v>0</v>
      </c>
      <c r="AK11" s="21" t="str">
        <f t="shared" ca="1" si="2"/>
        <v/>
      </c>
      <c r="AL11" s="21" cm="1">
        <f t="array" ca="1" aca="1" ref="AL11">CreateID($AL$2,$AL:$AL,$AK11&lt;&gt;"")</f>
        <v>0</v>
      </c>
      <c r="AM11" s="21" t="str">
        <f t="shared" si="3"/>
        <v/>
      </c>
      <c r="AN11" s="21" cm="1">
        <f t="array" ref="AN11">CreateID($AN$2,$AN:$AN,$AM11&lt;&gt;"")</f>
        <v>0</v>
      </c>
    </row>
    <row r="12" spans="1:40" ht="102">
      <c r="A12" s="16" t="str" cm="1">
        <f t="array" ref="A12">IF($R12=0,"",INDEX('Attack Steps'!A:A,$R12))</f>
        <v>AS10</v>
      </c>
      <c r="B12" s="16" t="str" cm="1">
        <f t="array" ref="B12">IF($R12=0,"",INDEX('Attack Steps'!B:B,$R12))</f>
        <v>Attacking devices in the customer's network</v>
      </c>
      <c r="C12" s="13">
        <f>3</f>
        <v>3</v>
      </c>
      <c r="D12" s="19" t="str" cm="1">
        <f t="array" ca="1" aca="1" ref="D12">_xlfn.LET(_xlpm._displayLimit,$C12,_xlpm._risks,$S12,_xlpm._delimiter,CHAR(10)&amp;REPT(_xlfn.UNICHAR(9552),50)&amp;CHAR(10),_xlpm._attackPaths,RemoveDelimiter(GetValues(RIGHT(_xlpm._risks,LEN(_xlpm._risks)-FIND(":",_xlpm._risks)),Risks!$A:$B,"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R1-3-10 AS10 Attacking devices in the customer's network
–––––––––––––––––––––––––––––––––––––––––––––––––––––––
AS1 Getting access to a trusted operational environment,
AS3 Compromising the product using a software vulnerability
══════════════════════════════════════════════════
R2-3-10 AS10 Attacking devices in the customer's network
–––––––––––––––––––––––––––––––––––––––––––––––––––––––
AS2 Getting access to a wireless network,
AS3 Compromising the product using a software vulnerability</v>
      </c>
      <c r="E12" s="16" t="str" cm="1">
        <f t="array" ca="1" aca="1" ref="E12">_xlfn.LET(_xlpm._riskValue,CalculateMaxFromList($T12,0,Risks!$A:$AJ),INDEX(Definitions!$AE:$AE,MATCH(_xlpm._riskValue,Definitions!$AF:$AF,0)))</f>
        <v>Very High</v>
      </c>
      <c r="F12" s="16" t="str" cm="1">
        <f t="array" ca="1" aca="1" ref="F12">IF($A12="","",SUBSTITUTE(RemoveDelimiter(SanitizeInput(SimpleLookup($A12,'Attack Steps'!$A:$AE)),","),",",", "))</f>
        <v/>
      </c>
      <c r="G12" s="16" t="str" cm="1">
        <f t="array" ca="1" aca="1" ref="G12">IF($A12="","",SUBSTITUTE(RemoveDelimiter(SanitizeInput(SimpleLookup($A12,'Attack Steps'!$A:$AF)),","),",",", "))</f>
        <v/>
      </c>
      <c r="H12" s="79" t="str" cm="1">
        <f t="array" ca="1" aca="1" ref="H12">IF($A12="","",_xlfn.LET(_xlpm._proposedActive,SanitizeInput($G12),_xlpm._proposedAll,SimpleLookup($A12,'Attack Steps'!$A:$AG),_xlpm._proposedDiff,FilterElementsFromList(_xlpm._proposedAll,_xlpm._proposedActive,FALSE,","),SUBSTITUTE(RemoveDelimiter(SanitizeInput(_xlpm._proposedDiff),","),",",", ")))</f>
        <v/>
      </c>
      <c r="I12" s="16" t="str" cm="1">
        <f t="array" ca="1" aca="1" ref="I12">RemoveDelimiter(GetValuesWithFallback(SanitizeInput($F12)&amp;SanitizeInput($G12)&amp;SanitizeInput($H12),Countermeasures!$A:$B,Assumptions!$A:$B," ",","&amp;CHAR(10),TRUE),","&amp;CHAR(10))</f>
        <v/>
      </c>
      <c r="J12" s="13"/>
      <c r="K12" s="16" t="str" cm="1">
        <f t="array" ref="K12">RemoveDelimiter(GetValuesWithFallback(SanitizeInput($J12),Countermeasures!$A:$B,Assumptions!$A:$B," ",","&amp;CHAR(10),TRUE),","&amp;CHAR(10))</f>
        <v/>
      </c>
      <c r="L12" s="13">
        <f>3</f>
        <v>3</v>
      </c>
      <c r="M12" s="19" t="str" cm="1">
        <f t="array" ca="1" aca="1" ref="M12">_xlfn.LET(_xlpm._displayLimit,$L12,_xlpm._risks,$V12,_xlpm._delimiter,CHAR(10)&amp;REPT(_xlfn.UNICHAR(9552),50)&amp;CHAR(10),_xlpm._attackPaths,RemoveDelimiter(GetValues(RIGHT(_xlpm._risks,LEN(_xlpm._risks)-FIND(":",_xlpm._risks)),Risks!$A:$B,"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R1-3-10 AS10 Attacking devices in the customer's network
–––––––––––––––––––––––––––––––––––––––––––––––––––––––
AS1 Getting access to a trusted operational environment,
AS3 Compromising the product using a software vulnerability
══════════════════════════════════════════════════
R2-3-10 AS10 Attacking devices in the customer's network
–––––––––––––––––––––––––––––––––––––––––––––––––––––––
AS2 Getting access to a wireless network,
AS3 Compromising the product using a software vulnerability</v>
      </c>
      <c r="N12" s="16" t="str">
        <f ca="1">INDEX(Definitions!$AE:$AE,MATCH($W12,Definitions!$AF:$AF,0))</f>
        <v>Very High</v>
      </c>
      <c r="O12" s="13"/>
      <c r="P12" s="10" cm="1">
        <f t="array" ref="P12">GenerateShadowID(ROW(),$P$2,$P:$P,0,$A12&lt;&gt;"")</f>
        <v>10</v>
      </c>
      <c r="Q12" s="10" cm="1">
        <f t="array" ref="Q12">CreateTaskID($Q$2,$Q:$Q,Tasks!$B$17,$O12)</f>
        <v>0</v>
      </c>
      <c r="R12" s="10">
        <f>IFERROR(MATCH(ROW()-ROW($R$2),'Attack Steps'!$Q:$Q,0),0)</f>
        <v>12</v>
      </c>
      <c r="S12" s="10" t="str" cm="1">
        <f t="array" ca="1" aca="1" ref="S12">CalculateMaxAndElements($T12,0,"",Risks!$A:$AJ)</f>
        <v>4:R1-3-10,R2-3-10,</v>
      </c>
      <c r="T12" s="10" t="str" cm="1">
        <f t="array" ca="1" aca="1" ref="T12">InverseLookup($A12,Risks!$AI$2,Risks!$A$2,1,Helper!$B$1,",")</f>
        <v>R1-3-10,R2-3-10,</v>
      </c>
      <c r="U12" s="10" t="str">
        <f t="shared" ca="1" si="0"/>
        <v>,R1-3-10,R2-3-10,</v>
      </c>
      <c r="V12" s="10" t="str" cm="1">
        <f t="array" ca="1" aca="1" ref="V12">CalculateMaxAndElements($T12,0,"",Risks!$A:$BK)</f>
        <v>4:R1-3-10,R2-3-10,</v>
      </c>
      <c r="W12" s="21">
        <f t="shared" ca="1" si="1"/>
        <v>4</v>
      </c>
      <c r="X12" s="21" t="str" cm="1">
        <f t="array" ref="X12">IF($J12="","",","&amp;SanitizeInput($J12))</f>
        <v/>
      </c>
      <c r="Y12" s="21" t="b" cm="1">
        <f t="array" ca="1" aca="1" ref="Y12">INDEX('Attack Steps'!$AI:$AI,$R12)</f>
        <v>1</v>
      </c>
      <c r="Z12" s="21" cm="1">
        <f t="array" ref="Z12">CreateID($Z$2,$Z:$Z,IFERROR(FIND(Definitions!$AR$4,$O12)&gt;0,FALSE))</f>
        <v>0</v>
      </c>
      <c r="AA12" s="21">
        <f>_xlfn.LET(_xlpm._comment,$O12,_xlpm._keyWord,Definitions!$AR$4,_xlpm._diffLen,LEN(_xlpm._comment)-LEN(SUBSTITUTE(_xlpm._comment,_xlpm._keyWord,"")),_xlpm._diffLen/LEN(_xlpm._keyWord))</f>
        <v>0</v>
      </c>
      <c r="AB12" s="21" cm="1">
        <f t="array" ref="AB12">CreateID($AB$2,$AB:$AB,IFERROR(FIND(Definitions!$AR$5,$O12)&gt;0,FALSE))</f>
        <v>0</v>
      </c>
      <c r="AC12" s="21">
        <f>_xlfn.LET(_xlpm._comment,$O12,_xlpm._keyWord,Definitions!$AR$5,_xlpm._diffLen,LEN(_xlpm._comment)-LEN(SUBSTITUTE(_xlpm._comment,_xlpm._keyWord,"")),_xlpm._diffLen/LEN(_xlpm._keyWord))</f>
        <v>0</v>
      </c>
      <c r="AD12" s="21" t="str" cm="1">
        <f t="array" ref="AD12">CreateSearchString($J12)</f>
        <v/>
      </c>
      <c r="AE12" s="21" t="str" cm="1">
        <f t="array" ca="1" aca="1" ref="AE12">_xlfn.LET(_xlpm._selected,SanitizeInput($J12),_xlpm._catalogOptions,SanitizeInput($F12)&amp;SanitizeInput($G12)&amp;SanitizeInput($H12),_xlpm._selectedNotInOptions,FilterElementsFromList(_xlpm._selected,_xlpm._catalogOptions,FALSE,","),IF(_xlpm._selectedNotInOptions="","",$A12&amp;" "&amp;$B12&amp;": "&amp;SUBSTITUTE(RemoveDelimiter(_xlpm._selectedNotInOptions,","),",",", ")))</f>
        <v/>
      </c>
      <c r="AF12" s="21" cm="1">
        <f t="array" ca="1" aca="1" ref="AF12">CreateID($AF$2,$AF:$AF,$AE12&lt;&gt;"")</f>
        <v>0</v>
      </c>
      <c r="AG12" s="21" t="str" cm="1">
        <f t="array" ref="AG12">_xlfn.LET(_xlpm._delimiter,","&amp;CHAR(10),_xlpm._assumptions,ParseAllMitigationsFromComment($A12,"-","A",$O12,Definitions!$AR$4,Definitions!$AS$4,Definitions!$AR$6,_xlpm._delimiter,1),_xlpm._countermeasures,ParseAllMitigationsFromComment($A12,"-","C",$O12,Definitions!$AR$5,Definitions!$AS$5,Definitions!$AR$6,_xlpm._delimiter,1),IF(_xlpm._countermeasures="",RemoveDelimiter(_xlpm._assumptions,_xlpm._delimiter),_xlpm._assumptions&amp;RemoveDelimiter(_xlpm._countermeasures,_xlpm._delimiter)))</f>
        <v/>
      </c>
      <c r="AH12" s="21" t="str" cm="1">
        <f t="array" ref="AH12">CreateSearchString(SanitizeInput($J12)&amp;GetValuesIgnoreErrors(SanitizeInput($J12),Countermeasures!$A:$G,"",",",FALSE))</f>
        <v/>
      </c>
      <c r="AI12" s="21" t="str" cm="1">
        <f t="array" ca="1" aca="1" ref="AI12">IF(AND(IFERROR(FIND(","&amp;Countermeasures!$A$30&amp;",",$AH12)&gt;0,FALSE),Countermeasures!$AF$30=TRUE,SimpleLookup(Questions!$A$48,Questionnaire!$A:$C)=Definitions!$A$5),$A12&amp;" "&amp;$B12,"")</f>
        <v/>
      </c>
      <c r="AJ12" s="21" cm="1">
        <f t="array" ca="1" aca="1" ref="AJ12">CreateID($AJ$2,$AJ:$AJ,$AI12&lt;&gt;"")</f>
        <v>0</v>
      </c>
      <c r="AK12" s="21" t="str">
        <f t="shared" ca="1" si="2"/>
        <v/>
      </c>
      <c r="AL12" s="21" cm="1">
        <f t="array" ca="1" aca="1" ref="AL12">CreateID($AL$2,$AL:$AL,$AK12&lt;&gt;"")</f>
        <v>0</v>
      </c>
      <c r="AM12" s="21" t="str">
        <f t="shared" si="3"/>
        <v/>
      </c>
      <c r="AN12" s="21" cm="1">
        <f t="array" ref="AN12">CreateID($AN$2,$AN:$AN,$AM12&lt;&gt;"")</f>
        <v>0</v>
      </c>
    </row>
    <row r="13" spans="1:40" ht="102">
      <c r="A13" s="16" t="str" cm="1">
        <f t="array" ref="A13">IF($R13=0,"",INDEX('Attack Steps'!A:A,$R13))</f>
        <v>AS11</v>
      </c>
      <c r="B13" s="16" t="str" cm="1">
        <f t="array" ref="B13">IF($R13=0,"",INDEX('Attack Steps'!B:B,$R13))</f>
        <v>Denial of Service on the customer's network</v>
      </c>
      <c r="C13" s="13">
        <f>3</f>
        <v>3</v>
      </c>
      <c r="D13" s="19" t="str" cm="1">
        <f t="array" ca="1" aca="1" ref="D13">_xlfn.LET(_xlpm._displayLimit,$C13,_xlpm._risks,$S13,_xlpm._delimiter,CHAR(10)&amp;REPT(_xlfn.UNICHAR(9552),50)&amp;CHAR(10),_xlpm._attackPaths,RemoveDelimiter(GetValues(RIGHT(_xlpm._risks,LEN(_xlpm._risks)-FIND(":",_xlpm._risks)),Risks!$A:$B,"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R1-3-11 AS11 Denial of Service on the customer's network
–––––––––––––––––––––––––––––––––––––––––––––––––––––––
AS1 Getting access to a trusted operational environment,
AS3 Compromising the product using a software vulnerability
══════════════════════════════════════════════════
R2-3-11 AS11 Denial of Service on the customer's network
–––––––––––––––––––––––––––––––––––––––––––––––––––––––
AS2 Getting access to a wireless network,
AS3 Compromising the product using a software vulnerability</v>
      </c>
      <c r="E13" s="16" t="str" cm="1">
        <f t="array" ca="1" aca="1" ref="E13">_xlfn.LET(_xlpm._riskValue,CalculateMaxFromList($T13,0,Risks!$A:$AJ),INDEX(Definitions!$AE:$AE,MATCH(_xlpm._riskValue,Definitions!$AF:$AF,0)))</f>
        <v>Very High</v>
      </c>
      <c r="F13" s="16" t="str" cm="1">
        <f t="array" ca="1" aca="1" ref="F13">IF($A13="","",SUBSTITUTE(RemoveDelimiter(SanitizeInput(SimpleLookup($A13,'Attack Steps'!$A:$AE)),","),",",", "))</f>
        <v/>
      </c>
      <c r="G13" s="16" t="str" cm="1">
        <f t="array" ca="1" aca="1" ref="G13">IF($A13="","",SUBSTITUTE(RemoveDelimiter(SanitizeInput(SimpleLookup($A13,'Attack Steps'!$A:$AF)),","),",",", "))</f>
        <v/>
      </c>
      <c r="H13" s="79" t="str" cm="1">
        <f t="array" ca="1" aca="1" ref="H13">IF($A13="","",_xlfn.LET(_xlpm._proposedActive,SanitizeInput($G13),_xlpm._proposedAll,SimpleLookup($A13,'Attack Steps'!$A:$AG),_xlpm._proposedDiff,FilterElementsFromList(_xlpm._proposedAll,_xlpm._proposedActive,FALSE,","),SUBSTITUTE(RemoveDelimiter(SanitizeInput(_xlpm._proposedDiff),","),",",", ")))</f>
        <v/>
      </c>
      <c r="I13" s="16" t="str" cm="1">
        <f t="array" ca="1" aca="1" ref="I13">RemoveDelimiter(GetValuesWithFallback(SanitizeInput($F13)&amp;SanitizeInput($G13)&amp;SanitizeInput($H13),Countermeasures!$A:$B,Assumptions!$A:$B," ",","&amp;CHAR(10),TRUE),","&amp;CHAR(10))</f>
        <v/>
      </c>
      <c r="J13" s="13"/>
      <c r="K13" s="16" t="str" cm="1">
        <f t="array" ref="K13">RemoveDelimiter(GetValuesWithFallback(SanitizeInput($J13),Countermeasures!$A:$B,Assumptions!$A:$B," ",","&amp;CHAR(10),TRUE),","&amp;CHAR(10))</f>
        <v/>
      </c>
      <c r="L13" s="13">
        <f>3</f>
        <v>3</v>
      </c>
      <c r="M13" s="19" t="str" cm="1">
        <f t="array" ca="1" aca="1" ref="M13">_xlfn.LET(_xlpm._displayLimit,$L13,_xlpm._risks,$V13,_xlpm._delimiter,CHAR(10)&amp;REPT(_xlfn.UNICHAR(9552),50)&amp;CHAR(10),_xlpm._attackPaths,RemoveDelimiter(GetValues(RIGHT(_xlpm._risks,LEN(_xlpm._risks)-FIND(":",_xlpm._risks)),Risks!$A:$B,"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R1-3-11 AS11 Denial of Service on the customer's network
–––––––––––––––––––––––––––––––––––––––––––––––––––––––
AS1 Getting access to a trusted operational environment,
AS3 Compromising the product using a software vulnerability
══════════════════════════════════════════════════
R2-3-11 AS11 Denial of Service on the customer's network
–––––––––––––––––––––––––––––––––––––––––––––––––––––––
AS2 Getting access to a wireless network,
AS3 Compromising the product using a software vulnerability</v>
      </c>
      <c r="N13" s="16" t="str">
        <f ca="1">INDEX(Definitions!$AE:$AE,MATCH($W13,Definitions!$AF:$AF,0))</f>
        <v>Very High</v>
      </c>
      <c r="O13" s="13"/>
      <c r="P13" s="10" cm="1">
        <f t="array" ref="P13">GenerateShadowID(ROW(),$P$2,$P:$P,0,$A13&lt;&gt;"")</f>
        <v>11</v>
      </c>
      <c r="Q13" s="10" cm="1">
        <f t="array" ref="Q13">CreateTaskID($Q$2,$Q:$Q,Tasks!$B$17,$O13)</f>
        <v>0</v>
      </c>
      <c r="R13" s="10">
        <f>IFERROR(MATCH(ROW()-ROW($R$2),'Attack Steps'!$Q:$Q,0),0)</f>
        <v>13</v>
      </c>
      <c r="S13" s="10" t="str" cm="1">
        <f t="array" ca="1" aca="1" ref="S13">CalculateMaxAndElements($T13,0,"",Risks!$A:$AJ)</f>
        <v>4:R1-3-11,R2-3-11,</v>
      </c>
      <c r="T13" s="10" t="str" cm="1">
        <f t="array" ca="1" aca="1" ref="T13">InverseLookup($A13,Risks!$AI$2,Risks!$A$2,1,Helper!$B$1,",")</f>
        <v>R1-3-11,R2-3-11,</v>
      </c>
      <c r="U13" s="10" t="str">
        <f t="shared" ca="1" si="0"/>
        <v>,R1-3-11,R2-3-11,</v>
      </c>
      <c r="V13" s="10" t="str" cm="1">
        <f t="array" ca="1" aca="1" ref="V13">CalculateMaxAndElements($T13,0,"",Risks!$A:$BK)</f>
        <v>4:R1-3-11,R2-3-11,</v>
      </c>
      <c r="W13" s="21">
        <f t="shared" ca="1" si="1"/>
        <v>4</v>
      </c>
      <c r="X13" s="21" t="str" cm="1">
        <f t="array" ref="X13">IF($J13="","",","&amp;SanitizeInput($J13))</f>
        <v/>
      </c>
      <c r="Y13" s="21" t="b" cm="1">
        <f t="array" ca="1" aca="1" ref="Y13">INDEX('Attack Steps'!$AI:$AI,$R13)</f>
        <v>1</v>
      </c>
      <c r="Z13" s="21" cm="1">
        <f t="array" ref="Z13">CreateID($Z$2,$Z:$Z,IFERROR(FIND(Definitions!$AR$4,$O13)&gt;0,FALSE))</f>
        <v>0</v>
      </c>
      <c r="AA13" s="21">
        <f>_xlfn.LET(_xlpm._comment,$O13,_xlpm._keyWord,Definitions!$AR$4,_xlpm._diffLen,LEN(_xlpm._comment)-LEN(SUBSTITUTE(_xlpm._comment,_xlpm._keyWord,"")),_xlpm._diffLen/LEN(_xlpm._keyWord))</f>
        <v>0</v>
      </c>
      <c r="AB13" s="21" cm="1">
        <f t="array" ref="AB13">CreateID($AB$2,$AB:$AB,IFERROR(FIND(Definitions!$AR$5,$O13)&gt;0,FALSE))</f>
        <v>0</v>
      </c>
      <c r="AC13" s="21">
        <f>_xlfn.LET(_xlpm._comment,$O13,_xlpm._keyWord,Definitions!$AR$5,_xlpm._diffLen,LEN(_xlpm._comment)-LEN(SUBSTITUTE(_xlpm._comment,_xlpm._keyWord,"")),_xlpm._diffLen/LEN(_xlpm._keyWord))</f>
        <v>0</v>
      </c>
      <c r="AD13" s="21" t="str" cm="1">
        <f t="array" ref="AD13">CreateSearchString($J13)</f>
        <v/>
      </c>
      <c r="AE13" s="21" t="str" cm="1">
        <f t="array" ca="1" aca="1" ref="AE13">_xlfn.LET(_xlpm._selected,SanitizeInput($J13),_xlpm._catalogOptions,SanitizeInput($F13)&amp;SanitizeInput($G13)&amp;SanitizeInput($H13),_xlpm._selectedNotInOptions,FilterElementsFromList(_xlpm._selected,_xlpm._catalogOptions,FALSE,","),IF(_xlpm._selectedNotInOptions="","",$A13&amp;" "&amp;$B13&amp;": "&amp;SUBSTITUTE(RemoveDelimiter(_xlpm._selectedNotInOptions,","),",",", ")))</f>
        <v/>
      </c>
      <c r="AF13" s="21" cm="1">
        <f t="array" ca="1" aca="1" ref="AF13">CreateID($AF$2,$AF:$AF,$AE13&lt;&gt;"")</f>
        <v>0</v>
      </c>
      <c r="AG13" s="21" t="str" cm="1">
        <f t="array" ref="AG13">_xlfn.LET(_xlpm._delimiter,","&amp;CHAR(10),_xlpm._assumptions,ParseAllMitigationsFromComment($A13,"-","A",$O13,Definitions!$AR$4,Definitions!$AS$4,Definitions!$AR$6,_xlpm._delimiter,1),_xlpm._countermeasures,ParseAllMitigationsFromComment($A13,"-","C",$O13,Definitions!$AR$5,Definitions!$AS$5,Definitions!$AR$6,_xlpm._delimiter,1),IF(_xlpm._countermeasures="",RemoveDelimiter(_xlpm._assumptions,_xlpm._delimiter),_xlpm._assumptions&amp;RemoveDelimiter(_xlpm._countermeasures,_xlpm._delimiter)))</f>
        <v/>
      </c>
      <c r="AH13" s="21" t="str" cm="1">
        <f t="array" ref="AH13">CreateSearchString(SanitizeInput($J13)&amp;GetValuesIgnoreErrors(SanitizeInput($J13),Countermeasures!$A:$G,"",",",FALSE))</f>
        <v/>
      </c>
      <c r="AI13" s="21" t="str" cm="1">
        <f t="array" ca="1" aca="1" ref="AI13">IF(AND(IFERROR(FIND(","&amp;Countermeasures!$A$30&amp;",",$AH13)&gt;0,FALSE),Countermeasures!$AF$30=TRUE,SimpleLookup(Questions!$A$48,Questionnaire!$A:$C)=Definitions!$A$5),$A13&amp;" "&amp;$B13,"")</f>
        <v/>
      </c>
      <c r="AJ13" s="21" cm="1">
        <f t="array" ca="1" aca="1" ref="AJ13">CreateID($AJ$2,$AJ:$AJ,$AI13&lt;&gt;"")</f>
        <v>0</v>
      </c>
      <c r="AK13" s="21" t="str">
        <f t="shared" ca="1" si="2"/>
        <v/>
      </c>
      <c r="AL13" s="21" cm="1">
        <f t="array" ca="1" aca="1" ref="AL13">CreateID($AL$2,$AL:$AL,$AK13&lt;&gt;"")</f>
        <v>0</v>
      </c>
      <c r="AM13" s="21" t="str">
        <f t="shared" si="3"/>
        <v/>
      </c>
      <c r="AN13" s="21" cm="1">
        <f t="array" ref="AN13">CreateID($AN$2,$AN:$AN,$AM13&lt;&gt;"")</f>
        <v>0</v>
      </c>
    </row>
    <row r="14" spans="1:40" ht="45">
      <c r="A14" s="16" t="str" cm="1">
        <f t="array" ref="A14">IF($R14=0,"",INDEX('Attack Steps'!A:A,$R14))</f>
        <v>AS12</v>
      </c>
      <c r="B14" s="16" t="str" cm="1">
        <f t="array" ref="B14">IF($R14=0,"",INDEX('Attack Steps'!B:B,$R14))</f>
        <v>Compromising an untrusted device that communicates directly with the product</v>
      </c>
      <c r="C14" s="13">
        <f>3</f>
        <v>3</v>
      </c>
      <c r="D14" s="19" t="str" cm="1">
        <f t="array" ca="1" aca="1" ref="D14">_xlfn.LET(_xlpm._displayLimit,$C14,_xlpm._risks,$S14,_xlpm._delimiter,CHAR(10)&amp;REPT(_xlfn.UNICHAR(9552),50)&amp;CHAR(10),_xlpm._attackPaths,RemoveDelimiter(GetValues(RIGHT(_xlpm._risks,LEN(_xlpm._risks)-FIND(":",_xlpm._risks)),Risks!$A:$B,"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14" s="16" t="str" cm="1">
        <f t="array" ca="1" aca="1" ref="E14">_xlfn.LET(_xlpm._riskValue,CalculateMaxFromList($T14,0,Risks!$A:$AJ),INDEX(Definitions!$AE:$AE,MATCH(_xlpm._riskValue,Definitions!$AF:$AF,0)))</f>
        <v>No Risk</v>
      </c>
      <c r="F14" s="16" t="str" cm="1">
        <f t="array" ca="1" aca="1" ref="F14">IF($A14="","",SUBSTITUTE(RemoveDelimiter(SanitizeInput(SimpleLookup($A14,'Attack Steps'!$A:$AE)),","),",",", "))</f>
        <v>C15</v>
      </c>
      <c r="G14" s="16" t="str" cm="1">
        <f t="array" ca="1" aca="1" ref="G14">IF($A14="","",SUBSTITUTE(RemoveDelimiter(SanitizeInput(SimpleLookup($A14,'Attack Steps'!$A:$AF)),","),",",", "))</f>
        <v/>
      </c>
      <c r="H14" s="79" t="str" cm="1">
        <f t="array" ca="1" aca="1" ref="H14">IF($A14="","",_xlfn.LET(_xlpm._proposedActive,SanitizeInput($G14),_xlpm._proposedAll,SimpleLookup($A14,'Attack Steps'!$A:$AG),_xlpm._proposedDiff,FilterElementsFromList(_xlpm._proposedAll,_xlpm._proposedActive,FALSE,","),SUBSTITUTE(RemoveDelimiter(SanitizeInput(_xlpm._proposedDiff),","),",",", ")))</f>
        <v/>
      </c>
      <c r="I14" s="16" t="str" cm="1">
        <f t="array" ca="1" aca="1" ref="I14">RemoveDelimiter(GetValuesWithFallback(SanitizeInput($F14)&amp;SanitizeInput($G14)&amp;SanitizeInput($H14),Countermeasures!$A:$B,Assumptions!$A:$B," ",","&amp;CHAR(10),TRUE),","&amp;CHAR(10))</f>
        <v>C15 CR 3.5 – Input validation</v>
      </c>
      <c r="J14" s="13"/>
      <c r="K14" s="16" t="str" cm="1">
        <f t="array" ref="K14">RemoveDelimiter(GetValuesWithFallback(SanitizeInput($J14),Countermeasures!$A:$B,Assumptions!$A:$B," ",","&amp;CHAR(10),TRUE),","&amp;CHAR(10))</f>
        <v/>
      </c>
      <c r="L14" s="13">
        <f>3</f>
        <v>3</v>
      </c>
      <c r="M14" s="19" t="str" cm="1">
        <f t="array" ca="1" aca="1" ref="M14">_xlfn.LET(_xlpm._displayLimit,$L14,_xlpm._risks,$V14,_xlpm._delimiter,CHAR(10)&amp;REPT(_xlfn.UNICHAR(9552),50)&amp;CHAR(10),_xlpm._attackPaths,RemoveDelimiter(GetValues(RIGHT(_xlpm._risks,LEN(_xlpm._risks)-FIND(":",_xlpm._risks)),Risks!$A:$B,"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14" s="16" t="str">
        <f ca="1">INDEX(Definitions!$AE:$AE,MATCH($W14,Definitions!$AF:$AF,0))</f>
        <v>No Risk</v>
      </c>
      <c r="O14" s="13"/>
      <c r="P14" s="10" cm="1">
        <f t="array" ref="P14">GenerateShadowID(ROW(),$P$2,$P:$P,0,$A14&lt;&gt;"")</f>
        <v>12</v>
      </c>
      <c r="Q14" s="10" cm="1">
        <f t="array" ref="Q14">CreateTaskID($Q$2,$Q:$Q,Tasks!$B$17,$O14)</f>
        <v>0</v>
      </c>
      <c r="R14" s="10">
        <f>IFERROR(MATCH(ROW()-ROW($R$2),'Attack Steps'!$Q:$Q,0),0)</f>
        <v>14</v>
      </c>
      <c r="S14" s="10" t="str" cm="1">
        <f t="array" ca="1" aca="1" ref="S14">CalculateMaxAndElements($T14,0,"",Risks!$A:$AJ)</f>
        <v>0:</v>
      </c>
      <c r="T14" s="10" t="str" cm="1">
        <f t="array" ca="1" aca="1" ref="T14">InverseLookup($A14,Risks!$AI$2,Risks!$A$2,1,Helper!$B$1,",")</f>
        <v/>
      </c>
      <c r="U14" s="10" t="str">
        <f t="shared" ca="1" si="0"/>
        <v/>
      </c>
      <c r="V14" s="10" t="str" cm="1">
        <f t="array" ca="1" aca="1" ref="V14">CalculateMaxAndElements($T14,0,"",Risks!$A:$BK)</f>
        <v>0:</v>
      </c>
      <c r="W14" s="21">
        <f t="shared" ca="1" si="1"/>
        <v>0</v>
      </c>
      <c r="X14" s="21" t="str" cm="1">
        <f t="array" ref="X14">IF($J14="","",","&amp;SanitizeInput($J14))</f>
        <v/>
      </c>
      <c r="Y14" s="21" t="b" cm="1">
        <f t="array" ca="1" aca="1" ref="Y14">INDEX('Attack Steps'!$AI:$AI,$R14)</f>
        <v>0</v>
      </c>
      <c r="Z14" s="21" cm="1">
        <f t="array" ref="Z14">CreateID($Z$2,$Z:$Z,IFERROR(FIND(Definitions!$AR$4,$O14)&gt;0,FALSE))</f>
        <v>0</v>
      </c>
      <c r="AA14" s="21">
        <f>_xlfn.LET(_xlpm._comment,$O14,_xlpm._keyWord,Definitions!$AR$4,_xlpm._diffLen,LEN(_xlpm._comment)-LEN(SUBSTITUTE(_xlpm._comment,_xlpm._keyWord,"")),_xlpm._diffLen/LEN(_xlpm._keyWord))</f>
        <v>0</v>
      </c>
      <c r="AB14" s="21" cm="1">
        <f t="array" ref="AB14">CreateID($AB$2,$AB:$AB,IFERROR(FIND(Definitions!$AR$5,$O14)&gt;0,FALSE))</f>
        <v>0</v>
      </c>
      <c r="AC14" s="21">
        <f>_xlfn.LET(_xlpm._comment,$O14,_xlpm._keyWord,Definitions!$AR$5,_xlpm._diffLen,LEN(_xlpm._comment)-LEN(SUBSTITUTE(_xlpm._comment,_xlpm._keyWord,"")),_xlpm._diffLen/LEN(_xlpm._keyWord))</f>
        <v>0</v>
      </c>
      <c r="AD14" s="21" t="str" cm="1">
        <f t="array" ref="AD14">CreateSearchString($J14)</f>
        <v/>
      </c>
      <c r="AE14" s="21" t="str" cm="1">
        <f t="array" ca="1" aca="1" ref="AE14">_xlfn.LET(_xlpm._selected,SanitizeInput($J14),_xlpm._catalogOptions,SanitizeInput($F14)&amp;SanitizeInput($G14)&amp;SanitizeInput($H14),_xlpm._selectedNotInOptions,FilterElementsFromList(_xlpm._selected,_xlpm._catalogOptions,FALSE,","),IF(_xlpm._selectedNotInOptions="","",$A14&amp;" "&amp;$B14&amp;": "&amp;SUBSTITUTE(RemoveDelimiter(_xlpm._selectedNotInOptions,","),",",", ")))</f>
        <v/>
      </c>
      <c r="AF14" s="21" cm="1">
        <f t="array" ca="1" aca="1" ref="AF14">CreateID($AF$2,$AF:$AF,$AE14&lt;&gt;"")</f>
        <v>0</v>
      </c>
      <c r="AG14" s="21" t="str" cm="1">
        <f t="array" ref="AG14">_xlfn.LET(_xlpm._delimiter,","&amp;CHAR(10),_xlpm._assumptions,ParseAllMitigationsFromComment($A14,"-","A",$O14,Definitions!$AR$4,Definitions!$AS$4,Definitions!$AR$6,_xlpm._delimiter,1),_xlpm._countermeasures,ParseAllMitigationsFromComment($A14,"-","C",$O14,Definitions!$AR$5,Definitions!$AS$5,Definitions!$AR$6,_xlpm._delimiter,1),IF(_xlpm._countermeasures="",RemoveDelimiter(_xlpm._assumptions,_xlpm._delimiter),_xlpm._assumptions&amp;RemoveDelimiter(_xlpm._countermeasures,_xlpm._delimiter)))</f>
        <v/>
      </c>
      <c r="AH14" s="21" t="str" cm="1">
        <f t="array" ref="AH14">CreateSearchString(SanitizeInput($J14)&amp;GetValuesIgnoreErrors(SanitizeInput($J14),Countermeasures!$A:$G,"",",",FALSE))</f>
        <v/>
      </c>
      <c r="AI14" s="21" t="str" cm="1">
        <f t="array" ca="1" aca="1" ref="AI14">IF(AND(IFERROR(FIND(","&amp;Countermeasures!$A$30&amp;",",$AH14)&gt;0,FALSE),Countermeasures!$AF$30=TRUE,SimpleLookup(Questions!$A$48,Questionnaire!$A:$C)=Definitions!$A$5),$A14&amp;" "&amp;$B14,"")</f>
        <v/>
      </c>
      <c r="AJ14" s="21" cm="1">
        <f t="array" ca="1" aca="1" ref="AJ14">CreateID($AJ$2,$AJ:$AJ,$AI14&lt;&gt;"")</f>
        <v>0</v>
      </c>
      <c r="AK14" s="21" t="str">
        <f t="shared" ca="1" si="2"/>
        <v/>
      </c>
      <c r="AL14" s="21" cm="1">
        <f t="array" ca="1" aca="1" ref="AL14">CreateID($AL$2,$AL:$AL,$AK14&lt;&gt;"")</f>
        <v>0</v>
      </c>
      <c r="AM14" s="21" t="str">
        <f t="shared" si="3"/>
        <v/>
      </c>
      <c r="AN14" s="21" cm="1">
        <f t="array" ref="AN14">CreateID($AN$2,$AN:$AN,$AM14&lt;&gt;"")</f>
        <v>0</v>
      </c>
    </row>
    <row r="15" spans="1:40" ht="45">
      <c r="A15" s="16" t="str" cm="1">
        <f t="array" ref="A15">IF($R15=0,"",INDEX('Attack Steps'!A:A,$R15))</f>
        <v>AS13</v>
      </c>
      <c r="B15" s="16" t="str" cm="1">
        <f t="array" ref="B15">IF($R15=0,"",INDEX('Attack Steps'!B:B,$R15))</f>
        <v>Attacking the product or its communication from an untrusted local network</v>
      </c>
      <c r="C15" s="13">
        <f>3</f>
        <v>3</v>
      </c>
      <c r="D15" s="19" t="str" cm="1">
        <f t="array" ca="1" aca="1" ref="D15">_xlfn.LET(_xlpm._displayLimit,$C15,_xlpm._risks,$S15,_xlpm._delimiter,CHAR(10)&amp;REPT(_xlfn.UNICHAR(9552),50)&amp;CHAR(10),_xlpm._attackPaths,RemoveDelimiter(GetValues(RIGHT(_xlpm._risks,LEN(_xlpm._risks)-FIND(":",_xlpm._risks)),Risks!$A:$B,"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15" s="16" t="str" cm="1">
        <f t="array" ca="1" aca="1" ref="E15">_xlfn.LET(_xlpm._riskValue,CalculateMaxFromList($T15,0,Risks!$A:$AJ),INDEX(Definitions!$AE:$AE,MATCH(_xlpm._riskValue,Definitions!$AF:$AF,0)))</f>
        <v>No Risk</v>
      </c>
      <c r="F15" s="16" t="str" cm="1">
        <f t="array" ca="1" aca="1" ref="F15">IF($A15="","",SUBSTITUTE(RemoveDelimiter(SanitizeInput(SimpleLookup($A15,'Attack Steps'!$A:$AE)),","),",",", "))</f>
        <v>C30</v>
      </c>
      <c r="G15" s="16" t="str" cm="1">
        <f t="array" ca="1" aca="1" ref="G15">IF($A15="","",SUBSTITUTE(RemoveDelimiter(SanitizeInput(SimpleLookup($A15,'Attack Steps'!$A:$AF)),","),",",", "))</f>
        <v/>
      </c>
      <c r="H15" s="79" t="str" cm="1">
        <f t="array" ca="1" aca="1" ref="H15">IF($A15="","",_xlfn.LET(_xlpm._proposedActive,SanitizeInput($G15),_xlpm._proposedAll,SimpleLookup($A15,'Attack Steps'!$A:$AG),_xlpm._proposedDiff,FilterElementsFromList(_xlpm._proposedAll,_xlpm._proposedActive,FALSE,","),SUBSTITUTE(RemoveDelimiter(SanitizeInput(_xlpm._proposedDiff),","),",",", ")))</f>
        <v/>
      </c>
      <c r="I15" s="16" t="str" cm="1">
        <f t="array" ca="1" aca="1" ref="I15">RemoveDelimiter(GetValuesWithFallback(SanitizeInput($F15)&amp;SanitizeInput($G15)&amp;SanitizeInput($H15),Countermeasures!$A:$B,Assumptions!$A:$B," ",","&amp;CHAR(10),TRUE),","&amp;CHAR(10))</f>
        <v>C30 CR 7.4 – Control system recovery and reconstitution</v>
      </c>
      <c r="J15" s="13"/>
      <c r="K15" s="16" t="str" cm="1">
        <f t="array" ref="K15">RemoveDelimiter(GetValuesWithFallback(SanitizeInput($J15),Countermeasures!$A:$B,Assumptions!$A:$B," ",","&amp;CHAR(10),TRUE),","&amp;CHAR(10))</f>
        <v/>
      </c>
      <c r="L15" s="13">
        <f>3</f>
        <v>3</v>
      </c>
      <c r="M15" s="19" t="str" cm="1">
        <f t="array" ca="1" aca="1" ref="M15">_xlfn.LET(_xlpm._displayLimit,$L15,_xlpm._risks,$V15,_xlpm._delimiter,CHAR(10)&amp;REPT(_xlfn.UNICHAR(9552),50)&amp;CHAR(10),_xlpm._attackPaths,RemoveDelimiter(GetValues(RIGHT(_xlpm._risks,LEN(_xlpm._risks)-FIND(":",_xlpm._risks)),Risks!$A:$B,"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15" s="16" t="str">
        <f ca="1">INDEX(Definitions!$AE:$AE,MATCH($W15,Definitions!$AF:$AF,0))</f>
        <v>No Risk</v>
      </c>
      <c r="O15" s="13"/>
      <c r="P15" s="10" cm="1">
        <f t="array" ref="P15">GenerateShadowID(ROW(),$P$2,$P:$P,0,$A15&lt;&gt;"")</f>
        <v>13</v>
      </c>
      <c r="Q15" s="10" cm="1">
        <f t="array" ref="Q15">CreateTaskID($Q$2,$Q:$Q,Tasks!$B$17,$O15)</f>
        <v>0</v>
      </c>
      <c r="R15" s="10">
        <f>IFERROR(MATCH(ROW()-ROW($R$2),'Attack Steps'!$Q:$Q,0),0)</f>
        <v>15</v>
      </c>
      <c r="S15" s="10" t="str" cm="1">
        <f t="array" ca="1" aca="1" ref="S15">CalculateMaxAndElements($T15,0,"",Risks!$A:$AJ)</f>
        <v>0:</v>
      </c>
      <c r="T15" s="10" t="str" cm="1">
        <f t="array" ca="1" aca="1" ref="T15">InverseLookup($A15,Risks!$AI$2,Risks!$A$2,1,Helper!$B$1,",")</f>
        <v/>
      </c>
      <c r="U15" s="10" t="str">
        <f t="shared" ca="1" si="0"/>
        <v/>
      </c>
      <c r="V15" s="10" t="str" cm="1">
        <f t="array" ca="1" aca="1" ref="V15">CalculateMaxAndElements($T15,0,"",Risks!$A:$BK)</f>
        <v>0:</v>
      </c>
      <c r="W15" s="21">
        <f t="shared" ca="1" si="1"/>
        <v>0</v>
      </c>
      <c r="X15" s="21" t="str" cm="1">
        <f t="array" ref="X15">IF($J15="","",","&amp;SanitizeInput($J15))</f>
        <v/>
      </c>
      <c r="Y15" s="21" t="b" cm="1">
        <f t="array" ca="1" aca="1" ref="Y15">INDEX('Attack Steps'!$AI:$AI,$R15)</f>
        <v>0</v>
      </c>
      <c r="Z15" s="21" cm="1">
        <f t="array" ref="Z15">CreateID($Z$2,$Z:$Z,IFERROR(FIND(Definitions!$AR$4,$O15)&gt;0,FALSE))</f>
        <v>0</v>
      </c>
      <c r="AA15" s="21">
        <f>_xlfn.LET(_xlpm._comment,$O15,_xlpm._keyWord,Definitions!$AR$4,_xlpm._diffLen,LEN(_xlpm._comment)-LEN(SUBSTITUTE(_xlpm._comment,_xlpm._keyWord,"")),_xlpm._diffLen/LEN(_xlpm._keyWord))</f>
        <v>0</v>
      </c>
      <c r="AB15" s="21" cm="1">
        <f t="array" ref="AB15">CreateID($AB$2,$AB:$AB,IFERROR(FIND(Definitions!$AR$5,$O15)&gt;0,FALSE))</f>
        <v>0</v>
      </c>
      <c r="AC15" s="21">
        <f>_xlfn.LET(_xlpm._comment,$O15,_xlpm._keyWord,Definitions!$AR$5,_xlpm._diffLen,LEN(_xlpm._comment)-LEN(SUBSTITUTE(_xlpm._comment,_xlpm._keyWord,"")),_xlpm._diffLen/LEN(_xlpm._keyWord))</f>
        <v>0</v>
      </c>
      <c r="AD15" s="21" t="str" cm="1">
        <f t="array" ref="AD15">CreateSearchString($J15)</f>
        <v/>
      </c>
      <c r="AE15" s="21" t="str" cm="1">
        <f t="array" ca="1" aca="1" ref="AE15">_xlfn.LET(_xlpm._selected,SanitizeInput($J15),_xlpm._catalogOptions,SanitizeInput($F15)&amp;SanitizeInput($G15)&amp;SanitizeInput($H15),_xlpm._selectedNotInOptions,FilterElementsFromList(_xlpm._selected,_xlpm._catalogOptions,FALSE,","),IF(_xlpm._selectedNotInOptions="","",$A15&amp;" "&amp;$B15&amp;": "&amp;SUBSTITUTE(RemoveDelimiter(_xlpm._selectedNotInOptions,","),",",", ")))</f>
        <v/>
      </c>
      <c r="AF15" s="21" cm="1">
        <f t="array" ca="1" aca="1" ref="AF15">CreateID($AF$2,$AF:$AF,$AE15&lt;&gt;"")</f>
        <v>0</v>
      </c>
      <c r="AG15" s="21" t="str" cm="1">
        <f t="array" ref="AG15">_xlfn.LET(_xlpm._delimiter,","&amp;CHAR(10),_xlpm._assumptions,ParseAllMitigationsFromComment($A15,"-","A",$O15,Definitions!$AR$4,Definitions!$AS$4,Definitions!$AR$6,_xlpm._delimiter,1),_xlpm._countermeasures,ParseAllMitigationsFromComment($A15,"-","C",$O15,Definitions!$AR$5,Definitions!$AS$5,Definitions!$AR$6,_xlpm._delimiter,1),IF(_xlpm._countermeasures="",RemoveDelimiter(_xlpm._assumptions,_xlpm._delimiter),_xlpm._assumptions&amp;RemoveDelimiter(_xlpm._countermeasures,_xlpm._delimiter)))</f>
        <v/>
      </c>
      <c r="AH15" s="21" t="str" cm="1">
        <f t="array" ref="AH15">CreateSearchString(SanitizeInput($J15)&amp;GetValuesIgnoreErrors(SanitizeInput($J15),Countermeasures!$A:$G,"",",",FALSE))</f>
        <v/>
      </c>
      <c r="AI15" s="21" t="str" cm="1">
        <f t="array" ca="1" aca="1" ref="AI15">IF(AND(IFERROR(FIND(","&amp;Countermeasures!$A$30&amp;",",$AH15)&gt;0,FALSE),Countermeasures!$AF$30=TRUE,SimpleLookup(Questions!$A$48,Questionnaire!$A:$C)=Definitions!$A$5),$A15&amp;" "&amp;$B15,"")</f>
        <v/>
      </c>
      <c r="AJ15" s="21" cm="1">
        <f t="array" ca="1" aca="1" ref="AJ15">CreateID($AJ$2,$AJ:$AJ,$AI15&lt;&gt;"")</f>
        <v>0</v>
      </c>
      <c r="AK15" s="21" t="str">
        <f t="shared" ca="1" si="2"/>
        <v/>
      </c>
      <c r="AL15" s="21" cm="1">
        <f t="array" ca="1" aca="1" ref="AL15">CreateID($AL$2,$AL:$AL,$AK15&lt;&gt;"")</f>
        <v>0</v>
      </c>
      <c r="AM15" s="21" t="str">
        <f t="shared" si="3"/>
        <v/>
      </c>
      <c r="AN15" s="21" cm="1">
        <f t="array" ref="AN15">CreateID($AN$2,$AN:$AN,$AM15&lt;&gt;"")</f>
        <v>0</v>
      </c>
    </row>
    <row r="16" spans="1:40" ht="45">
      <c r="A16" s="16" t="str" cm="1">
        <f t="array" ref="A16">IF($R16=0,"",INDEX('Attack Steps'!A:A,$R16))</f>
        <v>AS14</v>
      </c>
      <c r="B16" s="16" t="str" cm="1">
        <f t="array" ref="B16">IF($R16=0,"",INDEX('Attack Steps'!B:B,$R16))</f>
        <v>Disrupting the product's communication over the local network</v>
      </c>
      <c r="C16" s="13">
        <f>3</f>
        <v>3</v>
      </c>
      <c r="D16" s="19" t="str" cm="1">
        <f t="array" ca="1" aca="1" ref="D16">_xlfn.LET(_xlpm._displayLimit,$C16,_xlpm._risks,$S16,_xlpm._delimiter,CHAR(10)&amp;REPT(_xlfn.UNICHAR(9552),50)&amp;CHAR(10),_xlpm._attackPaths,RemoveDelimiter(GetValues(RIGHT(_xlpm._risks,LEN(_xlpm._risks)-FIND(":",_xlpm._risks)),Risks!$A:$B,"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R1-14 AS14 Disrupting the product's communication over the local network
–––––––––––––––––––––––––––––––––––––––––––––––––––––––
AS1 Getting access to a trusted operational environment</v>
      </c>
      <c r="E16" s="16" t="str" cm="1">
        <f t="array" ca="1" aca="1" ref="E16">_xlfn.LET(_xlpm._riskValue,CalculateMaxFromList($T16,0,Risks!$A:$AJ),INDEX(Definitions!$AE:$AE,MATCH(_xlpm._riskValue,Definitions!$AF:$AF,0)))</f>
        <v>Very High</v>
      </c>
      <c r="F16" s="16" t="str" cm="1">
        <f t="array" ca="1" aca="1" ref="F16">IF($A16="","",SUBSTITUTE(RemoveDelimiter(SanitizeInput(SimpleLookup($A16,'Attack Steps'!$A:$AE)),","),",",", "))</f>
        <v/>
      </c>
      <c r="G16" s="16" t="str" cm="1">
        <f t="array" ca="1" aca="1" ref="G16">IF($A16="","",SUBSTITUTE(RemoveDelimiter(SanitizeInput(SimpleLookup($A16,'Attack Steps'!$A:$AF)),","),",",", "))</f>
        <v/>
      </c>
      <c r="H16" s="79" t="str" cm="1">
        <f t="array" ca="1" aca="1" ref="H16">IF($A16="","",_xlfn.LET(_xlpm._proposedActive,SanitizeInput($G16),_xlpm._proposedAll,SimpleLookup($A16,'Attack Steps'!$A:$AG),_xlpm._proposedDiff,FilterElementsFromList(_xlpm._proposedAll,_xlpm._proposedActive,FALSE,","),SUBSTITUTE(RemoveDelimiter(SanitizeInput(_xlpm._proposedDiff),","),",",", ")))</f>
        <v>A44</v>
      </c>
      <c r="I16" s="16" t="str" cm="1">
        <f t="array" ca="1" aca="1" ref="I16">RemoveDelimiter(GetValuesWithFallback(SanitizeInput($F16)&amp;SanitizeInput($G16)&amp;SanitizeInput($H16),Countermeasures!$A:$B,Assumptions!$A:$B," ",","&amp;CHAR(10),TRUE),","&amp;CHAR(10))</f>
        <v>A44 Network monitoring</v>
      </c>
      <c r="J16" s="13"/>
      <c r="K16" s="16" t="str" cm="1">
        <f t="array" ref="K16">RemoveDelimiter(GetValuesWithFallback(SanitizeInput($J16),Countermeasures!$A:$B,Assumptions!$A:$B," ",","&amp;CHAR(10),TRUE),","&amp;CHAR(10))</f>
        <v/>
      </c>
      <c r="L16" s="13">
        <f>3</f>
        <v>3</v>
      </c>
      <c r="M16" s="19" t="str" cm="1">
        <f t="array" ca="1" aca="1" ref="M16">_xlfn.LET(_xlpm._displayLimit,$L16,_xlpm._risks,$V16,_xlpm._delimiter,CHAR(10)&amp;REPT(_xlfn.UNICHAR(9552),50)&amp;CHAR(10),_xlpm._attackPaths,RemoveDelimiter(GetValues(RIGHT(_xlpm._risks,LEN(_xlpm._risks)-FIND(":",_xlpm._risks)),Risks!$A:$B,"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R1-14 AS14 Disrupting the product's communication over the local network
–––––––––––––––––––––––––––––––––––––––––––––––––––––––
AS1 Getting access to a trusted operational environment</v>
      </c>
      <c r="N16" s="16" t="str">
        <f ca="1">INDEX(Definitions!$AE:$AE,MATCH($W16,Definitions!$AF:$AF,0))</f>
        <v>Very High</v>
      </c>
      <c r="O16" s="13"/>
      <c r="P16" s="10" cm="1">
        <f t="array" ref="P16">GenerateShadowID(ROW(),$P$2,$P:$P,0,$A16&lt;&gt;"")</f>
        <v>14</v>
      </c>
      <c r="Q16" s="10" cm="1">
        <f t="array" ref="Q16">CreateTaskID($Q$2,$Q:$Q,Tasks!$B$17,$O16)</f>
        <v>0</v>
      </c>
      <c r="R16" s="10">
        <f>IFERROR(MATCH(ROW()-ROW($R$2),'Attack Steps'!$Q:$Q,0),0)</f>
        <v>16</v>
      </c>
      <c r="S16" s="10" t="str" cm="1">
        <f t="array" ca="1" aca="1" ref="S16">CalculateMaxAndElements($T16,0,"",Risks!$A:$AJ)</f>
        <v>4:R1-14,</v>
      </c>
      <c r="T16" s="10" t="str" cm="1">
        <f t="array" ca="1" aca="1" ref="T16">InverseLookup($A16,Risks!$AI$2,Risks!$A$2,1,Helper!$B$1,",")</f>
        <v>R1-14,</v>
      </c>
      <c r="U16" s="10" t="str">
        <f t="shared" ca="1" si="0"/>
        <v>,R1-14,</v>
      </c>
      <c r="V16" s="10" t="str" cm="1">
        <f t="array" ca="1" aca="1" ref="V16">CalculateMaxAndElements($T16,0,"",Risks!$A:$BK)</f>
        <v>4:R1-14,</v>
      </c>
      <c r="W16" s="21">
        <f t="shared" ca="1" si="1"/>
        <v>4</v>
      </c>
      <c r="X16" s="21" t="str" cm="1">
        <f t="array" ref="X16">IF($J16="","",","&amp;SanitizeInput($J16))</f>
        <v/>
      </c>
      <c r="Y16" s="21" t="b" cm="1">
        <f t="array" ca="1" aca="1" ref="Y16">INDEX('Attack Steps'!$AI:$AI,$R16)</f>
        <v>1</v>
      </c>
      <c r="Z16" s="21" cm="1">
        <f t="array" ref="Z16">CreateID($Z$2,$Z:$Z,IFERROR(FIND(Definitions!$AR$4,$O16)&gt;0,FALSE))</f>
        <v>0</v>
      </c>
      <c r="AA16" s="21">
        <f>_xlfn.LET(_xlpm._comment,$O16,_xlpm._keyWord,Definitions!$AR$4,_xlpm._diffLen,LEN(_xlpm._comment)-LEN(SUBSTITUTE(_xlpm._comment,_xlpm._keyWord,"")),_xlpm._diffLen/LEN(_xlpm._keyWord))</f>
        <v>0</v>
      </c>
      <c r="AB16" s="21" cm="1">
        <f t="array" ref="AB16">CreateID($AB$2,$AB:$AB,IFERROR(FIND(Definitions!$AR$5,$O16)&gt;0,FALSE))</f>
        <v>0</v>
      </c>
      <c r="AC16" s="21">
        <f>_xlfn.LET(_xlpm._comment,$O16,_xlpm._keyWord,Definitions!$AR$5,_xlpm._diffLen,LEN(_xlpm._comment)-LEN(SUBSTITUTE(_xlpm._comment,_xlpm._keyWord,"")),_xlpm._diffLen/LEN(_xlpm._keyWord))</f>
        <v>0</v>
      </c>
      <c r="AD16" s="21" t="str" cm="1">
        <f t="array" ref="AD16">CreateSearchString($J16)</f>
        <v/>
      </c>
      <c r="AE16" s="21" t="str" cm="1">
        <f t="array" ca="1" aca="1" ref="AE16">_xlfn.LET(_xlpm._selected,SanitizeInput($J16),_xlpm._catalogOptions,SanitizeInput($F16)&amp;SanitizeInput($G16)&amp;SanitizeInput($H16),_xlpm._selectedNotInOptions,FilterElementsFromList(_xlpm._selected,_xlpm._catalogOptions,FALSE,","),IF(_xlpm._selectedNotInOptions="","",$A16&amp;" "&amp;$B16&amp;": "&amp;SUBSTITUTE(RemoveDelimiter(_xlpm._selectedNotInOptions,","),",",", ")))</f>
        <v/>
      </c>
      <c r="AF16" s="21" cm="1">
        <f t="array" ca="1" aca="1" ref="AF16">CreateID($AF$2,$AF:$AF,$AE16&lt;&gt;"")</f>
        <v>0</v>
      </c>
      <c r="AG16" s="21" t="str" cm="1">
        <f t="array" ref="AG16">_xlfn.LET(_xlpm._delimiter,","&amp;CHAR(10),_xlpm._assumptions,ParseAllMitigationsFromComment($A16,"-","A",$O16,Definitions!$AR$4,Definitions!$AS$4,Definitions!$AR$6,_xlpm._delimiter,1),_xlpm._countermeasures,ParseAllMitigationsFromComment($A16,"-","C",$O16,Definitions!$AR$5,Definitions!$AS$5,Definitions!$AR$6,_xlpm._delimiter,1),IF(_xlpm._countermeasures="",RemoveDelimiter(_xlpm._assumptions,_xlpm._delimiter),_xlpm._assumptions&amp;RemoveDelimiter(_xlpm._countermeasures,_xlpm._delimiter)))</f>
        <v/>
      </c>
      <c r="AH16" s="21" t="str" cm="1">
        <f t="array" ref="AH16">CreateSearchString(SanitizeInput($J16)&amp;GetValuesIgnoreErrors(SanitizeInput($J16),Countermeasures!$A:$G,"",",",FALSE))</f>
        <v/>
      </c>
      <c r="AI16" s="21" t="str" cm="1">
        <f t="array" ca="1" aca="1" ref="AI16">IF(AND(IFERROR(FIND(","&amp;Countermeasures!$A$30&amp;",",$AH16)&gt;0,FALSE),Countermeasures!$AF$30=TRUE,SimpleLookup(Questions!$A$48,Questionnaire!$A:$C)=Definitions!$A$5),$A16&amp;" "&amp;$B16,"")</f>
        <v/>
      </c>
      <c r="AJ16" s="21" cm="1">
        <f t="array" ca="1" aca="1" ref="AJ16">CreateID($AJ$2,$AJ:$AJ,$AI16&lt;&gt;"")</f>
        <v>0</v>
      </c>
      <c r="AK16" s="21" t="str">
        <f t="shared" ca="1" si="2"/>
        <v/>
      </c>
      <c r="AL16" s="21" cm="1">
        <f t="array" ca="1" aca="1" ref="AL16">CreateID($AL$2,$AL:$AL,$AK16&lt;&gt;"")</f>
        <v>0</v>
      </c>
      <c r="AM16" s="21" t="str">
        <f t="shared" si="3"/>
        <v/>
      </c>
      <c r="AN16" s="21" cm="1">
        <f t="array" ref="AN16">CreateID($AN$2,$AN:$AN,$AM16&lt;&gt;"")</f>
        <v>0</v>
      </c>
    </row>
    <row r="17" spans="1:40" ht="30">
      <c r="A17" s="33" t="str" cm="1">
        <f t="array" ref="A17">IF($R17=0,"",INDEX('Attack Steps'!A:A,$R17))</f>
        <v>AS15</v>
      </c>
      <c r="B17" s="16" t="str" cm="1">
        <f t="array" ref="B17">IF($R17=0,"",INDEX('Attack Steps'!B:B,$R17))</f>
        <v>Attacking the product from the Internet or a mobile network</v>
      </c>
      <c r="C17" s="13">
        <f>3</f>
        <v>3</v>
      </c>
      <c r="D17" s="34" t="str" cm="1">
        <f t="array" ca="1" aca="1" ref="D17">_xlfn.LET(_xlpm._displayLimit,$C17,_xlpm._risks,$S17,_xlpm._delimiter,CHAR(10)&amp;REPT(_xlfn.UNICHAR(9552),50)&amp;CHAR(10),_xlpm._attackPaths,RemoveDelimiter(GetValues(RIGHT(_xlpm._risks,LEN(_xlpm._risks)-FIND(":",_xlpm._risks)),Risks!$A:$B,"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17" s="33" t="str" cm="1">
        <f t="array" ca="1" aca="1" ref="E17">_xlfn.LET(_xlpm._riskValue,CalculateMaxFromList($T17,0,Risks!$A:$AJ),INDEX(Definitions!$AE:$AE,MATCH(_xlpm._riskValue,Definitions!$AF:$AF,0)))</f>
        <v>No Risk</v>
      </c>
      <c r="F17" s="33" t="str" cm="1">
        <f t="array" ca="1" aca="1" ref="F17">IF($A17="","",SUBSTITUTE(RemoveDelimiter(SanitizeInput(SimpleLookup($A17,'Attack Steps'!$A:$AE)),","),",",", "))</f>
        <v>CM1</v>
      </c>
      <c r="G17" s="33" t="str" cm="1">
        <f t="array" ca="1" aca="1" ref="G17">IF($A17="","",SUBSTITUTE(RemoveDelimiter(SanitizeInput(SimpleLookup($A17,'Attack Steps'!$A:$AF)),","),",",", "))</f>
        <v/>
      </c>
      <c r="H17" s="80" t="str" cm="1">
        <f t="array" ca="1" aca="1" ref="H17">IF($A17="","",_xlfn.LET(_xlpm._proposedActive,SanitizeInput($G17),_xlpm._proposedAll,SimpleLookup($A17,'Attack Steps'!$A:$AG),_xlpm._proposedDiff,FilterElementsFromList(_xlpm._proposedAll,_xlpm._proposedActive,FALSE,","),SUBSTITUTE(RemoveDelimiter(SanitizeInput(_xlpm._proposedDiff),","),",",", ")))</f>
        <v/>
      </c>
      <c r="I17" s="33" t="str" cm="1">
        <f t="array" ca="1" aca="1" ref="I17">RemoveDelimiter(GetValuesWithFallback(SanitizeInput($F17)&amp;SanitizeInput($G17)&amp;SanitizeInput($H17),Countermeasures!$A:$B,Assumptions!$A:$B," ",","&amp;CHAR(10),TRUE),","&amp;CHAR(10))</f>
        <v>CM1 SCR 2.1 - Device Firewall</v>
      </c>
      <c r="J17" s="13"/>
      <c r="K17" s="33" t="str" cm="1">
        <f t="array" ref="K17">RemoveDelimiter(GetValuesWithFallback(SanitizeInput($J17),Countermeasures!$A:$B,Assumptions!$A:$B," ",","&amp;CHAR(10),TRUE),","&amp;CHAR(10))</f>
        <v/>
      </c>
      <c r="L17" s="23">
        <f>3</f>
        <v>3</v>
      </c>
      <c r="M17" s="34" t="str" cm="1">
        <f t="array" ca="1" aca="1" ref="M17">_xlfn.LET(_xlpm._displayLimit,$L17,_xlpm._risks,$V17,_xlpm._delimiter,CHAR(10)&amp;REPT(_xlfn.UNICHAR(9552),50)&amp;CHAR(10),_xlpm._attackPaths,RemoveDelimiter(GetValues(RIGHT(_xlpm._risks,LEN(_xlpm._risks)-FIND(":",_xlpm._risks)),Risks!$A:$B,"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17" s="33" t="str">
        <f ca="1">INDEX(Definitions!$AE:$AE,MATCH($W17,Definitions!$AF:$AF,0))</f>
        <v>No Risk</v>
      </c>
      <c r="O17" s="13"/>
      <c r="P17" s="10" cm="1">
        <f t="array" ref="P17">GenerateShadowID(ROW(),$P$2,$P:$P,0,$A17&lt;&gt;"")</f>
        <v>15</v>
      </c>
      <c r="Q17" s="21" cm="1">
        <f t="array" ref="Q17">CreateTaskID($Q$2,$Q:$Q,Tasks!$B$17,$O17)</f>
        <v>0</v>
      </c>
      <c r="R17" s="10">
        <f>IFERROR(MATCH(ROW()-ROW($R$2),'Attack Steps'!$Q:$Q,0),0)</f>
        <v>17</v>
      </c>
      <c r="S17" s="21" t="str" cm="1">
        <f t="array" ca="1" aca="1" ref="S17">CalculateMaxAndElements($T17,0,"",Risks!$A:$AJ)</f>
        <v>0:</v>
      </c>
      <c r="T17" s="21" t="str" cm="1">
        <f t="array" ca="1" aca="1" ref="T17">InverseLookup($A17,Risks!$AI$2,Risks!$A$2,1,Helper!$B$1,",")</f>
        <v/>
      </c>
      <c r="U17" s="21" t="str">
        <f ca="1" t="shared" si="4" ref="U17:U22">IF($T17="","",","&amp;$T17)</f>
        <v/>
      </c>
      <c r="V17" s="21" t="str" cm="1">
        <f t="array" ca="1" aca="1" ref="V17">CalculateMaxAndElements($T17,0,"",Risks!$A:$BK)</f>
        <v>0:</v>
      </c>
      <c r="W17" s="21">
        <f ca="1" t="shared" si="5" ref="W17:W22">IF($V17="","",VALUE(LEFT($V17,FIND(":",$V17)-1)))</f>
        <v>0</v>
      </c>
      <c r="X17" s="21" t="str" cm="1">
        <f t="array" ref="X17">IF($J17="","",","&amp;SanitizeInput($J17))</f>
        <v/>
      </c>
      <c r="Y17" s="21" t="b" cm="1">
        <f t="array" ca="1" aca="1" ref="Y17">INDEX('Attack Steps'!$AI:$AI,$R17)</f>
        <v>0</v>
      </c>
      <c r="Z17" s="21" cm="1">
        <f t="array" ref="Z17">CreateID($Z$2,$Z:$Z,IFERROR(FIND(Definitions!$AR$4,$O17)&gt;0,FALSE))</f>
        <v>0</v>
      </c>
      <c r="AA17" s="21">
        <f>_xlfn.LET(_xlpm._comment,$O17,_xlpm._keyWord,Definitions!$AR$4,_xlpm._diffLen,LEN(_xlpm._comment)-LEN(SUBSTITUTE(_xlpm._comment,_xlpm._keyWord,"")),_xlpm._diffLen/LEN(_xlpm._keyWord))</f>
        <v>0</v>
      </c>
      <c r="AB17" s="21" cm="1">
        <f t="array" ref="AB17">CreateID($AB$2,$AB:$AB,IFERROR(FIND(Definitions!$AR$5,$O17)&gt;0,FALSE))</f>
        <v>0</v>
      </c>
      <c r="AC17" s="21">
        <f>_xlfn.LET(_xlpm._comment,$O17,_xlpm._keyWord,Definitions!$AR$5,_xlpm._diffLen,LEN(_xlpm._comment)-LEN(SUBSTITUTE(_xlpm._comment,_xlpm._keyWord,"")),_xlpm._diffLen/LEN(_xlpm._keyWord))</f>
        <v>0</v>
      </c>
      <c r="AD17" s="21" t="str" cm="1">
        <f t="array" ref="AD17">CreateSearchString($J17)</f>
        <v/>
      </c>
      <c r="AE17" s="21" t="str" cm="1">
        <f t="array" ca="1" aca="1" ref="AE17">_xlfn.LET(_xlpm._selected,SanitizeInput($J17),_xlpm._catalogOptions,SanitizeInput($F17)&amp;SanitizeInput($G17)&amp;SanitizeInput($H17),_xlpm._selectedNotInOptions,FilterElementsFromList(_xlpm._selected,_xlpm._catalogOptions,FALSE,","),IF(_xlpm._selectedNotInOptions="","",$A17&amp;" "&amp;$B17&amp;": "&amp;SUBSTITUTE(RemoveDelimiter(_xlpm._selectedNotInOptions,","),",",", ")))</f>
        <v/>
      </c>
      <c r="AF17" s="21" cm="1">
        <f t="array" ca="1" aca="1" ref="AF17">CreateID($AF$2,$AF:$AF,$AE17&lt;&gt;"")</f>
        <v>0</v>
      </c>
      <c r="AG17" s="21" t="str" cm="1">
        <f t="array" ref="AG17">_xlfn.LET(_xlpm._delimiter,","&amp;CHAR(10),_xlpm._assumptions,ParseAllMitigationsFromComment($A17,"-","A",$O17,Definitions!$AR$4,Definitions!$AS$4,Definitions!$AR$6,_xlpm._delimiter,1),_xlpm._countermeasures,ParseAllMitigationsFromComment($A17,"-","C",$O17,Definitions!$AR$5,Definitions!$AS$5,Definitions!$AR$6,_xlpm._delimiter,1),IF(_xlpm._countermeasures="",RemoveDelimiter(_xlpm._assumptions,_xlpm._delimiter),_xlpm._assumptions&amp;RemoveDelimiter(_xlpm._countermeasures,_xlpm._delimiter)))</f>
        <v/>
      </c>
      <c r="AH17" s="21" t="str" cm="1">
        <f t="array" ref="AH17">CreateSearchString(SanitizeInput($J17)&amp;GetValuesIgnoreErrors(SanitizeInput($J17),Countermeasures!$A:$G,"",",",FALSE))</f>
        <v/>
      </c>
      <c r="AI17" s="21" t="str" cm="1">
        <f t="array" ca="1" aca="1" ref="AI17">IF(AND(IFERROR(FIND(","&amp;Countermeasures!$A$30&amp;",",$AH17)&gt;0,FALSE),Countermeasures!$AF$30=TRUE,SimpleLookup(Questions!$A$48,Questionnaire!$A:$C)=Definitions!$A$5),$A17&amp;" "&amp;$B17,"")</f>
        <v/>
      </c>
      <c r="AJ17" s="21" cm="1">
        <f t="array" ca="1" aca="1" ref="AJ17">CreateID($AJ$2,$AJ:$AJ,$AI17&lt;&gt;"")</f>
        <v>0</v>
      </c>
      <c r="AK17" s="21" t="str">
        <f t="shared" ca="1" si="2"/>
        <v/>
      </c>
      <c r="AL17" s="21" cm="1">
        <f t="array" ca="1" aca="1" ref="AL17">CreateID($AL$2,$AL:$AL,$AK17&lt;&gt;"")</f>
        <v>0</v>
      </c>
      <c r="AM17" s="21" t="str">
        <f t="shared" si="3"/>
        <v/>
      </c>
      <c r="AN17" s="21" cm="1">
        <f t="array" ref="AN17">CreateID($AN$2,$AN:$AN,$AM17&lt;&gt;"")</f>
        <v>0</v>
      </c>
    </row>
    <row r="18" spans="1:40" ht="195">
      <c r="A18" s="33" t="str" cm="1">
        <f t="array" ref="A18">IF($R18=0,"",INDEX('Attack Steps'!A:A,$R18))</f>
        <v>AS16</v>
      </c>
      <c r="B18" s="16" t="str" cm="1">
        <f t="array" ref="B18">IF($R18=0,"",INDEX('Attack Steps'!B:B,$R18))</f>
        <v>Manipulating the product's configuration via its configuration interface</v>
      </c>
      <c r="C18" s="13">
        <f>3</f>
        <v>3</v>
      </c>
      <c r="D18" s="34" t="str" cm="1">
        <f t="array" ca="1" aca="1" ref="D18">_xlfn.LET(_xlpm._displayLimit,$C18,_xlpm._risks,$S18,_xlpm._delimiter,CHAR(10)&amp;REPT(_xlfn.UNICHAR(9552),50)&amp;CHAR(10),_xlpm._attackPaths,RemoveDelimiter(GetValues(RIGHT(_xlpm._risks,LEN(_xlpm._risks)-FIND(":",_xlpm._risks)),Risks!$A:$B,"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R1-16 AS16 Manipulating the product's configuration via its configuration interface
–––––––––––––––––––––––––––––––––––––––––––––––––––––––
AS1 Getting access to a trusted operational environment
══════════════════════════════════════════════════
R2-16 AS16 Manipulating the product's configuration via its configuration interface
–––––––––––––––––––––––––––––––––––––––––––––––––––––––
AS2 Getting access to a wireless network
══════════════════════════════════════════════════
R1-16-32 AS32 Extracting or misusing acontis techonlogies GmbH IP
–––––––––––––––––––––––––––––––––––––––––––––––––––––––
AS1 Getting access to a trusted operational environment,
AS16 Manipulating the product's configuration via its configuration interface</v>
      </c>
      <c r="E18" s="33" t="str" cm="1">
        <f t="array" ca="1" aca="1" ref="E18">_xlfn.LET(_xlpm._riskValue,CalculateMaxFromList($T18,0,Risks!$A:$AJ),INDEX(Definitions!$AE:$AE,MATCH(_xlpm._riskValue,Definitions!$AF:$AF,0)))</f>
        <v>Very High</v>
      </c>
      <c r="F18" s="33" t="str" cm="1">
        <f t="array" ca="1" aca="1" ref="F18">IF($A18="","",SUBSTITUTE(RemoveDelimiter(SanitizeInput(SimpleLookup($A18,'Attack Steps'!$A:$AE)),","),",",", "))</f>
        <v>CM5, CM6, CM14, CM15, CM24, CM25, CM26, CM27, CM28</v>
      </c>
      <c r="G18" s="33" t="str" cm="1">
        <f t="array" ca="1" aca="1" ref="G18">IF($A18="","",SUBSTITUTE(RemoveDelimiter(SanitizeInput(SimpleLookup($A18,'Attack Steps'!$A:$AF)),","),",",", "))</f>
        <v/>
      </c>
      <c r="H18" s="80" t="str" cm="1">
        <f t="array" ca="1" aca="1" ref="H18">IF($A18="","",_xlfn.LET(_xlpm._proposedActive,SanitizeInput($G18),_xlpm._proposedAll,SimpleLookup($A18,'Attack Steps'!$A:$AG),_xlpm._proposedDiff,FilterElementsFromList(_xlpm._proposedAll,_xlpm._proposedActive,FALSE,","),SUBSTITUTE(RemoveDelimiter(SanitizeInput(_xlpm._proposedDiff),","),",",", ")))</f>
        <v/>
      </c>
      <c r="I18" s="33" t="str" cm="1">
        <f t="array" ca="1" aca="1" ref="I18">RemoveDelimiter(GetValuesWithFallback(SanitizeInput($F18)&amp;SanitizeInput($G18)&amp;SanitizeInput($H18),Countermeasures!$A:$B,Assumptions!$A:$B," ",","&amp;CHAR(10),TRUE),","&amp;CHAR(10))</f>
        <v>CM5 SCR 2.3 - Password based authentication (human),
CM6 SCR 2.4 - Authentication with certificates (human),
CM14 SCR 2.10 - Password-based authentication (machine),
CM15 SCR 2.16 - Authentication with certificates (machine),
CM24 SSH with universal key,
CM25 SSH with individual key,
CM26 Oauth2,
CM27 LDAP over TLS,
CM28 OpenID Connect</v>
      </c>
      <c r="J18" s="13"/>
      <c r="K18" s="33" t="str" cm="1">
        <f t="array" ref="K18">RemoveDelimiter(GetValuesWithFallback(SanitizeInput($J18),Countermeasures!$A:$B,Assumptions!$A:$B," ",","&amp;CHAR(10),TRUE),","&amp;CHAR(10))</f>
        <v/>
      </c>
      <c r="L18" s="23">
        <f>3</f>
        <v>3</v>
      </c>
      <c r="M18" s="34" t="str" cm="1">
        <f t="array" ca="1" aca="1" ref="M18">_xlfn.LET(_xlpm._displayLimit,$L18,_xlpm._risks,$V18,_xlpm._delimiter,CHAR(10)&amp;REPT(_xlfn.UNICHAR(9552),50)&amp;CHAR(10),_xlpm._attackPaths,RemoveDelimiter(GetValues(RIGHT(_xlpm._risks,LEN(_xlpm._risks)-FIND(":",_xlpm._risks)),Risks!$A:$B,"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R1-16 AS16 Manipulating the product's configuration via its configuration interface
–––––––––––––––––––––––––––––––––––––––––––––––––––––––
AS1 Getting access to a trusted operational environment
══════════════════════════════════════════════════
R2-16 AS16 Manipulating the product's configuration via its configuration interface
–––––––––––––––––––––––––––––––––––––––––––––––––––––––
AS2 Getting access to a wireless network
══════════════════════════════════════════════════
R1-16-32 AS32 Extracting or misusing acontis techonlogies GmbH IP
–––––––––––––––––––––––––––––––––––––––––––––––––––––––
AS1 Getting access to a trusted operational environment,
AS16 Manipulating the product's configuration via its configuration interface</v>
      </c>
      <c r="N18" s="33" t="str">
        <f ca="1">INDEX(Definitions!$AE:$AE,MATCH($W18,Definitions!$AF:$AF,0))</f>
        <v>Very High</v>
      </c>
      <c r="O18" s="13"/>
      <c r="P18" s="10" cm="1">
        <f t="array" ref="P18">GenerateShadowID(ROW(),$P$2,$P:$P,0,$A18&lt;&gt;"")</f>
        <v>16</v>
      </c>
      <c r="Q18" s="21" cm="1">
        <f t="array" ref="Q18">CreateTaskID($Q$2,$Q:$Q,Tasks!$B$17,$O18)</f>
        <v>0</v>
      </c>
      <c r="R18" s="10">
        <f>IFERROR(MATCH(ROW()-ROW($R$2),'Attack Steps'!$Q:$Q,0),0)</f>
        <v>18</v>
      </c>
      <c r="S18" s="21" t="str" cm="1">
        <f t="array" ca="1" aca="1" ref="S18">CalculateMaxAndElements($T18,0,"",Risks!$A:$AJ)</f>
        <v>4:R1-16,R2-16,R1-16-32,R2-16-32,</v>
      </c>
      <c r="T18" s="21" t="str" cm="1">
        <f t="array" ca="1" aca="1" ref="T18">InverseLookup($A18,Risks!$AI$2,Risks!$A$2,1,Helper!$B$1,",")</f>
        <v>R1-16,R2-16,R1-16-32,R2-16-32,</v>
      </c>
      <c r="U18" s="21" t="str">
        <f t="shared" ca="1" si="4"/>
        <v>,R1-16,R2-16,R1-16-32,R2-16-32,</v>
      </c>
      <c r="V18" s="21" t="str" cm="1">
        <f t="array" ca="1" aca="1" ref="V18">CalculateMaxAndElements($T18,0,"",Risks!$A:$BK)</f>
        <v>4:R1-16,R2-16,R1-16-32,R2-16-32,</v>
      </c>
      <c r="W18" s="21">
        <f t="shared" ca="1" si="5"/>
        <v>4</v>
      </c>
      <c r="X18" s="21" t="str" cm="1">
        <f t="array" ref="X18">IF($J18="","",","&amp;SanitizeInput($J18))</f>
        <v/>
      </c>
      <c r="Y18" s="21" t="b" cm="1">
        <f t="array" ca="1" aca="1" ref="Y18">INDEX('Attack Steps'!$AI:$AI,$R18)</f>
        <v>1</v>
      </c>
      <c r="Z18" s="21" cm="1">
        <f t="array" ref="Z18">CreateID($Z$2,$Z:$Z,IFERROR(FIND(Definitions!$AR$4,$O18)&gt;0,FALSE))</f>
        <v>0</v>
      </c>
      <c r="AA18" s="21">
        <f>_xlfn.LET(_xlpm._comment,$O18,_xlpm._keyWord,Definitions!$AR$4,_xlpm._diffLen,LEN(_xlpm._comment)-LEN(SUBSTITUTE(_xlpm._comment,_xlpm._keyWord,"")),_xlpm._diffLen/LEN(_xlpm._keyWord))</f>
        <v>0</v>
      </c>
      <c r="AB18" s="21" cm="1">
        <f t="array" ref="AB18">CreateID($AB$2,$AB:$AB,IFERROR(FIND(Definitions!$AR$5,$O18)&gt;0,FALSE))</f>
        <v>0</v>
      </c>
      <c r="AC18" s="21">
        <f>_xlfn.LET(_xlpm._comment,$O18,_xlpm._keyWord,Definitions!$AR$5,_xlpm._diffLen,LEN(_xlpm._comment)-LEN(SUBSTITUTE(_xlpm._comment,_xlpm._keyWord,"")),_xlpm._diffLen/LEN(_xlpm._keyWord))</f>
        <v>0</v>
      </c>
      <c r="AD18" s="21" t="str" cm="1">
        <f t="array" ref="AD18">CreateSearchString($J18)</f>
        <v/>
      </c>
      <c r="AE18" s="21" t="str" cm="1">
        <f t="array" ca="1" aca="1" ref="AE18">_xlfn.LET(_xlpm._selected,SanitizeInput($J18),_xlpm._catalogOptions,SanitizeInput($F18)&amp;SanitizeInput($G18)&amp;SanitizeInput($H18),_xlpm._selectedNotInOptions,FilterElementsFromList(_xlpm._selected,_xlpm._catalogOptions,FALSE,","),IF(_xlpm._selectedNotInOptions="","",$A18&amp;" "&amp;$B18&amp;": "&amp;SUBSTITUTE(RemoveDelimiter(_xlpm._selectedNotInOptions,","),",",", ")))</f>
        <v/>
      </c>
      <c r="AF18" s="21" cm="1">
        <f t="array" ca="1" aca="1" ref="AF18">CreateID($AF$2,$AF:$AF,$AE18&lt;&gt;"")</f>
        <v>0</v>
      </c>
      <c r="AG18" s="21" t="str" cm="1">
        <f t="array" ref="AG18">_xlfn.LET(_xlpm._delimiter,","&amp;CHAR(10),_xlpm._assumptions,ParseAllMitigationsFromComment($A18,"-","A",$O18,Definitions!$AR$4,Definitions!$AS$4,Definitions!$AR$6,_xlpm._delimiter,1),_xlpm._countermeasures,ParseAllMitigationsFromComment($A18,"-","C",$O18,Definitions!$AR$5,Definitions!$AS$5,Definitions!$AR$6,_xlpm._delimiter,1),IF(_xlpm._countermeasures="",RemoveDelimiter(_xlpm._assumptions,_xlpm._delimiter),_xlpm._assumptions&amp;RemoveDelimiter(_xlpm._countermeasures,_xlpm._delimiter)))</f>
        <v/>
      </c>
      <c r="AH18" s="21" t="str" cm="1">
        <f t="array" ref="AH18">CreateSearchString(SanitizeInput($J18)&amp;GetValuesIgnoreErrors(SanitizeInput($J18),Countermeasures!$A:$G,"",",",FALSE))</f>
        <v/>
      </c>
      <c r="AI18" s="21" t="str" cm="1">
        <f t="array" ca="1" aca="1" ref="AI18">IF(AND(IFERROR(FIND(","&amp;Countermeasures!$A$30&amp;",",$AH18)&gt;0,FALSE),Countermeasures!$AF$30=TRUE,SimpleLookup(Questions!$A$48,Questionnaire!$A:$C)=Definitions!$A$5),$A18&amp;" "&amp;$B18,"")</f>
        <v/>
      </c>
      <c r="AJ18" s="21" cm="1">
        <f t="array" ca="1" aca="1" ref="AJ18">CreateID($AJ$2,$AJ:$AJ,$AI18&lt;&gt;"")</f>
        <v>0</v>
      </c>
      <c r="AK18" s="21" t="str">
        <f t="shared" ca="1" si="2"/>
        <v/>
      </c>
      <c r="AL18" s="21" cm="1">
        <f t="array" ca="1" aca="1" ref="AL18">CreateID($AL$2,$AL:$AL,$AK18&lt;&gt;"")</f>
        <v>0</v>
      </c>
      <c r="AM18" s="21" t="str">
        <f t="shared" si="3"/>
        <v/>
      </c>
      <c r="AN18" s="21" cm="1">
        <f t="array" ref="AN18">CreateID($AN$2,$AN:$AN,$AM18&lt;&gt;"")</f>
        <v>0</v>
      </c>
    </row>
    <row r="19" spans="1:40" ht="45">
      <c r="A19" s="33" t="str" cm="1">
        <f t="array" ref="A19">IF($R19=0,"",INDEX('Attack Steps'!A:A,$R19))</f>
        <v>AS17</v>
      </c>
      <c r="B19" s="16" t="str" cm="1">
        <f t="array" ref="B19">IF($R19=0,"",INDEX('Attack Steps'!B:B,$R19))</f>
        <v>Sending manipulated or malicious data to the product (from an untrusted source)</v>
      </c>
      <c r="C19" s="13">
        <f>3</f>
        <v>3</v>
      </c>
      <c r="D19" s="34" t="str" cm="1">
        <f t="array" ca="1" aca="1" ref="D19">_xlfn.LET(_xlpm._displayLimit,$C19,_xlpm._risks,$S19,_xlpm._delimiter,CHAR(10)&amp;REPT(_xlfn.UNICHAR(9552),50)&amp;CHAR(10),_xlpm._attackPaths,RemoveDelimiter(GetValues(RIGHT(_xlpm._risks,LEN(_xlpm._risks)-FIND(":",_xlpm._risks)),Risks!$A:$B,"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19" s="33" t="str" cm="1">
        <f t="array" ca="1" aca="1" ref="E19">_xlfn.LET(_xlpm._riskValue,CalculateMaxFromList($T19,0,Risks!$A:$AJ),INDEX(Definitions!$AE:$AE,MATCH(_xlpm._riskValue,Definitions!$AF:$AF,0)))</f>
        <v>No Risk</v>
      </c>
      <c r="F19" s="33" t="str" cm="1">
        <f t="array" ca="1" aca="1" ref="F19">IF($A19="","",SUBSTITUTE(RemoveDelimiter(SanitizeInput(SimpleLookup($A19,'Attack Steps'!$A:$AE)),","),",",", "))</f>
        <v>C15, CM19</v>
      </c>
      <c r="G19" s="33" t="str" cm="1">
        <f t="array" ca="1" aca="1" ref="G19">IF($A19="","",SUBSTITUTE(RemoveDelimiter(SanitizeInput(SimpleLookup($A19,'Attack Steps'!$A:$AF)),","),",",", "))</f>
        <v/>
      </c>
      <c r="H19" s="80" t="str" cm="1">
        <f t="array" ca="1" aca="1" ref="H19">IF($A19="","",_xlfn.LET(_xlpm._proposedActive,SanitizeInput($G19),_xlpm._proposedAll,SimpleLookup($A19,'Attack Steps'!$A:$AG),_xlpm._proposedDiff,FilterElementsFromList(_xlpm._proposedAll,_xlpm._proposedActive,FALSE,","),SUBSTITUTE(RemoveDelimiter(SanitizeInput(_xlpm._proposedDiff),","),",",", ")))</f>
        <v/>
      </c>
      <c r="I19" s="33" t="str" cm="1">
        <f t="array" ca="1" aca="1" ref="I19">RemoveDelimiter(GetValuesWithFallback(SanitizeInput($F19)&amp;SanitizeInput($G19)&amp;SanitizeInput($H19),Countermeasures!$A:$B,Assumptions!$A:$B," ",","&amp;CHAR(10),TRUE),","&amp;CHAR(10))</f>
        <v>C15 CR 3.5 – Input validation,
CM19 SDR 2.13 - No processing of external data</v>
      </c>
      <c r="J19" s="13"/>
      <c r="K19" s="33" t="str" cm="1">
        <f t="array" ref="K19">RemoveDelimiter(GetValuesWithFallback(SanitizeInput($J19),Countermeasures!$A:$B,Assumptions!$A:$B," ",","&amp;CHAR(10),TRUE),","&amp;CHAR(10))</f>
        <v/>
      </c>
      <c r="L19" s="23">
        <f>3</f>
        <v>3</v>
      </c>
      <c r="M19" s="34" t="str" cm="1">
        <f t="array" ca="1" aca="1" ref="M19">_xlfn.LET(_xlpm._displayLimit,$L19,_xlpm._risks,$V19,_xlpm._delimiter,CHAR(10)&amp;REPT(_xlfn.UNICHAR(9552),50)&amp;CHAR(10),_xlpm._attackPaths,RemoveDelimiter(GetValues(RIGHT(_xlpm._risks,LEN(_xlpm._risks)-FIND(":",_xlpm._risks)),Risks!$A:$B,"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19" s="33" t="str">
        <f ca="1">INDEX(Definitions!$AE:$AE,MATCH($W19,Definitions!$AF:$AF,0))</f>
        <v>No Risk</v>
      </c>
      <c r="O19" s="13"/>
      <c r="P19" s="10" cm="1">
        <f t="array" ref="P19">GenerateShadowID(ROW(),$P$2,$P:$P,0,$A19&lt;&gt;"")</f>
        <v>17</v>
      </c>
      <c r="Q19" s="21" cm="1">
        <f t="array" ref="Q19">CreateTaskID($Q$2,$Q:$Q,Tasks!$B$17,$O19)</f>
        <v>0</v>
      </c>
      <c r="R19" s="10">
        <f>IFERROR(MATCH(ROW()-ROW($R$2),'Attack Steps'!$Q:$Q,0),0)</f>
        <v>19</v>
      </c>
      <c r="S19" s="21" t="str" cm="1">
        <f t="array" ca="1" aca="1" ref="S19">CalculateMaxAndElements($T19,0,"",Risks!$A:$AJ)</f>
        <v>0:</v>
      </c>
      <c r="T19" s="21" t="str" cm="1">
        <f t="array" ca="1" aca="1" ref="T19">InverseLookup($A19,Risks!$AI$2,Risks!$A$2,1,Helper!$B$1,",")</f>
        <v/>
      </c>
      <c r="U19" s="21" t="str">
        <f t="shared" ca="1" si="4"/>
        <v/>
      </c>
      <c r="V19" s="21" t="str" cm="1">
        <f t="array" ca="1" aca="1" ref="V19">CalculateMaxAndElements($T19,0,"",Risks!$A:$BK)</f>
        <v>0:</v>
      </c>
      <c r="W19" s="21">
        <f t="shared" ca="1" si="5"/>
        <v>0</v>
      </c>
      <c r="X19" s="21" t="str" cm="1">
        <f t="array" ref="X19">IF($J19="","",","&amp;SanitizeInput($J19))</f>
        <v/>
      </c>
      <c r="Y19" s="21" t="b" cm="1">
        <f t="array" ca="1" aca="1" ref="Y19">INDEX('Attack Steps'!$AI:$AI,$R19)</f>
        <v>0</v>
      </c>
      <c r="Z19" s="21" cm="1">
        <f t="array" ref="Z19">CreateID($Z$2,$Z:$Z,IFERROR(FIND(Definitions!$AR$4,$O19)&gt;0,FALSE))</f>
        <v>0</v>
      </c>
      <c r="AA19" s="21">
        <f>_xlfn.LET(_xlpm._comment,$O19,_xlpm._keyWord,Definitions!$AR$4,_xlpm._diffLen,LEN(_xlpm._comment)-LEN(SUBSTITUTE(_xlpm._comment,_xlpm._keyWord,"")),_xlpm._diffLen/LEN(_xlpm._keyWord))</f>
        <v>0</v>
      </c>
      <c r="AB19" s="21" cm="1">
        <f t="array" ref="AB19">CreateID($AB$2,$AB:$AB,IFERROR(FIND(Definitions!$AR$5,$O19)&gt;0,FALSE))</f>
        <v>0</v>
      </c>
      <c r="AC19" s="21">
        <f>_xlfn.LET(_xlpm._comment,$O19,_xlpm._keyWord,Definitions!$AR$5,_xlpm._diffLen,LEN(_xlpm._comment)-LEN(SUBSTITUTE(_xlpm._comment,_xlpm._keyWord,"")),_xlpm._diffLen/LEN(_xlpm._keyWord))</f>
        <v>0</v>
      </c>
      <c r="AD19" s="21" t="str" cm="1">
        <f t="array" ref="AD19">CreateSearchString($J19)</f>
        <v/>
      </c>
      <c r="AE19" s="21" t="str" cm="1">
        <f t="array" ca="1" aca="1" ref="AE19">_xlfn.LET(_xlpm._selected,SanitizeInput($J19),_xlpm._catalogOptions,SanitizeInput($F19)&amp;SanitizeInput($G19)&amp;SanitizeInput($H19),_xlpm._selectedNotInOptions,FilterElementsFromList(_xlpm._selected,_xlpm._catalogOptions,FALSE,","),IF(_xlpm._selectedNotInOptions="","",$A19&amp;" "&amp;$B19&amp;": "&amp;SUBSTITUTE(RemoveDelimiter(_xlpm._selectedNotInOptions,","),",",", ")))</f>
        <v/>
      </c>
      <c r="AF19" s="21" cm="1">
        <f t="array" ca="1" aca="1" ref="AF19">CreateID($AF$2,$AF:$AF,$AE19&lt;&gt;"")</f>
        <v>0</v>
      </c>
      <c r="AG19" s="21" t="str" cm="1">
        <f t="array" ref="AG19">_xlfn.LET(_xlpm._delimiter,","&amp;CHAR(10),_xlpm._assumptions,ParseAllMitigationsFromComment($A19,"-","A",$O19,Definitions!$AR$4,Definitions!$AS$4,Definitions!$AR$6,_xlpm._delimiter,1),_xlpm._countermeasures,ParseAllMitigationsFromComment($A19,"-","C",$O19,Definitions!$AR$5,Definitions!$AS$5,Definitions!$AR$6,_xlpm._delimiter,1),IF(_xlpm._countermeasures="",RemoveDelimiter(_xlpm._assumptions,_xlpm._delimiter),_xlpm._assumptions&amp;RemoveDelimiter(_xlpm._countermeasures,_xlpm._delimiter)))</f>
        <v/>
      </c>
      <c r="AH19" s="21" t="str" cm="1">
        <f t="array" ref="AH19">CreateSearchString(SanitizeInput($J19)&amp;GetValuesIgnoreErrors(SanitizeInput($J19),Countermeasures!$A:$G,"",",",FALSE))</f>
        <v/>
      </c>
      <c r="AI19" s="21" t="str" cm="1">
        <f t="array" ca="1" aca="1" ref="AI19">IF(AND(IFERROR(FIND(","&amp;Countermeasures!$A$30&amp;",",$AH19)&gt;0,FALSE),Countermeasures!$AF$30=TRUE,SimpleLookup(Questions!$A$48,Questionnaire!$A:$C)=Definitions!$A$5),$A19&amp;" "&amp;$B19,"")</f>
        <v/>
      </c>
      <c r="AJ19" s="21" cm="1">
        <f t="array" ca="1" aca="1" ref="AJ19">CreateID($AJ$2,$AJ:$AJ,$AI19&lt;&gt;"")</f>
        <v>0</v>
      </c>
      <c r="AK19" s="21" t="str">
        <f t="shared" ca="1" si="2"/>
        <v/>
      </c>
      <c r="AL19" s="21" cm="1">
        <f t="array" ca="1" aca="1" ref="AL19">CreateID($AL$2,$AL:$AL,$AK19&lt;&gt;"")</f>
        <v>0</v>
      </c>
      <c r="AM19" s="21" t="str">
        <f t="shared" si="3"/>
        <v/>
      </c>
      <c r="AN19" s="21" cm="1">
        <f t="array" ref="AN19">CreateID($AN$2,$AN:$AN,$AM19&lt;&gt;"")</f>
        <v>0</v>
      </c>
    </row>
    <row r="20" spans="1:40" ht="75">
      <c r="A20" s="33" t="str" cm="1">
        <f t="array" ref="A20">IF($R20=0,"",INDEX('Attack Steps'!A:A,$R20))</f>
        <v>AS18</v>
      </c>
      <c r="B20" s="16" t="str" cm="1">
        <f t="array" ref="B20">IF($R20=0,"",INDEX('Attack Steps'!B:B,$R20))</f>
        <v>Abusing the software update functionality to manipulate the product</v>
      </c>
      <c r="C20" s="13">
        <f>3</f>
        <v>3</v>
      </c>
      <c r="D20" s="34" t="str" cm="1">
        <f t="array" ca="1" aca="1" ref="D20">_xlfn.LET(_xlpm._displayLimit,$C20,_xlpm._risks,$S20,_xlpm._delimiter,CHAR(10)&amp;REPT(_xlfn.UNICHAR(9552),50)&amp;CHAR(10),_xlpm._attackPaths,RemoveDelimiter(GetValues(RIGHT(_xlpm._risks,LEN(_xlpm._risks)-FIND(":",_xlpm._risks)),Risks!$A:$B,"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20" s="33" t="str" cm="1">
        <f t="array" ca="1" aca="1" ref="E20">_xlfn.LET(_xlpm._riskValue,CalculateMaxFromList($T20,0,Risks!$A:$AJ),INDEX(Definitions!$AE:$AE,MATCH(_xlpm._riskValue,Definitions!$AF:$AF,0)))</f>
        <v>No Risk</v>
      </c>
      <c r="F20" s="33" t="str" cm="1">
        <f t="array" ca="1" aca="1" ref="F20">IF($A20="","",SUBSTITUTE(RemoveDelimiter(SanitizeInput(SimpleLookup($A20,'Attack Steps'!$A:$AE)),","),",",", "))</f>
        <v>CM12</v>
      </c>
      <c r="G20" s="33" t="str" cm="1">
        <f t="array" ca="1" aca="1" ref="G20">IF($A20="","",SUBSTITUTE(RemoveDelimiter(SanitizeInput(SimpleLookup($A20,'Attack Steps'!$A:$AF)),","),",",", "))</f>
        <v/>
      </c>
      <c r="H20" s="80" t="str" cm="1">
        <f t="array" ca="1" aca="1" ref="H20">IF($A20="","",_xlfn.LET(_xlpm._proposedActive,SanitizeInput($G20),_xlpm._proposedAll,SimpleLookup($A20,'Attack Steps'!$A:$AG),_xlpm._proposedDiff,FilterElementsFromList(_xlpm._proposedAll,_xlpm._proposedActive,FALSE,","),SUBSTITUTE(RemoveDelimiter(SanitizeInput(_xlpm._proposedDiff),","),",",", ")))</f>
        <v/>
      </c>
      <c r="I20" s="33" t="str" cm="1">
        <f t="array" ca="1" aca="1" ref="I20">RemoveDelimiter(GetValuesWithFallback(SanitizeInput($F20)&amp;SanitizeInput($G20)&amp;SanitizeInput($H20),Countermeasures!$A:$B,Assumptions!$A:$B," ",","&amp;CHAR(10),TRUE),","&amp;CHAR(10))</f>
        <v>CM12 Secure update: RE1 Update authenticity and integrity
EDR 3.10 / HDR 3.10 / NDR 3.10 – Support for updates</v>
      </c>
      <c r="J20" s="13"/>
      <c r="K20" s="33" t="str" cm="1">
        <f t="array" ref="K20">RemoveDelimiter(GetValuesWithFallback(SanitizeInput($J20),Countermeasures!$A:$B,Assumptions!$A:$B," ",","&amp;CHAR(10),TRUE),","&amp;CHAR(10))</f>
        <v/>
      </c>
      <c r="L20" s="23">
        <f>3</f>
        <v>3</v>
      </c>
      <c r="M20" s="34" t="str" cm="1">
        <f t="array" ca="1" aca="1" ref="M20">_xlfn.LET(_xlpm._displayLimit,$L20,_xlpm._risks,$V20,_xlpm._delimiter,CHAR(10)&amp;REPT(_xlfn.UNICHAR(9552),50)&amp;CHAR(10),_xlpm._attackPaths,RemoveDelimiter(GetValues(RIGHT(_xlpm._risks,LEN(_xlpm._risks)-FIND(":",_xlpm._risks)),Risks!$A:$B,"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20" s="33" t="str">
        <f ca="1">INDEX(Definitions!$AE:$AE,MATCH($W20,Definitions!$AF:$AF,0))</f>
        <v>No Risk</v>
      </c>
      <c r="O20" s="13"/>
      <c r="P20" s="10" cm="1">
        <f t="array" ref="P20">GenerateShadowID(ROW(),$P$2,$P:$P,0,$A20&lt;&gt;"")</f>
        <v>18</v>
      </c>
      <c r="Q20" s="21" cm="1">
        <f t="array" ref="Q20">CreateTaskID($Q$2,$Q:$Q,Tasks!$B$17,$O20)</f>
        <v>0</v>
      </c>
      <c r="R20" s="10">
        <f>IFERROR(MATCH(ROW()-ROW($R$2),'Attack Steps'!$Q:$Q,0),0)</f>
        <v>20</v>
      </c>
      <c r="S20" s="21" t="str" cm="1">
        <f t="array" ca="1" aca="1" ref="S20">CalculateMaxAndElements($T20,0,"",Risks!$A:$AJ)</f>
        <v>0:</v>
      </c>
      <c r="T20" s="21" t="str" cm="1">
        <f t="array" ca="1" aca="1" ref="T20">InverseLookup($A20,Risks!$AI$2,Risks!$A$2,1,Helper!$B$1,",")</f>
        <v/>
      </c>
      <c r="U20" s="21" t="str">
        <f t="shared" ca="1" si="4"/>
        <v/>
      </c>
      <c r="V20" s="21" t="str" cm="1">
        <f t="array" ca="1" aca="1" ref="V20">CalculateMaxAndElements($T20,0,"",Risks!$A:$BK)</f>
        <v>0:</v>
      </c>
      <c r="W20" s="21">
        <f t="shared" ca="1" si="5"/>
        <v>0</v>
      </c>
      <c r="X20" s="21" t="str" cm="1">
        <f t="array" ref="X20">IF($J20="","",","&amp;SanitizeInput($J20))</f>
        <v/>
      </c>
      <c r="Y20" s="21" t="b" cm="1">
        <f t="array" ca="1" aca="1" ref="Y20">INDEX('Attack Steps'!$AI:$AI,$R20)</f>
        <v>0</v>
      </c>
      <c r="Z20" s="21" cm="1">
        <f t="array" ref="Z20">CreateID($Z$2,$Z:$Z,IFERROR(FIND(Definitions!$AR$4,$O20)&gt;0,FALSE))</f>
        <v>0</v>
      </c>
      <c r="AA20" s="21">
        <f>_xlfn.LET(_xlpm._comment,$O20,_xlpm._keyWord,Definitions!$AR$4,_xlpm._diffLen,LEN(_xlpm._comment)-LEN(SUBSTITUTE(_xlpm._comment,_xlpm._keyWord,"")),_xlpm._diffLen/LEN(_xlpm._keyWord))</f>
        <v>0</v>
      </c>
      <c r="AB20" s="21" cm="1">
        <f t="array" ref="AB20">CreateID($AB$2,$AB:$AB,IFERROR(FIND(Definitions!$AR$5,$O20)&gt;0,FALSE))</f>
        <v>0</v>
      </c>
      <c r="AC20" s="21">
        <f>_xlfn.LET(_xlpm._comment,$O20,_xlpm._keyWord,Definitions!$AR$5,_xlpm._diffLen,LEN(_xlpm._comment)-LEN(SUBSTITUTE(_xlpm._comment,_xlpm._keyWord,"")),_xlpm._diffLen/LEN(_xlpm._keyWord))</f>
        <v>0</v>
      </c>
      <c r="AD20" s="21" t="str" cm="1">
        <f t="array" ref="AD20">CreateSearchString($J20)</f>
        <v/>
      </c>
      <c r="AE20" s="21" t="str" cm="1">
        <f t="array" ca="1" aca="1" ref="AE20">_xlfn.LET(_xlpm._selected,SanitizeInput($J20),_xlpm._catalogOptions,SanitizeInput($F20)&amp;SanitizeInput($G20)&amp;SanitizeInput($H20),_xlpm._selectedNotInOptions,FilterElementsFromList(_xlpm._selected,_xlpm._catalogOptions,FALSE,","),IF(_xlpm._selectedNotInOptions="","",$A20&amp;" "&amp;$B20&amp;": "&amp;SUBSTITUTE(RemoveDelimiter(_xlpm._selectedNotInOptions,","),",",", ")))</f>
        <v/>
      </c>
      <c r="AF20" s="21" cm="1">
        <f t="array" ca="1" aca="1" ref="AF20">CreateID($AF$2,$AF:$AF,$AE20&lt;&gt;"")</f>
        <v>0</v>
      </c>
      <c r="AG20" s="21" t="str" cm="1">
        <f t="array" ref="AG20">_xlfn.LET(_xlpm._delimiter,","&amp;CHAR(10),_xlpm._assumptions,ParseAllMitigationsFromComment($A20,"-","A",$O20,Definitions!$AR$4,Definitions!$AS$4,Definitions!$AR$6,_xlpm._delimiter,1),_xlpm._countermeasures,ParseAllMitigationsFromComment($A20,"-","C",$O20,Definitions!$AR$5,Definitions!$AS$5,Definitions!$AR$6,_xlpm._delimiter,1),IF(_xlpm._countermeasures="",RemoveDelimiter(_xlpm._assumptions,_xlpm._delimiter),_xlpm._assumptions&amp;RemoveDelimiter(_xlpm._countermeasures,_xlpm._delimiter)))</f>
        <v/>
      </c>
      <c r="AH20" s="21" t="str" cm="1">
        <f t="array" ref="AH20">CreateSearchString(SanitizeInput($J20)&amp;GetValuesIgnoreErrors(SanitizeInput($J20),Countermeasures!$A:$G,"",",",FALSE))</f>
        <v/>
      </c>
      <c r="AI20" s="21" t="str" cm="1">
        <f t="array" ca="1" aca="1" ref="AI20">IF(AND(IFERROR(FIND(","&amp;Countermeasures!$A$30&amp;",",$AH20)&gt;0,FALSE),Countermeasures!$AF$30=TRUE,SimpleLookup(Questions!$A$48,Questionnaire!$A:$C)=Definitions!$A$5),$A20&amp;" "&amp;$B20,"")</f>
        <v/>
      </c>
      <c r="AJ20" s="21" cm="1">
        <f t="array" ca="1" aca="1" ref="AJ20">CreateID($AJ$2,$AJ:$AJ,$AI20&lt;&gt;"")</f>
        <v>0</v>
      </c>
      <c r="AK20" s="21" t="str">
        <f t="shared" ca="1" si="2"/>
        <v/>
      </c>
      <c r="AL20" s="21" cm="1">
        <f t="array" ca="1" aca="1" ref="AL20">CreateID($AL$2,$AL:$AL,$AK20&lt;&gt;"")</f>
        <v>0</v>
      </c>
      <c r="AM20" s="21" t="str">
        <f t="shared" si="3"/>
        <v/>
      </c>
      <c r="AN20" s="21" cm="1">
        <f t="array" ref="AN20">CreateID($AN$2,$AN:$AN,$AM20&lt;&gt;"")</f>
        <v>0</v>
      </c>
    </row>
    <row r="21" spans="1:40" ht="60">
      <c r="A21" s="33" t="str" cm="1">
        <f t="array" ref="A21">IF($R21=0,"",INDEX('Attack Steps'!A:A,$R21))</f>
        <v>AS19</v>
      </c>
      <c r="B21" s="16" t="str" cm="1">
        <f t="array" ref="B21">IF($R21=0,"",INDEX('Attack Steps'!B:B,$R21))</f>
        <v>Spoofing an entity sending a software update or manipulation of the update during transmission</v>
      </c>
      <c r="C21" s="13">
        <f>3</f>
        <v>3</v>
      </c>
      <c r="D21" s="34" t="str" cm="1">
        <f t="array" ca="1" aca="1" ref="D21">_xlfn.LET(_xlpm._displayLimit,$C21,_xlpm._risks,$S21,_xlpm._delimiter,CHAR(10)&amp;REPT(_xlfn.UNICHAR(9552),50)&amp;CHAR(10),_xlpm._attackPaths,RemoveDelimiter(GetValues(RIGHT(_xlpm._risks,LEN(_xlpm._risks)-FIND(":",_xlpm._risks)),Risks!$A:$B,"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21" s="33" t="str" cm="1">
        <f t="array" ca="1" aca="1" ref="E21">_xlfn.LET(_xlpm._riskValue,CalculateMaxFromList($T21,0,Risks!$A:$AJ),INDEX(Definitions!$AE:$AE,MATCH(_xlpm._riskValue,Definitions!$AF:$AF,0)))</f>
        <v>No Risk</v>
      </c>
      <c r="F21" s="33" t="str" cm="1">
        <f t="array" ca="1" aca="1" ref="F21">IF($A21="","",SUBSTITUTE(RemoveDelimiter(SanitizeInput(SimpleLookup($A21,'Attack Steps'!$A:$AE)),","),",",", "))</f>
        <v>CM11</v>
      </c>
      <c r="G21" s="33" t="str" cm="1">
        <f t="array" ca="1" aca="1" ref="G21">IF($A21="","",SUBSTITUTE(RemoveDelimiter(SanitizeInput(SimpleLookup($A21,'Attack Steps'!$A:$AF)),","),",",", "))</f>
        <v/>
      </c>
      <c r="H21" s="80" t="str" cm="1">
        <f t="array" ca="1" aca="1" ref="H21">IF($A21="","",_xlfn.LET(_xlpm._proposedActive,SanitizeInput($G21),_xlpm._proposedAll,SimpleLookup($A21,'Attack Steps'!$A:$AG),_xlpm._proposedDiff,FilterElementsFromList(_xlpm._proposedAll,_xlpm._proposedActive,FALSE,","),SUBSTITUTE(RemoveDelimiter(SanitizeInput(_xlpm._proposedDiff),","),",",", ")))</f>
        <v/>
      </c>
      <c r="I21" s="33" t="str" cm="1">
        <f t="array" ca="1" aca="1" ref="I21">RemoveDelimiter(GetValuesWithFallback(SanitizeInput($F21)&amp;SanitizeInput($G21)&amp;SanitizeInput($H21),Countermeasures!$A:$B,Assumptions!$A:$B," ",","&amp;CHAR(10),TRUE),","&amp;CHAR(10))</f>
        <v>CM11 SCR 2.9 - Secure channel with communication partner authentication</v>
      </c>
      <c r="J21" s="13"/>
      <c r="K21" s="33" t="str" cm="1">
        <f t="array" ref="K21">RemoveDelimiter(GetValuesWithFallback(SanitizeInput($J21),Countermeasures!$A:$B,Assumptions!$A:$B," ",","&amp;CHAR(10),TRUE),","&amp;CHAR(10))</f>
        <v/>
      </c>
      <c r="L21" s="23">
        <f>3</f>
        <v>3</v>
      </c>
      <c r="M21" s="34" t="str" cm="1">
        <f t="array" ca="1" aca="1" ref="M21">_xlfn.LET(_xlpm._displayLimit,$L21,_xlpm._risks,$V21,_xlpm._delimiter,CHAR(10)&amp;REPT(_xlfn.UNICHAR(9552),50)&amp;CHAR(10),_xlpm._attackPaths,RemoveDelimiter(GetValues(RIGHT(_xlpm._risks,LEN(_xlpm._risks)-FIND(":",_xlpm._risks)),Risks!$A:$B,"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21" s="33" t="str">
        <f ca="1">INDEX(Definitions!$AE:$AE,MATCH($W21,Definitions!$AF:$AF,0))</f>
        <v>No Risk</v>
      </c>
      <c r="O21" s="13"/>
      <c r="P21" s="10" cm="1">
        <f t="array" ref="P21">GenerateShadowID(ROW(),$P$2,$P:$P,0,$A21&lt;&gt;"")</f>
        <v>19</v>
      </c>
      <c r="Q21" s="21" cm="1">
        <f t="array" ref="Q21">CreateTaskID($Q$2,$Q:$Q,Tasks!$B$17,$O21)</f>
        <v>0</v>
      </c>
      <c r="R21" s="10">
        <f>IFERROR(MATCH(ROW()-ROW($R$2),'Attack Steps'!$Q:$Q,0),0)</f>
        <v>21</v>
      </c>
      <c r="S21" s="21" t="str" cm="1">
        <f t="array" ca="1" aca="1" ref="S21">CalculateMaxAndElements($T21,0,"",Risks!$A:$AJ)</f>
        <v>0:</v>
      </c>
      <c r="T21" s="21" t="str" cm="1">
        <f t="array" ca="1" aca="1" ref="T21">InverseLookup($A21,Risks!$AI$2,Risks!$A$2,1,Helper!$B$1,",")</f>
        <v/>
      </c>
      <c r="U21" s="21" t="str">
        <f t="shared" ca="1" si="4"/>
        <v/>
      </c>
      <c r="V21" s="21" t="str" cm="1">
        <f t="array" ca="1" aca="1" ref="V21">CalculateMaxAndElements($T21,0,"",Risks!$A:$BK)</f>
        <v>0:</v>
      </c>
      <c r="W21" s="21">
        <f t="shared" ca="1" si="5"/>
        <v>0</v>
      </c>
      <c r="X21" s="21" t="str" cm="1">
        <f t="array" ref="X21">IF($J21="","",","&amp;SanitizeInput($J21))</f>
        <v/>
      </c>
      <c r="Y21" s="21" t="b" cm="1">
        <f t="array" ca="1" aca="1" ref="Y21">INDEX('Attack Steps'!$AI:$AI,$R21)</f>
        <v>0</v>
      </c>
      <c r="Z21" s="21" cm="1">
        <f t="array" ref="Z21">CreateID($Z$2,$Z:$Z,IFERROR(FIND(Definitions!$AR$4,$O21)&gt;0,FALSE))</f>
        <v>0</v>
      </c>
      <c r="AA21" s="21">
        <f>_xlfn.LET(_xlpm._comment,$O21,_xlpm._keyWord,Definitions!$AR$4,_xlpm._diffLen,LEN(_xlpm._comment)-LEN(SUBSTITUTE(_xlpm._comment,_xlpm._keyWord,"")),_xlpm._diffLen/LEN(_xlpm._keyWord))</f>
        <v>0</v>
      </c>
      <c r="AB21" s="21" cm="1">
        <f t="array" ref="AB21">CreateID($AB$2,$AB:$AB,IFERROR(FIND(Definitions!$AR$5,$O21)&gt;0,FALSE))</f>
        <v>0</v>
      </c>
      <c r="AC21" s="21">
        <f>_xlfn.LET(_xlpm._comment,$O21,_xlpm._keyWord,Definitions!$AR$5,_xlpm._diffLen,LEN(_xlpm._comment)-LEN(SUBSTITUTE(_xlpm._comment,_xlpm._keyWord,"")),_xlpm._diffLen/LEN(_xlpm._keyWord))</f>
        <v>0</v>
      </c>
      <c r="AD21" s="21" t="str" cm="1">
        <f t="array" ref="AD21">CreateSearchString($J21)</f>
        <v/>
      </c>
      <c r="AE21" s="21" t="str" cm="1">
        <f t="array" ca="1" aca="1" ref="AE21">_xlfn.LET(_xlpm._selected,SanitizeInput($J21),_xlpm._catalogOptions,SanitizeInput($F21)&amp;SanitizeInput($G21)&amp;SanitizeInput($H21),_xlpm._selectedNotInOptions,FilterElementsFromList(_xlpm._selected,_xlpm._catalogOptions,FALSE,","),IF(_xlpm._selectedNotInOptions="","",$A21&amp;" "&amp;$B21&amp;": "&amp;SUBSTITUTE(RemoveDelimiter(_xlpm._selectedNotInOptions,","),",",", ")))</f>
        <v/>
      </c>
      <c r="AF21" s="21" cm="1">
        <f t="array" ca="1" aca="1" ref="AF21">CreateID($AF$2,$AF:$AF,$AE21&lt;&gt;"")</f>
        <v>0</v>
      </c>
      <c r="AG21" s="21" t="str" cm="1">
        <f t="array" ref="AG21">_xlfn.LET(_xlpm._delimiter,","&amp;CHAR(10),_xlpm._assumptions,ParseAllMitigationsFromComment($A21,"-","A",$O21,Definitions!$AR$4,Definitions!$AS$4,Definitions!$AR$6,_xlpm._delimiter,1),_xlpm._countermeasures,ParseAllMitigationsFromComment($A21,"-","C",$O21,Definitions!$AR$5,Definitions!$AS$5,Definitions!$AR$6,_xlpm._delimiter,1),IF(_xlpm._countermeasures="",RemoveDelimiter(_xlpm._assumptions,_xlpm._delimiter),_xlpm._assumptions&amp;RemoveDelimiter(_xlpm._countermeasures,_xlpm._delimiter)))</f>
        <v/>
      </c>
      <c r="AH21" s="21" t="str" cm="1">
        <f t="array" ref="AH21">CreateSearchString(SanitizeInput($J21)&amp;GetValuesIgnoreErrors(SanitizeInput($J21),Countermeasures!$A:$G,"",",",FALSE))</f>
        <v/>
      </c>
      <c r="AI21" s="21" t="str" cm="1">
        <f t="array" ca="1" aca="1" ref="AI21">IF(AND(IFERROR(FIND(","&amp;Countermeasures!$A$30&amp;",",$AH21)&gt;0,FALSE),Countermeasures!$AF$30=TRUE,SimpleLookup(Questions!$A$48,Questionnaire!$A:$C)=Definitions!$A$5),$A21&amp;" "&amp;$B21,"")</f>
        <v/>
      </c>
      <c r="AJ21" s="21" cm="1">
        <f t="array" ca="1" aca="1" ref="AJ21">CreateID($AJ$2,$AJ:$AJ,$AI21&lt;&gt;"")</f>
        <v>0</v>
      </c>
      <c r="AK21" s="21" t="str">
        <f t="shared" ca="1" si="2"/>
        <v/>
      </c>
      <c r="AL21" s="21" cm="1">
        <f t="array" ca="1" aca="1" ref="AL21">CreateID($AL$2,$AL:$AL,$AK21&lt;&gt;"")</f>
        <v>0</v>
      </c>
      <c r="AM21" s="21" t="str">
        <f t="shared" si="3"/>
        <v/>
      </c>
      <c r="AN21" s="21" cm="1">
        <f t="array" ref="AN21">CreateID($AN$2,$AN:$AN,$AM21&lt;&gt;"")</f>
        <v>0</v>
      </c>
    </row>
    <row r="22" spans="1:40" ht="30">
      <c r="A22" s="33" t="str" cm="1">
        <f t="array" ref="A22">IF($R22=0,"",INDEX('Attack Steps'!A:A,$R22))</f>
        <v>AS20</v>
      </c>
      <c r="B22" s="16" t="str" cm="1">
        <f t="array" ref="B22">IF($R22=0,"",INDEX('Attack Steps'!B:B,$R22))</f>
        <v>Providing a malicious software update from an untrusted source</v>
      </c>
      <c r="C22" s="13">
        <f>3</f>
        <v>3</v>
      </c>
      <c r="D22" s="34" t="str" cm="1">
        <f t="array" ca="1" aca="1" ref="D22">_xlfn.LET(_xlpm._displayLimit,$C22,_xlpm._risks,$S22,_xlpm._delimiter,CHAR(10)&amp;REPT(_xlfn.UNICHAR(9552),50)&amp;CHAR(10),_xlpm._attackPaths,RemoveDelimiter(GetValues(RIGHT(_xlpm._risks,LEN(_xlpm._risks)-FIND(":",_xlpm._risks)),Risks!$A:$B,"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22" s="33" t="str" cm="1">
        <f t="array" ca="1" aca="1" ref="E22">_xlfn.LET(_xlpm._riskValue,CalculateMaxFromList($T22,0,Risks!$A:$AJ),INDEX(Definitions!$AE:$AE,MATCH(_xlpm._riskValue,Definitions!$AF:$AF,0)))</f>
        <v>No Risk</v>
      </c>
      <c r="F22" s="33" t="str" cm="1">
        <f t="array" ca="1" aca="1" ref="F22">IF($A22="","",SUBSTITUTE(RemoveDelimiter(SanitizeInput(SimpleLookup($A22,'Attack Steps'!$A:$AE)),","),",",", "))</f>
        <v/>
      </c>
      <c r="G22" s="33" t="str" cm="1">
        <f t="array" ca="1" aca="1" ref="G22">IF($A22="","",SUBSTITUTE(RemoveDelimiter(SanitizeInput(SimpleLookup($A22,'Attack Steps'!$A:$AF)),","),",",", "))</f>
        <v/>
      </c>
      <c r="H22" s="80" t="str" cm="1">
        <f t="array" ca="1" aca="1" ref="H22">IF($A22="","",_xlfn.LET(_xlpm._proposedActive,SanitizeInput($G22),_xlpm._proposedAll,SimpleLookup($A22,'Attack Steps'!$A:$AG),_xlpm._proposedDiff,FilterElementsFromList(_xlpm._proposedAll,_xlpm._proposedActive,FALSE,","),SUBSTITUTE(RemoveDelimiter(SanitizeInput(_xlpm._proposedDiff),","),",",", ")))</f>
        <v/>
      </c>
      <c r="I22" s="33" t="str" cm="1">
        <f t="array" ca="1" aca="1" ref="I22">RemoveDelimiter(GetValuesWithFallback(SanitizeInput($F22)&amp;SanitizeInput($G22)&amp;SanitizeInput($H22),Countermeasures!$A:$B,Assumptions!$A:$B," ",","&amp;CHAR(10),TRUE),","&amp;CHAR(10))</f>
        <v/>
      </c>
      <c r="J22" s="13"/>
      <c r="K22" s="33" t="str" cm="1">
        <f t="array" ref="K22">RemoveDelimiter(GetValuesWithFallback(SanitizeInput($J22),Countermeasures!$A:$B,Assumptions!$A:$B," ",","&amp;CHAR(10),TRUE),","&amp;CHAR(10))</f>
        <v/>
      </c>
      <c r="L22" s="23">
        <f>3</f>
        <v>3</v>
      </c>
      <c r="M22" s="34" t="str" cm="1">
        <f t="array" ca="1" aca="1" ref="M22">_xlfn.LET(_xlpm._displayLimit,$L22,_xlpm._risks,$V22,_xlpm._delimiter,CHAR(10)&amp;REPT(_xlfn.UNICHAR(9552),50)&amp;CHAR(10),_xlpm._attackPaths,RemoveDelimiter(GetValues(RIGHT(_xlpm._risks,LEN(_xlpm._risks)-FIND(":",_xlpm._risks)),Risks!$A:$B,"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22" s="33" t="str">
        <f ca="1">INDEX(Definitions!$AE:$AE,MATCH($W22,Definitions!$AF:$AF,0))</f>
        <v>No Risk</v>
      </c>
      <c r="O22" s="13"/>
      <c r="P22" s="10" cm="1">
        <f t="array" ref="P22">GenerateShadowID(ROW(),$P$2,$P:$P,0,$A22&lt;&gt;"")</f>
        <v>20</v>
      </c>
      <c r="Q22" s="21" cm="1">
        <f t="array" ref="Q22">CreateTaskID($Q$2,$Q:$Q,Tasks!$B$17,$O22)</f>
        <v>0</v>
      </c>
      <c r="R22" s="10">
        <f>IFERROR(MATCH(ROW()-ROW($R$2),'Attack Steps'!$Q:$Q,0),0)</f>
        <v>22</v>
      </c>
      <c r="S22" s="21" t="str" cm="1">
        <f t="array" ca="1" aca="1" ref="S22">CalculateMaxAndElements($T22,0,"",Risks!$A:$AJ)</f>
        <v>0:</v>
      </c>
      <c r="T22" s="21" t="str" cm="1">
        <f t="array" ca="1" aca="1" ref="T22">InverseLookup($A22,Risks!$AI$2,Risks!$A$2,1,Helper!$B$1,",")</f>
        <v/>
      </c>
      <c r="U22" s="21" t="str">
        <f t="shared" ca="1" si="4"/>
        <v/>
      </c>
      <c r="V22" s="21" t="str" cm="1">
        <f t="array" ca="1" aca="1" ref="V22">CalculateMaxAndElements($T22,0,"",Risks!$A:$BK)</f>
        <v>0:</v>
      </c>
      <c r="W22" s="21">
        <f t="shared" ca="1" si="5"/>
        <v>0</v>
      </c>
      <c r="X22" s="21" t="str" cm="1">
        <f t="array" ref="X22">IF($J22="","",","&amp;SanitizeInput($J22))</f>
        <v/>
      </c>
      <c r="Y22" s="21" t="b" cm="1">
        <f t="array" ca="1" aca="1" ref="Y22">INDEX('Attack Steps'!$AI:$AI,$R22)</f>
        <v>0</v>
      </c>
      <c r="Z22" s="21" cm="1">
        <f t="array" ref="Z22">CreateID($Z$2,$Z:$Z,IFERROR(FIND(Definitions!$AR$4,$O22)&gt;0,FALSE))</f>
        <v>0</v>
      </c>
      <c r="AA22" s="21">
        <f>_xlfn.LET(_xlpm._comment,$O22,_xlpm._keyWord,Definitions!$AR$4,_xlpm._diffLen,LEN(_xlpm._comment)-LEN(SUBSTITUTE(_xlpm._comment,_xlpm._keyWord,"")),_xlpm._diffLen/LEN(_xlpm._keyWord))</f>
        <v>0</v>
      </c>
      <c r="AB22" s="21" cm="1">
        <f t="array" ref="AB22">CreateID($AB$2,$AB:$AB,IFERROR(FIND(Definitions!$AR$5,$O22)&gt;0,FALSE))</f>
        <v>0</v>
      </c>
      <c r="AC22" s="21">
        <f>_xlfn.LET(_xlpm._comment,$O22,_xlpm._keyWord,Definitions!$AR$5,_xlpm._diffLen,LEN(_xlpm._comment)-LEN(SUBSTITUTE(_xlpm._comment,_xlpm._keyWord,"")),_xlpm._diffLen/LEN(_xlpm._keyWord))</f>
        <v>0</v>
      </c>
      <c r="AD22" s="21" t="str" cm="1">
        <f t="array" ref="AD22">CreateSearchString($J22)</f>
        <v/>
      </c>
      <c r="AE22" s="21" t="str" cm="1">
        <f t="array" ca="1" aca="1" ref="AE22">_xlfn.LET(_xlpm._selected,SanitizeInput($J22),_xlpm._catalogOptions,SanitizeInput($F22)&amp;SanitizeInput($G22)&amp;SanitizeInput($H22),_xlpm._selectedNotInOptions,FilterElementsFromList(_xlpm._selected,_xlpm._catalogOptions,FALSE,","),IF(_xlpm._selectedNotInOptions="","",$A22&amp;" "&amp;$B22&amp;": "&amp;SUBSTITUTE(RemoveDelimiter(_xlpm._selectedNotInOptions,","),",",", ")))</f>
        <v/>
      </c>
      <c r="AF22" s="21" cm="1">
        <f t="array" ca="1" aca="1" ref="AF22">CreateID($AF$2,$AF:$AF,$AE22&lt;&gt;"")</f>
        <v>0</v>
      </c>
      <c r="AG22" s="21" t="str" cm="1">
        <f t="array" ref="AG22">_xlfn.LET(_xlpm._delimiter,","&amp;CHAR(10),_xlpm._assumptions,ParseAllMitigationsFromComment($A22,"-","A",$O22,Definitions!$AR$4,Definitions!$AS$4,Definitions!$AR$6,_xlpm._delimiter,1),_xlpm._countermeasures,ParseAllMitigationsFromComment($A22,"-","C",$O22,Definitions!$AR$5,Definitions!$AS$5,Definitions!$AR$6,_xlpm._delimiter,1),IF(_xlpm._countermeasures="",RemoveDelimiter(_xlpm._assumptions,_xlpm._delimiter),_xlpm._assumptions&amp;RemoveDelimiter(_xlpm._countermeasures,_xlpm._delimiter)))</f>
        <v/>
      </c>
      <c r="AH22" s="21" t="str" cm="1">
        <f t="array" ref="AH22">CreateSearchString(SanitizeInput($J22)&amp;GetValuesIgnoreErrors(SanitizeInput($J22),Countermeasures!$A:$G,"",",",FALSE))</f>
        <v/>
      </c>
      <c r="AI22" s="21" t="str" cm="1">
        <f t="array" ca="1" aca="1" ref="AI22">IF(AND(IFERROR(FIND(","&amp;Countermeasures!$A$30&amp;",",$AH22)&gt;0,FALSE),Countermeasures!$AF$30=TRUE,SimpleLookup(Questions!$A$48,Questionnaire!$A:$C)=Definitions!$A$5),$A22&amp;" "&amp;$B22,"")</f>
        <v/>
      </c>
      <c r="AJ22" s="21" cm="1">
        <f t="array" ca="1" aca="1" ref="AJ22">CreateID($AJ$2,$AJ:$AJ,$AI22&lt;&gt;"")</f>
        <v>0</v>
      </c>
      <c r="AK22" s="21" t="str">
        <f t="shared" ca="1" si="2"/>
        <v/>
      </c>
      <c r="AL22" s="21" cm="1">
        <f t="array" ca="1" aca="1" ref="AL22">CreateID($AL$2,$AL:$AL,$AK22&lt;&gt;"")</f>
        <v>0</v>
      </c>
      <c r="AM22" s="21" t="str">
        <f t="shared" si="3"/>
        <v/>
      </c>
      <c r="AN22" s="21" cm="1">
        <f t="array" ref="AN22">CreateID($AN$2,$AN:$AN,$AM22&lt;&gt;"")</f>
        <v>0</v>
      </c>
    </row>
    <row r="23" spans="1:40" ht="147">
      <c r="A23" s="33" t="str" cm="1">
        <f t="array" ref="A23">IF($R23=0,"",INDEX('Attack Steps'!A:A,$R23))</f>
        <v>AS21</v>
      </c>
      <c r="B23" s="16" t="str" cm="1">
        <f t="array" ref="B23">IF($R23=0,"",INDEX('Attack Steps'!B:B,$R23))</f>
        <v>Gaining physical access to the product (3rd party)</v>
      </c>
      <c r="C23" s="13">
        <f>3</f>
        <v>3</v>
      </c>
      <c r="D23" s="34" t="str" cm="1">
        <f t="array" ca="1" aca="1" ref="D23">_xlfn.LET(_xlpm._displayLimit,$C23,_xlpm._risks,$S23,_xlpm._delimiter,CHAR(10)&amp;REPT(_xlfn.UNICHAR(9552),50)&amp;CHAR(10),_xlpm._attackPaths,RemoveDelimiter(GetValues(RIGHT(_xlpm._risks,LEN(_xlpm._risks)-FIND(":",_xlpm._risks)),Risks!$A:$B,"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R21-23 AS23 Compromising the product with direct access to its persistent memory
–––––––––––––––––––––––––––––––––––––––––––––––––––––––
AS21 Gaining physical access to the product (3rd party)
══════════════════════════════════════════════════
R21-23-32 AS32 Extracting or misusing acontis techonlogies GmbH IP
–––––––––––––––––––––––––––––––––––––––––––––––––––––––
AS21 Gaining physical access to the product (3rd party),
AS23 Compromising the product with direct access to its persistent memory
══════════════════════════════════════════════════
R21-24-32 AS32 Extracting or misusing acontis techonlogies GmbH IP
–––––––––––––––––––––––––––––––––––––––––––––––––––––––
AS21 Gaining physical access to the product (3rd party),
AS24 Data extraction from the product's persistent memory</v>
      </c>
      <c r="E23" s="33" t="str" cm="1">
        <f t="array" ca="1" aca="1" ref="E23">_xlfn.LET(_xlpm._riskValue,CalculateMaxFromList($T23,0,Risks!$A:$AJ),INDEX(Definitions!$AE:$AE,MATCH(_xlpm._riskValue,Definitions!$AF:$AF,0)))</f>
        <v>Very High</v>
      </c>
      <c r="F23" s="33" t="str" cm="1">
        <f t="array" ca="1" aca="1" ref="F23">IF($A23="","",SUBSTITUTE(RemoveDelimiter(SanitizeInput(SimpleLookup($A23,'Attack Steps'!$A:$AE)),","),",",", "))</f>
        <v/>
      </c>
      <c r="G23" s="33" t="str" cm="1">
        <f t="array" ca="1" aca="1" ref="G23">IF($A23="","",SUBSTITUTE(RemoveDelimiter(SanitizeInput(SimpleLookup($A23,'Attack Steps'!$A:$AF)),","),",",", "))</f>
        <v>A15</v>
      </c>
      <c r="H23" s="80" t="str" cm="1">
        <f t="array" ca="1" aca="1" ref="H23">IF($A23="","",_xlfn.LET(_xlpm._proposedActive,SanitizeInput($G23),_xlpm._proposedAll,SimpleLookup($A23,'Attack Steps'!$A:$AG),_xlpm._proposedDiff,FilterElementsFromList(_xlpm._proposedAll,_xlpm._proposedActive,FALSE,","),SUBSTITUTE(RemoveDelimiter(SanitizeInput(_xlpm._proposedDiff),","),",",", ")))</f>
        <v>A14, A45</v>
      </c>
      <c r="I23" s="33" t="str" cm="1">
        <f t="array" ca="1" aca="1" ref="I23">RemoveDelimiter(GetValuesWithFallback(SanitizeInput($F23)&amp;SanitizeInput($G23)&amp;SanitizeInput($H23),Countermeasures!$A:$B,Assumptions!$A:$B," ",","&amp;CHAR(10),TRUE),","&amp;CHAR(10))</f>
        <v>A15 SDR 1.13 – Area with restricted access,
A14 SDR 1.12 – Product inaccessible,
A45 Physical tampering with the product not plausible</v>
      </c>
      <c r="J23" s="13"/>
      <c r="K23" s="33" t="str" cm="1">
        <f t="array" ref="K23">RemoveDelimiter(GetValuesWithFallback(SanitizeInput($J23),Countermeasures!$A:$B,Assumptions!$A:$B," ",","&amp;CHAR(10),TRUE),","&amp;CHAR(10))</f>
        <v/>
      </c>
      <c r="L23" s="23">
        <f>3</f>
        <v>3</v>
      </c>
      <c r="M23" s="34" t="str" cm="1">
        <f t="array" ca="1" aca="1" ref="M23">_xlfn.LET(_xlpm._displayLimit,$L23,_xlpm._risks,$V23,_xlpm._delimiter,CHAR(10)&amp;REPT(_xlfn.UNICHAR(9552),50)&amp;CHAR(10),_xlpm._attackPaths,RemoveDelimiter(GetValues(RIGHT(_xlpm._risks,LEN(_xlpm._risks)-FIND(":",_xlpm._risks)),Risks!$A:$B,"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R21-23 AS23 Compromising the product with direct access to its persistent memory
–––––––––––––––––––––––––––––––––––––––––––––––––––––––
AS21 Gaining physical access to the product (3rd party)
══════════════════════════════════════════════════
R21-23-32 AS32 Extracting or misusing acontis techonlogies GmbH IP
–––––––––––––––––––––––––––––––––––––––––––––––––––––––
AS21 Gaining physical access to the product (3rd party),
AS23 Compromising the product with direct access to its persistent memory
══════════════════════════════════════════════════
R21-24-32 AS32 Extracting or misusing acontis techonlogies GmbH IP
–––––––––––––––––––––––––––––––––––––––––––––––––––––––
AS21 Gaining physical access to the product (3rd party),
AS24 Data extraction from the product's persistent memory</v>
      </c>
      <c r="N23" s="33" t="str">
        <f ca="1">INDEX(Definitions!$AE:$AE,MATCH($W23,Definitions!$AF:$AF,0))</f>
        <v>Very High</v>
      </c>
      <c r="O23" s="13"/>
      <c r="P23" s="10" cm="1">
        <f t="array" ref="P23">GenerateShadowID(ROW(),$P$2,$P:$P,0,$A23&lt;&gt;"")</f>
        <v>21</v>
      </c>
      <c r="Q23" s="21" cm="1">
        <f t="array" ref="Q23">CreateTaskID($Q$2,$Q:$Q,Tasks!$B$17,$O23)</f>
        <v>0</v>
      </c>
      <c r="R23" s="10">
        <f>IFERROR(MATCH(ROW()-ROW($R$2),'Attack Steps'!$Q:$Q,0),0)</f>
        <v>23</v>
      </c>
      <c r="S23" s="21" t="str" cm="1">
        <f t="array" ca="1" aca="1" ref="S23">CalculateMaxAndElements($T23,0,"",Risks!$A:$AJ)</f>
        <v>4:R21-23,R21-23-32,R21-24-32,</v>
      </c>
      <c r="T23" s="21" t="str" cm="1">
        <f t="array" ca="1" aca="1" ref="T23">InverseLookup($A23,Risks!$AI$2,Risks!$A$2,1,Helper!$B$1,",")</f>
        <v>R21-23,R21-23-32,R21-24-32,</v>
      </c>
      <c r="U23" s="21" t="str">
        <f ca="1">IF($T23="","",","&amp;$T23)</f>
        <v>,R21-23,R21-23-32,R21-24-32,</v>
      </c>
      <c r="V23" s="21" t="str" cm="1">
        <f t="array" ca="1" aca="1" ref="V23">CalculateMaxAndElements($T23,0,"",Risks!$A:$BK)</f>
        <v>4:R21-23,R21-23-32,R21-24-32,</v>
      </c>
      <c r="W23" s="21">
        <f ca="1">IF($V23="","",VALUE(LEFT($V23,FIND(":",$V23)-1)))</f>
        <v>4</v>
      </c>
      <c r="X23" s="21" t="str" cm="1">
        <f t="array" ref="X23">IF($J23="","",","&amp;SanitizeInput($J23))</f>
        <v/>
      </c>
      <c r="Y23" s="21" t="b" cm="1">
        <f t="array" ca="1" aca="1" ref="Y23">INDEX('Attack Steps'!$AI:$AI,$R23)</f>
        <v>1</v>
      </c>
      <c r="Z23" s="21" cm="1">
        <f t="array" ref="Z23">CreateID($Z$2,$Z:$Z,IFERROR(FIND(Definitions!$AR$4,$O23)&gt;0,FALSE))</f>
        <v>0</v>
      </c>
      <c r="AA23" s="21">
        <f>_xlfn.LET(_xlpm._comment,$O23,_xlpm._keyWord,Definitions!$AR$4,_xlpm._diffLen,LEN(_xlpm._comment)-LEN(SUBSTITUTE(_xlpm._comment,_xlpm._keyWord,"")),_xlpm._diffLen/LEN(_xlpm._keyWord))</f>
        <v>0</v>
      </c>
      <c r="AB23" s="21" cm="1">
        <f t="array" ref="AB23">CreateID($AB$2,$AB:$AB,IFERROR(FIND(Definitions!$AR$5,$O23)&gt;0,FALSE))</f>
        <v>0</v>
      </c>
      <c r="AC23" s="21">
        <f>_xlfn.LET(_xlpm._comment,$O23,_xlpm._keyWord,Definitions!$AR$5,_xlpm._diffLen,LEN(_xlpm._comment)-LEN(SUBSTITUTE(_xlpm._comment,_xlpm._keyWord,"")),_xlpm._diffLen/LEN(_xlpm._keyWord))</f>
        <v>0</v>
      </c>
      <c r="AD23" s="21" t="str" cm="1">
        <f t="array" ref="AD23">CreateSearchString($J23)</f>
        <v/>
      </c>
      <c r="AE23" s="21" t="str" cm="1">
        <f t="array" ca="1" aca="1" ref="AE23">_xlfn.LET(_xlpm._selected,SanitizeInput($J23),_xlpm._catalogOptions,SanitizeInput($F23)&amp;SanitizeInput($G23)&amp;SanitizeInput($H23),_xlpm._selectedNotInOptions,FilterElementsFromList(_xlpm._selected,_xlpm._catalogOptions,FALSE,","),IF(_xlpm._selectedNotInOptions="","",$A23&amp;" "&amp;$B23&amp;": "&amp;SUBSTITUTE(RemoveDelimiter(_xlpm._selectedNotInOptions,","),",",", ")))</f>
        <v/>
      </c>
      <c r="AF23" s="21" cm="1">
        <f t="array" ca="1" aca="1" ref="AF23">CreateID($AF$2,$AF:$AF,$AE23&lt;&gt;"")</f>
        <v>0</v>
      </c>
      <c r="AG23" s="61" t="str" cm="1">
        <f t="array" ref="AG23">_xlfn.LET(_xlpm._delimiter,","&amp;CHAR(10),_xlpm._assumptions,ParseAllMitigationsFromComment($A23,"-","A",$O23,Definitions!$AR$4,Definitions!$AS$4,Definitions!$AR$6,_xlpm._delimiter,1),_xlpm._countermeasures,ParseAllMitigationsFromComment($A23,"-","C",$O23,Definitions!$AR$5,Definitions!$AS$5,Definitions!$AR$6,_xlpm._delimiter,1),IF(_xlpm._countermeasures="",RemoveDelimiter(_xlpm._assumptions,_xlpm._delimiter),_xlpm._assumptions&amp;RemoveDelimiter(_xlpm._countermeasures,_xlpm._delimiter)))</f>
        <v/>
      </c>
      <c r="AH23" s="61" t="str" cm="1">
        <f t="array" ref="AH23">CreateSearchString(SanitizeInput($J23)&amp;GetValuesIgnoreErrors(SanitizeInput($J23),Countermeasures!$A:$G,"",",",FALSE))</f>
        <v/>
      </c>
      <c r="AI23" s="21" t="str" cm="1">
        <f t="array" ca="1" aca="1" ref="AI23">IF(AND(IFERROR(FIND(","&amp;Countermeasures!$A$30&amp;",",$AH23)&gt;0,FALSE),Countermeasures!$AF$30=TRUE,SimpleLookup(Questions!$A$48,Questionnaire!$A:$C)=Definitions!$A$5),$A23&amp;" "&amp;$B23,"")</f>
        <v/>
      </c>
      <c r="AJ23" s="21" cm="1">
        <f t="array" ca="1" aca="1" ref="AJ23">CreateID($AJ$2,$AJ:$AJ,$AI23&lt;&gt;"")</f>
        <v>0</v>
      </c>
      <c r="AK23" s="21" t="str">
        <f t="shared" ca="1" si="2"/>
        <v/>
      </c>
      <c r="AL23" s="21" cm="1">
        <f t="array" ca="1" aca="1" ref="AL23">CreateID($AL$2,$AL:$AL,$AK23&lt;&gt;"")</f>
        <v>0</v>
      </c>
      <c r="AM23" s="21" t="str">
        <f t="shared" si="3"/>
        <v/>
      </c>
      <c r="AN23" s="21" cm="1">
        <f t="array" ref="AN23">CreateID($AN$2,$AN:$AN,$AM23&lt;&gt;"")</f>
        <v>0</v>
      </c>
    </row>
    <row r="24" spans="1:40" ht="147">
      <c r="A24" s="33" t="str" cm="1">
        <f t="array" ref="A24">IF($R24=0,"",INDEX('Attack Steps'!A:A,$R24))</f>
        <v>AS22</v>
      </c>
      <c r="B24" s="16" t="str" cm="1">
        <f t="array" ref="B24">IF($R24=0,"",INDEX('Attack Steps'!B:B,$R24))</f>
        <v>Gaining physical access to the product (customer)</v>
      </c>
      <c r="C24" s="13">
        <f>3</f>
        <v>3</v>
      </c>
      <c r="D24" s="34" t="str" cm="1">
        <f t="array" ca="1" aca="1" ref="D24">_xlfn.LET(_xlpm._displayLimit,$C24,_xlpm._risks,$S24,_xlpm._delimiter,CHAR(10)&amp;REPT(_xlfn.UNICHAR(9552),50)&amp;CHAR(10),_xlpm._attackPaths,RemoveDelimiter(GetValues(RIGHT(_xlpm._risks,LEN(_xlpm._risks)-FIND(":",_xlpm._risks)),Risks!$A:$B,"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R22-23 AS23 Compromising the product with direct access to its persistent memory
–––––––––––––––––––––––––––––––––––––––––––––––––––––––
AS22 Gaining physical access to the product (customer)
══════════════════════════════════════════════════
R22-23-32 AS32 Extracting or misusing acontis techonlogies GmbH IP
–––––––––––––––––––––––––––––––––––––––––––––––––––––––
AS22 Gaining physical access to the product (customer),
AS23 Compromising the product with direct access to its persistent memory
══════════════════════════════════════════════════
R22-24-32 AS32 Extracting or misusing acontis techonlogies GmbH IP
–––––––––––––––––––––––––––––––––––––––––––––––––––––––
AS22 Gaining physical access to the product (customer),
AS24 Data extraction from the product's persistent memory</v>
      </c>
      <c r="E24" s="33" t="str" cm="1">
        <f t="array" ca="1" aca="1" ref="E24">_xlfn.LET(_xlpm._riskValue,CalculateMaxFromList($T24,0,Risks!$A:$AJ),INDEX(Definitions!$AE:$AE,MATCH(_xlpm._riskValue,Definitions!$AF:$AF,0)))</f>
        <v>Very High</v>
      </c>
      <c r="F24" s="33" t="str" cm="1">
        <f t="array" ca="1" aca="1" ref="F24">IF($A24="","",SUBSTITUTE(RemoveDelimiter(SanitizeInput(SimpleLookup($A24,'Attack Steps'!$A:$AE)),","),",",", "))</f>
        <v>C3</v>
      </c>
      <c r="G24" s="33" t="str" cm="1">
        <f t="array" ca="1" aca="1" ref="G24">IF($A24="","",SUBSTITUTE(RemoveDelimiter(SanitizeInput(SimpleLookup($A24,'Attack Steps'!$A:$AF)),","),",",", "))</f>
        <v>A21</v>
      </c>
      <c r="H24" s="80" t="str" cm="1">
        <f t="array" ca="1" aca="1" ref="H24">IF($A24="","",_xlfn.LET(_xlpm._proposedActive,SanitizeInput($G24),_xlpm._proposedAll,SimpleLookup($A24,'Attack Steps'!$A:$AG),_xlpm._proposedDiff,FilterElementsFromList(_xlpm._proposedAll,_xlpm._proposedActive,FALSE,","),SUBSTITUTE(RemoveDelimiter(SanitizeInput(_xlpm._proposedDiff),","),",",", ")))</f>
        <v>A39</v>
      </c>
      <c r="I24" s="33" t="str" cm="1">
        <f t="array" ca="1" aca="1" ref="I24">RemoveDelimiter(GetValuesWithFallback(SanitizeInput($F24)&amp;SanitizeInput($G24)&amp;SanitizeInput($H24),Countermeasures!$A:$B,Assumptions!$A:$B," ",","&amp;CHAR(10),TRUE),","&amp;CHAR(10))</f>
        <v>C3 CCSC 3: Least privilege,
A21 SDR 2.7 - Scope for customer-based attacks,
A39 SDR 2.11 - The customer is trusted not to extract acontis techonlogies GmbH IP</v>
      </c>
      <c r="J24" s="13"/>
      <c r="K24" s="33" t="str" cm="1">
        <f t="array" ref="K24">RemoveDelimiter(GetValuesWithFallback(SanitizeInput($J24),Countermeasures!$A:$B,Assumptions!$A:$B," ",","&amp;CHAR(10),TRUE),","&amp;CHAR(10))</f>
        <v/>
      </c>
      <c r="L24" s="23">
        <f>3</f>
        <v>3</v>
      </c>
      <c r="M24" s="34" t="str" cm="1">
        <f t="array" ca="1" aca="1" ref="M24">_xlfn.LET(_xlpm._displayLimit,$L24,_xlpm._risks,$V24,_xlpm._delimiter,CHAR(10)&amp;REPT(_xlfn.UNICHAR(9552),50)&amp;CHAR(10),_xlpm._attackPaths,RemoveDelimiter(GetValues(RIGHT(_xlpm._risks,LEN(_xlpm._risks)-FIND(":",_xlpm._risks)),Risks!$A:$B,"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R22-23 AS23 Compromising the product with direct access to its persistent memory
–––––––––––––––––––––––––––––––––––––––––––––––––––––––
AS22 Gaining physical access to the product (customer)
══════════════════════════════════════════════════
R22-23-32 AS32 Extracting or misusing acontis techonlogies GmbH IP
–––––––––––––––––––––––––––––––––––––––––––––––––––––––
AS22 Gaining physical access to the product (customer),
AS23 Compromising the product with direct access to its persistent memory
══════════════════════════════════════════════════
R22-24-32 AS32 Extracting or misusing acontis techonlogies GmbH IP
–––––––––––––––––––––––––––––––––––––––––––––––––––––––
AS22 Gaining physical access to the product (customer),
AS24 Data extraction from the product's persistent memory</v>
      </c>
      <c r="N24" s="33" t="str">
        <f ca="1">INDEX(Definitions!$AE:$AE,MATCH($W24,Definitions!$AF:$AF,0))</f>
        <v>Very High</v>
      </c>
      <c r="O24" s="13"/>
      <c r="P24" s="10" cm="1">
        <f t="array" ref="P24">GenerateShadowID(ROW(),$P$2,$P:$P,0,$A24&lt;&gt;"")</f>
        <v>22</v>
      </c>
      <c r="Q24" s="21" cm="1">
        <f t="array" ref="Q24">CreateTaskID($Q$2,$Q:$Q,Tasks!$B$17,$O24)</f>
        <v>0</v>
      </c>
      <c r="R24" s="21">
        <f>IFERROR(MATCH(ROW()-ROW($R$2),'Attack Steps'!$Q:$Q,0),0)</f>
        <v>24</v>
      </c>
      <c r="S24" s="21" t="str" cm="1">
        <f t="array" ca="1" aca="1" ref="S24">CalculateMaxAndElements($T24,0,"",Risks!$A:$AJ)</f>
        <v>4:R22-23,R22-23-32,R22-24-32,</v>
      </c>
      <c r="T24" s="21" t="str" cm="1">
        <f t="array" ca="1" aca="1" ref="T24">InverseLookup($A24,Risks!$AI$2,Risks!$A$2,1,Helper!$B$1,",")</f>
        <v>R22-23,R22-23-32,R22-24-32,</v>
      </c>
      <c r="U24" s="21" t="str">
        <f ca="1" t="shared" si="6" ref="U24:U30">IF($T24="","",","&amp;$T24)</f>
        <v>,R22-23,R22-23-32,R22-24-32,</v>
      </c>
      <c r="V24" s="21" t="str" cm="1">
        <f t="array" ca="1" aca="1" ref="V24">CalculateMaxAndElements($T24,0,"",Risks!$A:$BK)</f>
        <v>4:R22-23,R22-23-32,R22-24-32,</v>
      </c>
      <c r="W24" s="21">
        <f ca="1" t="shared" si="7" ref="W24:W30">IF($V24="","",VALUE(LEFT($V24,FIND(":",$V24)-1)))</f>
        <v>4</v>
      </c>
      <c r="X24" s="21" t="str" cm="1">
        <f t="array" ref="X24">IF($J24="","",","&amp;SanitizeInput($J24))</f>
        <v/>
      </c>
      <c r="Y24" s="21" t="b" cm="1">
        <f t="array" ca="1" aca="1" ref="Y24">INDEX('Attack Steps'!$AI:$AI,$R24)</f>
        <v>1</v>
      </c>
      <c r="Z24" s="21" cm="1">
        <f t="array" ref="Z24">CreateID($Z$2,$Z:$Z,IFERROR(FIND(Definitions!$AR$4,$O24)&gt;0,FALSE))</f>
        <v>0</v>
      </c>
      <c r="AA24" s="21">
        <f>_xlfn.LET(_xlpm._comment,$O24,_xlpm._keyWord,Definitions!$AR$4,_xlpm._diffLen,LEN(_xlpm._comment)-LEN(SUBSTITUTE(_xlpm._comment,_xlpm._keyWord,"")),_xlpm._diffLen/LEN(_xlpm._keyWord))</f>
        <v>0</v>
      </c>
      <c r="AB24" s="21" cm="1">
        <f t="array" ref="AB24">CreateID($AB$2,$AB:$AB,IFERROR(FIND(Definitions!$AR$5,$O24)&gt;0,FALSE))</f>
        <v>0</v>
      </c>
      <c r="AC24" s="21">
        <f>_xlfn.LET(_xlpm._comment,$O24,_xlpm._keyWord,Definitions!$AR$5,_xlpm._diffLen,LEN(_xlpm._comment)-LEN(SUBSTITUTE(_xlpm._comment,_xlpm._keyWord,"")),_xlpm._diffLen/LEN(_xlpm._keyWord))</f>
        <v>0</v>
      </c>
      <c r="AD24" s="21" t="str" cm="1">
        <f t="array" ref="AD24">CreateSearchString($J24)</f>
        <v/>
      </c>
      <c r="AE24" s="21" t="str" cm="1">
        <f t="array" ca="1" aca="1" ref="AE24">_xlfn.LET(_xlpm._selected,SanitizeInput($J24),_xlpm._catalogOptions,SanitizeInput($F24)&amp;SanitizeInput($G24)&amp;SanitizeInput($H24),_xlpm._selectedNotInOptions,FilterElementsFromList(_xlpm._selected,_xlpm._catalogOptions,FALSE,","),IF(_xlpm._selectedNotInOptions="","",$A24&amp;" "&amp;$B24&amp;": "&amp;SUBSTITUTE(RemoveDelimiter(_xlpm._selectedNotInOptions,","),",",", ")))</f>
        <v/>
      </c>
      <c r="AF24" s="21" cm="1">
        <f t="array" ca="1" aca="1" ref="AF24">CreateID($AF$2,$AF:$AF,$AE24&lt;&gt;"")</f>
        <v>0</v>
      </c>
      <c r="AG24" s="21" t="str" cm="1">
        <f t="array" ref="AG24">_xlfn.LET(_xlpm._delimiter,","&amp;CHAR(10),_xlpm._assumptions,ParseAllMitigationsFromComment($A24,"-","A",$O24,Definitions!$AR$4,Definitions!$AS$4,Definitions!$AR$6,_xlpm._delimiter,1),_xlpm._countermeasures,ParseAllMitigationsFromComment($A24,"-","C",$O24,Definitions!$AR$5,Definitions!$AS$5,Definitions!$AR$6,_xlpm._delimiter,1),IF(_xlpm._countermeasures="",RemoveDelimiter(_xlpm._assumptions,_xlpm._delimiter),_xlpm._assumptions&amp;RemoveDelimiter(_xlpm._countermeasures,_xlpm._delimiter)))</f>
        <v/>
      </c>
      <c r="AH24" s="21" t="str" cm="1">
        <f t="array" ref="AH24">CreateSearchString(SanitizeInput($J24)&amp;GetValuesIgnoreErrors(SanitizeInput($J24),Countermeasures!$A:$G,"",",",FALSE))</f>
        <v/>
      </c>
      <c r="AI24" s="21" t="str" cm="1">
        <f t="array" ca="1" aca="1" ref="AI24">IF(AND(IFERROR(FIND(","&amp;Countermeasures!$A$30&amp;",",$AH24)&gt;0,FALSE),Countermeasures!$AF$30=TRUE,SimpleLookup(Questions!$A$48,Questionnaire!$A:$C)=Definitions!$A$5),$A24&amp;" "&amp;$B24,"")</f>
        <v/>
      </c>
      <c r="AJ24" s="21" cm="1">
        <f t="array" ca="1" aca="1" ref="AJ24">CreateID($AJ$2,$AJ:$AJ,$AI24&lt;&gt;"")</f>
        <v>0</v>
      </c>
      <c r="AK24" s="21" t="str">
        <f t="shared" ca="1" si="2"/>
        <v/>
      </c>
      <c r="AL24" s="21" cm="1">
        <f t="array" ca="1" aca="1" ref="AL24">CreateID($AL$2,$AL:$AL,$AK24&lt;&gt;"")</f>
        <v>0</v>
      </c>
      <c r="AM24" s="21" t="str">
        <f t="shared" si="3"/>
        <v/>
      </c>
      <c r="AN24" s="21" cm="1">
        <f t="array" ref="AN24">CreateID($AN$2,$AN:$AN,$AM24&lt;&gt;"")</f>
        <v>0</v>
      </c>
    </row>
    <row r="25" spans="1:40" ht="135.75">
      <c r="A25" s="33" t="str" cm="1">
        <f t="array" ref="A25">IF($R25=0,"",INDEX('Attack Steps'!A:A,$R25))</f>
        <v>AS23</v>
      </c>
      <c r="B25" s="16" t="str" cm="1">
        <f t="array" ref="B25">IF($R25=0,"",INDEX('Attack Steps'!B:B,$R25))</f>
        <v>Compromising the product with direct access to its persistent memory</v>
      </c>
      <c r="C25" s="13">
        <f>3</f>
        <v>3</v>
      </c>
      <c r="D25" s="34" t="str" cm="1">
        <f t="array" ca="1" aca="1" ref="D25">_xlfn.LET(_xlpm._displayLimit,$C25,_xlpm._risks,$S25,_xlpm._delimiter,CHAR(10)&amp;REPT(_xlfn.UNICHAR(9552),50)&amp;CHAR(10),_xlpm._attackPaths,RemoveDelimiter(GetValues(RIGHT(_xlpm._risks,LEN(_xlpm._risks)-FIND(":",_xlpm._risks)),Risks!$A:$B,"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R21-23 AS23 Compromising the product with direct access to its persistent memory
–––––––––––––––––––––––––––––––––––––––––––––––––––––––
AS21 Gaining physical access to the product (3rd party)
══════════════════════════════════════════════════
R22-23 AS23 Compromising the product with direct access to its persistent memory
–––––––––––––––––––––––––––––––––––––––––––––––––––––––
AS22 Gaining physical access to the product (customer)
══════════════════════════════════════════════════
R21-23-32 AS32 Extracting or misusing acontis techonlogies GmbH IP
–––––––––––––––––––––––––––––––––––––––––––––––––––––––
AS21 Gaining physical access to the product (3rd party),
AS23 Compromising the product with direct access to its persistent memory</v>
      </c>
      <c r="E25" s="33" t="str" cm="1">
        <f t="array" ca="1" aca="1" ref="E25">_xlfn.LET(_xlpm._riskValue,CalculateMaxFromList($T25,0,Risks!$A:$AJ),INDEX(Definitions!$AE:$AE,MATCH(_xlpm._riskValue,Definitions!$AF:$AF,0)))</f>
        <v>Very High</v>
      </c>
      <c r="F25" s="33" t="str" cm="1">
        <f t="array" ca="1" aca="1" ref="F25">IF($A25="","",SUBSTITUTE(RemoveDelimiter(SanitizeInput(SimpleLookup($A25,'Attack Steps'!$A:$AE)),","),",",", "))</f>
        <v>C30, C35, CM7</v>
      </c>
      <c r="G25" s="33" t="str" cm="1">
        <f t="array" ca="1" aca="1" ref="G25">IF($A25="","",SUBSTITUTE(RemoveDelimiter(SanitizeInput(SimpleLookup($A25,'Attack Steps'!$A:$AF)),","),",",", "))</f>
        <v/>
      </c>
      <c r="H25" s="80" t="str" cm="1">
        <f t="array" ca="1" aca="1" ref="H25">IF($A25="","",_xlfn.LET(_xlpm._proposedActive,SanitizeInput($G25),_xlpm._proposedAll,SimpleLookup($A25,'Attack Steps'!$A:$AG),_xlpm._proposedDiff,FilterElementsFromList(_xlpm._proposedAll,_xlpm._proposedActive,FALSE,","),SUBSTITUTE(RemoveDelimiter(SanitizeInput(_xlpm._proposedDiff),","),",",", ")))</f>
        <v/>
      </c>
      <c r="I25" s="33" t="str" cm="1">
        <f t="array" ca="1" aca="1" ref="I25">RemoveDelimiter(GetValuesWithFallback(SanitizeInput($F25)&amp;SanitizeInput($G25)&amp;SanitizeInput($H25),Countermeasures!$A:$B,Assumptions!$A:$B," ",","&amp;CHAR(10),TRUE),","&amp;CHAR(10))</f>
        <v>C30 CR 7.4 – Control system recovery and reconstitution,
C35 EDR 3.14 / HDR 3.14 / NDR 3.14 – Integrity of the boot process,
CM7 SCR 2.5 - Secure boot</v>
      </c>
      <c r="J25" s="13"/>
      <c r="K25" s="33" t="str" cm="1">
        <f t="array" ref="K25">RemoveDelimiter(GetValuesWithFallback(SanitizeInput($J25),Countermeasures!$A:$B,Assumptions!$A:$B," ",","&amp;CHAR(10),TRUE),","&amp;CHAR(10))</f>
        <v/>
      </c>
      <c r="L25" s="23">
        <f>3</f>
        <v>3</v>
      </c>
      <c r="M25" s="34" t="str" cm="1">
        <f t="array" ca="1" aca="1" ref="M25">_xlfn.LET(_xlpm._displayLimit,$L25,_xlpm._risks,$V25,_xlpm._delimiter,CHAR(10)&amp;REPT(_xlfn.UNICHAR(9552),50)&amp;CHAR(10),_xlpm._attackPaths,RemoveDelimiter(GetValues(RIGHT(_xlpm._risks,LEN(_xlpm._risks)-FIND(":",_xlpm._risks)),Risks!$A:$B,"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R21-23 AS23 Compromising the product with direct access to its persistent memory
–––––––––––––––––––––––––––––––––––––––––––––––––––––––
AS21 Gaining physical access to the product (3rd party)
══════════════════════════════════════════════════
R22-23 AS23 Compromising the product with direct access to its persistent memory
–––––––––––––––––––––––––––––––––––––––––––––––––––––––
AS22 Gaining physical access to the product (customer)
══════════════════════════════════════════════════
R21-23-32 AS32 Extracting or misusing acontis techonlogies GmbH IP
–––––––––––––––––––––––––––––––––––––––––––––––––––––––
AS21 Gaining physical access to the product (3rd party),
AS23 Compromising the product with direct access to its persistent memory</v>
      </c>
      <c r="N25" s="33" t="str">
        <f ca="1">INDEX(Definitions!$AE:$AE,MATCH($W25,Definitions!$AF:$AF,0))</f>
        <v>Very High</v>
      </c>
      <c r="O25" s="13"/>
      <c r="P25" s="10" cm="1">
        <f t="array" ref="P25">GenerateShadowID(ROW(),$P$2,$P:$P,0,$A25&lt;&gt;"")</f>
        <v>23</v>
      </c>
      <c r="Q25" s="21" cm="1">
        <f t="array" ref="Q25">CreateTaskID($Q$2,$Q:$Q,Tasks!$B$17,$O25)</f>
        <v>0</v>
      </c>
      <c r="R25" s="21">
        <f>IFERROR(MATCH(ROW()-ROW($R$2),'Attack Steps'!$Q:$Q,0),0)</f>
        <v>25</v>
      </c>
      <c r="S25" s="21" t="str" cm="1">
        <f t="array" ca="1" aca="1" ref="S25">CalculateMaxAndElements($T25,0,"",Risks!$A:$AJ)</f>
        <v>4:R21-23,R22-23,R21-23-32,R22-23-32,</v>
      </c>
      <c r="T25" s="21" t="str" cm="1">
        <f t="array" ca="1" aca="1" ref="T25">InverseLookup($A25,Risks!$AI$2,Risks!$A$2,1,Helper!$B$1,",")</f>
        <v>R21-23,R22-23,R21-23-32,R22-23-32,</v>
      </c>
      <c r="U25" s="21" t="str">
        <f t="shared" ca="1" si="6"/>
        <v>,R21-23,R22-23,R21-23-32,R22-23-32,</v>
      </c>
      <c r="V25" s="21" t="str" cm="1">
        <f t="array" ca="1" aca="1" ref="V25">CalculateMaxAndElements($T25,0,"",Risks!$A:$BK)</f>
        <v>4:R21-23,R22-23,R21-23-32,R22-23-32,</v>
      </c>
      <c r="W25" s="21">
        <f t="shared" ca="1" si="7"/>
        <v>4</v>
      </c>
      <c r="X25" s="21" t="str" cm="1">
        <f t="array" ref="X25">IF($J25="","",","&amp;SanitizeInput($J25))</f>
        <v/>
      </c>
      <c r="Y25" s="21" t="b" cm="1">
        <f t="array" ca="1" aca="1" ref="Y25">INDEX('Attack Steps'!$AI:$AI,$R25)</f>
        <v>1</v>
      </c>
      <c r="Z25" s="21" cm="1">
        <f t="array" ref="Z25">CreateID($Z$2,$Z:$Z,IFERROR(FIND(Definitions!$AR$4,$O25)&gt;0,FALSE))</f>
        <v>0</v>
      </c>
      <c r="AA25" s="21">
        <f>_xlfn.LET(_xlpm._comment,$O25,_xlpm._keyWord,Definitions!$AR$4,_xlpm._diffLen,LEN(_xlpm._comment)-LEN(SUBSTITUTE(_xlpm._comment,_xlpm._keyWord,"")),_xlpm._diffLen/LEN(_xlpm._keyWord))</f>
        <v>0</v>
      </c>
      <c r="AB25" s="21" cm="1">
        <f t="array" ref="AB25">CreateID($AB$2,$AB:$AB,IFERROR(FIND(Definitions!$AR$5,$O25)&gt;0,FALSE))</f>
        <v>0</v>
      </c>
      <c r="AC25" s="21">
        <f>_xlfn.LET(_xlpm._comment,$O25,_xlpm._keyWord,Definitions!$AR$5,_xlpm._diffLen,LEN(_xlpm._comment)-LEN(SUBSTITUTE(_xlpm._comment,_xlpm._keyWord,"")),_xlpm._diffLen/LEN(_xlpm._keyWord))</f>
        <v>0</v>
      </c>
      <c r="AD25" s="21" t="str" cm="1">
        <f t="array" ref="AD25">CreateSearchString($J25)</f>
        <v/>
      </c>
      <c r="AE25" s="21" t="str" cm="1">
        <f t="array" ca="1" aca="1" ref="AE25">_xlfn.LET(_xlpm._selected,SanitizeInput($J25),_xlpm._catalogOptions,SanitizeInput($F25)&amp;SanitizeInput($G25)&amp;SanitizeInput($H25),_xlpm._selectedNotInOptions,FilterElementsFromList(_xlpm._selected,_xlpm._catalogOptions,FALSE,","),IF(_xlpm._selectedNotInOptions="","",$A25&amp;" "&amp;$B25&amp;": "&amp;SUBSTITUTE(RemoveDelimiter(_xlpm._selectedNotInOptions,","),",",", ")))</f>
        <v/>
      </c>
      <c r="AF25" s="21" cm="1">
        <f t="array" ca="1" aca="1" ref="AF25">CreateID($AF$2,$AF:$AF,$AE25&lt;&gt;"")</f>
        <v>0</v>
      </c>
      <c r="AG25" s="21" t="str" cm="1">
        <f t="array" ref="AG25">_xlfn.LET(_xlpm._delimiter,","&amp;CHAR(10),_xlpm._assumptions,ParseAllMitigationsFromComment($A25,"-","A",$O25,Definitions!$AR$4,Definitions!$AS$4,Definitions!$AR$6,_xlpm._delimiter,1),_xlpm._countermeasures,ParseAllMitigationsFromComment($A25,"-","C",$O25,Definitions!$AR$5,Definitions!$AS$5,Definitions!$AR$6,_xlpm._delimiter,1),IF(_xlpm._countermeasures="",RemoveDelimiter(_xlpm._assumptions,_xlpm._delimiter),_xlpm._assumptions&amp;RemoveDelimiter(_xlpm._countermeasures,_xlpm._delimiter)))</f>
        <v/>
      </c>
      <c r="AH25" s="21" t="str" cm="1">
        <f t="array" ref="AH25">CreateSearchString(SanitizeInput($J25)&amp;GetValuesIgnoreErrors(SanitizeInput($J25),Countermeasures!$A:$G,"",",",FALSE))</f>
        <v/>
      </c>
      <c r="AI25" s="21" t="str" cm="1">
        <f t="array" ca="1" aca="1" ref="AI25">IF(AND(IFERROR(FIND(","&amp;Countermeasures!$A$30&amp;",",$AH25)&gt;0,FALSE),Countermeasures!$AF$30=TRUE,SimpleLookup(Questions!$A$48,Questionnaire!$A:$C)=Definitions!$A$5),$A25&amp;" "&amp;$B25,"")</f>
        <v/>
      </c>
      <c r="AJ25" s="21" cm="1">
        <f t="array" ca="1" aca="1" ref="AJ25">CreateID($AJ$2,$AJ:$AJ,$AI25&lt;&gt;"")</f>
        <v>0</v>
      </c>
      <c r="AK25" s="21" t="str">
        <f t="shared" ca="1" si="2"/>
        <v/>
      </c>
      <c r="AL25" s="21" cm="1">
        <f t="array" ca="1" aca="1" ref="AL25">CreateID($AL$2,$AL:$AL,$AK25&lt;&gt;"")</f>
        <v>0</v>
      </c>
      <c r="AM25" s="21" t="str">
        <f t="shared" si="3"/>
        <v/>
      </c>
      <c r="AN25" s="21" cm="1">
        <f t="array" ref="AN25">CreateID($AN$2,$AN:$AN,$AM25&lt;&gt;"")</f>
        <v>0</v>
      </c>
    </row>
    <row r="26" spans="1:40" ht="102">
      <c r="A26" s="33" t="str" cm="1">
        <f t="array" ref="A26">IF($R26=0,"",INDEX('Attack Steps'!A:A,$R26))</f>
        <v>AS24</v>
      </c>
      <c r="B26" s="16" t="str" cm="1">
        <f t="array" ref="B26">IF($R26=0,"",INDEX('Attack Steps'!B:B,$R26))</f>
        <v>Data extraction from the product's persistent memory</v>
      </c>
      <c r="C26" s="13">
        <f>3</f>
        <v>3</v>
      </c>
      <c r="D26" s="34" t="str" cm="1">
        <f t="array" ca="1" aca="1" ref="D26">_xlfn.LET(_xlpm._displayLimit,$C26,_xlpm._risks,$S26,_xlpm._delimiter,CHAR(10)&amp;REPT(_xlfn.UNICHAR(9552),50)&amp;CHAR(10),_xlpm._attackPaths,RemoveDelimiter(GetValues(RIGHT(_xlpm._risks,LEN(_xlpm._risks)-FIND(":",_xlpm._risks)),Risks!$A:$B,"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R21-24-32 AS32 Extracting or misusing acontis techonlogies GmbH IP
–––––––––––––––––––––––––––––––––––––––––––––––––––––––
AS21 Gaining physical access to the product (3rd party),
AS24 Data extraction from the product's persistent memory
══════════════════════════════════════════════════
R22-24-32 AS32 Extracting or misusing acontis techonlogies GmbH IP
–––––––––––––––––––––––––––––––––––––––––––––––––––––––
AS22 Gaining physical access to the product (customer),
AS24 Data extraction from the product's persistent memory</v>
      </c>
      <c r="E26" s="33" t="str" cm="1">
        <f t="array" ca="1" aca="1" ref="E26">_xlfn.LET(_xlpm._riskValue,CalculateMaxFromList($T26,0,Risks!$A:$AJ),INDEX(Definitions!$AE:$AE,MATCH(_xlpm._riskValue,Definitions!$AF:$AF,0)))</f>
        <v>Very High</v>
      </c>
      <c r="F26" s="33" t="str" cm="1">
        <f t="array" ca="1" aca="1" ref="F26">IF($A26="","",SUBSTITUTE(RemoveDelimiter(SanitizeInput(SimpleLookup($A26,'Attack Steps'!$A:$AE)),","),",",", "))</f>
        <v>CM4</v>
      </c>
      <c r="G26" s="33" t="str" cm="1">
        <f t="array" ca="1" aca="1" ref="G26">IF($A26="","",SUBSTITUTE(RemoveDelimiter(SanitizeInput(SimpleLookup($A26,'Attack Steps'!$A:$AF)),","),",",", "))</f>
        <v/>
      </c>
      <c r="H26" s="80" t="str" cm="1">
        <f t="array" ca="1" aca="1" ref="H26">IF($A26="","",_xlfn.LET(_xlpm._proposedActive,SanitizeInput($G26),_xlpm._proposedAll,SimpleLookup($A26,'Attack Steps'!$A:$AG),_xlpm._proposedDiff,FilterElementsFromList(_xlpm._proposedAll,_xlpm._proposedActive,FALSE,","),SUBSTITUTE(RemoveDelimiter(SanitizeInput(_xlpm._proposedDiff),","),",",", ")))</f>
        <v/>
      </c>
      <c r="I26" s="33" t="str" cm="1">
        <f t="array" ca="1" aca="1" ref="I26">RemoveDelimiter(GetValuesWithFallback(SanitizeInput($F26)&amp;SanitizeInput($G26)&amp;SanitizeInput($H26),Countermeasures!$A:$B,Assumptions!$A:$B," ",","&amp;CHAR(10),TRUE),","&amp;CHAR(10))</f>
        <v>CM4 SCR 2.2 - Hardware based Storage Encryption</v>
      </c>
      <c r="J26" s="13"/>
      <c r="K26" s="33" t="str" cm="1">
        <f t="array" ref="K26">RemoveDelimiter(GetValuesWithFallback(SanitizeInput($J26),Countermeasures!$A:$B,Assumptions!$A:$B," ",","&amp;CHAR(10),TRUE),","&amp;CHAR(10))</f>
        <v/>
      </c>
      <c r="L26" s="23">
        <f>3</f>
        <v>3</v>
      </c>
      <c r="M26" s="34" t="str" cm="1">
        <f t="array" ca="1" aca="1" ref="M26">_xlfn.LET(_xlpm._displayLimit,$L26,_xlpm._risks,$V26,_xlpm._delimiter,CHAR(10)&amp;REPT(_xlfn.UNICHAR(9552),50)&amp;CHAR(10),_xlpm._attackPaths,RemoveDelimiter(GetValues(RIGHT(_xlpm._risks,LEN(_xlpm._risks)-FIND(":",_xlpm._risks)),Risks!$A:$B,"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R21-24-32 AS32 Extracting or misusing acontis techonlogies GmbH IP
–––––––––––––––––––––––––––––––––––––––––––––––––––––––
AS21 Gaining physical access to the product (3rd party),
AS24 Data extraction from the product's persistent memory
══════════════════════════════════════════════════
R22-24-32 AS32 Extracting or misusing acontis techonlogies GmbH IP
–––––––––––––––––––––––––––––––––––––––––––––––––––––––
AS22 Gaining physical access to the product (customer),
AS24 Data extraction from the product's persistent memory</v>
      </c>
      <c r="N26" s="33" t="str">
        <f ca="1">INDEX(Definitions!$AE:$AE,MATCH($W26,Definitions!$AF:$AF,0))</f>
        <v>Very High</v>
      </c>
      <c r="O26" s="13"/>
      <c r="P26" s="10" cm="1">
        <f t="array" ref="P26">GenerateShadowID(ROW(),$P$2,$P:$P,0,$A26&lt;&gt;"")</f>
        <v>24</v>
      </c>
      <c r="Q26" s="21" cm="1">
        <f t="array" ref="Q26">CreateTaskID($Q$2,$Q:$Q,Tasks!$B$17,$O26)</f>
        <v>0</v>
      </c>
      <c r="R26" s="21">
        <f>IFERROR(MATCH(ROW()-ROW($R$2),'Attack Steps'!$Q:$Q,0),0)</f>
        <v>26</v>
      </c>
      <c r="S26" s="21" t="str" cm="1">
        <f t="array" ca="1" aca="1" ref="S26">CalculateMaxAndElements($T26,0,"",Risks!$A:$AJ)</f>
        <v>4:R21-24-32,R22-24-32,</v>
      </c>
      <c r="T26" s="21" t="str" cm="1">
        <f t="array" ca="1" aca="1" ref="T26">InverseLookup($A26,Risks!$AI$2,Risks!$A$2,1,Helper!$B$1,",")</f>
        <v>R21-24-32,R22-24-32,</v>
      </c>
      <c r="U26" s="21" t="str">
        <f t="shared" ca="1" si="6"/>
        <v>,R21-24-32,R22-24-32,</v>
      </c>
      <c r="V26" s="21" t="str" cm="1">
        <f t="array" ca="1" aca="1" ref="V26">CalculateMaxAndElements($T26,0,"",Risks!$A:$BK)</f>
        <v>4:R21-24-32,R22-24-32,</v>
      </c>
      <c r="W26" s="21">
        <f t="shared" ca="1" si="7"/>
        <v>4</v>
      </c>
      <c r="X26" s="21" t="str" cm="1">
        <f t="array" ref="X26">IF($J26="","",","&amp;SanitizeInput($J26))</f>
        <v/>
      </c>
      <c r="Y26" s="21" t="b" cm="1">
        <f t="array" ca="1" aca="1" ref="Y26">INDEX('Attack Steps'!$AI:$AI,$R26)</f>
        <v>1</v>
      </c>
      <c r="Z26" s="21" cm="1">
        <f t="array" ref="Z26">CreateID($Z$2,$Z:$Z,IFERROR(FIND(Definitions!$AR$4,$O26)&gt;0,FALSE))</f>
        <v>0</v>
      </c>
      <c r="AA26" s="21">
        <f>_xlfn.LET(_xlpm._comment,$O26,_xlpm._keyWord,Definitions!$AR$4,_xlpm._diffLen,LEN(_xlpm._comment)-LEN(SUBSTITUTE(_xlpm._comment,_xlpm._keyWord,"")),_xlpm._diffLen/LEN(_xlpm._keyWord))</f>
        <v>0</v>
      </c>
      <c r="AB26" s="21" cm="1">
        <f t="array" ref="AB26">CreateID($AB$2,$AB:$AB,IFERROR(FIND(Definitions!$AR$5,$O26)&gt;0,FALSE))</f>
        <v>0</v>
      </c>
      <c r="AC26" s="21">
        <f>_xlfn.LET(_xlpm._comment,$O26,_xlpm._keyWord,Definitions!$AR$5,_xlpm._diffLen,LEN(_xlpm._comment)-LEN(SUBSTITUTE(_xlpm._comment,_xlpm._keyWord,"")),_xlpm._diffLen/LEN(_xlpm._keyWord))</f>
        <v>0</v>
      </c>
      <c r="AD26" s="21" t="str" cm="1">
        <f t="array" ref="AD26">CreateSearchString($J26)</f>
        <v/>
      </c>
      <c r="AE26" s="21" t="str" cm="1">
        <f t="array" ca="1" aca="1" ref="AE26">_xlfn.LET(_xlpm._selected,SanitizeInput($J26),_xlpm._catalogOptions,SanitizeInput($F26)&amp;SanitizeInput($G26)&amp;SanitizeInput($H26),_xlpm._selectedNotInOptions,FilterElementsFromList(_xlpm._selected,_xlpm._catalogOptions,FALSE,","),IF(_xlpm._selectedNotInOptions="","",$A26&amp;" "&amp;$B26&amp;": "&amp;SUBSTITUTE(RemoveDelimiter(_xlpm._selectedNotInOptions,","),",",", ")))</f>
        <v/>
      </c>
      <c r="AF26" s="21" cm="1">
        <f t="array" ca="1" aca="1" ref="AF26">CreateID($AF$2,$AF:$AF,$AE26&lt;&gt;"")</f>
        <v>0</v>
      </c>
      <c r="AG26" s="21" t="str" cm="1">
        <f t="array" ref="AG26">_xlfn.LET(_xlpm._delimiter,","&amp;CHAR(10),_xlpm._assumptions,ParseAllMitigationsFromComment($A26,"-","A",$O26,Definitions!$AR$4,Definitions!$AS$4,Definitions!$AR$6,_xlpm._delimiter,1),_xlpm._countermeasures,ParseAllMitigationsFromComment($A26,"-","C",$O26,Definitions!$AR$5,Definitions!$AS$5,Definitions!$AR$6,_xlpm._delimiter,1),IF(_xlpm._countermeasures="",RemoveDelimiter(_xlpm._assumptions,_xlpm._delimiter),_xlpm._assumptions&amp;RemoveDelimiter(_xlpm._countermeasures,_xlpm._delimiter)))</f>
        <v/>
      </c>
      <c r="AH26" s="21" t="str" cm="1">
        <f t="array" ref="AH26">CreateSearchString(SanitizeInput($J26)&amp;GetValuesIgnoreErrors(SanitizeInput($J26),Countermeasures!$A:$G,"",",",FALSE))</f>
        <v/>
      </c>
      <c r="AI26" s="21" t="str" cm="1">
        <f t="array" ca="1" aca="1" ref="AI26">IF(AND(IFERROR(FIND(","&amp;Countermeasures!$A$30&amp;",",$AH26)&gt;0,FALSE),Countermeasures!$AF$30=TRUE,SimpleLookup(Questions!$A$48,Questionnaire!$A:$C)=Definitions!$A$5),$A26&amp;" "&amp;$B26,"")</f>
        <v/>
      </c>
      <c r="AJ26" s="21" cm="1">
        <f t="array" ca="1" aca="1" ref="AJ26">CreateID($AJ$2,$AJ:$AJ,$AI26&lt;&gt;"")</f>
        <v>0</v>
      </c>
      <c r="AK26" s="21" t="str">
        <f t="shared" ca="1" si="2"/>
        <v/>
      </c>
      <c r="AL26" s="21" cm="1">
        <f t="array" ca="1" aca="1" ref="AL26">CreateID($AL$2,$AL:$AL,$AK26&lt;&gt;"")</f>
        <v>0</v>
      </c>
      <c r="AM26" s="21" t="str">
        <f t="shared" si="3"/>
        <v/>
      </c>
      <c r="AN26" s="21" cm="1">
        <f t="array" ref="AN26">CreateID($AN$2,$AN:$AN,$AM26&lt;&gt;"")</f>
        <v>0</v>
      </c>
    </row>
    <row r="27" spans="1:40" ht="150">
      <c r="A27" s="33" t="str" cm="1">
        <f t="array" ref="A27">IF($R27=0,"",INDEX('Attack Steps'!A:A,$R27))</f>
        <v>AS25</v>
      </c>
      <c r="B27" s="16" t="str" cm="1">
        <f t="array" ref="B27">IF($R27=0,"",INDEX('Attack Steps'!B:B,$R27))</f>
        <v>Accessing the product's debug interfaces remotely</v>
      </c>
      <c r="C27" s="13">
        <f>3</f>
        <v>3</v>
      </c>
      <c r="D27" s="34" t="str" cm="1">
        <f t="array" ca="1" aca="1" ref="D27">_xlfn.LET(_xlpm._displayLimit,$C27,_xlpm._risks,$S27,_xlpm._delimiter,CHAR(10)&amp;REPT(_xlfn.UNICHAR(9552),50)&amp;CHAR(10),_xlpm._attackPaths,RemoveDelimiter(GetValues(RIGHT(_xlpm._risks,LEN(_xlpm._risks)-FIND(":",_xlpm._risks)),Risks!$A:$B,"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27" s="33" t="str" cm="1">
        <f t="array" ca="1" aca="1" ref="E27">_xlfn.LET(_xlpm._riskValue,CalculateMaxFromList($T27,0,Risks!$A:$AJ),INDEX(Definitions!$AE:$AE,MATCH(_xlpm._riskValue,Definitions!$AF:$AF,0)))</f>
        <v>No Risk</v>
      </c>
      <c r="F27" s="33" t="str" cm="1">
        <f t="array" ca="1" aca="1" ref="F27">IF($A27="","",SUBSTITUTE(RemoveDelimiter(SanitizeInput(SimpleLookup($A27,'Attack Steps'!$A:$AE)),","),",",", "))</f>
        <v>C30, CM8, CM16, CM17</v>
      </c>
      <c r="G27" s="33" t="str" cm="1">
        <f t="array" ca="1" aca="1" ref="G27">IF($A27="","",SUBSTITUTE(RemoveDelimiter(SanitizeInput(SimpleLookup($A27,'Attack Steps'!$A:$AF)),","),",",", "))</f>
        <v/>
      </c>
      <c r="H27" s="80" t="str" cm="1">
        <f t="array" ca="1" aca="1" ref="H27">IF($A27="","",_xlfn.LET(_xlpm._proposedActive,SanitizeInput($G27),_xlpm._proposedAll,SimpleLookup($A27,'Attack Steps'!$A:$AG),_xlpm._proposedDiff,FilterElementsFromList(_xlpm._proposedAll,_xlpm._proposedActive,FALSE,","),SUBSTITUTE(RemoveDelimiter(SanitizeInput(_xlpm._proposedDiff),","),",",", ")))</f>
        <v/>
      </c>
      <c r="I27" s="33" t="str" cm="1">
        <f t="array" ca="1" aca="1" ref="I27">RemoveDelimiter(GetValuesWithFallback(SanitizeInput($F27)&amp;SanitizeInput($G27)&amp;SanitizeInput($H27),Countermeasures!$A:$B,Assumptions!$A:$B," ",","&amp;CHAR(10),TRUE),","&amp;CHAR(10))</f>
        <v>C30 CR 7.4 – Control system recovery and reconstitution,
CM8 SCR 2.7 - Close debug interfaces,
CM16 SCR 2.14 - Password-based authentication at debug interfaces,
CM17 SCR 2.13 - Public key-based authentication at debug interfaces</v>
      </c>
      <c r="J27" s="13"/>
      <c r="K27" s="33" t="str" cm="1">
        <f t="array" ref="K27">RemoveDelimiter(GetValuesWithFallback(SanitizeInput($J27),Countermeasures!$A:$B,Assumptions!$A:$B," ",","&amp;CHAR(10),TRUE),","&amp;CHAR(10))</f>
        <v/>
      </c>
      <c r="L27" s="23">
        <f>3</f>
        <v>3</v>
      </c>
      <c r="M27" s="34" t="str" cm="1">
        <f t="array" ca="1" aca="1" ref="M27">_xlfn.LET(_xlpm._displayLimit,$L27,_xlpm._risks,$V27,_xlpm._delimiter,CHAR(10)&amp;REPT(_xlfn.UNICHAR(9552),50)&amp;CHAR(10),_xlpm._attackPaths,RemoveDelimiter(GetValues(RIGHT(_xlpm._risks,LEN(_xlpm._risks)-FIND(":",_xlpm._risks)),Risks!$A:$B,"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27" s="33" t="str">
        <f ca="1">INDEX(Definitions!$AE:$AE,MATCH($W27,Definitions!$AF:$AF,0))</f>
        <v>No Risk</v>
      </c>
      <c r="O27" s="13"/>
      <c r="P27" s="10" cm="1">
        <f t="array" ref="P27">GenerateShadowID(ROW(),$P$2,$P:$P,0,$A27&lt;&gt;"")</f>
        <v>25</v>
      </c>
      <c r="Q27" s="21" cm="1">
        <f t="array" ref="Q27">CreateTaskID($Q$2,$Q:$Q,Tasks!$B$17,$O27)</f>
        <v>0</v>
      </c>
      <c r="R27" s="21">
        <f>IFERROR(MATCH(ROW()-ROW($R$2),'Attack Steps'!$Q:$Q,0),0)</f>
        <v>27</v>
      </c>
      <c r="S27" s="21" t="str" cm="1">
        <f t="array" ca="1" aca="1" ref="S27">CalculateMaxAndElements($T27,0,"",Risks!$A:$AJ)</f>
        <v>0:</v>
      </c>
      <c r="T27" s="21" t="str" cm="1">
        <f t="array" ca="1" aca="1" ref="T27">InverseLookup($A27,Risks!$AI$2,Risks!$A$2,1,Helper!$B$1,",")</f>
        <v/>
      </c>
      <c r="U27" s="21" t="str">
        <f t="shared" ca="1" si="6"/>
        <v/>
      </c>
      <c r="V27" s="21" t="str" cm="1">
        <f t="array" ca="1" aca="1" ref="V27">CalculateMaxAndElements($T27,0,"",Risks!$A:$BK)</f>
        <v>0:</v>
      </c>
      <c r="W27" s="21">
        <f t="shared" ca="1" si="7"/>
        <v>0</v>
      </c>
      <c r="X27" s="21" t="str" cm="1">
        <f t="array" ref="X27">IF($J27="","",","&amp;SanitizeInput($J27))</f>
        <v/>
      </c>
      <c r="Y27" s="21" t="b" cm="1">
        <f t="array" ca="1" aca="1" ref="Y27">INDEX('Attack Steps'!$AI:$AI,$R27)</f>
        <v>0</v>
      </c>
      <c r="Z27" s="21" cm="1">
        <f t="array" ref="Z27">CreateID($Z$2,$Z:$Z,IFERROR(FIND(Definitions!$AR$4,$O27)&gt;0,FALSE))</f>
        <v>0</v>
      </c>
      <c r="AA27" s="21">
        <f>_xlfn.LET(_xlpm._comment,$O27,_xlpm._keyWord,Definitions!$AR$4,_xlpm._diffLen,LEN(_xlpm._comment)-LEN(SUBSTITUTE(_xlpm._comment,_xlpm._keyWord,"")),_xlpm._diffLen/LEN(_xlpm._keyWord))</f>
        <v>0</v>
      </c>
      <c r="AB27" s="21" cm="1">
        <f t="array" ref="AB27">CreateID($AB$2,$AB:$AB,IFERROR(FIND(Definitions!$AR$5,$O27)&gt;0,FALSE))</f>
        <v>0</v>
      </c>
      <c r="AC27" s="21">
        <f>_xlfn.LET(_xlpm._comment,$O27,_xlpm._keyWord,Definitions!$AR$5,_xlpm._diffLen,LEN(_xlpm._comment)-LEN(SUBSTITUTE(_xlpm._comment,_xlpm._keyWord,"")),_xlpm._diffLen/LEN(_xlpm._keyWord))</f>
        <v>0</v>
      </c>
      <c r="AD27" s="21" t="str" cm="1">
        <f t="array" ref="AD27">CreateSearchString($J27)</f>
        <v/>
      </c>
      <c r="AE27" s="21" t="str" cm="1">
        <f t="array" ca="1" aca="1" ref="AE27">_xlfn.LET(_xlpm._selected,SanitizeInput($J27),_xlpm._catalogOptions,SanitizeInput($F27)&amp;SanitizeInput($G27)&amp;SanitizeInput($H27),_xlpm._selectedNotInOptions,FilterElementsFromList(_xlpm._selected,_xlpm._catalogOptions,FALSE,","),IF(_xlpm._selectedNotInOptions="","",$A27&amp;" "&amp;$B27&amp;": "&amp;SUBSTITUTE(RemoveDelimiter(_xlpm._selectedNotInOptions,","),",",", ")))</f>
        <v/>
      </c>
      <c r="AF27" s="21" cm="1">
        <f t="array" ca="1" aca="1" ref="AF27">CreateID($AF$2,$AF:$AF,$AE27&lt;&gt;"")</f>
        <v>0</v>
      </c>
      <c r="AG27" s="21" t="str" cm="1">
        <f t="array" ref="AG27">_xlfn.LET(_xlpm._delimiter,","&amp;CHAR(10),_xlpm._assumptions,ParseAllMitigationsFromComment($A27,"-","A",$O27,Definitions!$AR$4,Definitions!$AS$4,Definitions!$AR$6,_xlpm._delimiter,1),_xlpm._countermeasures,ParseAllMitigationsFromComment($A27,"-","C",$O27,Definitions!$AR$5,Definitions!$AS$5,Definitions!$AR$6,_xlpm._delimiter,1),IF(_xlpm._countermeasures="",RemoveDelimiter(_xlpm._assumptions,_xlpm._delimiter),_xlpm._assumptions&amp;RemoveDelimiter(_xlpm._countermeasures,_xlpm._delimiter)))</f>
        <v/>
      </c>
      <c r="AH27" s="21" t="str" cm="1">
        <f t="array" ref="AH27">CreateSearchString(SanitizeInput($J27)&amp;GetValuesIgnoreErrors(SanitizeInput($J27),Countermeasures!$A:$G,"",",",FALSE))</f>
        <v/>
      </c>
      <c r="AI27" s="21" t="str" cm="1">
        <f t="array" ca="1" aca="1" ref="AI27">IF(AND(IFERROR(FIND(","&amp;Countermeasures!$A$30&amp;",",$AH27)&gt;0,FALSE),Countermeasures!$AF$30=TRUE,SimpleLookup(Questions!$A$48,Questionnaire!$A:$C)=Definitions!$A$5),$A27&amp;" "&amp;$B27,"")</f>
        <v/>
      </c>
      <c r="AJ27" s="21" cm="1">
        <f t="array" ca="1" aca="1" ref="AJ27">CreateID($AJ$2,$AJ:$AJ,$AI27&lt;&gt;"")</f>
        <v>0</v>
      </c>
      <c r="AK27" s="21" t="str">
        <f t="shared" ca="1" si="2"/>
        <v/>
      </c>
      <c r="AL27" s="21" cm="1">
        <f t="array" ca="1" aca="1" ref="AL27">CreateID($AL$2,$AL:$AL,$AK27&lt;&gt;"")</f>
        <v>0</v>
      </c>
      <c r="AM27" s="21" t="str">
        <f t="shared" si="3"/>
        <v/>
      </c>
      <c r="AN27" s="21" cm="1">
        <f t="array" ref="AN27">CreateID($AN$2,$AN:$AN,$AM27&lt;&gt;"")</f>
        <v>0</v>
      </c>
    </row>
    <row r="28" spans="1:40" ht="120">
      <c r="A28" s="33" t="str" cm="1">
        <f t="array" ref="A28">IF($R28=0,"",INDEX('Attack Steps'!A:A,$R28))</f>
        <v>AS26</v>
      </c>
      <c r="B28" s="16" t="str" cm="1">
        <f t="array" ref="B28">IF($R28=0,"",INDEX('Attack Steps'!B:B,$R28))</f>
        <v>Accessing the product's physical debug interfaces</v>
      </c>
      <c r="C28" s="13">
        <f>3</f>
        <v>3</v>
      </c>
      <c r="D28" s="34" t="str" cm="1">
        <f t="array" ca="1" aca="1" ref="D28">_xlfn.LET(_xlpm._displayLimit,$C28,_xlpm._risks,$S28,_xlpm._delimiter,CHAR(10)&amp;REPT(_xlfn.UNICHAR(9552),50)&amp;CHAR(10),_xlpm._attackPaths,RemoveDelimiter(GetValues(RIGHT(_xlpm._risks,LEN(_xlpm._risks)-FIND(":",_xlpm._risks)),Risks!$A:$B,"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28" s="33" t="str" cm="1">
        <f t="array" ca="1" aca="1" ref="E28">_xlfn.LET(_xlpm._riskValue,CalculateMaxFromList($T28,0,Risks!$A:$AJ),INDEX(Definitions!$AE:$AE,MATCH(_xlpm._riskValue,Definitions!$AF:$AF,0)))</f>
        <v>No Risk</v>
      </c>
      <c r="F28" s="33" t="str" cm="1">
        <f t="array" ca="1" aca="1" ref="F28">IF($A28="","",SUBSTITUTE(RemoveDelimiter(SanitizeInput(SimpleLookup($A28,'Attack Steps'!$A:$AE)),","),",",", "))</f>
        <v>CM8, CM16, CM17</v>
      </c>
      <c r="G28" s="33" t="str" cm="1">
        <f t="array" ca="1" aca="1" ref="G28">IF($A28="","",SUBSTITUTE(RemoveDelimiter(SanitizeInput(SimpleLookup($A28,'Attack Steps'!$A:$AF)),","),",",", "))</f>
        <v/>
      </c>
      <c r="H28" s="80" t="str" cm="1">
        <f t="array" ca="1" aca="1" ref="H28">IF($A28="","",_xlfn.LET(_xlpm._proposedActive,SanitizeInput($G28),_xlpm._proposedAll,SimpleLookup($A28,'Attack Steps'!$A:$AG),_xlpm._proposedDiff,FilterElementsFromList(_xlpm._proposedAll,_xlpm._proposedActive,FALSE,","),SUBSTITUTE(RemoveDelimiter(SanitizeInput(_xlpm._proposedDiff),","),",",", ")))</f>
        <v/>
      </c>
      <c r="I28" s="33" t="str" cm="1">
        <f t="array" ca="1" aca="1" ref="I28">RemoveDelimiter(GetValuesWithFallback(SanitizeInput($F28)&amp;SanitizeInput($G28)&amp;SanitizeInput($H28),Countermeasures!$A:$B,Assumptions!$A:$B," ",","&amp;CHAR(10),TRUE),","&amp;CHAR(10))</f>
        <v>CM8 SCR 2.7 - Close debug interfaces,
CM16 SCR 2.14 - Password-based authentication at debug interfaces,
CM17 SCR 2.13 - Public key-based authentication at debug interfaces</v>
      </c>
      <c r="J28" s="13"/>
      <c r="K28" s="33" t="str" cm="1">
        <f t="array" ref="K28">RemoveDelimiter(GetValuesWithFallback(SanitizeInput($J28),Countermeasures!$A:$B,Assumptions!$A:$B," ",","&amp;CHAR(10),TRUE),","&amp;CHAR(10))</f>
        <v/>
      </c>
      <c r="L28" s="23">
        <f>3</f>
        <v>3</v>
      </c>
      <c r="M28" s="34" t="str" cm="1">
        <f t="array" ca="1" aca="1" ref="M28">_xlfn.LET(_xlpm._displayLimit,$L28,_xlpm._risks,$V28,_xlpm._delimiter,CHAR(10)&amp;REPT(_xlfn.UNICHAR(9552),50)&amp;CHAR(10),_xlpm._attackPaths,RemoveDelimiter(GetValues(RIGHT(_xlpm._risks,LEN(_xlpm._risks)-FIND(":",_xlpm._risks)),Risks!$A:$B,"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28" s="33" t="str">
        <f ca="1">INDEX(Definitions!$AE:$AE,MATCH($W28,Definitions!$AF:$AF,0))</f>
        <v>No Risk</v>
      </c>
      <c r="O28" s="13"/>
      <c r="P28" s="10" cm="1">
        <f t="array" ref="P28">GenerateShadowID(ROW(),$P$2,$P:$P,0,$A28&lt;&gt;"")</f>
        <v>26</v>
      </c>
      <c r="Q28" s="21" cm="1">
        <f t="array" ref="Q28">CreateTaskID($Q$2,$Q:$Q,Tasks!$B$17,$O28)</f>
        <v>0</v>
      </c>
      <c r="R28" s="21">
        <f>IFERROR(MATCH(ROW()-ROW($R$2),'Attack Steps'!$Q:$Q,0),0)</f>
        <v>28</v>
      </c>
      <c r="S28" s="21" t="str" cm="1">
        <f t="array" ca="1" aca="1" ref="S28">CalculateMaxAndElements($T28,0,"",Risks!$A:$AJ)</f>
        <v>0:</v>
      </c>
      <c r="T28" s="21" t="str" cm="1">
        <f t="array" ca="1" aca="1" ref="T28">InverseLookup($A28,Risks!$AI$2,Risks!$A$2,1,Helper!$B$1,",")</f>
        <v/>
      </c>
      <c r="U28" s="21" t="str">
        <f t="shared" ca="1" si="6"/>
        <v/>
      </c>
      <c r="V28" s="21" t="str" cm="1">
        <f t="array" ca="1" aca="1" ref="V28">CalculateMaxAndElements($T28,0,"",Risks!$A:$BK)</f>
        <v>0:</v>
      </c>
      <c r="W28" s="21">
        <f t="shared" ca="1" si="7"/>
        <v>0</v>
      </c>
      <c r="X28" s="21" t="str" cm="1">
        <f t="array" ref="X28">IF($J28="","",","&amp;SanitizeInput($J28))</f>
        <v/>
      </c>
      <c r="Y28" s="21" t="b" cm="1">
        <f t="array" ca="1" aca="1" ref="Y28">INDEX('Attack Steps'!$AI:$AI,$R28)</f>
        <v>0</v>
      </c>
      <c r="Z28" s="21" cm="1">
        <f t="array" ref="Z28">CreateID($Z$2,$Z:$Z,IFERROR(FIND(Definitions!$AR$4,$O28)&gt;0,FALSE))</f>
        <v>0</v>
      </c>
      <c r="AA28" s="21">
        <f>_xlfn.LET(_xlpm._comment,$O28,_xlpm._keyWord,Definitions!$AR$4,_xlpm._diffLen,LEN(_xlpm._comment)-LEN(SUBSTITUTE(_xlpm._comment,_xlpm._keyWord,"")),_xlpm._diffLen/LEN(_xlpm._keyWord))</f>
        <v>0</v>
      </c>
      <c r="AB28" s="21" cm="1">
        <f t="array" ref="AB28">CreateID($AB$2,$AB:$AB,IFERROR(FIND(Definitions!$AR$5,$O28)&gt;0,FALSE))</f>
        <v>0</v>
      </c>
      <c r="AC28" s="21">
        <f>_xlfn.LET(_xlpm._comment,$O28,_xlpm._keyWord,Definitions!$AR$5,_xlpm._diffLen,LEN(_xlpm._comment)-LEN(SUBSTITUTE(_xlpm._comment,_xlpm._keyWord,"")),_xlpm._diffLen/LEN(_xlpm._keyWord))</f>
        <v>0</v>
      </c>
      <c r="AD28" s="21" t="str" cm="1">
        <f t="array" ref="AD28">CreateSearchString($J28)</f>
        <v/>
      </c>
      <c r="AE28" s="21" t="str" cm="1">
        <f t="array" ca="1" aca="1" ref="AE28">_xlfn.LET(_xlpm._selected,SanitizeInput($J28),_xlpm._catalogOptions,SanitizeInput($F28)&amp;SanitizeInput($G28)&amp;SanitizeInput($H28),_xlpm._selectedNotInOptions,FilterElementsFromList(_xlpm._selected,_xlpm._catalogOptions,FALSE,","),IF(_xlpm._selectedNotInOptions="","",$A28&amp;" "&amp;$B28&amp;": "&amp;SUBSTITUTE(RemoveDelimiter(_xlpm._selectedNotInOptions,","),",",", ")))</f>
        <v/>
      </c>
      <c r="AF28" s="21" cm="1">
        <f t="array" ca="1" aca="1" ref="AF28">CreateID($AF$2,$AF:$AF,$AE28&lt;&gt;"")</f>
        <v>0</v>
      </c>
      <c r="AG28" s="21" t="str" cm="1">
        <f t="array" ref="AG28">_xlfn.LET(_xlpm._delimiter,","&amp;CHAR(10),_xlpm._assumptions,ParseAllMitigationsFromComment($A28,"-","A",$O28,Definitions!$AR$4,Definitions!$AS$4,Definitions!$AR$6,_xlpm._delimiter,1),_xlpm._countermeasures,ParseAllMitigationsFromComment($A28,"-","C",$O28,Definitions!$AR$5,Definitions!$AS$5,Definitions!$AR$6,_xlpm._delimiter,1),IF(_xlpm._countermeasures="",RemoveDelimiter(_xlpm._assumptions,_xlpm._delimiter),_xlpm._assumptions&amp;RemoveDelimiter(_xlpm._countermeasures,_xlpm._delimiter)))</f>
        <v/>
      </c>
      <c r="AH28" s="21" t="str" cm="1">
        <f t="array" ref="AH28">CreateSearchString(SanitizeInput($J28)&amp;GetValuesIgnoreErrors(SanitizeInput($J28),Countermeasures!$A:$G,"",",",FALSE))</f>
        <v/>
      </c>
      <c r="AI28" s="21" t="str" cm="1">
        <f t="array" ca="1" aca="1" ref="AI28">IF(AND(IFERROR(FIND(","&amp;Countermeasures!$A$30&amp;",",$AH28)&gt;0,FALSE),Countermeasures!$AF$30=TRUE,SimpleLookup(Questions!$A$48,Questionnaire!$A:$C)=Definitions!$A$5),$A28&amp;" "&amp;$B28,"")</f>
        <v/>
      </c>
      <c r="AJ28" s="21" cm="1">
        <f t="array" ca="1" aca="1" ref="AJ28">CreateID($AJ$2,$AJ:$AJ,$AI28&lt;&gt;"")</f>
        <v>0</v>
      </c>
      <c r="AK28" s="21" t="str">
        <f t="shared" ca="1" si="2"/>
        <v/>
      </c>
      <c r="AL28" s="21" cm="1">
        <f t="array" ca="1" aca="1" ref="AL28">CreateID($AL$2,$AL:$AL,$AK28&lt;&gt;"")</f>
        <v>0</v>
      </c>
      <c r="AM28" s="21" t="str">
        <f t="shared" si="3"/>
        <v/>
      </c>
      <c r="AN28" s="21" cm="1">
        <f t="array" ref="AN28">CreateID($AN$2,$AN:$AN,$AM28&lt;&gt;"")</f>
        <v>0</v>
      </c>
    </row>
    <row r="29" spans="1:40" ht="45">
      <c r="A29" s="33" t="str" cm="1">
        <f t="array" ref="A29">IF($R29=0,"",INDEX('Attack Steps'!A:A,$R29))</f>
        <v>AS27</v>
      </c>
      <c r="B29" s="16" t="str" cm="1">
        <f t="array" ref="B29">IF($R29=0,"",INDEX('Attack Steps'!B:B,$R29))</f>
        <v>Getting physical access to the product's linked communication media (e.g., field buses)</v>
      </c>
      <c r="C29" s="13">
        <f>3</f>
        <v>3</v>
      </c>
      <c r="D29" s="34" t="str" cm="1">
        <f t="array" ca="1" aca="1" ref="D29">_xlfn.LET(_xlpm._displayLimit,$C29,_xlpm._risks,$S29,_xlpm._delimiter,CHAR(10)&amp;REPT(_xlfn.UNICHAR(9552),50)&amp;CHAR(10),_xlpm._attackPaths,RemoveDelimiter(GetValues(RIGHT(_xlpm._risks,LEN(_xlpm._risks)-FIND(":",_xlpm._risks)),Risks!$A:$B,"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29" s="33" t="str" cm="1">
        <f t="array" ca="1" aca="1" ref="E29">_xlfn.LET(_xlpm._riskValue,CalculateMaxFromList($T29,0,Risks!$A:$AJ),INDEX(Definitions!$AE:$AE,MATCH(_xlpm._riskValue,Definitions!$AF:$AF,0)))</f>
        <v>No Risk</v>
      </c>
      <c r="F29" s="33" t="str" cm="1">
        <f t="array" ca="1" aca="1" ref="F29">IF($A29="","",SUBSTITUTE(RemoveDelimiter(SanitizeInput(SimpleLookup($A29,'Attack Steps'!$A:$AE)),","),",",", "))</f>
        <v/>
      </c>
      <c r="G29" s="33" t="str" cm="1">
        <f t="array" ca="1" aca="1" ref="G29">IF($A29="","",SUBSTITUTE(RemoveDelimiter(SanitizeInput(SimpleLookup($A29,'Attack Steps'!$A:$AF)),","),",",", "))</f>
        <v>A16</v>
      </c>
      <c r="H29" s="80" t="str" cm="1">
        <f t="array" ca="1" aca="1" ref="H29">IF($A29="","",_xlfn.LET(_xlpm._proposedActive,SanitizeInput($G29),_xlpm._proposedAll,SimpleLookup($A29,'Attack Steps'!$A:$AG),_xlpm._proposedDiff,FilterElementsFromList(_xlpm._proposedAll,_xlpm._proposedActive,FALSE,","),SUBSTITUTE(RemoveDelimiter(SanitizeInput(_xlpm._proposedDiff),","),",",", ")))</f>
        <v/>
      </c>
      <c r="I29" s="33" t="str" cm="1">
        <f t="array" ca="1" aca="1" ref="I29">RemoveDelimiter(GetValuesWithFallback(SanitizeInput($F29)&amp;SanitizeInput($G29)&amp;SanitizeInput($H29),Countermeasures!$A:$B,Assumptions!$A:$B," ",","&amp;CHAR(10),TRUE),","&amp;CHAR(10))</f>
        <v>A16 SDR 1.14 – Communication media located in restricted access area</v>
      </c>
      <c r="J29" s="13"/>
      <c r="K29" s="33" t="str" cm="1">
        <f t="array" ref="K29">RemoveDelimiter(GetValuesWithFallback(SanitizeInput($J29),Countermeasures!$A:$B,Assumptions!$A:$B," ",","&amp;CHAR(10),TRUE),","&amp;CHAR(10))</f>
        <v/>
      </c>
      <c r="L29" s="23">
        <f>3</f>
        <v>3</v>
      </c>
      <c r="M29" s="34" t="str" cm="1">
        <f t="array" ca="1" aca="1" ref="M29">_xlfn.LET(_xlpm._displayLimit,$L29,_xlpm._risks,$V29,_xlpm._delimiter,CHAR(10)&amp;REPT(_xlfn.UNICHAR(9552),50)&amp;CHAR(10),_xlpm._attackPaths,RemoveDelimiter(GetValues(RIGHT(_xlpm._risks,LEN(_xlpm._risks)-FIND(":",_xlpm._risks)),Risks!$A:$B,"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29" s="33" t="str">
        <f ca="1">INDEX(Definitions!$AE:$AE,MATCH($W29,Definitions!$AF:$AF,0))</f>
        <v>No Risk</v>
      </c>
      <c r="O29" s="13"/>
      <c r="P29" s="10" cm="1">
        <f t="array" ref="P29">GenerateShadowID(ROW(),$P$2,$P:$P,0,$A29&lt;&gt;"")</f>
        <v>27</v>
      </c>
      <c r="Q29" s="21" cm="1">
        <f t="array" ref="Q29">CreateTaskID($Q$2,$Q:$Q,Tasks!$B$17,$O29)</f>
        <v>0</v>
      </c>
      <c r="R29" s="21">
        <f>IFERROR(MATCH(ROW()-ROW($R$2),'Attack Steps'!$Q:$Q,0),0)</f>
        <v>29</v>
      </c>
      <c r="S29" s="21" t="str" cm="1">
        <f t="array" ca="1" aca="1" ref="S29">CalculateMaxAndElements($T29,0,"",Risks!$A:$AJ)</f>
        <v>0:</v>
      </c>
      <c r="T29" s="21" t="str" cm="1">
        <f t="array" ca="1" aca="1" ref="T29">InverseLookup($A29,Risks!$AI$2,Risks!$A$2,1,Helper!$B$1,",")</f>
        <v/>
      </c>
      <c r="U29" s="21" t="str">
        <f t="shared" ca="1" si="6"/>
        <v/>
      </c>
      <c r="V29" s="21" t="str" cm="1">
        <f t="array" ca="1" aca="1" ref="V29">CalculateMaxAndElements($T29,0,"",Risks!$A:$BK)</f>
        <v>0:</v>
      </c>
      <c r="W29" s="21">
        <f t="shared" ca="1" si="7"/>
        <v>0</v>
      </c>
      <c r="X29" s="21" t="str" cm="1">
        <f t="array" ref="X29">IF($J29="","",","&amp;SanitizeInput($J29))</f>
        <v/>
      </c>
      <c r="Y29" s="21" t="b" cm="1">
        <f t="array" ca="1" aca="1" ref="Y29">INDEX('Attack Steps'!$AI:$AI,$R29)</f>
        <v>0</v>
      </c>
      <c r="Z29" s="21" cm="1">
        <f t="array" ref="Z29">CreateID($Z$2,$Z:$Z,IFERROR(FIND(Definitions!$AR$4,$O29)&gt;0,FALSE))</f>
        <v>0</v>
      </c>
      <c r="AA29" s="21">
        <f>_xlfn.LET(_xlpm._comment,$O29,_xlpm._keyWord,Definitions!$AR$4,_xlpm._diffLen,LEN(_xlpm._comment)-LEN(SUBSTITUTE(_xlpm._comment,_xlpm._keyWord,"")),_xlpm._diffLen/LEN(_xlpm._keyWord))</f>
        <v>0</v>
      </c>
      <c r="AB29" s="21" cm="1">
        <f t="array" ref="AB29">CreateID($AB$2,$AB:$AB,IFERROR(FIND(Definitions!$AR$5,$O29)&gt;0,FALSE))</f>
        <v>0</v>
      </c>
      <c r="AC29" s="21">
        <f>_xlfn.LET(_xlpm._comment,$O29,_xlpm._keyWord,Definitions!$AR$5,_xlpm._diffLen,LEN(_xlpm._comment)-LEN(SUBSTITUTE(_xlpm._comment,_xlpm._keyWord,"")),_xlpm._diffLen/LEN(_xlpm._keyWord))</f>
        <v>0</v>
      </c>
      <c r="AD29" s="21" t="str" cm="1">
        <f t="array" ref="AD29">CreateSearchString($J29)</f>
        <v/>
      </c>
      <c r="AE29" s="21" t="str" cm="1">
        <f t="array" ca="1" aca="1" ref="AE29">_xlfn.LET(_xlpm._selected,SanitizeInput($J29),_xlpm._catalogOptions,SanitizeInput($F29)&amp;SanitizeInput($G29)&amp;SanitizeInput($H29),_xlpm._selectedNotInOptions,FilterElementsFromList(_xlpm._selected,_xlpm._catalogOptions,FALSE,","),IF(_xlpm._selectedNotInOptions="","",$A29&amp;" "&amp;$B29&amp;": "&amp;SUBSTITUTE(RemoveDelimiter(_xlpm._selectedNotInOptions,","),",",", ")))</f>
        <v/>
      </c>
      <c r="AF29" s="21" cm="1">
        <f t="array" ca="1" aca="1" ref="AF29">CreateID($AF$2,$AF:$AF,$AE29&lt;&gt;"")</f>
        <v>0</v>
      </c>
      <c r="AG29" s="21" t="str" cm="1">
        <f t="array" ref="AG29">_xlfn.LET(_xlpm._delimiter,","&amp;CHAR(10),_xlpm._assumptions,ParseAllMitigationsFromComment($A29,"-","A",$O29,Definitions!$AR$4,Definitions!$AS$4,Definitions!$AR$6,_xlpm._delimiter,1),_xlpm._countermeasures,ParseAllMitigationsFromComment($A29,"-","C",$O29,Definitions!$AR$5,Definitions!$AS$5,Definitions!$AR$6,_xlpm._delimiter,1),IF(_xlpm._countermeasures="",RemoveDelimiter(_xlpm._assumptions,_xlpm._delimiter),_xlpm._assumptions&amp;RemoveDelimiter(_xlpm._countermeasures,_xlpm._delimiter)))</f>
        <v/>
      </c>
      <c r="AH29" s="21" t="str" cm="1">
        <f t="array" ref="AH29">CreateSearchString(SanitizeInput($J29)&amp;GetValuesIgnoreErrors(SanitizeInput($J29),Countermeasures!$A:$G,"",",",FALSE))</f>
        <v/>
      </c>
      <c r="AI29" s="21" t="str" cm="1">
        <f t="array" ca="1" aca="1" ref="AI29">IF(AND(IFERROR(FIND(","&amp;Countermeasures!$A$30&amp;",",$AH29)&gt;0,FALSE),Countermeasures!$AF$30=TRUE,SimpleLookup(Questions!$A$48,Questionnaire!$A:$C)=Definitions!$A$5),$A29&amp;" "&amp;$B29,"")</f>
        <v/>
      </c>
      <c r="AJ29" s="21" cm="1">
        <f t="array" ca="1" aca="1" ref="AJ29">CreateID($AJ$2,$AJ:$AJ,$AI29&lt;&gt;"")</f>
        <v>0</v>
      </c>
      <c r="AK29" s="21" t="str">
        <f t="shared" ca="1" si="2"/>
        <v/>
      </c>
      <c r="AL29" s="21" cm="1">
        <f t="array" ca="1" aca="1" ref="AL29">CreateID($AL$2,$AL:$AL,$AK29&lt;&gt;"")</f>
        <v>0</v>
      </c>
      <c r="AM29" s="21" t="str">
        <f t="shared" si="3"/>
        <v/>
      </c>
      <c r="AN29" s="21" cm="1">
        <f t="array" ref="AN29">CreateID($AN$2,$AN:$AN,$AM29&lt;&gt;"")</f>
        <v>0</v>
      </c>
    </row>
    <row r="30" spans="1:40" ht="30">
      <c r="A30" s="33" t="str" cm="1">
        <f t="array" ref="A30">IF($R30=0,"",INDEX('Attack Steps'!A:A,$R30))</f>
        <v>AS28</v>
      </c>
      <c r="B30" s="16" t="str" cm="1">
        <f t="array" ref="B30">IF($R30=0,"",INDEX('Attack Steps'!B:B,$R30))</f>
        <v>Getting access to a trusted entity</v>
      </c>
      <c r="C30" s="13">
        <f>3</f>
        <v>3</v>
      </c>
      <c r="D30" s="34" t="str" cm="1">
        <f t="array" ca="1" aca="1" ref="D30">_xlfn.LET(_xlpm._displayLimit,$C30,_xlpm._risks,$S30,_xlpm._delimiter,CHAR(10)&amp;REPT(_xlfn.UNICHAR(9552),50)&amp;CHAR(10),_xlpm._attackPaths,RemoveDelimiter(GetValues(RIGHT(_xlpm._risks,LEN(_xlpm._risks)-FIND(":",_xlpm._risks)),Risks!$A:$B,"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30" s="33" t="str" cm="1">
        <f t="array" ca="1" aca="1" ref="E30">_xlfn.LET(_xlpm._riskValue,CalculateMaxFromList($T30,0,Risks!$A:$AJ),INDEX(Definitions!$AE:$AE,MATCH(_xlpm._riskValue,Definitions!$AF:$AF,0)))</f>
        <v>No Risk</v>
      </c>
      <c r="F30" s="33" t="str" cm="1">
        <f t="array" ca="1" aca="1" ref="F30">IF($A30="","",SUBSTITUTE(RemoveDelimiter(SanitizeInput(SimpleLookup($A30,'Attack Steps'!$A:$AE)),","),",",", "))</f>
        <v/>
      </c>
      <c r="G30" s="33" t="str" cm="1">
        <f t="array" ca="1" aca="1" ref="G30">IF($A30="","",SUBSTITUTE(RemoveDelimiter(SanitizeInput(SimpleLookup($A30,'Attack Steps'!$A:$AF)),","),",",", "))</f>
        <v/>
      </c>
      <c r="H30" s="80" t="str" cm="1">
        <f t="array" ca="1" aca="1" ref="H30">IF($A30="","",_xlfn.LET(_xlpm._proposedActive,SanitizeInput($G30),_xlpm._proposedAll,SimpleLookup($A30,'Attack Steps'!$A:$AG),_xlpm._proposedDiff,FilterElementsFromList(_xlpm._proposedAll,_xlpm._proposedActive,FALSE,","),SUBSTITUTE(RemoveDelimiter(SanitizeInput(_xlpm._proposedDiff),","),",",", ")))</f>
        <v>A13</v>
      </c>
      <c r="I30" s="33" t="str" cm="1">
        <f t="array" ca="1" aca="1" ref="I30">RemoveDelimiter(GetValuesWithFallback(SanitizeInput($F30)&amp;SanitizeInput($G30)&amp;SanitizeInput($H30),Countermeasures!$A:$B,Assumptions!$A:$B," ",","&amp;CHAR(10),TRUE),","&amp;CHAR(10))</f>
        <v>A13 SDR 1.11 – Trustworthy communication partner</v>
      </c>
      <c r="J30" s="13"/>
      <c r="K30" s="33" t="str" cm="1">
        <f t="array" ref="K30">RemoveDelimiter(GetValuesWithFallback(SanitizeInput($J30),Countermeasures!$A:$B,Assumptions!$A:$B," ",","&amp;CHAR(10),TRUE),","&amp;CHAR(10))</f>
        <v/>
      </c>
      <c r="L30" s="23">
        <f>3</f>
        <v>3</v>
      </c>
      <c r="M30" s="34" t="str" cm="1">
        <f t="array" ca="1" aca="1" ref="M30">_xlfn.LET(_xlpm._displayLimit,$L30,_xlpm._risks,$V30,_xlpm._delimiter,CHAR(10)&amp;REPT(_xlfn.UNICHAR(9552),50)&amp;CHAR(10),_xlpm._attackPaths,RemoveDelimiter(GetValues(RIGHT(_xlpm._risks,LEN(_xlpm._risks)-FIND(":",_xlpm._risks)),Risks!$A:$B,"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30" s="33" t="str">
        <f ca="1">INDEX(Definitions!$AE:$AE,MATCH($W30,Definitions!$AF:$AF,0))</f>
        <v>No Risk</v>
      </c>
      <c r="O30" s="13"/>
      <c r="P30" s="10" cm="1">
        <f t="array" ref="P30">GenerateShadowID(ROW(),$P$2,$P:$P,0,$A30&lt;&gt;"")</f>
        <v>28</v>
      </c>
      <c r="Q30" s="21" cm="1">
        <f t="array" ref="Q30">CreateTaskID($Q$2,$Q:$Q,Tasks!$B$17,$O30)</f>
        <v>0</v>
      </c>
      <c r="R30" s="21">
        <f>IFERROR(MATCH(ROW()-ROW($R$2),'Attack Steps'!$Q:$Q,0),0)</f>
        <v>30</v>
      </c>
      <c r="S30" s="21" t="str" cm="1">
        <f t="array" ca="1" aca="1" ref="S30">CalculateMaxAndElements($T30,0,"",Risks!$A:$AJ)</f>
        <v>0:</v>
      </c>
      <c r="T30" s="21" t="str" cm="1">
        <f t="array" ca="1" aca="1" ref="T30">InverseLookup($A30,Risks!$AI$2,Risks!$A$2,1,Helper!$B$1,",")</f>
        <v/>
      </c>
      <c r="U30" s="21" t="str">
        <f t="shared" ca="1" si="6"/>
        <v/>
      </c>
      <c r="V30" s="21" t="str" cm="1">
        <f t="array" ca="1" aca="1" ref="V30">CalculateMaxAndElements($T30,0,"",Risks!$A:$BK)</f>
        <v>0:</v>
      </c>
      <c r="W30" s="21">
        <f t="shared" ca="1" si="7"/>
        <v>0</v>
      </c>
      <c r="X30" s="21" t="str" cm="1">
        <f t="array" ref="X30">IF($J30="","",","&amp;SanitizeInput($J30))</f>
        <v/>
      </c>
      <c r="Y30" s="21" t="b" cm="1">
        <f t="array" ca="1" aca="1" ref="Y30">INDEX('Attack Steps'!$AI:$AI,$R30)</f>
        <v>0</v>
      </c>
      <c r="Z30" s="21" cm="1">
        <f t="array" ref="Z30">CreateID($Z$2,$Z:$Z,IFERROR(FIND(Definitions!$AR$4,$O30)&gt;0,FALSE))</f>
        <v>0</v>
      </c>
      <c r="AA30" s="21">
        <f>_xlfn.LET(_xlpm._comment,$O30,_xlpm._keyWord,Definitions!$AR$4,_xlpm._diffLen,LEN(_xlpm._comment)-LEN(SUBSTITUTE(_xlpm._comment,_xlpm._keyWord,"")),_xlpm._diffLen/LEN(_xlpm._keyWord))</f>
        <v>0</v>
      </c>
      <c r="AB30" s="21" cm="1">
        <f t="array" ref="AB30">CreateID($AB$2,$AB:$AB,IFERROR(FIND(Definitions!$AR$5,$O30)&gt;0,FALSE))</f>
        <v>0</v>
      </c>
      <c r="AC30" s="21">
        <f>_xlfn.LET(_xlpm._comment,$O30,_xlpm._keyWord,Definitions!$AR$5,_xlpm._diffLen,LEN(_xlpm._comment)-LEN(SUBSTITUTE(_xlpm._comment,_xlpm._keyWord,"")),_xlpm._diffLen/LEN(_xlpm._keyWord))</f>
        <v>0</v>
      </c>
      <c r="AD30" s="21" t="str" cm="1">
        <f t="array" ref="AD30">CreateSearchString($J30)</f>
        <v/>
      </c>
      <c r="AE30" s="21" t="str" cm="1">
        <f t="array" ca="1" aca="1" ref="AE30">_xlfn.LET(_xlpm._selected,SanitizeInput($J30),_xlpm._catalogOptions,SanitizeInput($F30)&amp;SanitizeInput($G30)&amp;SanitizeInput($H30),_xlpm._selectedNotInOptions,FilterElementsFromList(_xlpm._selected,_xlpm._catalogOptions,FALSE,","),IF(_xlpm._selectedNotInOptions="","",$A30&amp;" "&amp;$B30&amp;": "&amp;SUBSTITUTE(RemoveDelimiter(_xlpm._selectedNotInOptions,","),",",", ")))</f>
        <v/>
      </c>
      <c r="AF30" s="21" cm="1">
        <f t="array" ca="1" aca="1" ref="AF30">CreateID($AF$2,$AF:$AF,$AE30&lt;&gt;"")</f>
        <v>0</v>
      </c>
      <c r="AG30" s="21" t="str" cm="1">
        <f t="array" ref="AG30">_xlfn.LET(_xlpm._delimiter,","&amp;CHAR(10),_xlpm._assumptions,ParseAllMitigationsFromComment($A30,"-","A",$O30,Definitions!$AR$4,Definitions!$AS$4,Definitions!$AR$6,_xlpm._delimiter,1),_xlpm._countermeasures,ParseAllMitigationsFromComment($A30,"-","C",$O30,Definitions!$AR$5,Definitions!$AS$5,Definitions!$AR$6,_xlpm._delimiter,1),IF(_xlpm._countermeasures="",RemoveDelimiter(_xlpm._assumptions,_xlpm._delimiter),_xlpm._assumptions&amp;RemoveDelimiter(_xlpm._countermeasures,_xlpm._delimiter)))</f>
        <v/>
      </c>
      <c r="AH30" s="21" t="str" cm="1">
        <f t="array" ref="AH30">CreateSearchString(SanitizeInput($J30)&amp;GetValuesIgnoreErrors(SanitizeInput($J30),Countermeasures!$A:$G,"",",",FALSE))</f>
        <v/>
      </c>
      <c r="AI30" s="21" t="str" cm="1">
        <f t="array" ca="1" aca="1" ref="AI30">IF(AND(IFERROR(FIND(","&amp;Countermeasures!$A$30&amp;",",$AH30)&gt;0,FALSE),Countermeasures!$AF$30=TRUE,SimpleLookup(Questions!$A$48,Questionnaire!$A:$C)=Definitions!$A$5),$A30&amp;" "&amp;$B30,"")</f>
        <v/>
      </c>
      <c r="AJ30" s="21" cm="1">
        <f t="array" ca="1" aca="1" ref="AJ30">CreateID($AJ$2,$AJ:$AJ,$AI30&lt;&gt;"")</f>
        <v>0</v>
      </c>
      <c r="AK30" s="21" t="str">
        <f t="shared" ca="1" si="2"/>
        <v/>
      </c>
      <c r="AL30" s="21" cm="1">
        <f t="array" ca="1" aca="1" ref="AL30">CreateID($AL$2,$AL:$AL,$AK30&lt;&gt;"")</f>
        <v>0</v>
      </c>
      <c r="AM30" s="21" t="str">
        <f t="shared" si="3"/>
        <v/>
      </c>
      <c r="AN30" s="21" cm="1">
        <f t="array" ref="AN30">CreateID($AN$2,$AN:$AN,$AM30&lt;&gt;"")</f>
        <v>0</v>
      </c>
    </row>
    <row r="31" spans="1:40" ht="135.75">
      <c r="A31" s="33" t="str" cm="1">
        <f t="array" ref="A31">IF($R31=0,"",INDEX('Attack Steps'!A:A,$R31))</f>
        <v>AS29</v>
      </c>
      <c r="B31" s="16" t="str" cm="1">
        <f t="array" ref="B31">IF($R31=0,"",INDEX('Attack Steps'!B:B,$R31))</f>
        <v>Brute-forcing the authentication mechanism over IP</v>
      </c>
      <c r="C31" s="13">
        <f>3</f>
        <v>3</v>
      </c>
      <c r="D31" s="34" t="str" cm="1">
        <f t="array" ca="1" aca="1" ref="D31">_xlfn.LET(_xlpm._displayLimit,$C31,_xlpm._risks,$S31,_xlpm._delimiter,CHAR(10)&amp;REPT(_xlfn.UNICHAR(9552),50)&amp;CHAR(10),_xlpm._attackPaths,RemoveDelimiter(GetValues(RIGHT(_xlpm._risks,LEN(_xlpm._risks)-FIND(":",_xlpm._risks)),Risks!$A:$B,"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R1-29 AS29 Brute-forcing the authentication mechanism over IP
–––––––––––––––––––––––––––––––––––––––––––––––––––––––
AS1 Getting access to a trusted operational environment
══════════════════════════════════════════════════
R2-29 AS29 Brute-forcing the authentication mechanism over IP
–––––––––––––––––––––––––––––––––––––––––––––––––––––––
AS2 Getting access to a wireless network
══════════════════════════════════════════════════
R1-29-32 AS32 Extracting or misusing acontis techonlogies GmbH IP
–––––––––––––––––––––––––––––––––––––––––––––––––––––––
AS1 Getting access to a trusted operational environment,
AS29 Brute-forcing the authentication mechanism over IP</v>
      </c>
      <c r="E31" s="33" t="str" cm="1">
        <f t="array" ca="1" aca="1" ref="E31">_xlfn.LET(_xlpm._riskValue,CalculateMaxFromList($T31,0,Risks!$A:$AJ),INDEX(Definitions!$AE:$AE,MATCH(_xlpm._riskValue,Definitions!$AF:$AF,0)))</f>
        <v>Very High</v>
      </c>
      <c r="F31" s="33" t="str" cm="1">
        <f t="array" ca="1" aca="1" ref="F31">IF($A31="","",SUBSTITUTE(RemoveDelimiter(SanitizeInput(SimpleLookup($A31,'Attack Steps'!$A:$AE)),","),",",", "))</f>
        <v>C32</v>
      </c>
      <c r="G31" s="33" t="str" cm="1">
        <f t="array" ca="1" aca="1" ref="G31">IF($A31="","",SUBSTITUTE(RemoveDelimiter(SanitizeInput(SimpleLookup($A31,'Attack Steps'!$A:$AF)),","),",",", "))</f>
        <v/>
      </c>
      <c r="H31" s="80" t="str" cm="1">
        <f t="array" ca="1" aca="1" ref="H31">IF($A31="","",_xlfn.LET(_xlpm._proposedActive,SanitizeInput($G31),_xlpm._proposedAll,SimpleLookup($A31,'Attack Steps'!$A:$AG),_xlpm._proposedDiff,FilterElementsFromList(_xlpm._proposedAll,_xlpm._proposedActive,FALSE,","),SUBSTITUTE(RemoveDelimiter(SanitizeInput(_xlpm._proposedDiff),","),",",", ")))</f>
        <v>A22</v>
      </c>
      <c r="I31" s="33" t="str" cm="1">
        <f t="array" ca="1" aca="1" ref="I31">RemoveDelimiter(GetValuesWithFallback(SanitizeInput($F31)&amp;SanitizeInput($G31)&amp;SanitizeInput($H31),Countermeasures!$A:$B,Assumptions!$A:$B," ",","&amp;CHAR(10),TRUE),","&amp;CHAR(10))</f>
        <v>C32 CR 1.11 - Unsuccessful login attempts,
A22 SDR 2.8 - No authentication over the IP stack possible</v>
      </c>
      <c r="J31" s="13"/>
      <c r="K31" s="33" t="str" cm="1">
        <f t="array" ref="K31">RemoveDelimiter(GetValuesWithFallback(SanitizeInput($J31),Countermeasures!$A:$B,Assumptions!$A:$B," ",","&amp;CHAR(10),TRUE),","&amp;CHAR(10))</f>
        <v/>
      </c>
      <c r="L31" s="23">
        <f>3</f>
        <v>3</v>
      </c>
      <c r="M31" s="34" t="str" cm="1">
        <f t="array" ca="1" aca="1" ref="M31">_xlfn.LET(_xlpm._displayLimit,$L31,_xlpm._risks,$V31,_xlpm._delimiter,CHAR(10)&amp;REPT(_xlfn.UNICHAR(9552),50)&amp;CHAR(10),_xlpm._attackPaths,RemoveDelimiter(GetValues(RIGHT(_xlpm._risks,LEN(_xlpm._risks)-FIND(":",_xlpm._risks)),Risks!$A:$B,"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R1-29 AS29 Brute-forcing the authentication mechanism over IP
–––––––––––––––––––––––––––––––––––––––––––––––––––––––
AS1 Getting access to a trusted operational environment
══════════════════════════════════════════════════
R2-29 AS29 Brute-forcing the authentication mechanism over IP
–––––––––––––––––––––––––––––––––––––––––––––––––––––––
AS2 Getting access to a wireless network
══════════════════════════════════════════════════
R1-29-32 AS32 Extracting or misusing acontis techonlogies GmbH IP
–––––––––––––––––––––––––––––––––––––––––––––––––––––––
AS1 Getting access to a trusted operational environment,
AS29 Brute-forcing the authentication mechanism over IP</v>
      </c>
      <c r="N31" s="33" t="str">
        <f ca="1">INDEX(Definitions!$AE:$AE,MATCH($W31,Definitions!$AF:$AF,0))</f>
        <v>Very High</v>
      </c>
      <c r="O31" s="13"/>
      <c r="P31" s="10" cm="1">
        <f t="array" ref="P31">GenerateShadowID(ROW(),$P$2,$P:$P,0,$A31&lt;&gt;"")</f>
        <v>29</v>
      </c>
      <c r="Q31" s="21" cm="1">
        <f t="array" ref="Q31">CreateTaskID($Q$2,$Q:$Q,Tasks!$B$17,$O31)</f>
        <v>0</v>
      </c>
      <c r="R31" s="21">
        <f>IFERROR(MATCH(ROW()-ROW($R$2),'Attack Steps'!$Q:$Q,0),0)</f>
        <v>31</v>
      </c>
      <c r="S31" s="21" t="str" cm="1">
        <f t="array" ca="1" aca="1" ref="S31">CalculateMaxAndElements($T31,0,"",Risks!$A:$AJ)</f>
        <v>4:R1-29,R2-29,R1-29-32,R2-29-32,</v>
      </c>
      <c r="T31" s="21" t="str" cm="1">
        <f t="array" ca="1" aca="1" ref="T31">InverseLookup($A31,Risks!$AI$2,Risks!$A$2,1,Helper!$B$1,",")</f>
        <v>R1-29,R2-29,R1-29-32,R2-29-32,</v>
      </c>
      <c r="U31" s="21" t="str">
        <f ca="1" t="shared" si="8" ref="U31:U36">IF($T31="","",","&amp;$T31)</f>
        <v>,R1-29,R2-29,R1-29-32,R2-29-32,</v>
      </c>
      <c r="V31" s="21" t="str" cm="1">
        <f t="array" ca="1" aca="1" ref="V31">CalculateMaxAndElements($T31,0,"",Risks!$A:$BK)</f>
        <v>4:R1-29,R2-29,R1-29-32,R2-29-32,</v>
      </c>
      <c r="W31" s="21">
        <f ca="1" t="shared" si="9" ref="W31:W36">IF($V31="","",VALUE(LEFT($V31,FIND(":",$V31)-1)))</f>
        <v>4</v>
      </c>
      <c r="X31" s="21" t="str" cm="1">
        <f t="array" ref="X31">IF($J31="","",","&amp;SanitizeInput($J31))</f>
        <v/>
      </c>
      <c r="Y31" s="21" t="b" cm="1">
        <f t="array" ca="1" aca="1" ref="Y31">INDEX('Attack Steps'!$AI:$AI,$R31)</f>
        <v>1</v>
      </c>
      <c r="Z31" s="21" cm="1">
        <f t="array" ref="Z31">CreateID($Z$2,$Z:$Z,IFERROR(FIND(Definitions!$AR$4,$O31)&gt;0,FALSE))</f>
        <v>0</v>
      </c>
      <c r="AA31" s="21">
        <f>_xlfn.LET(_xlpm._comment,$O31,_xlpm._keyWord,Definitions!$AR$4,_xlpm._diffLen,LEN(_xlpm._comment)-LEN(SUBSTITUTE(_xlpm._comment,_xlpm._keyWord,"")),_xlpm._diffLen/LEN(_xlpm._keyWord))</f>
        <v>0</v>
      </c>
      <c r="AB31" s="21" cm="1">
        <f t="array" ref="AB31">CreateID($AB$2,$AB:$AB,IFERROR(FIND(Definitions!$AR$5,$O31)&gt;0,FALSE))</f>
        <v>0</v>
      </c>
      <c r="AC31" s="21">
        <f>_xlfn.LET(_xlpm._comment,$O31,_xlpm._keyWord,Definitions!$AR$5,_xlpm._diffLen,LEN(_xlpm._comment)-LEN(SUBSTITUTE(_xlpm._comment,_xlpm._keyWord,"")),_xlpm._diffLen/LEN(_xlpm._keyWord))</f>
        <v>0</v>
      </c>
      <c r="AD31" s="21" t="str" cm="1">
        <f t="array" ref="AD31">CreateSearchString($J31)</f>
        <v/>
      </c>
      <c r="AE31" s="21" t="str" cm="1">
        <f t="array" ca="1" aca="1" ref="AE31">_xlfn.LET(_xlpm._selected,SanitizeInput($J31),_xlpm._catalogOptions,SanitizeInput($F31)&amp;SanitizeInput($G31)&amp;SanitizeInput($H31),_xlpm._selectedNotInOptions,FilterElementsFromList(_xlpm._selected,_xlpm._catalogOptions,FALSE,","),IF(_xlpm._selectedNotInOptions="","",$A31&amp;" "&amp;$B31&amp;": "&amp;SUBSTITUTE(RemoveDelimiter(_xlpm._selectedNotInOptions,","),",",", ")))</f>
        <v/>
      </c>
      <c r="AF31" s="21" cm="1">
        <f t="array" ca="1" aca="1" ref="AF31">CreateID($AF$2,$AF:$AF,$AE31&lt;&gt;"")</f>
        <v>0</v>
      </c>
      <c r="AG31" s="21" t="str" cm="1">
        <f t="array" ref="AG31">_xlfn.LET(_xlpm._delimiter,","&amp;CHAR(10),_xlpm._assumptions,ParseAllMitigationsFromComment($A31,"-","A",$O31,Definitions!$AR$4,Definitions!$AS$4,Definitions!$AR$6,_xlpm._delimiter,1),_xlpm._countermeasures,ParseAllMitigationsFromComment($A31,"-","C",$O31,Definitions!$AR$5,Definitions!$AS$5,Definitions!$AR$6,_xlpm._delimiter,1),IF(_xlpm._countermeasures="",RemoveDelimiter(_xlpm._assumptions,_xlpm._delimiter),_xlpm._assumptions&amp;RemoveDelimiter(_xlpm._countermeasures,_xlpm._delimiter)))</f>
        <v/>
      </c>
      <c r="AH31" s="21" t="str" cm="1">
        <f t="array" ref="AH31">CreateSearchString(SanitizeInput($J31)&amp;GetValuesIgnoreErrors(SanitizeInput($J31),Countermeasures!$A:$G,"",",",FALSE))</f>
        <v/>
      </c>
      <c r="AI31" s="21" t="str" cm="1">
        <f t="array" ca="1" aca="1" ref="AI31">IF(AND(IFERROR(FIND(","&amp;Countermeasures!$A$30&amp;",",$AH31)&gt;0,FALSE),Countermeasures!$AF$30=TRUE,SimpleLookup(Questions!$A$48,Questionnaire!$A:$C)=Definitions!$A$5),$A31&amp;" "&amp;$B31,"")</f>
        <v/>
      </c>
      <c r="AJ31" s="21" cm="1">
        <f t="array" ca="1" aca="1" ref="AJ31">CreateID($AJ$2,$AJ:$AJ,$AI31&lt;&gt;"")</f>
        <v>0</v>
      </c>
      <c r="AK31" s="21" t="str">
        <f t="shared" ca="1" si="2"/>
        <v/>
      </c>
      <c r="AL31" s="21" cm="1">
        <f t="array" ca="1" aca="1" ref="AL31">CreateID($AL$2,$AL:$AL,$AK31&lt;&gt;"")</f>
        <v>0</v>
      </c>
      <c r="AM31" s="21" t="str">
        <f t="shared" si="3"/>
        <v/>
      </c>
      <c r="AN31" s="21" cm="1">
        <f t="array" ref="AN31">CreateID($AN$2,$AN:$AN,$AM31&lt;&gt;"")</f>
        <v>0</v>
      </c>
    </row>
    <row r="32" spans="1:40" ht="60">
      <c r="A32" s="33" t="str" cm="1">
        <f t="array" ref="A32">IF($R32=0,"",INDEX('Attack Steps'!A:A,$R32))</f>
        <v>AS30</v>
      </c>
      <c r="B32" s="16" t="str" cm="1">
        <f t="array" ref="B32">IF($R32=0,"",INDEX('Attack Steps'!B:B,$R32))</f>
        <v>Extracting information from a decommissioned or second-hand device's persistent memory</v>
      </c>
      <c r="C32" s="13">
        <f>3</f>
        <v>3</v>
      </c>
      <c r="D32" s="34" t="str" cm="1">
        <f t="array" ca="1" aca="1" ref="D32">_xlfn.LET(_xlpm._displayLimit,$C32,_xlpm._risks,$S32,_xlpm._delimiter,CHAR(10)&amp;REPT(_xlfn.UNICHAR(9552),50)&amp;CHAR(10),_xlpm._attackPaths,RemoveDelimiter(GetValues(RIGHT(_xlpm._risks,LEN(_xlpm._risks)-FIND(":",_xlpm._risks)),Risks!$A:$B,"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32" s="33" t="str" cm="1">
        <f t="array" ca="1" aca="1" ref="E32">_xlfn.LET(_xlpm._riskValue,CalculateMaxFromList($T32,0,Risks!$A:$AJ),INDEX(Definitions!$AE:$AE,MATCH(_xlpm._riskValue,Definitions!$AF:$AF,0)))</f>
        <v>No Risk</v>
      </c>
      <c r="F32" s="33" t="str" cm="1">
        <f t="array" ca="1" aca="1" ref="F32">IF($A32="","",SUBSTITUTE(RemoveDelimiter(SanitizeInput(SimpleLookup($A32,'Attack Steps'!$A:$AE)),","),",",", "))</f>
        <v>C17, CM4</v>
      </c>
      <c r="G32" s="33" t="str" cm="1">
        <f t="array" ca="1" aca="1" ref="G32">IF($A32="","",SUBSTITUTE(RemoveDelimiter(SanitizeInput(SimpleLookup($A32,'Attack Steps'!$A:$AF)),","),",",", "))</f>
        <v/>
      </c>
      <c r="H32" s="80" t="str" cm="1">
        <f t="array" ca="1" aca="1" ref="H32">IF($A32="","",_xlfn.LET(_xlpm._proposedActive,SanitizeInput($G32),_xlpm._proposedAll,SimpleLookup($A32,'Attack Steps'!$A:$AG),_xlpm._proposedDiff,FilterElementsFromList(_xlpm._proposedAll,_xlpm._proposedActive,FALSE,","),SUBSTITUTE(RemoveDelimiter(SanitizeInput(_xlpm._proposedDiff),","),",",", ")))</f>
        <v/>
      </c>
      <c r="I32" s="33" t="str" cm="1">
        <f t="array" ca="1" aca="1" ref="I32">RemoveDelimiter(GetValuesWithFallback(SanitizeInput($F32)&amp;SanitizeInput($G32)&amp;SanitizeInput($H32),Countermeasures!$A:$B,Assumptions!$A:$B," ",","&amp;CHAR(10),TRUE),","&amp;CHAR(10))</f>
        <v>C17 CR 4.2 – Information persistence,
CM4 SCR 2.2 - Hardware based Storage Encryption</v>
      </c>
      <c r="J32" s="13"/>
      <c r="K32" s="33" t="str" cm="1">
        <f t="array" ref="K32">RemoveDelimiter(GetValuesWithFallback(SanitizeInput($J32),Countermeasures!$A:$B,Assumptions!$A:$B," ",","&amp;CHAR(10),TRUE),","&amp;CHAR(10))</f>
        <v/>
      </c>
      <c r="L32" s="23">
        <f>3</f>
        <v>3</v>
      </c>
      <c r="M32" s="34" t="str" cm="1">
        <f t="array" ca="1" aca="1" ref="M32">_xlfn.LET(_xlpm._displayLimit,$L32,_xlpm._risks,$V32,_xlpm._delimiter,CHAR(10)&amp;REPT(_xlfn.UNICHAR(9552),50)&amp;CHAR(10),_xlpm._attackPaths,RemoveDelimiter(GetValues(RIGHT(_xlpm._risks,LEN(_xlpm._risks)-FIND(":",_xlpm._risks)),Risks!$A:$B,"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32" s="33" t="str">
        <f ca="1">INDEX(Definitions!$AE:$AE,MATCH($W32,Definitions!$AF:$AF,0))</f>
        <v>No Risk</v>
      </c>
      <c r="O32" s="13"/>
      <c r="P32" s="10" cm="1">
        <f t="array" ref="P32">GenerateShadowID(ROW(),$P$2,$P:$P,0,$A32&lt;&gt;"")</f>
        <v>30</v>
      </c>
      <c r="Q32" s="21" cm="1">
        <f t="array" ref="Q32">CreateTaskID($Q$2,$Q:$Q,Tasks!$B$17,$O32)</f>
        <v>0</v>
      </c>
      <c r="R32" s="21">
        <f>IFERROR(MATCH(ROW()-ROW($R$2),'Attack Steps'!$Q:$Q,0),0)</f>
        <v>32</v>
      </c>
      <c r="S32" s="21" t="str" cm="1">
        <f t="array" ca="1" aca="1" ref="S32">CalculateMaxAndElements($T32,0,"",Risks!$A:$AJ)</f>
        <v>0:</v>
      </c>
      <c r="T32" s="21" t="str" cm="1">
        <f t="array" ca="1" aca="1" ref="T32">InverseLookup($A32,Risks!$AI$2,Risks!$A$2,1,Helper!$B$1,",")</f>
        <v/>
      </c>
      <c r="U32" s="21" t="str">
        <f t="shared" ca="1" si="8"/>
        <v/>
      </c>
      <c r="V32" s="21" t="str" cm="1">
        <f t="array" ca="1" aca="1" ref="V32">CalculateMaxAndElements($T32,0,"",Risks!$A:$BK)</f>
        <v>0:</v>
      </c>
      <c r="W32" s="21">
        <f t="shared" ca="1" si="9"/>
        <v>0</v>
      </c>
      <c r="X32" s="21" t="str" cm="1">
        <f t="array" ref="X32">IF($J32="","",","&amp;SanitizeInput($J32))</f>
        <v/>
      </c>
      <c r="Y32" s="21" t="b" cm="1">
        <f t="array" ca="1" aca="1" ref="Y32">INDEX('Attack Steps'!$AI:$AI,$R32)</f>
        <v>0</v>
      </c>
      <c r="Z32" s="21" cm="1">
        <f t="array" ref="Z32">CreateID($Z$2,$Z:$Z,IFERROR(FIND(Definitions!$AR$4,$O32)&gt;0,FALSE))</f>
        <v>0</v>
      </c>
      <c r="AA32" s="21">
        <f>_xlfn.LET(_xlpm._comment,$O32,_xlpm._keyWord,Definitions!$AR$4,_xlpm._diffLen,LEN(_xlpm._comment)-LEN(SUBSTITUTE(_xlpm._comment,_xlpm._keyWord,"")),_xlpm._diffLen/LEN(_xlpm._keyWord))</f>
        <v>0</v>
      </c>
      <c r="AB32" s="21" cm="1">
        <f t="array" ref="AB32">CreateID($AB$2,$AB:$AB,IFERROR(FIND(Definitions!$AR$5,$O32)&gt;0,FALSE))</f>
        <v>0</v>
      </c>
      <c r="AC32" s="21">
        <f>_xlfn.LET(_xlpm._comment,$O32,_xlpm._keyWord,Definitions!$AR$5,_xlpm._diffLen,LEN(_xlpm._comment)-LEN(SUBSTITUTE(_xlpm._comment,_xlpm._keyWord,"")),_xlpm._diffLen/LEN(_xlpm._keyWord))</f>
        <v>0</v>
      </c>
      <c r="AD32" s="21" t="str" cm="1">
        <f t="array" ref="AD32">CreateSearchString($J32)</f>
        <v/>
      </c>
      <c r="AE32" s="21" t="str" cm="1">
        <f t="array" ca="1" aca="1" ref="AE32">_xlfn.LET(_xlpm._selected,SanitizeInput($J32),_xlpm._catalogOptions,SanitizeInput($F32)&amp;SanitizeInput($G32)&amp;SanitizeInput($H32),_xlpm._selectedNotInOptions,FilterElementsFromList(_xlpm._selected,_xlpm._catalogOptions,FALSE,","),IF(_xlpm._selectedNotInOptions="","",$A32&amp;" "&amp;$B32&amp;": "&amp;SUBSTITUTE(RemoveDelimiter(_xlpm._selectedNotInOptions,","),",",", ")))</f>
        <v/>
      </c>
      <c r="AF32" s="21" cm="1">
        <f t="array" ca="1" aca="1" ref="AF32">CreateID($AF$2,$AF:$AF,$AE32&lt;&gt;"")</f>
        <v>0</v>
      </c>
      <c r="AG32" s="21" t="str" cm="1">
        <f t="array" ref="AG32">_xlfn.LET(_xlpm._delimiter,","&amp;CHAR(10),_xlpm._assumptions,ParseAllMitigationsFromComment($A32,"-","A",$O32,Definitions!$AR$4,Definitions!$AS$4,Definitions!$AR$6,_xlpm._delimiter,1),_xlpm._countermeasures,ParseAllMitigationsFromComment($A32,"-","C",$O32,Definitions!$AR$5,Definitions!$AS$5,Definitions!$AR$6,_xlpm._delimiter,1),IF(_xlpm._countermeasures="",RemoveDelimiter(_xlpm._assumptions,_xlpm._delimiter),_xlpm._assumptions&amp;RemoveDelimiter(_xlpm._countermeasures,_xlpm._delimiter)))</f>
        <v/>
      </c>
      <c r="AH32" s="21" t="str" cm="1">
        <f t="array" ref="AH32">CreateSearchString(SanitizeInput($J32)&amp;GetValuesIgnoreErrors(SanitizeInput($J32),Countermeasures!$A:$G,"",",",FALSE))</f>
        <v/>
      </c>
      <c r="AI32" s="21" t="str" cm="1">
        <f t="array" ca="1" aca="1" ref="AI32">IF(AND(IFERROR(FIND(","&amp;Countermeasures!$A$30&amp;",",$AH32)&gt;0,FALSE),Countermeasures!$AF$30=TRUE,SimpleLookup(Questions!$A$48,Questionnaire!$A:$C)=Definitions!$A$5),$A32&amp;" "&amp;$B32,"")</f>
        <v/>
      </c>
      <c r="AJ32" s="21" cm="1">
        <f t="array" ca="1" aca="1" ref="AJ32">CreateID($AJ$2,$AJ:$AJ,$AI32&lt;&gt;"")</f>
        <v>0</v>
      </c>
      <c r="AK32" s="21" t="str">
        <f t="shared" ca="1" si="2"/>
        <v/>
      </c>
      <c r="AL32" s="21" cm="1">
        <f t="array" ca="1" aca="1" ref="AL32">CreateID($AL$2,$AL:$AL,$AK32&lt;&gt;"")</f>
        <v>0</v>
      </c>
      <c r="AM32" s="21" t="str">
        <f t="shared" si="3"/>
        <v/>
      </c>
      <c r="AN32" s="21" cm="1">
        <f t="array" ref="AN32">CreateID($AN$2,$AN:$AN,$AM32&lt;&gt;"")</f>
        <v>0</v>
      </c>
    </row>
    <row r="33" spans="1:40" ht="60">
      <c r="A33" s="33" t="str" cm="1">
        <f t="array" ref="A33">IF($R33=0,"",INDEX('Attack Steps'!A:A,$R33))</f>
        <v>AS31</v>
      </c>
      <c r="B33" s="16" t="str" cm="1">
        <f t="array" ref="B33">IF($R33=0,"",INDEX('Attack Steps'!B:B,$R33))</f>
        <v>Attacking a customer network from another customer network via the product's internal gateway</v>
      </c>
      <c r="C33" s="13">
        <f>3</f>
        <v>3</v>
      </c>
      <c r="D33" s="34" t="str" cm="1">
        <f t="array" ca="1" aca="1" ref="D33">_xlfn.LET(_xlpm._displayLimit,$C33,_xlpm._risks,$S33,_xlpm._delimiter,CHAR(10)&amp;REPT(_xlfn.UNICHAR(9552),50)&amp;CHAR(10),_xlpm._attackPaths,RemoveDelimiter(GetValues(RIGHT(_xlpm._risks,LEN(_xlpm._risks)-FIND(":",_xlpm._risks)),Risks!$A:$B,"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R31 AS31 Attacking a customer network from another customer network via the product's internal gateway</v>
      </c>
      <c r="E33" s="33" t="str" cm="1">
        <f t="array" ca="1" aca="1" ref="E33">_xlfn.LET(_xlpm._riskValue,CalculateMaxFromList($T33,0,Risks!$A:$AJ),INDEX(Definitions!$AE:$AE,MATCH(_xlpm._riskValue,Definitions!$AF:$AF,0)))</f>
        <v>Very High</v>
      </c>
      <c r="F33" s="33" t="str" cm="1">
        <f t="array" ca="1" aca="1" ref="F33">IF($A33="","",SUBSTITUTE(RemoveDelimiter(SanitizeInput(SimpleLookup($A33,'Attack Steps'!$A:$AE)),","),",",", "))</f>
        <v>CM1</v>
      </c>
      <c r="G33" s="33" t="str" cm="1">
        <f t="array" ca="1" aca="1" ref="G33">IF($A33="","",SUBSTITUTE(RemoveDelimiter(SanitizeInput(SimpleLookup($A33,'Attack Steps'!$A:$AF)),","),",",", "))</f>
        <v/>
      </c>
      <c r="H33" s="80" t="str" cm="1">
        <f t="array" ca="1" aca="1" ref="H33">IF($A33="","",_xlfn.LET(_xlpm._proposedActive,SanitizeInput($G33),_xlpm._proposedAll,SimpleLookup($A33,'Attack Steps'!$A:$AG),_xlpm._proposedDiff,FilterElementsFromList(_xlpm._proposedAll,_xlpm._proposedActive,FALSE,","),SUBSTITUTE(RemoveDelimiter(SanitizeInput(_xlpm._proposedDiff),","),",",", ")))</f>
        <v/>
      </c>
      <c r="I33" s="33" t="str" cm="1">
        <f t="array" ca="1" aca="1" ref="I33">RemoveDelimiter(GetValuesWithFallback(SanitizeInput($F33)&amp;SanitizeInput($G33)&amp;SanitizeInput($H33),Countermeasures!$A:$B,Assumptions!$A:$B," ",","&amp;CHAR(10),TRUE),","&amp;CHAR(10))</f>
        <v>CM1 SCR 2.1 - Device Firewall</v>
      </c>
      <c r="J33" s="13"/>
      <c r="K33" s="33" t="str" cm="1">
        <f t="array" ref="K33">RemoveDelimiter(GetValuesWithFallback(SanitizeInput($J33),Countermeasures!$A:$B,Assumptions!$A:$B," ",","&amp;CHAR(10),TRUE),","&amp;CHAR(10))</f>
        <v/>
      </c>
      <c r="L33" s="23">
        <f>3</f>
        <v>3</v>
      </c>
      <c r="M33" s="34" t="str" cm="1">
        <f t="array" ca="1" aca="1" ref="M33">_xlfn.LET(_xlpm._displayLimit,$L33,_xlpm._risks,$V33,_xlpm._delimiter,CHAR(10)&amp;REPT(_xlfn.UNICHAR(9552),50)&amp;CHAR(10),_xlpm._attackPaths,RemoveDelimiter(GetValues(RIGHT(_xlpm._risks,LEN(_xlpm._risks)-FIND(":",_xlpm._risks)),Risks!$A:$B,"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R31 AS31 Attacking a customer network from another customer network via the product's internal gateway</v>
      </c>
      <c r="N33" s="33" t="str">
        <f ca="1">INDEX(Definitions!$AE:$AE,MATCH($W33,Definitions!$AF:$AF,0))</f>
        <v>Very High</v>
      </c>
      <c r="O33" s="13"/>
      <c r="P33" s="10" cm="1">
        <f t="array" ref="P33">GenerateShadowID(ROW(),$P$2,$P:$P,0,$A33&lt;&gt;"")</f>
        <v>31</v>
      </c>
      <c r="Q33" s="21" cm="1">
        <f t="array" ref="Q33">CreateTaskID($Q$2,$Q:$Q,Tasks!$B$17,$O33)</f>
        <v>0</v>
      </c>
      <c r="R33" s="21">
        <f>IFERROR(MATCH(ROW()-ROW($R$2),'Attack Steps'!$Q:$Q,0),0)</f>
        <v>33</v>
      </c>
      <c r="S33" s="21" t="str" cm="1">
        <f t="array" ca="1" aca="1" ref="S33">CalculateMaxAndElements($T33,0,"",Risks!$A:$AJ)</f>
        <v>4:R31,</v>
      </c>
      <c r="T33" s="21" t="str" cm="1">
        <f t="array" ca="1" aca="1" ref="T33">InverseLookup($A33,Risks!$AI$2,Risks!$A$2,1,Helper!$B$1,",")</f>
        <v>R31,</v>
      </c>
      <c r="U33" s="21" t="str">
        <f t="shared" ca="1" si="8"/>
        <v>,R31,</v>
      </c>
      <c r="V33" s="21" t="str" cm="1">
        <f t="array" ca="1" aca="1" ref="V33">CalculateMaxAndElements($T33,0,"",Risks!$A:$BK)</f>
        <v>4:R31,</v>
      </c>
      <c r="W33" s="21">
        <f t="shared" ca="1" si="9"/>
        <v>4</v>
      </c>
      <c r="X33" s="21" t="str" cm="1">
        <f t="array" ref="X33">IF($J33="","",","&amp;SanitizeInput($J33))</f>
        <v/>
      </c>
      <c r="Y33" s="21" t="b" cm="1">
        <f t="array" ca="1" aca="1" ref="Y33">INDEX('Attack Steps'!$AI:$AI,$R33)</f>
        <v>1</v>
      </c>
      <c r="Z33" s="21" cm="1">
        <f t="array" ref="Z33">CreateID($Z$2,$Z:$Z,IFERROR(FIND(Definitions!$AR$4,$O33)&gt;0,FALSE))</f>
        <v>0</v>
      </c>
      <c r="AA33" s="21">
        <f>_xlfn.LET(_xlpm._comment,$O33,_xlpm._keyWord,Definitions!$AR$4,_xlpm._diffLen,LEN(_xlpm._comment)-LEN(SUBSTITUTE(_xlpm._comment,_xlpm._keyWord,"")),_xlpm._diffLen/LEN(_xlpm._keyWord))</f>
        <v>0</v>
      </c>
      <c r="AB33" s="21" cm="1">
        <f t="array" ref="AB33">CreateID($AB$2,$AB:$AB,IFERROR(FIND(Definitions!$AR$5,$O33)&gt;0,FALSE))</f>
        <v>0</v>
      </c>
      <c r="AC33" s="21">
        <f>_xlfn.LET(_xlpm._comment,$O33,_xlpm._keyWord,Definitions!$AR$5,_xlpm._diffLen,LEN(_xlpm._comment)-LEN(SUBSTITUTE(_xlpm._comment,_xlpm._keyWord,"")),_xlpm._diffLen/LEN(_xlpm._keyWord))</f>
        <v>0</v>
      </c>
      <c r="AD33" s="21" t="str" cm="1">
        <f t="array" ref="AD33">CreateSearchString($J33)</f>
        <v/>
      </c>
      <c r="AE33" s="21" t="str" cm="1">
        <f t="array" ca="1" aca="1" ref="AE33">_xlfn.LET(_xlpm._selected,SanitizeInput($J33),_xlpm._catalogOptions,SanitizeInput($F33)&amp;SanitizeInput($G33)&amp;SanitizeInput($H33),_xlpm._selectedNotInOptions,FilterElementsFromList(_xlpm._selected,_xlpm._catalogOptions,FALSE,","),IF(_xlpm._selectedNotInOptions="","",$A33&amp;" "&amp;$B33&amp;": "&amp;SUBSTITUTE(RemoveDelimiter(_xlpm._selectedNotInOptions,","),",",", ")))</f>
        <v/>
      </c>
      <c r="AF33" s="21" cm="1">
        <f t="array" ca="1" aca="1" ref="AF33">CreateID($AF$2,$AF:$AF,$AE33&lt;&gt;"")</f>
        <v>0</v>
      </c>
      <c r="AG33" s="21" t="str" cm="1">
        <f t="array" ref="AG33">_xlfn.LET(_xlpm._delimiter,","&amp;CHAR(10),_xlpm._assumptions,ParseAllMitigationsFromComment($A33,"-","A",$O33,Definitions!$AR$4,Definitions!$AS$4,Definitions!$AR$6,_xlpm._delimiter,1),_xlpm._countermeasures,ParseAllMitigationsFromComment($A33,"-","C",$O33,Definitions!$AR$5,Definitions!$AS$5,Definitions!$AR$6,_xlpm._delimiter,1),IF(_xlpm._countermeasures="",RemoveDelimiter(_xlpm._assumptions,_xlpm._delimiter),_xlpm._assumptions&amp;RemoveDelimiter(_xlpm._countermeasures,_xlpm._delimiter)))</f>
        <v/>
      </c>
      <c r="AH33" s="21" t="str" cm="1">
        <f t="array" ref="AH33">CreateSearchString(SanitizeInput($J33)&amp;GetValuesIgnoreErrors(SanitizeInput($J33),Countermeasures!$A:$G,"",",",FALSE))</f>
        <v/>
      </c>
      <c r="AI33" s="21" t="str" cm="1">
        <f t="array" ca="1" aca="1" ref="AI33">IF(AND(IFERROR(FIND(","&amp;Countermeasures!$A$30&amp;",",$AH33)&gt;0,FALSE),Countermeasures!$AF$30=TRUE,SimpleLookup(Questions!$A$48,Questionnaire!$A:$C)=Definitions!$A$5),$A33&amp;" "&amp;$B33,"")</f>
        <v/>
      </c>
      <c r="AJ33" s="21" cm="1">
        <f t="array" ca="1" aca="1" ref="AJ33">CreateID($AJ$2,$AJ:$AJ,$AI33&lt;&gt;"")</f>
        <v>0</v>
      </c>
      <c r="AK33" s="21" t="str">
        <f t="shared" ca="1" si="2"/>
        <v/>
      </c>
      <c r="AL33" s="21" cm="1">
        <f t="array" ca="1" aca="1" ref="AL33">CreateID($AL$2,$AL:$AL,$AK33&lt;&gt;"")</f>
        <v>0</v>
      </c>
      <c r="AM33" s="21" t="str">
        <f t="shared" si="3"/>
        <v/>
      </c>
      <c r="AN33" s="21" cm="1">
        <f t="array" ref="AN33">CreateID($AN$2,$AN:$AN,$AM33&lt;&gt;"")</f>
        <v>0</v>
      </c>
    </row>
    <row r="34" spans="1:40" ht="158.25">
      <c r="A34" s="33" t="str" cm="1">
        <f t="array" ref="A34">IF($R34=0,"",INDEX('Attack Steps'!A:A,$R34))</f>
        <v>AS32</v>
      </c>
      <c r="B34" s="16" t="str" cm="1">
        <f t="array" ref="B34">IF($R34=0,"",INDEX('Attack Steps'!B:B,$R34))</f>
        <v>Extracting or misusing acontis techonlogies GmbH IP</v>
      </c>
      <c r="C34" s="13">
        <f>3</f>
        <v>3</v>
      </c>
      <c r="D34" s="34" t="str" cm="1">
        <f t="array" ca="1" aca="1" ref="D34">_xlfn.LET(_xlpm._displayLimit,$C34,_xlpm._risks,$S34,_xlpm._delimiter,CHAR(10)&amp;REPT(_xlfn.UNICHAR(9552),50)&amp;CHAR(10),_xlpm._attackPaths,RemoveDelimiter(GetValues(RIGHT(_xlpm._risks,LEN(_xlpm._risks)-FIND(":",_xlpm._risks)),Risks!$A:$B,"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R1-3-32 AS32 Extracting or misusing acontis techonlogies GmbH IP
–––––––––––––––––––––––––––––––––––––––––––––––––––––––
AS1 Getting access to a trusted operational environment,
AS3 Compromising the product using a software vulnerability
══════════════════════════════════════════════════
R1-5-32 AS32 Extracting or misusing acontis techonlogies GmbH IP
–––––––––––––––––––––––––––––––––––––––––––––––––––––––
AS1 Getting access to a trusted operational environment,
AS5 Eavesdropping on the product's communication
══════════════════════════════════════════════════
R2-5-32 AS32 Extracting or misusing acontis techonlogies GmbH IP
–––––––––––––––––––––––––––––––––––––––––––––––––––––––
AS2 Getting access to a wireless network,
AS5 Eavesdropping on the product's communication</v>
      </c>
      <c r="E34" s="33" t="str" cm="1">
        <f t="array" ca="1" aca="1" ref="E34">_xlfn.LET(_xlpm._riskValue,CalculateMaxFromList($T34,0,Risks!$A:$AJ),INDEX(Definitions!$AE:$AE,MATCH(_xlpm._riskValue,Definitions!$AF:$AF,0)))</f>
        <v>Very High</v>
      </c>
      <c r="F34" s="33" t="str" cm="1">
        <f t="array" ca="1" aca="1" ref="F34">IF($A34="","",SUBSTITUTE(RemoveDelimiter(SanitizeInput(SimpleLookup($A34,'Attack Steps'!$A:$AE)),","),",",", "))</f>
        <v>CM3, CM18</v>
      </c>
      <c r="G34" s="33" t="str" cm="1">
        <f t="array" ca="1" aca="1" ref="G34">IF($A34="","",SUBSTITUTE(RemoveDelimiter(SanitizeInput(SimpleLookup($A34,'Attack Steps'!$A:$AF)),","),",",", "))</f>
        <v/>
      </c>
      <c r="H34" s="80" t="str" cm="1">
        <f t="array" ca="1" aca="1" ref="H34">IF($A34="","",_xlfn.LET(_xlpm._proposedActive,SanitizeInput($G34),_xlpm._proposedAll,SimpleLookup($A34,'Attack Steps'!$A:$AG),_xlpm._proposedDiff,FilterElementsFromList(_xlpm._proposedAll,_xlpm._proposedActive,FALSE,","),SUBSTITUTE(RemoveDelimiter(SanitizeInput(_xlpm._proposedDiff),","),",",", ")))</f>
        <v/>
      </c>
      <c r="I34" s="33" t="str" cm="1">
        <f t="array" ca="1" aca="1" ref="I34">RemoveDelimiter(GetValuesWithFallback(SanitizeInput($F34)&amp;SanitizeInput($G34)&amp;SanitizeInput($H34),Countermeasures!$A:$B,Assumptions!$A:$B," ",","&amp;CHAR(10),TRUE),","&amp;CHAR(10))</f>
        <v>CM3 SCR 2.8 - Obfuscation,
CM18 SCR 2.15 - Patents</v>
      </c>
      <c r="J34" s="13"/>
      <c r="K34" s="33" t="str" cm="1">
        <f t="array" ref="K34">RemoveDelimiter(GetValuesWithFallback(SanitizeInput($J34),Countermeasures!$A:$B,Assumptions!$A:$B," ",","&amp;CHAR(10),TRUE),","&amp;CHAR(10))</f>
        <v/>
      </c>
      <c r="L34" s="23">
        <f>3</f>
        <v>3</v>
      </c>
      <c r="M34" s="34" t="str" cm="1">
        <f t="array" ca="1" aca="1" ref="M34">_xlfn.LET(_xlpm._displayLimit,$L34,_xlpm._risks,$V34,_xlpm._delimiter,CHAR(10)&amp;REPT(_xlfn.UNICHAR(9552),50)&amp;CHAR(10),_xlpm._attackPaths,RemoveDelimiter(GetValues(RIGHT(_xlpm._risks,LEN(_xlpm._risks)-FIND(":",_xlpm._risks)),Risks!$A:$B,"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R1-3-32 AS32 Extracting or misusing acontis techonlogies GmbH IP
–––––––––––––––––––––––––––––––––––––––––––––––––––––––
AS1 Getting access to a trusted operational environment,
AS3 Compromising the product using a software vulnerability
══════════════════════════════════════════════════
R1-5-32 AS32 Extracting or misusing acontis techonlogies GmbH IP
–––––––––––––––––––––––––––––––––––––––––––––––––––––––
AS1 Getting access to a trusted operational environment,
AS5 Eavesdropping on the product's communication
══════════════════════════════════════════════════
R2-5-32 AS32 Extracting or misusing acontis techonlogies GmbH IP
–––––––––––––––––––––––––––––––––––––––––––––––––––––––
AS2 Getting access to a wireless network,
AS5 Eavesdropping on the product's communication</v>
      </c>
      <c r="N34" s="33" t="str">
        <f ca="1">INDEX(Definitions!$AE:$AE,MATCH($W34,Definitions!$AF:$AF,0))</f>
        <v>Very High</v>
      </c>
      <c r="O34" s="13"/>
      <c r="P34" s="10" cm="1">
        <f t="array" ref="P34">GenerateShadowID(ROW(),$P$2,$P:$P,0,$A34&lt;&gt;"")</f>
        <v>32</v>
      </c>
      <c r="Q34" s="21" cm="1">
        <f t="array" ref="Q34">CreateTaskID($Q$2,$Q:$Q,Tasks!$B$17,$O34)</f>
        <v>0</v>
      </c>
      <c r="R34" s="21">
        <f>IFERROR(MATCH(ROW()-ROW($R$2),'Attack Steps'!$Q:$Q,0),0)</f>
        <v>34</v>
      </c>
      <c r="S34" s="21" t="str" cm="1">
        <f t="array" ca="1" aca="1" ref="S34">CalculateMaxAndElements($T34,0,"",Risks!$A:$AJ)</f>
        <v>4:R1-3-32,R1-5-32,R2-5-32,R1-7-32,R2-7-32,R1-16-32,R2-16-32,R21-23-32,R22-23-32,R21-24-32,R22-24-32,R1-29-32,R2-29-32,</v>
      </c>
      <c r="T34" s="21" t="str" cm="1">
        <f t="array" ca="1" aca="1" ref="T34">InverseLookup($A34,Risks!$AI$2,Risks!$A$2,1,Helper!$B$1,",")</f>
        <v>R1-3-32,R2-3-32,R1-5-32,R2-5-32,R1-7-32,R2-7-32,R1-16-32,R2-16-32,R21-23-32,R22-23-32,R21-24-32,R22-24-32,R1-29-32,R2-29-32,</v>
      </c>
      <c r="U34" s="21" t="str">
        <f t="shared" ca="1" si="8"/>
        <v>,R1-3-32,R2-3-32,R1-5-32,R2-5-32,R1-7-32,R2-7-32,R1-16-32,R2-16-32,R21-23-32,R22-23-32,R21-24-32,R22-24-32,R1-29-32,R2-29-32,</v>
      </c>
      <c r="V34" s="21" t="str" cm="1">
        <f t="array" ca="1" aca="1" ref="V34">CalculateMaxAndElements($T34,0,"",Risks!$A:$BK)</f>
        <v>4:R1-3-32,R1-5-32,R2-5-32,R1-7-32,R2-7-32,R1-16-32,R2-16-32,R21-23-32,R22-23-32,R21-24-32,R22-24-32,R1-29-32,R2-29-32,</v>
      </c>
      <c r="W34" s="21">
        <f t="shared" ca="1" si="9"/>
        <v>4</v>
      </c>
      <c r="X34" s="21" t="str" cm="1">
        <f t="array" ref="X34">IF($J34="","",","&amp;SanitizeInput($J34))</f>
        <v/>
      </c>
      <c r="Y34" s="21" t="b" cm="1">
        <f t="array" ca="1" aca="1" ref="Y34">INDEX('Attack Steps'!$AI:$AI,$R34)</f>
        <v>1</v>
      </c>
      <c r="Z34" s="21" cm="1">
        <f t="array" ref="Z34">CreateID($Z$2,$Z:$Z,IFERROR(FIND(Definitions!$AR$4,$O34)&gt;0,FALSE))</f>
        <v>0</v>
      </c>
      <c r="AA34" s="21">
        <f>_xlfn.LET(_xlpm._comment,$O34,_xlpm._keyWord,Definitions!$AR$4,_xlpm._diffLen,LEN(_xlpm._comment)-LEN(SUBSTITUTE(_xlpm._comment,_xlpm._keyWord,"")),_xlpm._diffLen/LEN(_xlpm._keyWord))</f>
        <v>0</v>
      </c>
      <c r="AB34" s="21" cm="1">
        <f t="array" ref="AB34">CreateID($AB$2,$AB:$AB,IFERROR(FIND(Definitions!$AR$5,$O34)&gt;0,FALSE))</f>
        <v>0</v>
      </c>
      <c r="AC34" s="21">
        <f>_xlfn.LET(_xlpm._comment,$O34,_xlpm._keyWord,Definitions!$AR$5,_xlpm._diffLen,LEN(_xlpm._comment)-LEN(SUBSTITUTE(_xlpm._comment,_xlpm._keyWord,"")),_xlpm._diffLen/LEN(_xlpm._keyWord))</f>
        <v>0</v>
      </c>
      <c r="AD34" s="21" t="str" cm="1">
        <f t="array" ref="AD34">CreateSearchString($J34)</f>
        <v/>
      </c>
      <c r="AE34" s="21" t="str" cm="1">
        <f t="array" ca="1" aca="1" ref="AE34">_xlfn.LET(_xlpm._selected,SanitizeInput($J34),_xlpm._catalogOptions,SanitizeInput($F34)&amp;SanitizeInput($G34)&amp;SanitizeInput($H34),_xlpm._selectedNotInOptions,FilterElementsFromList(_xlpm._selected,_xlpm._catalogOptions,FALSE,","),IF(_xlpm._selectedNotInOptions="","",$A34&amp;" "&amp;$B34&amp;": "&amp;SUBSTITUTE(RemoveDelimiter(_xlpm._selectedNotInOptions,","),",",", ")))</f>
        <v/>
      </c>
      <c r="AF34" s="21" cm="1">
        <f t="array" ca="1" aca="1" ref="AF34">CreateID($AF$2,$AF:$AF,$AE34&lt;&gt;"")</f>
        <v>0</v>
      </c>
      <c r="AG34" s="21" t="str" cm="1">
        <f t="array" ref="AG34">_xlfn.LET(_xlpm._delimiter,","&amp;CHAR(10),_xlpm._assumptions,ParseAllMitigationsFromComment($A34,"-","A",$O34,Definitions!$AR$4,Definitions!$AS$4,Definitions!$AR$6,_xlpm._delimiter,1),_xlpm._countermeasures,ParseAllMitigationsFromComment($A34,"-","C",$O34,Definitions!$AR$5,Definitions!$AS$5,Definitions!$AR$6,_xlpm._delimiter,1),IF(_xlpm._countermeasures="",RemoveDelimiter(_xlpm._assumptions,_xlpm._delimiter),_xlpm._assumptions&amp;RemoveDelimiter(_xlpm._countermeasures,_xlpm._delimiter)))</f>
        <v/>
      </c>
      <c r="AH34" s="21" t="str" cm="1">
        <f t="array" ref="AH34">CreateSearchString(SanitizeInput($J34)&amp;GetValuesIgnoreErrors(SanitizeInput($J34),Countermeasures!$A:$G,"",",",FALSE))</f>
        <v/>
      </c>
      <c r="AI34" s="21" t="str" cm="1">
        <f t="array" ca="1" aca="1" ref="AI34">IF(AND(IFERROR(FIND(","&amp;Countermeasures!$A$30&amp;",",$AH34)&gt;0,FALSE),Countermeasures!$AF$30=TRUE,SimpleLookup(Questions!$A$48,Questionnaire!$A:$C)=Definitions!$A$5),$A34&amp;" "&amp;$B34,"")</f>
        <v/>
      </c>
      <c r="AJ34" s="21" cm="1">
        <f t="array" ca="1" aca="1" ref="AJ34">CreateID($AJ$2,$AJ:$AJ,$AI34&lt;&gt;"")</f>
        <v>0</v>
      </c>
      <c r="AK34" s="21" t="str">
        <f t="shared" ca="1" si="2"/>
        <v/>
      </c>
      <c r="AL34" s="21" cm="1">
        <f t="array" ca="1" aca="1" ref="AL34">CreateID($AL$2,$AL:$AL,$AK34&lt;&gt;"")</f>
        <v>0</v>
      </c>
      <c r="AM34" s="21" t="str">
        <f t="shared" si="3"/>
        <v/>
      </c>
      <c r="AN34" s="21" cm="1">
        <f t="array" ref="AN34">CreateID($AN$2,$AN:$AN,$AM34&lt;&gt;"")</f>
        <v>0</v>
      </c>
    </row>
    <row r="35" spans="1:40" ht="60">
      <c r="A35" s="33" t="str" cm="1">
        <f t="array" ref="A35">IF($R35=0,"",INDEX('Attack Steps'!A:A,$R35))</f>
        <v>AS33</v>
      </c>
      <c r="B35" s="16" t="str" cm="1">
        <f t="array" ref="B35">IF($R35=0,"",INDEX('Attack Steps'!B:B,$R35))</f>
        <v>Disclosure of data by an untrusted entity receiving data from the product</v>
      </c>
      <c r="C35" s="23">
        <f>3</f>
        <v>3</v>
      </c>
      <c r="D35" s="34" t="str" cm="1">
        <f t="array" ca="1" aca="1" ref="D35">_xlfn.LET(_xlpm._displayLimit,$C35,_xlpm._risks,$S35,_xlpm._delimiter,CHAR(10)&amp;REPT(_xlfn.UNICHAR(9552),50)&amp;CHAR(10),_xlpm._attackPaths,RemoveDelimiter(GetValues(RIGHT(_xlpm._risks,LEN(_xlpm._risks)-FIND(":",_xlpm._risks)),Risks!$A:$B,"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35" s="33" t="str" cm="1">
        <f t="array" ca="1" aca="1" ref="E35">_xlfn.LET(_xlpm._riskValue,CalculateMaxFromList($T35,0,Risks!$A:$AJ),INDEX(Definitions!$AE:$AE,MATCH(_xlpm._riskValue,Definitions!$AF:$AF,0)))</f>
        <v>No Risk</v>
      </c>
      <c r="F35" s="33" t="str" cm="1">
        <f t="array" ca="1" aca="1" ref="F35">IF($A35="","",SUBSTITUTE(RemoveDelimiter(SanitizeInput(SimpleLookup($A35,'Attack Steps'!$A:$AE)),","),",",", "))</f>
        <v/>
      </c>
      <c r="G35" s="33" t="str" cm="1">
        <f t="array" ca="1" aca="1" ref="G35">IF($A35="","",SUBSTITUTE(RemoveDelimiter(SanitizeInput(SimpleLookup($A35,'Attack Steps'!$A:$AF)),","),",",", "))</f>
        <v/>
      </c>
      <c r="H35" s="80" t="str" cm="1">
        <f t="array" ca="1" aca="1" ref="H35">IF($A35="","",_xlfn.LET(_xlpm._proposedActive,SanitizeInput($G35),_xlpm._proposedAll,SimpleLookup($A35,'Attack Steps'!$A:$AG),_xlpm._proposedDiff,FilterElementsFromList(_xlpm._proposedAll,_xlpm._proposedActive,FALSE,","),SUBSTITUTE(RemoveDelimiter(SanitizeInput(_xlpm._proposedDiff),","),",",", ")))</f>
        <v>A25</v>
      </c>
      <c r="I35" s="33" t="str" cm="1">
        <f t="array" ca="1" aca="1" ref="I35">RemoveDelimiter(GetValuesWithFallback(SanitizeInput($F35)&amp;SanitizeInput($G35)&amp;SanitizeInput($H35),Countermeasures!$A:$B,Assumptions!$A:$B," ",","&amp;CHAR(10),TRUE),","&amp;CHAR(10))</f>
        <v>A25 SDR 1.22 - The product does not communicate any confidential data to an external communication partner</v>
      </c>
      <c r="J35" s="13"/>
      <c r="K35" s="33" t="str" cm="1">
        <f t="array" ref="K35">RemoveDelimiter(GetValuesWithFallback(SanitizeInput($J35),Countermeasures!$A:$B,Assumptions!$A:$B," ",","&amp;CHAR(10),TRUE),","&amp;CHAR(10))</f>
        <v/>
      </c>
      <c r="L35" s="23">
        <f>3</f>
        <v>3</v>
      </c>
      <c r="M35" s="34" t="str" cm="1">
        <f t="array" ca="1" aca="1" ref="M35">_xlfn.LET(_xlpm._displayLimit,$L35,_xlpm._risks,$V35,_xlpm._delimiter,CHAR(10)&amp;REPT(_xlfn.UNICHAR(9552),50)&amp;CHAR(10),_xlpm._attackPaths,RemoveDelimiter(GetValues(RIGHT(_xlpm._risks,LEN(_xlpm._risks)-FIND(":",_xlpm._risks)),Risks!$A:$B,"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35" s="33" t="str">
        <f ca="1">INDEX(Definitions!$AE:$AE,MATCH($W35,Definitions!$AF:$AF,0))</f>
        <v>No Risk</v>
      </c>
      <c r="O35" s="13"/>
      <c r="P35" s="10" cm="1">
        <f t="array" ref="P35">GenerateShadowID(ROW(),$P$2,$P:$P,0,$A35&lt;&gt;"")</f>
        <v>33</v>
      </c>
      <c r="Q35" s="21" cm="1">
        <f t="array" ref="Q35">CreateTaskID($Q$2,$Q:$Q,Tasks!$B$17,$O35)</f>
        <v>0</v>
      </c>
      <c r="R35" s="21">
        <f>IFERROR(MATCH(ROW()-ROW($R$2),'Attack Steps'!$Q:$Q,0),0)</f>
        <v>35</v>
      </c>
      <c r="S35" s="21" t="str" cm="1">
        <f t="array" ca="1" aca="1" ref="S35">CalculateMaxAndElements($T35,0,"",Risks!$A:$AJ)</f>
        <v>0:</v>
      </c>
      <c r="T35" s="21" t="str" cm="1">
        <f t="array" ca="1" aca="1" ref="T35">InverseLookup($A35,Risks!$AI$2,Risks!$A$2,1,Helper!$B$1,",")</f>
        <v/>
      </c>
      <c r="U35" s="21" t="str">
        <f t="shared" ca="1" si="8"/>
        <v/>
      </c>
      <c r="V35" s="21" t="str" cm="1">
        <f t="array" ca="1" aca="1" ref="V35">CalculateMaxAndElements($T35,0,"",Risks!$A:$BK)</f>
        <v>0:</v>
      </c>
      <c r="W35" s="21">
        <f t="shared" ca="1" si="9"/>
        <v>0</v>
      </c>
      <c r="X35" s="21" t="str" cm="1">
        <f t="array" ref="X35">IF($J35="","",","&amp;SanitizeInput($J35))</f>
        <v/>
      </c>
      <c r="Y35" s="21" t="b" cm="1">
        <f t="array" ca="1" aca="1" ref="Y35">INDEX('Attack Steps'!$AI:$AI,$R35)</f>
        <v>0</v>
      </c>
      <c r="Z35" s="21" cm="1">
        <f t="array" ref="Z35">CreateID($Z$2,$Z:$Z,IFERROR(FIND(Definitions!$AR$4,$O35)&gt;0,FALSE))</f>
        <v>0</v>
      </c>
      <c r="AA35" s="21">
        <f>_xlfn.LET(_xlpm._comment,$O35,_xlpm._keyWord,Definitions!$AR$4,_xlpm._diffLen,LEN(_xlpm._comment)-LEN(SUBSTITUTE(_xlpm._comment,_xlpm._keyWord,"")),_xlpm._diffLen/LEN(_xlpm._keyWord))</f>
        <v>0</v>
      </c>
      <c r="AB35" s="21" cm="1">
        <f t="array" ref="AB35">CreateID($AB$2,$AB:$AB,IFERROR(FIND(Definitions!$AR$5,$O35)&gt;0,FALSE))</f>
        <v>0</v>
      </c>
      <c r="AC35" s="21">
        <f>_xlfn.LET(_xlpm._comment,$O35,_xlpm._keyWord,Definitions!$AR$5,_xlpm._diffLen,LEN(_xlpm._comment)-LEN(SUBSTITUTE(_xlpm._comment,_xlpm._keyWord,"")),_xlpm._diffLen/LEN(_xlpm._keyWord))</f>
        <v>0</v>
      </c>
      <c r="AD35" s="21" t="str" cm="1">
        <f t="array" ref="AD35">CreateSearchString($J35)</f>
        <v/>
      </c>
      <c r="AE35" s="21" t="str" cm="1">
        <f t="array" ca="1" aca="1" ref="AE35">_xlfn.LET(_xlpm._selected,SanitizeInput($J35),_xlpm._catalogOptions,SanitizeInput($F35)&amp;SanitizeInput($G35)&amp;SanitizeInput($H35),_xlpm._selectedNotInOptions,FilterElementsFromList(_xlpm._selected,_xlpm._catalogOptions,FALSE,","),IF(_xlpm._selectedNotInOptions="","",$A35&amp;" "&amp;$B35&amp;": "&amp;SUBSTITUTE(RemoveDelimiter(_xlpm._selectedNotInOptions,","),",",", ")))</f>
        <v/>
      </c>
      <c r="AF35" s="21" cm="1">
        <f t="array" ca="1" aca="1" ref="AF35">CreateID($AF$2,$AF:$AF,$AE35&lt;&gt;"")</f>
        <v>0</v>
      </c>
      <c r="AG35" s="21" t="str" cm="1">
        <f t="array" ref="AG35">_xlfn.LET(_xlpm._delimiter,","&amp;CHAR(10),_xlpm._assumptions,ParseAllMitigationsFromComment($A35,"-","A",$O35,Definitions!$AR$4,Definitions!$AS$4,Definitions!$AR$6,_xlpm._delimiter,1),_xlpm._countermeasures,ParseAllMitigationsFromComment($A35,"-","C",$O35,Definitions!$AR$5,Definitions!$AS$5,Definitions!$AR$6,_xlpm._delimiter,1),IF(_xlpm._countermeasures="",RemoveDelimiter(_xlpm._assumptions,_xlpm._delimiter),_xlpm._assumptions&amp;RemoveDelimiter(_xlpm._countermeasures,_xlpm._delimiter)))</f>
        <v/>
      </c>
      <c r="AH35" s="21" t="str" cm="1">
        <f t="array" ref="AH35">CreateSearchString(SanitizeInput($J35)&amp;GetValuesIgnoreErrors(SanitizeInput($J35),Countermeasures!$A:$G,"",",",FALSE))</f>
        <v/>
      </c>
      <c r="AI35" s="21" t="str" cm="1">
        <f t="array" ca="1" aca="1" ref="AI35">IF(AND(IFERROR(FIND(","&amp;Countermeasures!$A$30&amp;",",$AH35)&gt;0,FALSE),Countermeasures!$AF$30=TRUE,SimpleLookup(Questions!$A$48,Questionnaire!$A:$C)=Definitions!$A$5),$A35&amp;" "&amp;$B35,"")</f>
        <v/>
      </c>
      <c r="AJ35" s="21" cm="1">
        <f t="array" ca="1" aca="1" ref="AJ35">CreateID($AJ$2,$AJ:$AJ,$AI35&lt;&gt;"")</f>
        <v>0</v>
      </c>
      <c r="AK35" s="21" t="str">
        <f t="shared" ca="1" si="2"/>
        <v/>
      </c>
      <c r="AL35" s="21" cm="1">
        <f t="array" ca="1" aca="1" ref="AL35">CreateID($AL$2,$AL:$AL,$AK35&lt;&gt;"")</f>
        <v>0</v>
      </c>
      <c r="AM35" s="21" t="str">
        <f t="shared" si="3"/>
        <v/>
      </c>
      <c r="AN35" s="21" cm="1">
        <f t="array" ref="AN35">CreateID($AN$2,$AN:$AN,$AM35&lt;&gt;"")</f>
        <v>0</v>
      </c>
    </row>
    <row r="36" spans="1:40" ht="120">
      <c r="A36" s="33" t="str" cm="1">
        <f t="array" ref="A36">IF($R36=0,"",INDEX('Attack Steps'!A:A,$R36))</f>
        <v>AS34</v>
      </c>
      <c r="B36" s="16" t="str" cm="1">
        <f t="array" ref="B36">IF($R36=0,"",INDEX('Attack Steps'!B:B,$R36))</f>
        <v>Attacking the product's outgoing communication to an external communication partner over the Internet or a mobile network</v>
      </c>
      <c r="C36" s="23">
        <f>3</f>
        <v>3</v>
      </c>
      <c r="D36" s="34" t="str" cm="1">
        <f t="array" ca="1" aca="1" ref="D36">_xlfn.LET(_xlpm._displayLimit,$C36,_xlpm._risks,$S36,_xlpm._delimiter,CHAR(10)&amp;REPT(_xlfn.UNICHAR(9552),50)&amp;CHAR(10),_xlpm._attackPaths,RemoveDelimiter(GetValues(RIGHT(_xlpm._risks,LEN(_xlpm._risks)-FIND(":",_xlpm._risks)),Risks!$A:$B,"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36" s="33" t="str" cm="1">
        <f t="array" ca="1" aca="1" ref="E36">_xlfn.LET(_xlpm._riskValue,CalculateMaxFromList($T36,0,Risks!$A:$AJ),INDEX(Definitions!$AE:$AE,MATCH(_xlpm._riskValue,Definitions!$AF:$AF,0)))</f>
        <v>No Risk</v>
      </c>
      <c r="F36" s="33" t="str" cm="1">
        <f t="array" ca="1" aca="1" ref="F36">IF($A36="","",SUBSTITUTE(RemoveDelimiter(SanitizeInput(SimpleLookup($A36,'Attack Steps'!$A:$AE)),","),",",", "))</f>
        <v>CM11</v>
      </c>
      <c r="G36" s="33" t="str" cm="1">
        <f t="array" ca="1" aca="1" ref="G36">IF($A36="","",SUBSTITUTE(RemoveDelimiter(SanitizeInput(SimpleLookup($A36,'Attack Steps'!$A:$AF)),","),",",", "))</f>
        <v/>
      </c>
      <c r="H36" s="80" t="str" cm="1">
        <f t="array" ca="1" aca="1" ref="H36">IF($A36="","",_xlfn.LET(_xlpm._proposedActive,SanitizeInput($G36),_xlpm._proposedAll,SimpleLookup($A36,'Attack Steps'!$A:$AG),_xlpm._proposedDiff,FilterElementsFromList(_xlpm._proposedAll,_xlpm._proposedActive,FALSE,","),SUBSTITUTE(RemoveDelimiter(SanitizeInput(_xlpm._proposedDiff),","),",",", ")))</f>
        <v>A26</v>
      </c>
      <c r="I36" s="33" t="str" cm="1">
        <f t="array" ca="1" aca="1" ref="I36">RemoveDelimiter(GetValuesWithFallback(SanitizeInput($F36)&amp;SanitizeInput($G36)&amp;SanitizeInput($H36),Countermeasures!$A:$B,Assumptions!$A:$B," ",","&amp;CHAR(10),TRUE),","&amp;CHAR(10))</f>
        <v>CM11 SCR 2.9 - Secure channel with communication partner authentication,
A26 SDR 1.23 - The product does not send any sensitive data to external communication partners over the Internet or a mobile network</v>
      </c>
      <c r="J36" s="13"/>
      <c r="K36" s="33" t="str" cm="1">
        <f t="array" ref="K36">RemoveDelimiter(GetValuesWithFallback(SanitizeInput($J36),Countermeasures!$A:$B,Assumptions!$A:$B," ",","&amp;CHAR(10),TRUE),","&amp;CHAR(10))</f>
        <v/>
      </c>
      <c r="L36" s="23">
        <f>3</f>
        <v>3</v>
      </c>
      <c r="M36" s="34" t="str" cm="1">
        <f t="array" ca="1" aca="1" ref="M36">_xlfn.LET(_xlpm._displayLimit,$L36,_xlpm._risks,$V36,_xlpm._delimiter,CHAR(10)&amp;REPT(_xlfn.UNICHAR(9552),50)&amp;CHAR(10),_xlpm._attackPaths,RemoveDelimiter(GetValues(RIGHT(_xlpm._risks,LEN(_xlpm._risks)-FIND(":",_xlpm._risks)),Risks!$A:$B,"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36" s="33" t="str">
        <f ca="1">INDEX(Definitions!$AE:$AE,MATCH($W36,Definitions!$AF:$AF,0))</f>
        <v>No Risk</v>
      </c>
      <c r="O36" s="13"/>
      <c r="P36" s="10" cm="1">
        <f t="array" ref="P36">GenerateShadowID(ROW(),$P$2,$P:$P,0,$A36&lt;&gt;"")</f>
        <v>34</v>
      </c>
      <c r="Q36" s="21" cm="1">
        <f t="array" ref="Q36">CreateTaskID($Q$2,$Q:$Q,Tasks!$B$17,$O36)</f>
        <v>0</v>
      </c>
      <c r="R36" s="21">
        <f>IFERROR(MATCH(ROW()-ROW($R$2),'Attack Steps'!$Q:$Q,0),0)</f>
        <v>36</v>
      </c>
      <c r="S36" s="21" t="str" cm="1">
        <f t="array" ca="1" aca="1" ref="S36">CalculateMaxAndElements($T36,0,"",Risks!$A:$AJ)</f>
        <v>0:</v>
      </c>
      <c r="T36" s="21" t="str" cm="1">
        <f t="array" ca="1" aca="1" ref="T36">InverseLookup($A36,Risks!$AI$2,Risks!$A$2,1,Helper!$B$1,",")</f>
        <v/>
      </c>
      <c r="U36" s="21" t="str">
        <f t="shared" ca="1" si="8"/>
        <v/>
      </c>
      <c r="V36" s="21" t="str" cm="1">
        <f t="array" ca="1" aca="1" ref="V36">CalculateMaxAndElements($T36,0,"",Risks!$A:$BK)</f>
        <v>0:</v>
      </c>
      <c r="W36" s="21">
        <f t="shared" ca="1" si="9"/>
        <v>0</v>
      </c>
      <c r="X36" s="21" t="str" cm="1">
        <f t="array" ref="X36">IF($J36="","",","&amp;SanitizeInput($J36))</f>
        <v/>
      </c>
      <c r="Y36" s="21" t="b" cm="1">
        <f t="array" ca="1" aca="1" ref="Y36">INDEX('Attack Steps'!$AI:$AI,$R36)</f>
        <v>0</v>
      </c>
      <c r="Z36" s="21" cm="1">
        <f t="array" ref="Z36">CreateID($Z$2,$Z:$Z,IFERROR(FIND(Definitions!$AR$4,$O36)&gt;0,FALSE))</f>
        <v>0</v>
      </c>
      <c r="AA36" s="21">
        <f>_xlfn.LET(_xlpm._comment,$O36,_xlpm._keyWord,Definitions!$AR$4,_xlpm._diffLen,LEN(_xlpm._comment)-LEN(SUBSTITUTE(_xlpm._comment,_xlpm._keyWord,"")),_xlpm._diffLen/LEN(_xlpm._keyWord))</f>
        <v>0</v>
      </c>
      <c r="AB36" s="21" cm="1">
        <f t="array" ref="AB36">CreateID($AB$2,$AB:$AB,IFERROR(FIND(Definitions!$AR$5,$O36)&gt;0,FALSE))</f>
        <v>0</v>
      </c>
      <c r="AC36" s="21">
        <f>_xlfn.LET(_xlpm._comment,$O36,_xlpm._keyWord,Definitions!$AR$5,_xlpm._diffLen,LEN(_xlpm._comment)-LEN(SUBSTITUTE(_xlpm._comment,_xlpm._keyWord,"")),_xlpm._diffLen/LEN(_xlpm._keyWord))</f>
        <v>0</v>
      </c>
      <c r="AD36" s="21" t="str" cm="1">
        <f t="array" ref="AD36">CreateSearchString($J36)</f>
        <v/>
      </c>
      <c r="AE36" s="21" t="str" cm="1">
        <f t="array" ca="1" aca="1" ref="AE36">_xlfn.LET(_xlpm._selected,SanitizeInput($J36),_xlpm._catalogOptions,SanitizeInput($F36)&amp;SanitizeInput($G36)&amp;SanitizeInput($H36),_xlpm._selectedNotInOptions,FilterElementsFromList(_xlpm._selected,_xlpm._catalogOptions,FALSE,","),IF(_xlpm._selectedNotInOptions="","",$A36&amp;" "&amp;$B36&amp;": "&amp;SUBSTITUTE(RemoveDelimiter(_xlpm._selectedNotInOptions,","),",",", ")))</f>
        <v/>
      </c>
      <c r="AF36" s="21" cm="1">
        <f t="array" ca="1" aca="1" ref="AF36">CreateID($AF$2,$AF:$AF,$AE36&lt;&gt;"")</f>
        <v>0</v>
      </c>
      <c r="AG36" s="21" t="str" cm="1">
        <f t="array" ref="AG36">_xlfn.LET(_xlpm._delimiter,","&amp;CHAR(10),_xlpm._assumptions,ParseAllMitigationsFromComment($A36,"-","A",$O36,Definitions!$AR$4,Definitions!$AS$4,Definitions!$AR$6,_xlpm._delimiter,1),_xlpm._countermeasures,ParseAllMitigationsFromComment($A36,"-","C",$O36,Definitions!$AR$5,Definitions!$AS$5,Definitions!$AR$6,_xlpm._delimiter,1),IF(_xlpm._countermeasures="",RemoveDelimiter(_xlpm._assumptions,_xlpm._delimiter),_xlpm._assumptions&amp;RemoveDelimiter(_xlpm._countermeasures,_xlpm._delimiter)))</f>
        <v/>
      </c>
      <c r="AH36" s="21" t="str" cm="1">
        <f t="array" ref="AH36">CreateSearchString(SanitizeInput($J36)&amp;GetValuesIgnoreErrors(SanitizeInput($J36),Countermeasures!$A:$G,"",",",FALSE))</f>
        <v/>
      </c>
      <c r="AI36" s="21" t="str" cm="1">
        <f t="array" ca="1" aca="1" ref="AI36">IF(AND(IFERROR(FIND(","&amp;Countermeasures!$A$30&amp;",",$AH36)&gt;0,FALSE),Countermeasures!$AF$30=TRUE,SimpleLookup(Questions!$A$48,Questionnaire!$A:$C)=Definitions!$A$5),$A36&amp;" "&amp;$B36,"")</f>
        <v/>
      </c>
      <c r="AJ36" s="21" cm="1">
        <f t="array" ca="1" aca="1" ref="AJ36">CreateID($AJ$2,$AJ:$AJ,$AI36&lt;&gt;"")</f>
        <v>0</v>
      </c>
      <c r="AK36" s="21" t="str">
        <f t="shared" ca="1" si="2"/>
        <v/>
      </c>
      <c r="AL36" s="21" cm="1">
        <f t="array" ca="1" aca="1" ref="AL36">CreateID($AL$2,$AL:$AL,$AK36&lt;&gt;"")</f>
        <v>0</v>
      </c>
      <c r="AM36" s="21" t="str">
        <f t="shared" si="3"/>
        <v/>
      </c>
      <c r="AN36" s="21" cm="1">
        <f t="array" ref="AN36">CreateID($AN$2,$AN:$AN,$AM36&lt;&gt;"")</f>
        <v>0</v>
      </c>
    </row>
    <row r="37" spans="1:40" ht="75">
      <c r="A37" s="33" t="str" cm="1">
        <f t="array" ref="A37">IF($R37=0,"",INDEX('Attack Steps'!A:A,$R37))</f>
        <v>AS35</v>
      </c>
      <c r="B37" s="16" t="str" cm="1">
        <f t="array" ref="B37">IF($R37=0,"",INDEX('Attack Steps'!B:B,$R37))</f>
        <v>Disrupting the product's communication with an external entity (with communication over the Internet or a mobile network)</v>
      </c>
      <c r="C37" s="23">
        <f>3</f>
        <v>3</v>
      </c>
      <c r="D37" s="34" t="str" cm="1">
        <f t="array" ca="1" aca="1" ref="D37">_xlfn.LET(_xlpm._displayLimit,$C37,_xlpm._risks,$S37,_xlpm._delimiter,CHAR(10)&amp;REPT(_xlfn.UNICHAR(9552),50)&amp;CHAR(10),_xlpm._attackPaths,RemoveDelimiter(GetValues(RIGHT(_xlpm._risks,LEN(_xlpm._risks)-FIND(":",_xlpm._risks)),Risks!$A:$B,"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37" s="33" t="str" cm="1">
        <f t="array" ca="1" aca="1" ref="E37">_xlfn.LET(_xlpm._riskValue,CalculateMaxFromList($T37,0,Risks!$A:$AJ),INDEX(Definitions!$AE:$AE,MATCH(_xlpm._riskValue,Definitions!$AF:$AF,0)))</f>
        <v>No Risk</v>
      </c>
      <c r="F37" s="33" t="str" cm="1">
        <f t="array" ca="1" aca="1" ref="F37">IF($A37="","",SUBSTITUTE(RemoveDelimiter(SanitizeInput(SimpleLookup($A37,'Attack Steps'!$A:$AE)),","),",",", "))</f>
        <v/>
      </c>
      <c r="G37" s="33" t="str" cm="1">
        <f t="array" ca="1" aca="1" ref="G37">IF($A37="","",SUBSTITUTE(RemoveDelimiter(SanitizeInput(SimpleLookup($A37,'Attack Steps'!$A:$AF)),","),",",", "))</f>
        <v/>
      </c>
      <c r="H37" s="80" t="str" cm="1">
        <f t="array" ca="1" aca="1" ref="H37">IF($A37="","",_xlfn.LET(_xlpm._proposedActive,SanitizeInput($G37),_xlpm._proposedAll,SimpleLookup($A37,'Attack Steps'!$A:$AG),_xlpm._proposedDiff,FilterElementsFromList(_xlpm._proposedAll,_xlpm._proposedActive,FALSE,","),SUBSTITUTE(RemoveDelimiter(SanitizeInput(_xlpm._proposedDiff),","),",",", ")))</f>
        <v>A41</v>
      </c>
      <c r="I37" s="33" t="str" cm="1">
        <f t="array" ca="1" aca="1" ref="I37">RemoveDelimiter(GetValuesWithFallback(SanitizeInput($F37)&amp;SanitizeInput($G37)&amp;SanitizeInput($H37),Countermeasures!$A:$B,Assumptions!$A:$B," ",","&amp;CHAR(10),TRUE),","&amp;CHAR(10))</f>
        <v>A41 SDR 1.29 - Loss of external connectivity (Internet, mobile network) only leads to quality-related issues</v>
      </c>
      <c r="J37" s="13"/>
      <c r="K37" s="33" t="str" cm="1">
        <f t="array" ref="K37">RemoveDelimiter(GetValuesWithFallback(SanitizeInput($J37),Countermeasures!$A:$B,Assumptions!$A:$B," ",","&amp;CHAR(10),TRUE),","&amp;CHAR(10))</f>
        <v/>
      </c>
      <c r="L37" s="23">
        <f>3</f>
        <v>3</v>
      </c>
      <c r="M37" s="34" t="str" cm="1">
        <f t="array" ca="1" aca="1" ref="M37">_xlfn.LET(_xlpm._displayLimit,$L37,_xlpm._risks,$V37,_xlpm._delimiter,CHAR(10)&amp;REPT(_xlfn.UNICHAR(9552),50)&amp;CHAR(10),_xlpm._attackPaths,RemoveDelimiter(GetValues(RIGHT(_xlpm._risks,LEN(_xlpm._risks)-FIND(":",_xlpm._risks)),Risks!$A:$B,"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37" s="33" t="str">
        <f ca="1">INDEX(Definitions!$AE:$AE,MATCH($W37,Definitions!$AF:$AF,0))</f>
        <v>No Risk</v>
      </c>
      <c r="O37" s="13"/>
      <c r="P37" s="10" cm="1">
        <f t="array" ref="P37">GenerateShadowID(ROW(),$P$2,$P:$P,0,$A37&lt;&gt;"")</f>
        <v>35</v>
      </c>
      <c r="Q37" s="21" cm="1">
        <f t="array" ref="Q37">CreateTaskID($Q$2,$Q:$Q,Tasks!$B$17,$O37)</f>
        <v>0</v>
      </c>
      <c r="R37" s="21">
        <f>IFERROR(MATCH(ROW()-ROW($R$2),'Attack Steps'!$Q:$Q,0),0)</f>
        <v>37</v>
      </c>
      <c r="S37" s="21" t="str" cm="1">
        <f t="array" ca="1" aca="1" ref="S37">CalculateMaxAndElements($T37,0,"",Risks!$A:$AJ)</f>
        <v>0:</v>
      </c>
      <c r="T37" s="21" t="str" cm="1">
        <f t="array" ca="1" aca="1" ref="T37">InverseLookup($A37,Risks!$AI$2,Risks!$A$2,1,Helper!$B$1,",")</f>
        <v/>
      </c>
      <c r="U37" s="21" t="str">
        <f ca="1" t="shared" si="10" ref="U37:U42">IF($T37="","",","&amp;$T37)</f>
        <v/>
      </c>
      <c r="V37" s="21" t="str" cm="1">
        <f t="array" ca="1" aca="1" ref="V37">CalculateMaxAndElements($T37,0,"",Risks!$A:$BK)</f>
        <v>0:</v>
      </c>
      <c r="W37" s="21">
        <f ca="1" t="shared" si="11" ref="W37:W42">IF($V37="","",VALUE(LEFT($V37,FIND(":",$V37)-1)))</f>
        <v>0</v>
      </c>
      <c r="X37" s="21" t="str" cm="1">
        <f t="array" ref="X37">IF($J37="","",","&amp;SanitizeInput($J37))</f>
        <v/>
      </c>
      <c r="Y37" s="21" t="b" cm="1">
        <f t="array" ca="1" aca="1" ref="Y37">INDEX('Attack Steps'!$AI:$AI,$R37)</f>
        <v>0</v>
      </c>
      <c r="Z37" s="21" cm="1">
        <f t="array" ref="Z37">CreateID($Z$2,$Z:$Z,IFERROR(FIND(Definitions!$AR$4,$O37)&gt;0,FALSE))</f>
        <v>0</v>
      </c>
      <c r="AA37" s="21">
        <f>_xlfn.LET(_xlpm._comment,$O37,_xlpm._keyWord,Definitions!$AR$4,_xlpm._diffLen,LEN(_xlpm._comment)-LEN(SUBSTITUTE(_xlpm._comment,_xlpm._keyWord,"")),_xlpm._diffLen/LEN(_xlpm._keyWord))</f>
        <v>0</v>
      </c>
      <c r="AB37" s="21" cm="1">
        <f t="array" ref="AB37">CreateID($AB$2,$AB:$AB,IFERROR(FIND(Definitions!$AR$5,$O37)&gt;0,FALSE))</f>
        <v>0</v>
      </c>
      <c r="AC37" s="21">
        <f>_xlfn.LET(_xlpm._comment,$O37,_xlpm._keyWord,Definitions!$AR$5,_xlpm._diffLen,LEN(_xlpm._comment)-LEN(SUBSTITUTE(_xlpm._comment,_xlpm._keyWord,"")),_xlpm._diffLen/LEN(_xlpm._keyWord))</f>
        <v>0</v>
      </c>
      <c r="AD37" s="21" t="str" cm="1">
        <f t="array" ref="AD37">CreateSearchString($J37)</f>
        <v/>
      </c>
      <c r="AE37" s="21" t="str" cm="1">
        <f t="array" ca="1" aca="1" ref="AE37">_xlfn.LET(_xlpm._selected,SanitizeInput($J37),_xlpm._catalogOptions,SanitizeInput($F37)&amp;SanitizeInput($G37)&amp;SanitizeInput($H37),_xlpm._selectedNotInOptions,FilterElementsFromList(_xlpm._selected,_xlpm._catalogOptions,FALSE,","),IF(_xlpm._selectedNotInOptions="","",$A37&amp;" "&amp;$B37&amp;": "&amp;SUBSTITUTE(RemoveDelimiter(_xlpm._selectedNotInOptions,","),",",", ")))</f>
        <v/>
      </c>
      <c r="AF37" s="21" cm="1">
        <f t="array" ca="1" aca="1" ref="AF37">CreateID($AF$2,$AF:$AF,$AE37&lt;&gt;"")</f>
        <v>0</v>
      </c>
      <c r="AG37" s="21" t="str" cm="1">
        <f t="array" ref="AG37">_xlfn.LET(_xlpm._delimiter,","&amp;CHAR(10),_xlpm._assumptions,ParseAllMitigationsFromComment($A37,"-","A",$O37,Definitions!$AR$4,Definitions!$AS$4,Definitions!$AR$6,_xlpm._delimiter,1),_xlpm._countermeasures,ParseAllMitigationsFromComment($A37,"-","C",$O37,Definitions!$AR$5,Definitions!$AS$5,Definitions!$AR$6,_xlpm._delimiter,1),IF(_xlpm._countermeasures="",RemoveDelimiter(_xlpm._assumptions,_xlpm._delimiter),_xlpm._assumptions&amp;RemoveDelimiter(_xlpm._countermeasures,_xlpm._delimiter)))</f>
        <v/>
      </c>
      <c r="AH37" s="21" t="str" cm="1">
        <f t="array" ref="AH37">CreateSearchString(SanitizeInput($J37)&amp;GetValuesIgnoreErrors(SanitizeInput($J37),Countermeasures!$A:$G,"",",",FALSE))</f>
        <v/>
      </c>
      <c r="AI37" s="21" t="str" cm="1">
        <f t="array" ca="1" aca="1" ref="AI37">IF(AND(IFERROR(FIND(","&amp;Countermeasures!$A$30&amp;",",$AH37)&gt;0,FALSE),Countermeasures!$AF$30=TRUE,SimpleLookup(Questions!$A$48,Questionnaire!$A:$C)=Definitions!$A$5),$A37&amp;" "&amp;$B37,"")</f>
        <v/>
      </c>
      <c r="AJ37" s="21" cm="1">
        <f t="array" ca="1" aca="1" ref="AJ37">CreateID($AJ$2,$AJ:$AJ,$AI37&lt;&gt;"")</f>
        <v>0</v>
      </c>
      <c r="AK37" s="21" t="str">
        <f t="shared" ca="1" si="2"/>
        <v/>
      </c>
      <c r="AL37" s="21" cm="1">
        <f t="array" ca="1" aca="1" ref="AL37">CreateID($AL$2,$AL:$AL,$AK37&lt;&gt;"")</f>
        <v>0</v>
      </c>
      <c r="AM37" s="21" t="str">
        <f t="shared" si="3"/>
        <v/>
      </c>
      <c r="AN37" s="21" cm="1">
        <f t="array" ref="AN37">CreateID($AN$2,$AN:$AN,$AM37&lt;&gt;"")</f>
        <v>0</v>
      </c>
    </row>
    <row r="38" spans="1:40" ht="150">
      <c r="A38" s="33" t="str" cm="1">
        <f t="array" ref="A38">IF($R38=0,"",INDEX('Attack Steps'!A:A,$R38))</f>
        <v>AS36</v>
      </c>
      <c r="B38" s="16" t="str" cm="1">
        <f t="array" ref="B38">IF($R38=0,"",INDEX('Attack Steps'!B:B,$R38))</f>
        <v>Attacking the product's incoming communication from the Internet or a mobile network</v>
      </c>
      <c r="C38" s="23">
        <f>3</f>
        <v>3</v>
      </c>
      <c r="D38" s="34" t="str" cm="1">
        <f t="array" ca="1" aca="1" ref="D38">_xlfn.LET(_xlpm._displayLimit,$C38,_xlpm._risks,$S38,_xlpm._delimiter,CHAR(10)&amp;REPT(_xlfn.UNICHAR(9552),50)&amp;CHAR(10),_xlpm._attackPaths,RemoveDelimiter(GetValues(RIGHT(_xlpm._risks,LEN(_xlpm._risks)-FIND(":",_xlpm._risks)),Risks!$A:$B,"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38" s="33" t="str" cm="1">
        <f t="array" ca="1" aca="1" ref="E38">_xlfn.LET(_xlpm._riskValue,CalculateMaxFromList($T38,0,Risks!$A:$AJ),INDEX(Definitions!$AE:$AE,MATCH(_xlpm._riskValue,Definitions!$AF:$AF,0)))</f>
        <v>No Risk</v>
      </c>
      <c r="F38" s="33" t="str" cm="1">
        <f t="array" ca="1" aca="1" ref="F38">IF($A38="","",SUBSTITUTE(RemoveDelimiter(SanitizeInput(SimpleLookup($A38,'Attack Steps'!$A:$AE)),","),",",", "))</f>
        <v>CM11</v>
      </c>
      <c r="G38" s="33" t="str" cm="1">
        <f t="array" ca="1" aca="1" ref="G38">IF($A38="","",SUBSTITUTE(RemoveDelimiter(SanitizeInput(SimpleLookup($A38,'Attack Steps'!$A:$AF)),","),",",", "))</f>
        <v/>
      </c>
      <c r="H38" s="80" t="str" cm="1">
        <f t="array" ca="1" aca="1" ref="H38">IF($A38="","",_xlfn.LET(_xlpm._proposedActive,SanitizeInput($G38),_xlpm._proposedAll,SimpleLookup($A38,'Attack Steps'!$A:$AG),_xlpm._proposedDiff,FilterElementsFromList(_xlpm._proposedAll,_xlpm._proposedActive,FALSE,","),SUBSTITUTE(RemoveDelimiter(SanitizeInput(_xlpm._proposedDiff),","),",",", ")))</f>
        <v>A27</v>
      </c>
      <c r="I38" s="33" t="str" cm="1">
        <f t="array" ca="1" aca="1" ref="I38">RemoveDelimiter(GetValuesWithFallback(SanitizeInput($F38)&amp;SanitizeInput($G38)&amp;SanitizeInput($H38),Countermeasures!$A:$B,Assumptions!$A:$B," ",","&amp;CHAR(10),TRUE),","&amp;CHAR(10))</f>
        <v>CM11 SCR 2.9 - Secure channel with communication partner authentication,
A27 SDR 1.24 - The product does not receive any sensitive data (except updates / configuration / debug communication) from external communication partners over the Internet or a mobile network</v>
      </c>
      <c r="J38" s="13"/>
      <c r="K38" s="33" t="str" cm="1">
        <f t="array" ref="K38">RemoveDelimiter(GetValuesWithFallback(SanitizeInput($J38),Countermeasures!$A:$B,Assumptions!$A:$B," ",","&amp;CHAR(10),TRUE),","&amp;CHAR(10))</f>
        <v/>
      </c>
      <c r="L38" s="23">
        <f>3</f>
        <v>3</v>
      </c>
      <c r="M38" s="34" t="str" cm="1">
        <f t="array" ca="1" aca="1" ref="M38">_xlfn.LET(_xlpm._displayLimit,$L38,_xlpm._risks,$V38,_xlpm._delimiter,CHAR(10)&amp;REPT(_xlfn.UNICHAR(9552),50)&amp;CHAR(10),_xlpm._attackPaths,RemoveDelimiter(GetValues(RIGHT(_xlpm._risks,LEN(_xlpm._risks)-FIND(":",_xlpm._risks)),Risks!$A:$B,"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38" s="33" t="str">
        <f ca="1">INDEX(Definitions!$AE:$AE,MATCH($W38,Definitions!$AF:$AF,0))</f>
        <v>No Risk</v>
      </c>
      <c r="O38" s="13"/>
      <c r="P38" s="10" cm="1">
        <f t="array" ref="P38">GenerateShadowID(ROW(),$P$2,$P:$P,0,$A38&lt;&gt;"")</f>
        <v>36</v>
      </c>
      <c r="Q38" s="21" cm="1">
        <f t="array" ref="Q38">CreateTaskID($Q$2,$Q:$Q,Tasks!$B$17,$O38)</f>
        <v>0</v>
      </c>
      <c r="R38" s="21">
        <f>IFERROR(MATCH(ROW()-ROW($R$2),'Attack Steps'!$Q:$Q,0),0)</f>
        <v>38</v>
      </c>
      <c r="S38" s="21" t="str" cm="1">
        <f t="array" ca="1" aca="1" ref="S38">CalculateMaxAndElements($T38,0,"",Risks!$A:$AJ)</f>
        <v>0:</v>
      </c>
      <c r="T38" s="21" t="str" cm="1">
        <f t="array" ca="1" aca="1" ref="T38">InverseLookup($A38,Risks!$AI$2,Risks!$A$2,1,Helper!$B$1,",")</f>
        <v/>
      </c>
      <c r="U38" s="21" t="str">
        <f t="shared" ca="1" si="10"/>
        <v/>
      </c>
      <c r="V38" s="21" t="str" cm="1">
        <f t="array" ca="1" aca="1" ref="V38">CalculateMaxAndElements($T38,0,"",Risks!$A:$BK)</f>
        <v>0:</v>
      </c>
      <c r="W38" s="21">
        <f t="shared" ca="1" si="11"/>
        <v>0</v>
      </c>
      <c r="X38" s="21" t="str" cm="1">
        <f t="array" ref="X38">IF($J38="","",","&amp;SanitizeInput($J38))</f>
        <v/>
      </c>
      <c r="Y38" s="21" t="b" cm="1">
        <f t="array" ca="1" aca="1" ref="Y38">INDEX('Attack Steps'!$AI:$AI,$R38)</f>
        <v>0</v>
      </c>
      <c r="Z38" s="21" cm="1">
        <f t="array" ref="Z38">CreateID($Z$2,$Z:$Z,IFERROR(FIND(Definitions!$AR$4,$O38)&gt;0,FALSE))</f>
        <v>0</v>
      </c>
      <c r="AA38" s="21">
        <f>_xlfn.LET(_xlpm._comment,$O38,_xlpm._keyWord,Definitions!$AR$4,_xlpm._diffLen,LEN(_xlpm._comment)-LEN(SUBSTITUTE(_xlpm._comment,_xlpm._keyWord,"")),_xlpm._diffLen/LEN(_xlpm._keyWord))</f>
        <v>0</v>
      </c>
      <c r="AB38" s="21" cm="1">
        <f t="array" ref="AB38">CreateID($AB$2,$AB:$AB,IFERROR(FIND(Definitions!$AR$5,$O38)&gt;0,FALSE))</f>
        <v>0</v>
      </c>
      <c r="AC38" s="21">
        <f>_xlfn.LET(_xlpm._comment,$O38,_xlpm._keyWord,Definitions!$AR$5,_xlpm._diffLen,LEN(_xlpm._comment)-LEN(SUBSTITUTE(_xlpm._comment,_xlpm._keyWord,"")),_xlpm._diffLen/LEN(_xlpm._keyWord))</f>
        <v>0</v>
      </c>
      <c r="AD38" s="21" t="str" cm="1">
        <f t="array" ref="AD38">CreateSearchString($J38)</f>
        <v/>
      </c>
      <c r="AE38" s="21" t="str" cm="1">
        <f t="array" ca="1" aca="1" ref="AE38">_xlfn.LET(_xlpm._selected,SanitizeInput($J38),_xlpm._catalogOptions,SanitizeInput($F38)&amp;SanitizeInput($G38)&amp;SanitizeInput($H38),_xlpm._selectedNotInOptions,FilterElementsFromList(_xlpm._selected,_xlpm._catalogOptions,FALSE,","),IF(_xlpm._selectedNotInOptions="","",$A38&amp;" "&amp;$B38&amp;": "&amp;SUBSTITUTE(RemoveDelimiter(_xlpm._selectedNotInOptions,","),",",", ")))</f>
        <v/>
      </c>
      <c r="AF38" s="21" cm="1">
        <f t="array" ca="1" aca="1" ref="AF38">CreateID($AF$2,$AF:$AF,$AE38&lt;&gt;"")</f>
        <v>0</v>
      </c>
      <c r="AG38" s="21" t="str" cm="1">
        <f t="array" ref="AG38">_xlfn.LET(_xlpm._delimiter,","&amp;CHAR(10),_xlpm._assumptions,ParseAllMitigationsFromComment($A38,"-","A",$O38,Definitions!$AR$4,Definitions!$AS$4,Definitions!$AR$6,_xlpm._delimiter,1),_xlpm._countermeasures,ParseAllMitigationsFromComment($A38,"-","C",$O38,Definitions!$AR$5,Definitions!$AS$5,Definitions!$AR$6,_xlpm._delimiter,1),IF(_xlpm._countermeasures="",RemoveDelimiter(_xlpm._assumptions,_xlpm._delimiter),_xlpm._assumptions&amp;RemoveDelimiter(_xlpm._countermeasures,_xlpm._delimiter)))</f>
        <v/>
      </c>
      <c r="AH38" s="21" t="str" cm="1">
        <f t="array" ref="AH38">CreateSearchString(SanitizeInput($J38)&amp;GetValuesIgnoreErrors(SanitizeInput($J38),Countermeasures!$A:$G,"",",",FALSE))</f>
        <v/>
      </c>
      <c r="AI38" s="21" t="str" cm="1">
        <f t="array" ca="1" aca="1" ref="AI38">IF(AND(IFERROR(FIND(","&amp;Countermeasures!$A$30&amp;",",$AH38)&gt;0,FALSE),Countermeasures!$AF$30=TRUE,SimpleLookup(Questions!$A$48,Questionnaire!$A:$C)=Definitions!$A$5),$A38&amp;" "&amp;$B38,"")</f>
        <v/>
      </c>
      <c r="AJ38" s="21" cm="1">
        <f t="array" ca="1" aca="1" ref="AJ38">CreateID($AJ$2,$AJ:$AJ,$AI38&lt;&gt;"")</f>
        <v>0</v>
      </c>
      <c r="AK38" s="21" t="str">
        <f t="shared" ca="1" si="2"/>
        <v/>
      </c>
      <c r="AL38" s="21" cm="1">
        <f t="array" ca="1" aca="1" ref="AL38">CreateID($AL$2,$AL:$AL,$AK38&lt;&gt;"")</f>
        <v>0</v>
      </c>
      <c r="AM38" s="21" t="str">
        <f t="shared" si="3"/>
        <v/>
      </c>
      <c r="AN38" s="21" cm="1">
        <f t="array" ref="AN38">CreateID($AN$2,$AN:$AN,$AM38&lt;&gt;"")</f>
        <v>0</v>
      </c>
    </row>
    <row r="39" spans="1:40" ht="60">
      <c r="A39" s="33" t="str" cm="1">
        <f t="array" ref="A39">IF($R39=0,"",INDEX('Attack Steps'!A:A,$R39))</f>
        <v>AS37</v>
      </c>
      <c r="B39" s="16" t="str" cm="1">
        <f t="array" ref="B39">IF($R39=0,"",INDEX('Attack Steps'!B:B,$R39))</f>
        <v>The product is manipulated during production and consequently behaves maliciously</v>
      </c>
      <c r="C39" s="23">
        <f>3</f>
        <v>3</v>
      </c>
      <c r="D39" s="34" t="str" cm="1">
        <f t="array" ca="1" aca="1" ref="D39">_xlfn.LET(_xlpm._displayLimit,$C39,_xlpm._risks,$S39,_xlpm._delimiter,CHAR(10)&amp;REPT(_xlfn.UNICHAR(9552),50)&amp;CHAR(10),_xlpm._attackPaths,RemoveDelimiter(GetValues(RIGHT(_xlpm._risks,LEN(_xlpm._risks)-FIND(":",_xlpm._risks)),Risks!$A:$B,"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R37 AS37 The product is manipulated during production and consequently behaves maliciously</v>
      </c>
      <c r="E39" s="33" t="str" cm="1">
        <f t="array" ca="1" aca="1" ref="E39">_xlfn.LET(_xlpm._riskValue,CalculateMaxFromList($T39,0,Risks!$A:$AJ),INDEX(Definitions!$AE:$AE,MATCH(_xlpm._riskValue,Definitions!$AF:$AF,0)))</f>
        <v>Very High</v>
      </c>
      <c r="F39" s="33" t="str" cm="1">
        <f t="array" ca="1" aca="1" ref="F39">IF($A39="","",SUBSTITUTE(RemoveDelimiter(SanitizeInput(SimpleLookup($A39,'Attack Steps'!$A:$AE)),","),",",", "))</f>
        <v/>
      </c>
      <c r="G39" s="33" t="str" cm="1">
        <f t="array" ca="1" aca="1" ref="G39">IF($A39="","",SUBSTITUTE(RemoveDelimiter(SanitizeInput(SimpleLookup($A39,'Attack Steps'!$A:$AF)),","),",",", "))</f>
        <v>A17</v>
      </c>
      <c r="H39" s="80" t="str" cm="1">
        <f t="array" ca="1" aca="1" ref="H39">IF($A39="","",_xlfn.LET(_xlpm._proposedActive,SanitizeInput($G39),_xlpm._proposedAll,SimpleLookup($A39,'Attack Steps'!$A:$AG),_xlpm._proposedDiff,FilterElementsFromList(_xlpm._proposedAll,_xlpm._proposedActive,FALSE,","),SUBSTITUTE(RemoveDelimiter(SanitizeInput(_xlpm._proposedDiff),","),",",", ")))</f>
        <v/>
      </c>
      <c r="I39" s="33" t="str" cm="1">
        <f t="array" ca="1" aca="1" ref="I39">RemoveDelimiter(GetValuesWithFallback(SanitizeInput($F39)&amp;SanitizeInput($G39)&amp;SanitizeInput($H39),Countermeasures!$A:$B,Assumptions!$A:$B," ",","&amp;CHAR(10),TRUE),","&amp;CHAR(10))</f>
        <v>A17 SDR 2.4 – Secure production</v>
      </c>
      <c r="J39" s="13"/>
      <c r="K39" s="33" t="str" cm="1">
        <f t="array" ref="K39">RemoveDelimiter(GetValuesWithFallback(SanitizeInput($J39),Countermeasures!$A:$B,Assumptions!$A:$B," ",","&amp;CHAR(10),TRUE),","&amp;CHAR(10))</f>
        <v/>
      </c>
      <c r="L39" s="23">
        <f>3</f>
        <v>3</v>
      </c>
      <c r="M39" s="34" t="str" cm="1">
        <f t="array" ca="1" aca="1" ref="M39">_xlfn.LET(_xlpm._displayLimit,$L39,_xlpm._risks,$V39,_xlpm._delimiter,CHAR(10)&amp;REPT(_xlfn.UNICHAR(9552),50)&amp;CHAR(10),_xlpm._attackPaths,RemoveDelimiter(GetValues(RIGHT(_xlpm._risks,LEN(_xlpm._risks)-FIND(":",_xlpm._risks)),Risks!$A:$B,"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R37 AS37 The product is manipulated during production and consequently behaves maliciously</v>
      </c>
      <c r="N39" s="33" t="str">
        <f ca="1">INDEX(Definitions!$AE:$AE,MATCH($W39,Definitions!$AF:$AF,0))</f>
        <v>Very High</v>
      </c>
      <c r="O39" s="13"/>
      <c r="P39" s="10" cm="1">
        <f t="array" ref="P39">GenerateShadowID(ROW(),$P$2,$P:$P,0,$A39&lt;&gt;"")</f>
        <v>37</v>
      </c>
      <c r="Q39" s="21" cm="1">
        <f t="array" ref="Q39">CreateTaskID($Q$2,$Q:$Q,Tasks!$B$17,$O39)</f>
        <v>0</v>
      </c>
      <c r="R39" s="21">
        <f>IFERROR(MATCH(ROW()-ROW($R$2),'Attack Steps'!$Q:$Q,0),0)</f>
        <v>39</v>
      </c>
      <c r="S39" s="21" t="str" cm="1">
        <f t="array" ca="1" aca="1" ref="S39">CalculateMaxAndElements($T39,0,"",Risks!$A:$AJ)</f>
        <v>4:R37,</v>
      </c>
      <c r="T39" s="21" t="str" cm="1">
        <f t="array" ca="1" aca="1" ref="T39">InverseLookup($A39,Risks!$AI$2,Risks!$A$2,1,Helper!$B$1,",")</f>
        <v>R37,</v>
      </c>
      <c r="U39" s="21" t="str">
        <f t="shared" ca="1" si="10"/>
        <v>,R37,</v>
      </c>
      <c r="V39" s="21" t="str" cm="1">
        <f t="array" ca="1" aca="1" ref="V39">CalculateMaxAndElements($T39,0,"",Risks!$A:$BK)</f>
        <v>4:R37,</v>
      </c>
      <c r="W39" s="21">
        <f t="shared" ca="1" si="11"/>
        <v>4</v>
      </c>
      <c r="X39" s="21" t="str" cm="1">
        <f t="array" ref="X39">IF($J39="","",","&amp;SanitizeInput($J39))</f>
        <v/>
      </c>
      <c r="Y39" s="21" t="b" cm="1">
        <f t="array" ca="1" aca="1" ref="Y39">INDEX('Attack Steps'!$AI:$AI,$R39)</f>
        <v>1</v>
      </c>
      <c r="Z39" s="21" cm="1">
        <f t="array" ref="Z39">CreateID($Z$2,$Z:$Z,IFERROR(FIND(Definitions!$AR$4,$O39)&gt;0,FALSE))</f>
        <v>0</v>
      </c>
      <c r="AA39" s="21">
        <f>_xlfn.LET(_xlpm._comment,$O39,_xlpm._keyWord,Definitions!$AR$4,_xlpm._diffLen,LEN(_xlpm._comment)-LEN(SUBSTITUTE(_xlpm._comment,_xlpm._keyWord,"")),_xlpm._diffLen/LEN(_xlpm._keyWord))</f>
        <v>0</v>
      </c>
      <c r="AB39" s="21" cm="1">
        <f t="array" ref="AB39">CreateID($AB$2,$AB:$AB,IFERROR(FIND(Definitions!$AR$5,$O39)&gt;0,FALSE))</f>
        <v>0</v>
      </c>
      <c r="AC39" s="21">
        <f>_xlfn.LET(_xlpm._comment,$O39,_xlpm._keyWord,Definitions!$AR$5,_xlpm._diffLen,LEN(_xlpm._comment)-LEN(SUBSTITUTE(_xlpm._comment,_xlpm._keyWord,"")),_xlpm._diffLen/LEN(_xlpm._keyWord))</f>
        <v>0</v>
      </c>
      <c r="AD39" s="21" t="str" cm="1">
        <f t="array" ref="AD39">CreateSearchString($J39)</f>
        <v/>
      </c>
      <c r="AE39" s="21" t="str" cm="1">
        <f t="array" ca="1" aca="1" ref="AE39">_xlfn.LET(_xlpm._selected,SanitizeInput($J39),_xlpm._catalogOptions,SanitizeInput($F39)&amp;SanitizeInput($G39)&amp;SanitizeInput($H39),_xlpm._selectedNotInOptions,FilterElementsFromList(_xlpm._selected,_xlpm._catalogOptions,FALSE,","),IF(_xlpm._selectedNotInOptions="","",$A39&amp;" "&amp;$B39&amp;": "&amp;SUBSTITUTE(RemoveDelimiter(_xlpm._selectedNotInOptions,","),",",", ")))</f>
        <v/>
      </c>
      <c r="AF39" s="21" cm="1">
        <f t="array" ca="1" aca="1" ref="AF39">CreateID($AF$2,$AF:$AF,$AE39&lt;&gt;"")</f>
        <v>0</v>
      </c>
      <c r="AG39" s="21" t="str" cm="1">
        <f t="array" ref="AG39">_xlfn.LET(_xlpm._delimiter,","&amp;CHAR(10),_xlpm._assumptions,ParseAllMitigationsFromComment($A39,"-","A",$O39,Definitions!$AR$4,Definitions!$AS$4,Definitions!$AR$6,_xlpm._delimiter,1),_xlpm._countermeasures,ParseAllMitigationsFromComment($A39,"-","C",$O39,Definitions!$AR$5,Definitions!$AS$5,Definitions!$AR$6,_xlpm._delimiter,1),IF(_xlpm._countermeasures="",RemoveDelimiter(_xlpm._assumptions,_xlpm._delimiter),_xlpm._assumptions&amp;RemoveDelimiter(_xlpm._countermeasures,_xlpm._delimiter)))</f>
        <v/>
      </c>
      <c r="AH39" s="21" t="str" cm="1">
        <f t="array" ref="AH39">CreateSearchString(SanitizeInput($J39)&amp;GetValuesIgnoreErrors(SanitizeInput($J39),Countermeasures!$A:$G,"",",",FALSE))</f>
        <v/>
      </c>
      <c r="AI39" s="21" t="str" cm="1">
        <f t="array" ca="1" aca="1" ref="AI39">IF(AND(IFERROR(FIND(","&amp;Countermeasures!$A$30&amp;",",$AH39)&gt;0,FALSE),Countermeasures!$AF$30=TRUE,SimpleLookup(Questions!$A$48,Questionnaire!$A:$C)=Definitions!$A$5),$A39&amp;" "&amp;$B39,"")</f>
        <v/>
      </c>
      <c r="AJ39" s="21" cm="1">
        <f t="array" ca="1" aca="1" ref="AJ39">CreateID($AJ$2,$AJ:$AJ,$AI39&lt;&gt;"")</f>
        <v>0</v>
      </c>
      <c r="AK39" s="21" t="str">
        <f t="shared" ca="1" si="2"/>
        <v/>
      </c>
      <c r="AL39" s="21" cm="1">
        <f t="array" ca="1" aca="1" ref="AL39">CreateID($AL$2,$AL:$AL,$AK39&lt;&gt;"")</f>
        <v>0</v>
      </c>
      <c r="AM39" s="21" t="str">
        <f t="shared" si="3"/>
        <v/>
      </c>
      <c r="AN39" s="21" cm="1">
        <f t="array" ref="AN39">CreateID($AN$2,$AN:$AN,$AM39&lt;&gt;"")</f>
        <v>0</v>
      </c>
    </row>
    <row r="40" spans="1:40" ht="60">
      <c r="A40" s="33" t="str" cm="1">
        <f t="array" ref="A40">IF($R40=0,"",INDEX('Attack Steps'!A:A,$R40))</f>
        <v>AS38</v>
      </c>
      <c r="B40" s="16" t="str" cm="1">
        <f t="array" ref="B40">IF($R40=0,"",INDEX('Attack Steps'!B:B,$R40))</f>
        <v>Manipulated parts from the supply chain are integrated into the product, leading to the product behaving maliciously</v>
      </c>
      <c r="C40" s="23">
        <f>3</f>
        <v>3</v>
      </c>
      <c r="D40" s="34" t="str" cm="1">
        <f t="array" ca="1" aca="1" ref="D40">_xlfn.LET(_xlpm._displayLimit,$C40,_xlpm._risks,$S40,_xlpm._delimiter,CHAR(10)&amp;REPT(_xlfn.UNICHAR(9552),50)&amp;CHAR(10),_xlpm._attackPaths,RemoveDelimiter(GetValues(RIGHT(_xlpm._risks,LEN(_xlpm._risks)-FIND(":",_xlpm._risks)),Risks!$A:$B,"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R38 AS38 Manipulated parts from the supply chain are integrated into the product, leading to the product behaving maliciously</v>
      </c>
      <c r="E40" s="33" t="str" cm="1">
        <f t="array" ca="1" aca="1" ref="E40">_xlfn.LET(_xlpm._riskValue,CalculateMaxFromList($T40,0,Risks!$A:$AJ),INDEX(Definitions!$AE:$AE,MATCH(_xlpm._riskValue,Definitions!$AF:$AF,0)))</f>
        <v>Very High</v>
      </c>
      <c r="F40" s="33" t="str" cm="1">
        <f t="array" ca="1" aca="1" ref="F40">IF($A40="","",SUBSTITUTE(RemoveDelimiter(SanitizeInput(SimpleLookup($A40,'Attack Steps'!$A:$AE)),","),",",", "))</f>
        <v/>
      </c>
      <c r="G40" s="33" t="str" cm="1">
        <f t="array" ca="1" aca="1" ref="G40">IF($A40="","",SUBSTITUTE(RemoveDelimiter(SanitizeInput(SimpleLookup($A40,'Attack Steps'!$A:$AF)),","),",",", "))</f>
        <v>A18</v>
      </c>
      <c r="H40" s="80" t="str" cm="1">
        <f t="array" ca="1" aca="1" ref="H40">IF($A40="","",_xlfn.LET(_xlpm._proposedActive,SanitizeInput($G40),_xlpm._proposedAll,SimpleLookup($A40,'Attack Steps'!$A:$AG),_xlpm._proposedDiff,FilterElementsFromList(_xlpm._proposedAll,_xlpm._proposedActive,FALSE,","),SUBSTITUTE(RemoveDelimiter(SanitizeInput(_xlpm._proposedDiff),","),",",", ")))</f>
        <v/>
      </c>
      <c r="I40" s="33" t="str" cm="1">
        <f t="array" ca="1" aca="1" ref="I40">RemoveDelimiter(GetValuesWithFallback(SanitizeInput($F40)&amp;SanitizeInput($G40)&amp;SanitizeInput($H40),Countermeasures!$A:$B,Assumptions!$A:$B," ",","&amp;CHAR(10),TRUE),","&amp;CHAR(10))</f>
        <v>A18 SDR 2.5 – Secure supply chain</v>
      </c>
      <c r="J40" s="13"/>
      <c r="K40" s="33" t="str" cm="1">
        <f t="array" ref="K40">RemoveDelimiter(GetValuesWithFallback(SanitizeInput($J40),Countermeasures!$A:$B,Assumptions!$A:$B," ",","&amp;CHAR(10),TRUE),","&amp;CHAR(10))</f>
        <v/>
      </c>
      <c r="L40" s="23">
        <f>3</f>
        <v>3</v>
      </c>
      <c r="M40" s="34" t="str" cm="1">
        <f t="array" ca="1" aca="1" ref="M40">_xlfn.LET(_xlpm._displayLimit,$L40,_xlpm._risks,$V40,_xlpm._delimiter,CHAR(10)&amp;REPT(_xlfn.UNICHAR(9552),50)&amp;CHAR(10),_xlpm._attackPaths,RemoveDelimiter(GetValues(RIGHT(_xlpm._risks,LEN(_xlpm._risks)-FIND(":",_xlpm._risks)),Risks!$A:$B,"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R38 AS38 Manipulated parts from the supply chain are integrated into the product, leading to the product behaving maliciously</v>
      </c>
      <c r="N40" s="33" t="str">
        <f ca="1">INDEX(Definitions!$AE:$AE,MATCH($W40,Definitions!$AF:$AF,0))</f>
        <v>Very High</v>
      </c>
      <c r="O40" s="13"/>
      <c r="P40" s="10" cm="1">
        <f t="array" ref="P40">GenerateShadowID(ROW(),$P$2,$P:$P,0,$A40&lt;&gt;"")</f>
        <v>38</v>
      </c>
      <c r="Q40" s="21" cm="1">
        <f t="array" ref="Q40">CreateTaskID($Q$2,$Q:$Q,Tasks!$B$17,$O40)</f>
        <v>0</v>
      </c>
      <c r="R40" s="21">
        <f>IFERROR(MATCH(ROW()-ROW($R$2),'Attack Steps'!$Q:$Q,0),0)</f>
        <v>40</v>
      </c>
      <c r="S40" s="21" t="str" cm="1">
        <f t="array" ca="1" aca="1" ref="S40">CalculateMaxAndElements($T40,0,"",Risks!$A:$AJ)</f>
        <v>4:R38,</v>
      </c>
      <c r="T40" s="21" t="str" cm="1">
        <f t="array" ca="1" aca="1" ref="T40">InverseLookup($A40,Risks!$AI$2,Risks!$A$2,1,Helper!$B$1,",")</f>
        <v>R38,</v>
      </c>
      <c r="U40" s="21" t="str">
        <f t="shared" ca="1" si="10"/>
        <v>,R38,</v>
      </c>
      <c r="V40" s="21" t="str" cm="1">
        <f t="array" ca="1" aca="1" ref="V40">CalculateMaxAndElements($T40,0,"",Risks!$A:$BK)</f>
        <v>4:R38,</v>
      </c>
      <c r="W40" s="21">
        <f t="shared" ca="1" si="11"/>
        <v>4</v>
      </c>
      <c r="X40" s="21" t="str" cm="1">
        <f t="array" ref="X40">IF($J40="","",","&amp;SanitizeInput($J40))</f>
        <v/>
      </c>
      <c r="Y40" s="21" t="b" cm="1">
        <f t="array" ca="1" aca="1" ref="Y40">INDEX('Attack Steps'!$AI:$AI,$R40)</f>
        <v>1</v>
      </c>
      <c r="Z40" s="21" cm="1">
        <f t="array" ref="Z40">CreateID($Z$2,$Z:$Z,IFERROR(FIND(Definitions!$AR$4,$O40)&gt;0,FALSE))</f>
        <v>0</v>
      </c>
      <c r="AA40" s="21">
        <f>_xlfn.LET(_xlpm._comment,$O40,_xlpm._keyWord,Definitions!$AR$4,_xlpm._diffLen,LEN(_xlpm._comment)-LEN(SUBSTITUTE(_xlpm._comment,_xlpm._keyWord,"")),_xlpm._diffLen/LEN(_xlpm._keyWord))</f>
        <v>0</v>
      </c>
      <c r="AB40" s="21" cm="1">
        <f t="array" ref="AB40">CreateID($AB$2,$AB:$AB,IFERROR(FIND(Definitions!$AR$5,$O40)&gt;0,FALSE))</f>
        <v>0</v>
      </c>
      <c r="AC40" s="21">
        <f>_xlfn.LET(_xlpm._comment,$O40,_xlpm._keyWord,Definitions!$AR$5,_xlpm._diffLen,LEN(_xlpm._comment)-LEN(SUBSTITUTE(_xlpm._comment,_xlpm._keyWord,"")),_xlpm._diffLen/LEN(_xlpm._keyWord))</f>
        <v>0</v>
      </c>
      <c r="AD40" s="21" t="str" cm="1">
        <f t="array" ref="AD40">CreateSearchString($J40)</f>
        <v/>
      </c>
      <c r="AE40" s="21" t="str" cm="1">
        <f t="array" ca="1" aca="1" ref="AE40">_xlfn.LET(_xlpm._selected,SanitizeInput($J40),_xlpm._catalogOptions,SanitizeInput($F40)&amp;SanitizeInput($G40)&amp;SanitizeInput($H40),_xlpm._selectedNotInOptions,FilterElementsFromList(_xlpm._selected,_xlpm._catalogOptions,FALSE,","),IF(_xlpm._selectedNotInOptions="","",$A40&amp;" "&amp;$B40&amp;": "&amp;SUBSTITUTE(RemoveDelimiter(_xlpm._selectedNotInOptions,","),",",", ")))</f>
        <v/>
      </c>
      <c r="AF40" s="21" cm="1">
        <f t="array" ca="1" aca="1" ref="AF40">CreateID($AF$2,$AF:$AF,$AE40&lt;&gt;"")</f>
        <v>0</v>
      </c>
      <c r="AG40" s="21" t="str" cm="1">
        <f t="array" ref="AG40">_xlfn.LET(_xlpm._delimiter,","&amp;CHAR(10),_xlpm._assumptions,ParseAllMitigationsFromComment($A40,"-","A",$O40,Definitions!$AR$4,Definitions!$AS$4,Definitions!$AR$6,_xlpm._delimiter,1),_xlpm._countermeasures,ParseAllMitigationsFromComment($A40,"-","C",$O40,Definitions!$AR$5,Definitions!$AS$5,Definitions!$AR$6,_xlpm._delimiter,1),IF(_xlpm._countermeasures="",RemoveDelimiter(_xlpm._assumptions,_xlpm._delimiter),_xlpm._assumptions&amp;RemoveDelimiter(_xlpm._countermeasures,_xlpm._delimiter)))</f>
        <v/>
      </c>
      <c r="AH40" s="21" t="str" cm="1">
        <f t="array" ref="AH40">CreateSearchString(SanitizeInput($J40)&amp;GetValuesIgnoreErrors(SanitizeInput($J40),Countermeasures!$A:$G,"",",",FALSE))</f>
        <v/>
      </c>
      <c r="AI40" s="21" t="str" cm="1">
        <f t="array" ca="1" aca="1" ref="AI40">IF(AND(IFERROR(FIND(","&amp;Countermeasures!$A$30&amp;",",$AH40)&gt;0,FALSE),Countermeasures!$AF$30=TRUE,SimpleLookup(Questions!$A$48,Questionnaire!$A:$C)=Definitions!$A$5),$A40&amp;" "&amp;$B40,"")</f>
        <v/>
      </c>
      <c r="AJ40" s="21" cm="1">
        <f t="array" ca="1" aca="1" ref="AJ40">CreateID($AJ$2,$AJ:$AJ,$AI40&lt;&gt;"")</f>
        <v>0</v>
      </c>
      <c r="AK40" s="21" t="str">
        <f t="shared" ca="1" si="2"/>
        <v/>
      </c>
      <c r="AL40" s="21" cm="1">
        <f t="array" ca="1" aca="1" ref="AL40">CreateID($AL$2,$AL:$AL,$AK40&lt;&gt;"")</f>
        <v>0</v>
      </c>
      <c r="AM40" s="21" t="str">
        <f t="shared" si="3"/>
        <v/>
      </c>
      <c r="AN40" s="21" cm="1">
        <f t="array" ref="AN40">CreateID($AN$2,$AN:$AN,$AM40&lt;&gt;"")</f>
        <v>0</v>
      </c>
    </row>
    <row r="41" spans="1:40" ht="60">
      <c r="A41" s="33" t="str" cm="1">
        <f t="array" ref="A41">IF($R41=0,"",INDEX('Attack Steps'!A:A,$R41))</f>
        <v>AS39</v>
      </c>
      <c r="B41" s="16" t="str" cm="1">
        <f t="array" ref="B41">IF($R41=0,"",INDEX('Attack Steps'!B:B,$R41))</f>
        <v>Data extraction from the product's volatile memory</v>
      </c>
      <c r="C41" s="23">
        <f>3</f>
        <v>3</v>
      </c>
      <c r="D41" s="34" t="str" cm="1">
        <f t="array" ca="1" aca="1" ref="D41">_xlfn.LET(_xlpm._displayLimit,$C41,_xlpm._risks,$S41,_xlpm._delimiter,CHAR(10)&amp;REPT(_xlfn.UNICHAR(9552),50)&amp;CHAR(10),_xlpm._attackPaths,RemoveDelimiter(GetValues(RIGHT(_xlpm._risks,LEN(_xlpm._risks)-FIND(":",_xlpm._risks)),Risks!$A:$B,"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41" s="33" t="str" cm="1">
        <f t="array" ca="1" aca="1" ref="E41">_xlfn.LET(_xlpm._riskValue,CalculateMaxFromList($T41,0,Risks!$A:$AJ),INDEX(Definitions!$AE:$AE,MATCH(_xlpm._riskValue,Definitions!$AF:$AF,0)))</f>
        <v>No Risk</v>
      </c>
      <c r="F41" s="33" t="str" cm="1">
        <f t="array" ca="1" aca="1" ref="F41">IF($A41="","",SUBSTITUTE(RemoveDelimiter(SanitizeInput(SimpleLookup($A41,'Attack Steps'!$A:$AE)),","),",",", "))</f>
        <v>CM21, CM22</v>
      </c>
      <c r="G41" s="33" t="str" cm="1">
        <f t="array" ca="1" aca="1" ref="G41">IF($A41="","",SUBSTITUTE(RemoveDelimiter(SanitizeInput(SimpleLookup($A41,'Attack Steps'!$A:$AF)),","),",",", "))</f>
        <v/>
      </c>
      <c r="H41" s="80" t="str" cm="1">
        <f t="array" ca="1" aca="1" ref="H41">IF($A41="","",_xlfn.LET(_xlpm._proposedActive,SanitizeInput($G41),_xlpm._proposedAll,SimpleLookup($A41,'Attack Steps'!$A:$AG),_xlpm._proposedDiff,FilterElementsFromList(_xlpm._proposedAll,_xlpm._proposedActive,FALSE,","),SUBSTITUTE(RemoveDelimiter(SanitizeInput(_xlpm._proposedDiff),","),",",", ")))</f>
        <v/>
      </c>
      <c r="I41" s="33" t="str" cm="1">
        <f t="array" ca="1" aca="1" ref="I41">RemoveDelimiter(GetValuesWithFallback(SanitizeInput($F41)&amp;SanitizeInput($G41)&amp;SanitizeInput($H41),Countermeasures!$A:$B,Assumptions!$A:$B," ",","&amp;CHAR(10),TRUE),","&amp;CHAR(10))</f>
        <v>CM21 SCR 2.12 - Trusted Execution Environment (TEE),
CM22 Isolation using virtualization or containers</v>
      </c>
      <c r="J41" s="13"/>
      <c r="K41" s="33" t="str" cm="1">
        <f t="array" ref="K41">RemoveDelimiter(GetValuesWithFallback(SanitizeInput($J41),Countermeasures!$A:$B,Assumptions!$A:$B," ",","&amp;CHAR(10),TRUE),","&amp;CHAR(10))</f>
        <v/>
      </c>
      <c r="L41" s="23">
        <f>3</f>
        <v>3</v>
      </c>
      <c r="M41" s="34" t="str" cm="1">
        <f t="array" ca="1" aca="1" ref="M41">_xlfn.LET(_xlpm._displayLimit,$L41,_xlpm._risks,$V41,_xlpm._delimiter,CHAR(10)&amp;REPT(_xlfn.UNICHAR(9552),50)&amp;CHAR(10),_xlpm._attackPaths,RemoveDelimiter(GetValues(RIGHT(_xlpm._risks,LEN(_xlpm._risks)-FIND(":",_xlpm._risks)),Risks!$A:$B,"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41" s="33" t="str">
        <f ca="1">INDEX(Definitions!$AE:$AE,MATCH($W41,Definitions!$AF:$AF,0))</f>
        <v>No Risk</v>
      </c>
      <c r="O41" s="13"/>
      <c r="P41" s="10" cm="1">
        <f t="array" ref="P41">GenerateShadowID(ROW(),$P$2,$P:$P,0,$A41&lt;&gt;"")</f>
        <v>39</v>
      </c>
      <c r="Q41" s="21" cm="1">
        <f t="array" ref="Q41">CreateTaskID($Q$2,$Q:$Q,Tasks!$B$17,$O41)</f>
        <v>0</v>
      </c>
      <c r="R41" s="21">
        <f>IFERROR(MATCH(ROW()-ROW($R$2),'Attack Steps'!$Q:$Q,0),0)</f>
        <v>41</v>
      </c>
      <c r="S41" s="21" t="str" cm="1">
        <f t="array" ca="1" aca="1" ref="S41">CalculateMaxAndElements($T41,0,"",Risks!$A:$AJ)</f>
        <v>0:</v>
      </c>
      <c r="T41" s="21" t="str" cm="1">
        <f t="array" ca="1" aca="1" ref="T41">InverseLookup($A41,Risks!$AI$2,Risks!$A$2,1,Helper!$B$1,",")</f>
        <v/>
      </c>
      <c r="U41" s="21" t="str">
        <f t="shared" ca="1" si="10"/>
        <v/>
      </c>
      <c r="V41" s="21" t="str" cm="1">
        <f t="array" ca="1" aca="1" ref="V41">CalculateMaxAndElements($T41,0,"",Risks!$A:$BK)</f>
        <v>0:</v>
      </c>
      <c r="W41" s="21">
        <f t="shared" ca="1" si="11"/>
        <v>0</v>
      </c>
      <c r="X41" s="21" t="str" cm="1">
        <f t="array" ref="X41">IF($J41="","",","&amp;SanitizeInput($J41))</f>
        <v/>
      </c>
      <c r="Y41" s="21" t="b" cm="1">
        <f t="array" ca="1" aca="1" ref="Y41">INDEX('Attack Steps'!$AI:$AI,$R41)</f>
        <v>0</v>
      </c>
      <c r="Z41" s="21" cm="1">
        <f t="array" ref="Z41">CreateID($Z$2,$Z:$Z,IFERROR(FIND(Definitions!$AR$4,$O41)&gt;0,FALSE))</f>
        <v>0</v>
      </c>
      <c r="AA41" s="21">
        <f>_xlfn.LET(_xlpm._comment,$O41,_xlpm._keyWord,Definitions!$AR$4,_xlpm._diffLen,LEN(_xlpm._comment)-LEN(SUBSTITUTE(_xlpm._comment,_xlpm._keyWord,"")),_xlpm._diffLen/LEN(_xlpm._keyWord))</f>
        <v>0</v>
      </c>
      <c r="AB41" s="21" cm="1">
        <f t="array" ref="AB41">CreateID($AB$2,$AB:$AB,IFERROR(FIND(Definitions!$AR$5,$O41)&gt;0,FALSE))</f>
        <v>0</v>
      </c>
      <c r="AC41" s="21">
        <f>_xlfn.LET(_xlpm._comment,$O41,_xlpm._keyWord,Definitions!$AR$5,_xlpm._diffLen,LEN(_xlpm._comment)-LEN(SUBSTITUTE(_xlpm._comment,_xlpm._keyWord,"")),_xlpm._diffLen/LEN(_xlpm._keyWord))</f>
        <v>0</v>
      </c>
      <c r="AD41" s="21" t="str" cm="1">
        <f t="array" ref="AD41">CreateSearchString($J41)</f>
        <v/>
      </c>
      <c r="AE41" s="21" t="str" cm="1">
        <f t="array" ca="1" aca="1" ref="AE41">_xlfn.LET(_xlpm._selected,SanitizeInput($J41),_xlpm._catalogOptions,SanitizeInput($F41)&amp;SanitizeInput($G41)&amp;SanitizeInput($H41),_xlpm._selectedNotInOptions,FilterElementsFromList(_xlpm._selected,_xlpm._catalogOptions,FALSE,","),IF(_xlpm._selectedNotInOptions="","",$A41&amp;" "&amp;$B41&amp;": "&amp;SUBSTITUTE(RemoveDelimiter(_xlpm._selectedNotInOptions,","),",",", ")))</f>
        <v/>
      </c>
      <c r="AF41" s="21" cm="1">
        <f t="array" ca="1" aca="1" ref="AF41">CreateID($AF$2,$AF:$AF,$AE41&lt;&gt;"")</f>
        <v>0</v>
      </c>
      <c r="AG41" s="21" t="str" cm="1">
        <f t="array" ref="AG41">_xlfn.LET(_xlpm._delimiter,","&amp;CHAR(10),_xlpm._assumptions,ParseAllMitigationsFromComment($A41,"-","A",$O41,Definitions!$AR$4,Definitions!$AS$4,Definitions!$AR$6,_xlpm._delimiter,1),_xlpm._countermeasures,ParseAllMitigationsFromComment($A41,"-","C",$O41,Definitions!$AR$5,Definitions!$AS$5,Definitions!$AR$6,_xlpm._delimiter,1),IF(_xlpm._countermeasures="",RemoveDelimiter(_xlpm._assumptions,_xlpm._delimiter),_xlpm._assumptions&amp;RemoveDelimiter(_xlpm._countermeasures,_xlpm._delimiter)))</f>
        <v/>
      </c>
      <c r="AH41" s="21" t="str" cm="1">
        <f t="array" ref="AH41">CreateSearchString(SanitizeInput($J41)&amp;GetValuesIgnoreErrors(SanitizeInput($J41),Countermeasures!$A:$G,"",",",FALSE))</f>
        <v/>
      </c>
      <c r="AI41" s="21" t="str" cm="1">
        <f t="array" ca="1" aca="1" ref="AI41">IF(AND(IFERROR(FIND(","&amp;Countermeasures!$A$30&amp;",",$AH41)&gt;0,FALSE),Countermeasures!$AF$30=TRUE,SimpleLookup(Questions!$A$48,Questionnaire!$A:$C)=Definitions!$A$5),$A41&amp;" "&amp;$B41,"")</f>
        <v/>
      </c>
      <c r="AJ41" s="21" cm="1">
        <f t="array" ca="1" aca="1" ref="AJ41">CreateID($AJ$2,$AJ:$AJ,$AI41&lt;&gt;"")</f>
        <v>0</v>
      </c>
      <c r="AK41" s="21" t="str">
        <f t="shared" ca="1" si="2"/>
        <v/>
      </c>
      <c r="AL41" s="21" cm="1">
        <f t="array" ca="1" aca="1" ref="AL41">CreateID($AL$2,$AL:$AL,$AK41&lt;&gt;"")</f>
        <v>0</v>
      </c>
      <c r="AM41" s="21" t="str">
        <f t="shared" si="3"/>
        <v/>
      </c>
      <c r="AN41" s="21" cm="1">
        <f t="array" ref="AN41">CreateID($AN$2,$AN:$AN,$AM41&lt;&gt;"")</f>
        <v>0</v>
      </c>
    </row>
    <row r="42" spans="1:40" ht="79.5">
      <c r="A42" s="33" t="str" cm="1">
        <f t="array" ref="A42">IF($R42=0,"",INDEX('Attack Steps'!A:A,$R42))</f>
        <v>AS40</v>
      </c>
      <c r="B42" s="16" t="str" cm="1">
        <f t="array" ref="B42">IF($R42=0,"",INDEX('Attack Steps'!B:B,$R42))</f>
        <v>Abusing the lack of a software update functionality to exploit an unpatched vulnerability</v>
      </c>
      <c r="C42" s="23">
        <f>3</f>
        <v>3</v>
      </c>
      <c r="D42" s="34" t="str" cm="1">
        <f t="array" ca="1" aca="1" ref="D42">_xlfn.LET(_xlpm._displayLimit,$C42,_xlpm._risks,$S42,_xlpm._delimiter,CHAR(10)&amp;REPT(_xlfn.UNICHAR(9552),50)&amp;CHAR(10),_xlpm._attackPaths,RemoveDelimiter(GetValues(RIGHT(_xlpm._risks,LEN(_xlpm._risks)-FIND(":",_xlpm._risks)),Risks!$A:$B,"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R1-40 AS40 Abusing the lack of a software update functionality to exploit an unpatched vulnerability
–––––––––––––––––––––––––––––––––––––––––––––––––––––––
AS1 Getting access to a trusted operational environment
══════════════════════════════════════════════════
R2-40 AS40 Abusing the lack of a software update functionality to exploit an unpatched vulnerability
–––––––––––––––––––––––––––––––––––––––––––––––––––––––
AS2 Getting access to a wireless network</v>
      </c>
      <c r="E42" s="33" t="str" cm="1">
        <f t="array" ca="1" aca="1" ref="E42">_xlfn.LET(_xlpm._riskValue,CalculateMaxFromList($T42,0,Risks!$A:$AJ),INDEX(Definitions!$AE:$AE,MATCH(_xlpm._riskValue,Definitions!$AF:$AF,0)))</f>
        <v>Very High</v>
      </c>
      <c r="F42" s="33" t="str" cm="1">
        <f t="array" ca="1" aca="1" ref="F42">IF($A42="","",SUBSTITUTE(RemoveDelimiter(SanitizeInput(SimpleLookup($A42,'Attack Steps'!$A:$AE)),","),",",", "))</f>
        <v>C27, CM23</v>
      </c>
      <c r="G42" s="33" t="str" cm="1">
        <f t="array" ca="1" aca="1" ref="G42">IF($A42="","",SUBSTITUTE(RemoveDelimiter(SanitizeInput(SimpleLookup($A42,'Attack Steps'!$A:$AF)),","),",",", "))</f>
        <v/>
      </c>
      <c r="H42" s="80" t="str" cm="1">
        <f t="array" ca="1" aca="1" ref="H42">IF($A42="","",_xlfn.LET(_xlpm._proposedActive,SanitizeInput($G42),_xlpm._proposedAll,SimpleLookup($A42,'Attack Steps'!$A:$AG),_xlpm._proposedDiff,FilterElementsFromList(_xlpm._proposedAll,_xlpm._proposedActive,FALSE,","),SUBSTITUTE(RemoveDelimiter(SanitizeInput(_xlpm._proposedDiff),","),",",", ")))</f>
        <v/>
      </c>
      <c r="I42" s="33" t="str" cm="1">
        <f t="array" ca="1" aca="1" ref="I42">RemoveDelimiter(GetValuesWithFallback(SanitizeInput($F42)&amp;SanitizeInput($G42)&amp;SanitizeInput($H42),Countermeasures!$A:$B,Assumptions!$A:$B," ",","&amp;CHAR(10),TRUE),","&amp;CHAR(10))</f>
        <v>C27 EDR 3.10 / HDR 3.10 / NDR 3.10 – Support for updates,
CM23 Hardware exchange</v>
      </c>
      <c r="J42" s="13"/>
      <c r="K42" s="33" t="str" cm="1">
        <f t="array" ref="K42">RemoveDelimiter(GetValuesWithFallback(SanitizeInput($J42),Countermeasures!$A:$B,Assumptions!$A:$B," ",","&amp;CHAR(10),TRUE),","&amp;CHAR(10))</f>
        <v/>
      </c>
      <c r="L42" s="23">
        <f>3</f>
        <v>3</v>
      </c>
      <c r="M42" s="34" t="str" cm="1">
        <f t="array" ca="1" aca="1" ref="M42">_xlfn.LET(_xlpm._displayLimit,$L42,_xlpm._risks,$V42,_xlpm._delimiter,CHAR(10)&amp;REPT(_xlfn.UNICHAR(9552),50)&amp;CHAR(10),_xlpm._attackPaths,RemoveDelimiter(GetValues(RIGHT(_xlpm._risks,LEN(_xlpm._risks)-FIND(":",_xlpm._risks)),Risks!$A:$B,"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R1-40 AS40 Abusing the lack of a software update functionality to exploit an unpatched vulnerability
–––––––––––––––––––––––––––––––––––––––––––––––––––––––
AS1 Getting access to a trusted operational environment
══════════════════════════════════════════════════
R2-40 AS40 Abusing the lack of a software update functionality to exploit an unpatched vulnerability
–––––––––––––––––––––––––––––––––––––––––––––––––––––––
AS2 Getting access to a wireless network</v>
      </c>
      <c r="N42" s="33" t="str">
        <f ca="1">INDEX(Definitions!$AE:$AE,MATCH($W42,Definitions!$AF:$AF,0))</f>
        <v>Very High</v>
      </c>
      <c r="O42" s="13"/>
      <c r="P42" s="10" cm="1">
        <f t="array" ref="P42">GenerateShadowID(ROW(),$P$2,$P:$P,0,$A42&lt;&gt;"")</f>
        <v>40</v>
      </c>
      <c r="Q42" s="21" cm="1">
        <f t="array" ref="Q42">CreateTaskID($Q$2,$Q:$Q,Tasks!$B$17,$O42)</f>
        <v>0</v>
      </c>
      <c r="R42" s="21">
        <f>IFERROR(MATCH(ROW()-ROW($R$2),'Attack Steps'!$Q:$Q,0),0)</f>
        <v>42</v>
      </c>
      <c r="S42" s="21" t="str" cm="1">
        <f t="array" ca="1" aca="1" ref="S42">CalculateMaxAndElements($T42,0,"",Risks!$A:$AJ)</f>
        <v>4:R1-40,R2-40,</v>
      </c>
      <c r="T42" s="21" t="str" cm="1">
        <f t="array" ca="1" aca="1" ref="T42">InverseLookup($A42,Risks!$AI$2,Risks!$A$2,1,Helper!$B$1,",")</f>
        <v>R1-40,R2-40,</v>
      </c>
      <c r="U42" s="21" t="str">
        <f t="shared" ca="1" si="10"/>
        <v>,R1-40,R2-40,</v>
      </c>
      <c r="V42" s="21" t="str" cm="1">
        <f t="array" ca="1" aca="1" ref="V42">CalculateMaxAndElements($T42,0,"",Risks!$A:$BK)</f>
        <v>4:R1-40,R2-40,</v>
      </c>
      <c r="W42" s="21">
        <f t="shared" ca="1" si="11"/>
        <v>4</v>
      </c>
      <c r="X42" s="21" t="str" cm="1">
        <f t="array" ref="X42">IF($J42="","",","&amp;SanitizeInput($J42))</f>
        <v/>
      </c>
      <c r="Y42" s="21" t="b" cm="1">
        <f t="array" ca="1" aca="1" ref="Y42">INDEX('Attack Steps'!$AI:$AI,$R42)</f>
        <v>1</v>
      </c>
      <c r="Z42" s="21" cm="1">
        <f t="array" ref="Z42">CreateID($Z$2,$Z:$Z,IFERROR(FIND(Definitions!$AR$4,$O42)&gt;0,FALSE))</f>
        <v>0</v>
      </c>
      <c r="AA42" s="21">
        <f>_xlfn.LET(_xlpm._comment,$O42,_xlpm._keyWord,Definitions!$AR$4,_xlpm._diffLen,LEN(_xlpm._comment)-LEN(SUBSTITUTE(_xlpm._comment,_xlpm._keyWord,"")),_xlpm._diffLen/LEN(_xlpm._keyWord))</f>
        <v>0</v>
      </c>
      <c r="AB42" s="21" cm="1">
        <f t="array" ref="AB42">CreateID($AB$2,$AB:$AB,IFERROR(FIND(Definitions!$AR$5,$O42)&gt;0,FALSE))</f>
        <v>0</v>
      </c>
      <c r="AC42" s="21">
        <f>_xlfn.LET(_xlpm._comment,$O42,_xlpm._keyWord,Definitions!$AR$5,_xlpm._diffLen,LEN(_xlpm._comment)-LEN(SUBSTITUTE(_xlpm._comment,_xlpm._keyWord,"")),_xlpm._diffLen/LEN(_xlpm._keyWord))</f>
        <v>0</v>
      </c>
      <c r="AD42" s="21" t="str" cm="1">
        <f t="array" ref="AD42">CreateSearchString($J42)</f>
        <v/>
      </c>
      <c r="AE42" s="21" t="str" cm="1">
        <f t="array" ca="1" aca="1" ref="AE42">_xlfn.LET(_xlpm._selected,SanitizeInput($J42),_xlpm._catalogOptions,SanitizeInput($F42)&amp;SanitizeInput($G42)&amp;SanitizeInput($H42),_xlpm._selectedNotInOptions,FilterElementsFromList(_xlpm._selected,_xlpm._catalogOptions,FALSE,","),IF(_xlpm._selectedNotInOptions="","",$A42&amp;" "&amp;$B42&amp;": "&amp;SUBSTITUTE(RemoveDelimiter(_xlpm._selectedNotInOptions,","),",",", ")))</f>
        <v/>
      </c>
      <c r="AF42" s="21" cm="1">
        <f t="array" ca="1" aca="1" ref="AF42">CreateID($AF$2,$AF:$AF,$AE42&lt;&gt;"")</f>
        <v>0</v>
      </c>
      <c r="AG42" s="21" t="str" cm="1">
        <f t="array" ref="AG42">_xlfn.LET(_xlpm._delimiter,","&amp;CHAR(10),_xlpm._assumptions,ParseAllMitigationsFromComment($A42,"-","A",$O42,Definitions!$AR$4,Definitions!$AS$4,Definitions!$AR$6,_xlpm._delimiter,1),_xlpm._countermeasures,ParseAllMitigationsFromComment($A42,"-","C",$O42,Definitions!$AR$5,Definitions!$AS$5,Definitions!$AR$6,_xlpm._delimiter,1),IF(_xlpm._countermeasures="",RemoveDelimiter(_xlpm._assumptions,_xlpm._delimiter),_xlpm._assumptions&amp;RemoveDelimiter(_xlpm._countermeasures,_xlpm._delimiter)))</f>
        <v/>
      </c>
      <c r="AH42" s="21" t="str" cm="1">
        <f t="array" ref="AH42">CreateSearchString(SanitizeInput($J42)&amp;GetValuesIgnoreErrors(SanitizeInput($J42),Countermeasures!$A:$G,"",",",FALSE))</f>
        <v/>
      </c>
      <c r="AI42" s="21" t="str" cm="1">
        <f t="array" ca="1" aca="1" ref="AI42">IF(AND(IFERROR(FIND(","&amp;Countermeasures!$A$30&amp;",",$AH42)&gt;0,FALSE),Countermeasures!$AF$30=TRUE,SimpleLookup(Questions!$A$48,Questionnaire!$A:$C)=Definitions!$A$5),$A42&amp;" "&amp;$B42,"")</f>
        <v/>
      </c>
      <c r="AJ42" s="21" cm="1">
        <f t="array" ca="1" aca="1" ref="AJ42">CreateID($AJ$2,$AJ:$AJ,$AI42&lt;&gt;"")</f>
        <v>0</v>
      </c>
      <c r="AK42" s="21" t="str">
        <f ca="1">IF(AND($Y42=FALSE,$J42&lt;&gt;""),$A42&amp;" "&amp;$B42,"")</f>
        <v/>
      </c>
      <c r="AL42" s="21" cm="1">
        <f t="array" ca="1" aca="1" ref="AL42">CreateID($AL$2,$AL:$AL,$AK42&lt;&gt;"")</f>
        <v>0</v>
      </c>
      <c r="AM42" s="21" t="str">
        <f t="shared" si="3"/>
        <v/>
      </c>
      <c r="AN42" s="21" cm="1">
        <f t="array" ref="AN42">CreateID($AN$2,$AN:$AN,$AM42&lt;&gt;"")</f>
        <v>0</v>
      </c>
    </row>
    <row r="43" spans="1:40" ht="45">
      <c r="A43" s="33" t="str" cm="1">
        <f t="array" ref="A43">IF($R43=0,"",INDEX('Attack Steps'!A:A,$R43))</f>
        <v>AS41</v>
      </c>
      <c r="B43" s="16" t="str" cm="1">
        <f t="array" ref="B43">IF($R43=0,"",INDEX('Attack Steps'!B:B,$R43))</f>
        <v>Extracting information from a decommissioned or second-hand device's RAM</v>
      </c>
      <c r="C43" s="23">
        <f>3</f>
        <v>3</v>
      </c>
      <c r="D43" s="34" t="str" cm="1">
        <f t="array" ca="1" aca="1" ref="D43">_xlfn.LET(_xlpm._displayLimit,$C43,_xlpm._risks,$S43,_xlpm._delimiter,CHAR(10)&amp;REPT(_xlfn.UNICHAR(9552),50)&amp;CHAR(10),_xlpm._attackPaths,RemoveDelimiter(GetValues(RIGHT(_xlpm._risks,LEN(_xlpm._risks)-FIND(":",_xlpm._risks)),Risks!$A:$B,"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E43" s="33" t="str" cm="1">
        <f t="array" ca="1" aca="1" ref="E43">_xlfn.LET(_xlpm._riskValue,CalculateMaxFromList($T43,0,Risks!$A:$AJ),INDEX(Definitions!$AE:$AE,MATCH(_xlpm._riskValue,Definitions!$AF:$AF,0)))</f>
        <v>No Risk</v>
      </c>
      <c r="F43" s="33" t="str" cm="1">
        <f t="array" ca="1" aca="1" ref="F43">IF($A43="","",SUBSTITUTE(RemoveDelimiter(SanitizeInput(SimpleLookup($A43,'Attack Steps'!$A:$AE)),","),",",", "))</f>
        <v>C17</v>
      </c>
      <c r="G43" s="33" t="str" cm="1">
        <f t="array" ca="1" aca="1" ref="G43">IF($A43="","",SUBSTITUTE(RemoveDelimiter(SanitizeInput(SimpleLookup($A43,'Attack Steps'!$A:$AF)),","),",",", "))</f>
        <v/>
      </c>
      <c r="H43" s="80" t="str" cm="1">
        <f t="array" ca="1" aca="1" ref="H43">IF($A43="","",_xlfn.LET(_xlpm._proposedActive,SanitizeInput($G43),_xlpm._proposedAll,SimpleLookup($A43,'Attack Steps'!$A:$AG),_xlpm._proposedDiff,FilterElementsFromList(_xlpm._proposedAll,_xlpm._proposedActive,FALSE,","),SUBSTITUTE(RemoveDelimiter(SanitizeInput(_xlpm._proposedDiff),","),",",", ")))</f>
        <v/>
      </c>
      <c r="I43" s="33" t="str" cm="1">
        <f t="array" ca="1" aca="1" ref="I43">RemoveDelimiter(GetValuesWithFallback(SanitizeInput($F43)&amp;SanitizeInput($G43)&amp;SanitizeInput($H43),Countermeasures!$A:$B,Assumptions!$A:$B," ",","&amp;CHAR(10),TRUE),","&amp;CHAR(10))</f>
        <v>C17 CR 4.2 – Information persistence</v>
      </c>
      <c r="J43" s="13"/>
      <c r="K43" s="33" t="str" cm="1">
        <f t="array" ref="K43">RemoveDelimiter(GetValuesWithFallback(SanitizeInput($J43),Countermeasures!$A:$B,Assumptions!$A:$B," ",","&amp;CHAR(10),TRUE),","&amp;CHAR(10))</f>
        <v/>
      </c>
      <c r="L43" s="23">
        <f>3</f>
        <v>3</v>
      </c>
      <c r="M43" s="34" t="str" cm="1">
        <f t="array" ca="1" aca="1" ref="M43">_xlfn.LET(_xlpm._displayLimit,$L43,_xlpm._risks,$V43,_xlpm._delimiter,CHAR(10)&amp;REPT(_xlfn.UNICHAR(9552),50)&amp;CHAR(10),_xlpm._attackPaths,RemoveDelimiter(GetValues(RIGHT(_xlpm._risks,LEN(_xlpm._risks)-FIND(":",_xlpm._risks)),Risks!$A:$B," ",_xlpm._delimiter,TRUE),_xlpm._delimiter),IF(_xlpm._displayLimit="",_xlpm._attackPaths,IFERROR(RemoveDelimiter(LEFT(_xlpm._attackPaths,FIND(CHAR(1),SUBSTITUTE(_xlpm._attackPaths,_xlpm._delimiter,CHAR(1),_xlpm._displayLimit))),CHAR(10)),_xlpm._attackPaths)))</f>
        <v/>
      </c>
      <c r="N43" s="33" t="str">
        <f ca="1">INDEX(Definitions!$AE:$AE,MATCH($W43,Definitions!$AF:$AF,0))</f>
        <v>No Risk</v>
      </c>
      <c r="O43" s="13"/>
      <c r="P43" s="10" cm="1">
        <f t="array" ref="P43">GenerateShadowID(ROW(),$P$2,$P:$P,0,$A43&lt;&gt;"")</f>
        <v>41</v>
      </c>
      <c r="Q43" s="21" cm="1">
        <f t="array" ref="Q43">CreateTaskID($Q$2,$Q:$Q,Tasks!$B$17,$O43)</f>
        <v>0</v>
      </c>
      <c r="R43" s="21">
        <f>IFERROR(MATCH(ROW()-ROW($R$2),'Attack Steps'!$Q:$Q,0),0)</f>
        <v>43</v>
      </c>
      <c r="S43" s="21" t="str" cm="1">
        <f t="array" ca="1" aca="1" ref="S43">CalculateMaxAndElements($T43,0,"",Risks!$A:$AJ)</f>
        <v>0:</v>
      </c>
      <c r="T43" s="21" t="str" cm="1">
        <f t="array" ca="1" aca="1" ref="T43">InverseLookup($A43,Risks!$AI$2,Risks!$A$2,1,Helper!$B$1,",")</f>
        <v/>
      </c>
      <c r="U43" s="21" t="str">
        <f ca="1">IF($T43="","",","&amp;$T43)</f>
        <v/>
      </c>
      <c r="V43" s="21" t="str" cm="1">
        <f t="array" ca="1" aca="1" ref="V43">CalculateMaxAndElements($T43,0,"",Risks!$A:$BK)</f>
        <v>0:</v>
      </c>
      <c r="W43" s="21">
        <f ca="1">IF($V43="","",VALUE(LEFT($V43,FIND(":",$V43)-1)))</f>
        <v>0</v>
      </c>
      <c r="X43" s="21" t="str" cm="1">
        <f t="array" ref="X43">IF($J43="","",","&amp;SanitizeInput($J43))</f>
        <v/>
      </c>
      <c r="Y43" s="21" t="b" cm="1">
        <f t="array" ca="1" aca="1" ref="Y43">INDEX('Attack Steps'!$AI:$AI,$R43)</f>
        <v>0</v>
      </c>
      <c r="Z43" s="21" cm="1">
        <f t="array" ref="Z43">CreateID($Z$2,$Z:$Z,IFERROR(FIND(Definitions!$AR$4,$O43)&gt;0,FALSE))</f>
        <v>0</v>
      </c>
      <c r="AA43" s="21">
        <f>_xlfn.LET(_xlpm._comment,$O43,_xlpm._keyWord,Definitions!$AR$4,_xlpm._diffLen,LEN(_xlpm._comment)-LEN(SUBSTITUTE(_xlpm._comment,_xlpm._keyWord,"")),_xlpm._diffLen/LEN(_xlpm._keyWord))</f>
        <v>0</v>
      </c>
      <c r="AB43" s="21" cm="1">
        <f t="array" ref="AB43">CreateID($AB$2,$AB:$AB,IFERROR(FIND(Definitions!$AR$5,$O43)&gt;0,FALSE))</f>
        <v>0</v>
      </c>
      <c r="AC43" s="21">
        <f>_xlfn.LET(_xlpm._comment,$O43,_xlpm._keyWord,Definitions!$AR$5,_xlpm._diffLen,LEN(_xlpm._comment)-LEN(SUBSTITUTE(_xlpm._comment,_xlpm._keyWord,"")),_xlpm._diffLen/LEN(_xlpm._keyWord))</f>
        <v>0</v>
      </c>
      <c r="AD43" s="21" t="str" cm="1">
        <f t="array" ref="AD43">CreateSearchString($J43)</f>
        <v/>
      </c>
      <c r="AE43" s="21" t="str" cm="1">
        <f t="array" ca="1" aca="1" ref="AE43">_xlfn.LET(_xlpm._selected,SanitizeInput($J43),_xlpm._catalogOptions,SanitizeInput($F43)&amp;SanitizeInput($G43)&amp;SanitizeInput($H43),_xlpm._selectedNotInOptions,FilterElementsFromList(_xlpm._selected,_xlpm._catalogOptions,FALSE,","),IF(_xlpm._selectedNotInOptions="","",$A43&amp;" "&amp;$B43&amp;": "&amp;SUBSTITUTE(RemoveDelimiter(_xlpm._selectedNotInOptions,","),",",", ")))</f>
        <v/>
      </c>
      <c r="AF43" s="21" cm="1">
        <f t="array" ca="1" aca="1" ref="AF43">CreateID($AF$2,$AF:$AF,$AE43&lt;&gt;"")</f>
        <v>0</v>
      </c>
      <c r="AG43" s="21" t="str" cm="1">
        <f t="array" ref="AG43">_xlfn.LET(_xlpm._delimiter,","&amp;CHAR(10),_xlpm._assumptions,ParseAllMitigationsFromComment($A43,"-","A",$O43,Definitions!$AR$4,Definitions!$AS$4,Definitions!$AR$6,_xlpm._delimiter,1),_xlpm._countermeasures,ParseAllMitigationsFromComment($A43,"-","C",$O43,Definitions!$AR$5,Definitions!$AS$5,Definitions!$AR$6,_xlpm._delimiter,1),IF(_xlpm._countermeasures="",RemoveDelimiter(_xlpm._assumptions,_xlpm._delimiter),_xlpm._assumptions&amp;RemoveDelimiter(_xlpm._countermeasures,_xlpm._delimiter)))</f>
        <v/>
      </c>
      <c r="AH43" s="21" t="str" cm="1">
        <f t="array" ref="AH43">CreateSearchString(SanitizeInput($J43)&amp;GetValuesIgnoreErrors(SanitizeInput($J43),Countermeasures!$A:$G,"",",",FALSE))</f>
        <v/>
      </c>
      <c r="AI43" s="21" t="str" cm="1">
        <f t="array" ca="1" aca="1" ref="AI43">IF(AND(IFERROR(FIND(","&amp;Countermeasures!$A$30&amp;",",$AH43)&gt;0,FALSE),Countermeasures!$AF$30=TRUE,SimpleLookup(Questions!$A$48,Questionnaire!$A:$C)=Definitions!$A$5),$A43&amp;" "&amp;$B43,"")</f>
        <v/>
      </c>
      <c r="AJ43" s="21" cm="1">
        <f t="array" ca="1" aca="1" ref="AJ43">CreateID($AJ$2,$AJ:$AJ,$AI43&lt;&gt;"")</f>
        <v>0</v>
      </c>
      <c r="AK43" s="21" t="str">
        <f ca="1">IF(AND($Y43=FALSE,$J43&lt;&gt;""),$A43&amp;" "&amp;$B43,"")</f>
        <v/>
      </c>
      <c r="AL43" s="21" cm="1">
        <f t="array" ca="1" aca="1" ref="AL43">CreateID($AL$2,$AL:$AL,$AK43&lt;&gt;"")</f>
        <v>0</v>
      </c>
      <c r="AM43" s="21" t="str">
        <f>IF(IFERROR(FIND("ERROR:",$K43)&gt;0,FALSE),$A43&amp;" "&amp;$B43,"")</f>
        <v/>
      </c>
      <c r="AN43" s="21" cm="1">
        <f t="array" ref="AN43">CreateID($AN$2,$AN:$AN,$AM43&lt;&gt;"")</f>
        <v>0</v>
      </c>
    </row>
    <row r="44" spans="5:14" ht="15">
      <c r="E44" s="28"/>
      <c r="N44" s="28"/>
    </row>
    <row r="45" spans="5:14" ht="15">
      <c r="E45" s="28"/>
      <c r="N45" s="28"/>
    </row>
    <row r="46" spans="14:14" ht="15">
      <c r="N46" s="28"/>
    </row>
    <row r="47" spans="14:14" ht="15">
      <c r="N47" s="28"/>
    </row>
    <row r="48" spans="14:14" ht="15">
      <c r="N48" s="28"/>
    </row>
  </sheetData>
  <sheetProtection password="EAA3" sheet="1" objects="1" scenarios="1"/>
  <conditionalFormatting sqref="A1:O1048576">
    <cfRule type="expression" priority="384" dxfId="60">
      <formula>AND(ROW($Y1)&gt;ROW($Y$2),$Y1=FALSE)</formula>
    </cfRule>
  </conditionalFormatting>
  <conditionalFormatting sqref="J1:J1048576">
    <cfRule type="expression" priority="385" dxfId="28">
      <formula>AND(ROW($J1)&gt;ROW($J$2),$AE1&lt;&gt;"")</formula>
    </cfRule>
  </conditionalFormatting>
  <conditionalFormatting sqref="A1:O1048576">
    <cfRule type="expression" priority="386" dxfId="34">
      <formula>AND(ROW($Y1)&gt;ROW($Y$2),AND($A1="",ROW($A1)-ROW($A$2)&lt;Helper!$B$5))</formula>
    </cfRule>
  </conditionalFormatting>
  <conditionalFormatting sqref="E1:E1048576 N1:N1048576">
    <cfRule type="expression" priority="3" dxfId="690">
      <formula>E1=Definitions!$AE$4</formula>
    </cfRule>
    <cfRule type="expression" priority="11" dxfId="691">
      <formula>E1=Definitions!$AE$5</formula>
    </cfRule>
    <cfRule type="expression" priority="12" dxfId="692">
      <formula>E1=Definitions!$AE$6</formula>
    </cfRule>
    <cfRule type="expression" priority="13" dxfId="693">
      <formula>E1=Definitions!$AE$7</formula>
    </cfRule>
    <cfRule type="expression" priority="14" dxfId="694">
      <formula>E1=Definitions!$AE$8</formula>
    </cfRule>
  </conditionalFormatting>
  <conditionalFormatting sqref="O1:O1048576">
    <cfRule type="expression" priority="2" dxfId="685">
      <formula>IFERROR(FIND(Tasks!$B$17,O1)&gt;0,FALSE)</formula>
    </cfRule>
  </conditionalFormatting>
  <pageMargins left="0.7" right="0.7" top="0.75" bottom="0.75" header="0.3" footer="0.3"/>
  <pageSetup orientation="portrait" paperSize="9" r:id="rId2"/>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B78B33-4B77-4B88-AFA4-727EEA5E1AC7}">
  <sheetPr>
    <tabColor theme="1" tint="0.15"/>
  </sheetPr>
  <dimension ref="A1:AW42"/>
  <sheetViews>
    <sheetView windowProtection="1" workbookViewId="0" topLeftCell="A1">
      <pane xSplit="4" ySplit="4" topLeftCell="F5" activePane="bottomRight" state="frozen"/>
      <selection pane="topLeft" activeCell="A1" sqref="A1"/>
      <selection pane="bottomLeft" activeCell="A5" sqref="A5"/>
      <selection pane="topRight" activeCell="E1" sqref="E1"/>
      <selection pane="bottomRight" activeCell="A5" sqref="A5"/>
    </sheetView>
  </sheetViews>
  <sheetFormatPr defaultColWidth="9.14428571428571" defaultRowHeight="15" outlineLevelRow="1" outlineLevelCol="1"/>
  <cols>
    <col min="1" max="1" width="19.5714285714286" style="9" customWidth="1" outlineLevel="1"/>
    <col min="2" max="2" width="5.71428571428571" style="115" customWidth="1" outlineLevel="1"/>
    <col min="3" max="3" width="15.7142857142857" style="4" customWidth="1"/>
    <col min="4" max="4" width="60.7142857142857" style="4" customWidth="1"/>
    <col min="5" max="5" width="60.7142857142857" style="4" hidden="1" customWidth="1" outlineLevel="1"/>
    <col min="6" max="6" width="15.7142857142857" style="4" customWidth="1" collapsed="1"/>
    <col min="7" max="7" width="35.7142857142857" style="4" hidden="1" customWidth="1" outlineLevel="1"/>
    <col min="8" max="8" width="15.7142857142857" style="4" customWidth="1" collapsed="1"/>
    <col min="9" max="9" width="15.7142857142857" style="4" customWidth="1"/>
    <col min="10" max="10" width="45.7142857142857" style="4" customWidth="1"/>
    <col min="11" max="11" width="60.7142857142857" style="4" customWidth="1" outlineLevel="1"/>
    <col min="12" max="12" width="15.7142857142857" style="4" customWidth="1"/>
    <col min="13" max="13" width="35.7142857142857" style="4" customWidth="1" outlineLevel="1"/>
    <col min="14" max="15" width="15.7142857142857" style="4" customWidth="1"/>
    <col min="16" max="17" width="15.7142857142857" style="4" customWidth="1" outlineLevel="1"/>
    <col min="18" max="18" width="15.7142857142857" style="4" customWidth="1"/>
    <col min="19" max="19" width="60.7142857142857" style="4" customWidth="1"/>
    <col min="20" max="20" width="45.7142857142857" style="4" customWidth="1"/>
    <col min="21" max="21" width="12.5714285714286" style="2" hidden="1" customWidth="1"/>
    <col min="22" max="25" width="9.14285714285714" style="2" hidden="1" customWidth="1"/>
    <col min="26" max="26" width="21.5714285714286" style="2" hidden="1" customWidth="1"/>
    <col min="27" max="27" width="10.8571428571429" style="2" hidden="1" customWidth="1"/>
    <col min="28" max="28" width="27.5714285714286" style="2" hidden="1" customWidth="1"/>
    <col min="29" max="29" width="25.5714285714286" style="2" hidden="1" customWidth="1"/>
    <col min="30" max="30" width="26.7142857142857" style="2" hidden="1" customWidth="1"/>
    <col min="31" max="31" width="24.7142857142857" style="2" hidden="1" customWidth="1"/>
    <col min="32" max="32" width="41.2857142857143" style="2" hidden="1" customWidth="1"/>
    <col min="33" max="33" width="17.4285714285714" style="2" hidden="1" customWidth="1"/>
    <col min="34" max="35" width="37" style="2" hidden="1" customWidth="1"/>
    <col min="36" max="37" width="38" style="2" hidden="1" customWidth="1"/>
    <col min="38" max="38" width="41.4285714285714" style="2" hidden="1" customWidth="1"/>
    <col min="39" max="39" width="40.5714285714286" style="2" hidden="1" customWidth="1"/>
    <col min="40" max="40" width="41.7142857142857" style="2" hidden="1" customWidth="1"/>
    <col min="41" max="41" width="40.8571428571429" style="2" hidden="1" customWidth="1"/>
    <col min="42" max="42" width="34.1428571428571" style="2" hidden="1" customWidth="1"/>
    <col min="43" max="43" width="19.1428571428571" style="2" hidden="1" customWidth="1"/>
    <col min="44" max="44" width="24.5714285714286" style="2" hidden="1" customWidth="1"/>
    <col min="45" max="45" width="22.4285714285714" style="2" hidden="1" customWidth="1"/>
    <col min="46" max="46" width="15.5714285714286" style="2" hidden="1" customWidth="1"/>
    <col min="47" max="47" width="25.1428571428571" style="2" hidden="1" customWidth="1"/>
    <col min="48" max="48" width="20.7142857142857" style="2" hidden="1" customWidth="1"/>
    <col min="49" max="49" width="22.1428571428571" style="2" hidden="1" customWidth="1"/>
    <col min="50" max="16384" width="9.14285714285714" style="2"/>
  </cols>
  <sheetData>
    <row r="1" spans="1:3" s="115" customFormat="1" ht="15" outlineLevel="1">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A$4,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C$2,README!$E:$E,README!$I$36,README!$B$36)</f>
        <v>◈</v>
      </c>
    </row>
    <row r="2" spans="1:4" ht="15" outlineLevel="1">
      <c r="A2" s="85" t="s">
        <v>977</v>
      </c>
      <c r="C2" s="7" t="s">
        <v>268</v>
      </c>
      <c r="D2" s="49" t="str" cm="1">
        <f t="array" ca="1" aca="1" ref="D2">RemoveDelimiter(FilterElementsFromList(Helper!$B$2,Helper!$B$3,FALSE,", "),", ")</f>
        <v>R1-3, R2-3, R1-4, R2-4, R1-6, R2-6, R1-7, R2-7, R1-3-10, R2-3-10, R1-3-11, R2-3-11, R1-14, R1-16, R2-16, R21-23, R22-23, R1-29, R2-29, R31, R1-3-32, R2-3-32, R1-5-32, R2-5-32, R1-7-32, R2-7-32, R1-16-32, R2-16-32, R21-23-32, R22-23-32, R21-24-32, R22-24-32, R1-29-32, R2-29-32, R37, R38, R1-40, R2-40</v>
      </c>
    </row>
    <row r="3" spans="1:20" s="115" customFormat="1" ht="15" outlineLevel="1">
      <c r="A3" s="118" t="str">
        <f>_xlfn.UNICHAR(11206)</f>
        <v>⯆</v>
      </c>
      <c r="C3" s="114" t="str" cm="1">
        <f t="array" ca="1" aca="1" ref="C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C$4,README!$E:$E,README!$I$36,README!$B$36)</f>
        <v>◈</v>
      </c>
      <c r="D3" s="114" t="str" cm="1">
        <f t="array" ca="1" aca="1" ref="D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D$4,README!$E:$E,README!$I$36,README!$B$36)</f>
        <v>◈</v>
      </c>
      <c r="E3" s="114" t="str" cm="1">
        <f t="array" ca="1" aca="1" ref="E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E$4,README!$E:$E,README!$I$36,README!$B$36)</f>
        <v>◈</v>
      </c>
      <c r="F3" s="114" t="str" cm="1">
        <f t="array" ca="1" aca="1" ref="F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F$4,README!$E:$E,README!$I$36,README!$B$36)</f>
        <v>◈</v>
      </c>
      <c r="G3" s="114" t="str" cm="1">
        <f t="array" ca="1" aca="1" ref="G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G$4,README!$E:$E,README!$I$36,README!$B$36)</f>
        <v>◈</v>
      </c>
      <c r="H3" s="114" t="str" cm="1">
        <f t="array" ca="1" aca="1" ref="H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H$4,README!$E:$E,README!$I$36,README!$B$36)</f>
        <v>◈</v>
      </c>
      <c r="I3" s="114" t="str" cm="1">
        <f t="array" ca="1" aca="1" ref="I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I$4,README!$E:$E,README!$I$36,README!$B$36)</f>
        <v>◈</v>
      </c>
      <c r="J3" s="114" t="str" cm="1">
        <f t="array" ca="1" aca="1" ref="J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J$4,README!$E:$E,README!$I$36,README!$B$36)</f>
        <v>◈</v>
      </c>
      <c r="K3" s="114" t="str" cm="1">
        <f t="array" ca="1" aca="1" ref="K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K$4,README!$E:$E,README!$I$36,README!$B$36)</f>
        <v>◈</v>
      </c>
      <c r="L3" s="114" t="str" cm="1">
        <f t="array" ca="1" aca="1" ref="L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L$4,README!$E:$E,README!$I$36,README!$B$36)</f>
        <v>◈</v>
      </c>
      <c r="M3" s="114" t="str" cm="1">
        <f t="array" ca="1" aca="1" ref="M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M$4,README!$E:$E,README!$I$36,README!$B$36)</f>
        <v>◈</v>
      </c>
      <c r="N3" s="114" t="str" cm="1">
        <f t="array" ca="1" aca="1" ref="N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N$4,README!$E:$E,README!$I$36,README!$B$36)</f>
        <v>◈</v>
      </c>
      <c r="O3" s="114" t="str" cm="1">
        <f t="array" ca="1" aca="1" ref="O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O$4,README!$E:$E,README!$I$36,README!$B$36)</f>
        <v>◈</v>
      </c>
      <c r="P3" s="114" t="str" cm="1">
        <f t="array" ca="1" aca="1" ref="P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P$4,README!$E:$E,README!$I$36,README!$B$36)</f>
        <v>◈</v>
      </c>
      <c r="Q3" s="114" t="str" cm="1">
        <f t="array" ca="1" aca="1" ref="Q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Q$4,README!$E:$E,README!$I$36,README!$B$36)</f>
        <v>◈</v>
      </c>
      <c r="R3" s="114" t="str" cm="1">
        <f t="array" ca="1" aca="1" ref="R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R$4,README!$E:$E,README!$I$36,README!$B$36)</f>
        <v>◈</v>
      </c>
      <c r="S3" s="114" t="str" cm="1">
        <f t="array" ca="1" aca="1" ref="S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S$4,README!$E:$E,README!$I$36,README!$B$36)</f>
        <v>◈</v>
      </c>
      <c r="T3" s="114" t="str" cm="1">
        <f t="array" ca="1" aca="1" ref="T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$14,T$4,README!$E:$E,README!$I$36,README!$B$36)</f>
        <v>◈</v>
      </c>
    </row>
    <row r="4" spans="1:49" ht="30">
      <c r="A4" s="83" t="s">
        <v>978</v>
      </c>
      <c r="C4" s="13" t="s">
        <v>176</v>
      </c>
      <c r="D4" s="16" t="s">
        <v>105</v>
      </c>
      <c r="E4" s="16" t="s">
        <v>157</v>
      </c>
      <c r="F4" s="16" t="s">
        <v>187</v>
      </c>
      <c r="G4" s="16" t="s">
        <v>575</v>
      </c>
      <c r="H4" s="16" t="s">
        <v>188</v>
      </c>
      <c r="I4" s="16" t="s">
        <v>189</v>
      </c>
      <c r="J4" s="16" t="s">
        <v>278</v>
      </c>
      <c r="K4" s="16" t="s">
        <v>468</v>
      </c>
      <c r="L4" s="16" t="s">
        <v>447</v>
      </c>
      <c r="M4" s="16" t="s">
        <v>574</v>
      </c>
      <c r="N4" s="16" t="s">
        <v>446</v>
      </c>
      <c r="O4" s="16" t="s">
        <v>566</v>
      </c>
      <c r="P4" s="16" t="s">
        <v>475</v>
      </c>
      <c r="Q4" s="13" t="s">
        <v>476</v>
      </c>
      <c r="R4" s="16" t="s">
        <v>477</v>
      </c>
      <c r="S4" s="13" t="s">
        <v>478</v>
      </c>
      <c r="T4" s="13" t="s">
        <v>3</v>
      </c>
      <c r="U4" s="10" t="s">
        <v>54</v>
      </c>
      <c r="V4" s="10" t="s">
        <v>230</v>
      </c>
      <c r="W4" s="10" t="s">
        <v>104</v>
      </c>
      <c r="X4" s="10" t="s">
        <v>264</v>
      </c>
      <c r="Y4" s="10" t="s">
        <v>281</v>
      </c>
      <c r="Z4" s="10" t="s">
        <v>285</v>
      </c>
      <c r="AA4" s="10" t="s">
        <v>479</v>
      </c>
      <c r="AB4" s="10" t="s">
        <v>537</v>
      </c>
      <c r="AC4" s="10" t="s">
        <v>536</v>
      </c>
      <c r="AD4" s="10" t="s">
        <v>567</v>
      </c>
      <c r="AE4" s="10" t="s">
        <v>568</v>
      </c>
      <c r="AF4" s="10" t="s">
        <v>648</v>
      </c>
      <c r="AG4" s="10" t="s">
        <v>650</v>
      </c>
      <c r="AH4" s="10" t="s">
        <v>691</v>
      </c>
      <c r="AI4" s="10" t="s">
        <v>692</v>
      </c>
      <c r="AJ4" s="10" t="s">
        <v>693</v>
      </c>
      <c r="AK4" s="10" t="s">
        <v>694</v>
      </c>
      <c r="AL4" s="10" t="s">
        <v>695</v>
      </c>
      <c r="AM4" s="10" t="s">
        <v>696</v>
      </c>
      <c r="AN4" s="10" t="s">
        <v>697</v>
      </c>
      <c r="AO4" s="10" t="s">
        <v>698</v>
      </c>
      <c r="AP4" s="10" t="s">
        <v>1288</v>
      </c>
      <c r="AQ4" s="10" t="s">
        <v>1289</v>
      </c>
      <c r="AR4" s="10" t="s">
        <v>1293</v>
      </c>
      <c r="AS4" s="10" t="s">
        <v>1294</v>
      </c>
      <c r="AT4" s="10" t="s">
        <v>1324</v>
      </c>
      <c r="AU4" s="10" t="s">
        <v>1337</v>
      </c>
      <c r="AV4" s="10" t="s">
        <v>1338</v>
      </c>
      <c r="AW4" s="10" t="s">
        <v>1431</v>
      </c>
    </row>
    <row r="5" spans="1:49" ht="15">
      <c r="A5" s="84" t="str" cm="1">
        <f t="array" ca="1" aca="1" ref="A5:A42">_xlfn._xlws.FILTER(Table8[R ID],Table8[R ID]&lt;&gt;"","")</f>
        <v>R1-3</v>
      </c>
      <c r="C5" s="13"/>
      <c r="D5" s="16" t="str" cm="1">
        <f t="array" ref="D5">IF($C5="","",IF($W5=-1,"ERROR: Unknown ID: "&amp;$C5,INDEX(Risks!B:B,$W5)))</f>
        <v/>
      </c>
      <c r="E5" s="36" t="str" cm="1">
        <f t="array" ca="1" aca="1" ref="E5">IF($W5=-1,"",INDEX(Risks!C:C,$W5))</f>
        <v/>
      </c>
      <c r="F5" s="16" t="str" cm="1">
        <f t="array" ca="1" aca="1" ref="F5">IF($W5=-1,"",INDEX(Risks!D:D,$W5))</f>
        <v/>
      </c>
      <c r="G5" s="19" t="str" cm="1">
        <f t="array" ref="G5">IF($C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C5,Risks!$A:W,Definitions!$Y:$Y,Definitions!$AB:$AB,1)&amp;CHAR(10)&amp;_xlpm._factorFunction($C5,Risks!$A:X,Definitions!$Y:$Y,Definitions!$AB:$AB,2)&amp;CHAR(10)&amp;_xlpm._factorFunction($C5,Risks!$A:Y,Definitions!$Y:$Y,Definitions!$AB:$AB,3)&amp;CHAR(10)&amp;_xlpm._factorFunction($C5,Risks!$A:Z,Definitions!$Y:$Y,Definitions!$AB:$AB,4)&amp;CHAR(10)&amp;_xlpm._factorFunction($C5,Risks!$A:AA,Definitions!$Y:$Y,Definitions!$AB:$AB,5)))</f>
        <v/>
      </c>
      <c r="H5" s="16" t="str" cm="1">
        <f t="array" ca="1" aca="1" ref="H5">IF($W5=-1,"",INDEX(Risks!F:F,$W5))</f>
        <v/>
      </c>
      <c r="I5" s="16" t="str" cm="1">
        <f t="array" ca="1" aca="1" ref="I5">IF($W5=-1,"",INDEX(Risks!G:G,$W5))</f>
        <v/>
      </c>
      <c r="J5" s="16" t="str" cm="1">
        <f t="array" ca="1" aca="1" ref="J5">_xlfn.LET(_xlpm._assignedMitigations,IF($C5="","",IFERROR(RemoveDelimiter(GetValuesWithFallback($AW5,Countermeasures!$A:$B,Assumptions!$A:$B," ",","&amp;CHAR(10),TRUE),","&amp;CHAR(10)),"Error: Unknown risk ID "&amp;$C5)),_xlpm._inlineMitigations,$AQ5,_xlpm._assignedMitigations&amp;IF(OR(_xlpm._assignedMitigations="",_xlpm._inlineMitigations=""),"",","&amp;CHAR(10))&amp;_xlpm._inlineMitigations)</f>
        <v/>
      </c>
      <c r="K5" s="36" t="str" cm="1">
        <f t="array" ca="1" aca="1" ref="K5">IF($W5=-1,"",RemoveDelimiter(GetValues(INDEX(Risks!O:O,$W5),'DS Overview'!$A:$B," ",","&amp;CHAR(10),TRUE),","&amp;CHAR(10)))</f>
        <v/>
      </c>
      <c r="L5" s="16" t="str" cm="1">
        <f t="array" ref="L5">IF($C5="","",SimpleLookup($C5,Risks!$A:$V))</f>
        <v/>
      </c>
      <c r="M5" s="19" t="str" cm="1">
        <f t="array" ca="1" aca="1" ref="M5">_xlfn.LET(_xlpm._calculatedRAP,IFERROR(SimpleLookup($C5,Risks!$A:$BG),""),_xlpm._inlineRAP,IFERROR(SimpleLookup($C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P5,_xlpm._mitigationSheetName&amp;" sheet "&amp;_xlfn.UNICHAR(8702)&amp;" Comment column:"&amp;CHAR(10)&amp;$AQ5)))</f>
        <v/>
      </c>
      <c r="N5" s="16" t="str" cm="1">
        <f t="array" ref="N5">IF($C5="","",SimpleLookup($C5,Risks!$A:$BI))</f>
        <v/>
      </c>
      <c r="O5" s="16" t="str" cm="1">
        <f t="array" ref="O5">IF($C5="","",SimpleLookup($C5,Risks!$A:$BJ))</f>
        <v/>
      </c>
      <c r="P5" s="16" t="str">
        <f>IF($C5="","",IF($AA5&lt;=Definitions!$AF$6,Definitions!$M$4,""))</f>
        <v/>
      </c>
      <c r="Q5" s="13"/>
      <c r="R5" s="16" t="str">
        <f>IF($Q5="",$P5,$Q5)</f>
        <v/>
      </c>
      <c r="S5" s="13"/>
      <c r="T5" s="13"/>
      <c r="U5" s="10" cm="1">
        <f t="array" ref="U5">GenerateShadowID(ROW(),$U$4,$U:$U,0,C5&lt;&gt;"")</f>
        <v>0</v>
      </c>
      <c r="V5" s="10" cm="1">
        <f t="array" ref="V5">CreateTaskID($V$4,$V:$V,Tasks!$B$17,$T5)</f>
        <v>0</v>
      </c>
      <c r="W5" s="10">
        <f ca="1">IFERROR(MATCH($C5,Risks!$A:$A,0),-1)</f>
        <v>-1</v>
      </c>
      <c r="X5" s="10" t="str" cm="1">
        <f t="array" ref="X5">IF(ROW()=ROW($X$4)+1,"",INDEX($X:$X,ROW()-1))&amp;IF($C5="","",$C5&amp;",")</f>
        <v/>
      </c>
      <c r="Y5" s="10" t="str" cm="1">
        <f t="array" ca="1" aca="1" ref="Y5">IF($W5=-1,"",INDEX(Risks!K:K,$W5))</f>
        <v/>
      </c>
      <c r="Z5" s="21" t="str" cm="1">
        <f t="array" ca="1" aca="1" ref="Z5">GetValues($Y5,'Attack Steps'!$A:$AE,"","",FALSE)</f>
        <v/>
      </c>
      <c r="AA5" s="21" cm="1">
        <f t="array" ref="AA5">IF($O5="",0,SimpleLookup($O5,Definitions!$AE:$AF))</f>
        <v>0</v>
      </c>
      <c r="AB5" s="21" t="str">
        <f t="shared" si="0" ref="AB5">IF(AND($Q5&lt;&gt;"",$S5=""),$C5&amp;" "&amp;$D5,"")</f>
        <v/>
      </c>
      <c r="AC5" s="21" cm="1">
        <f t="array" ref="AC5">CreateID($AC$4,$AC:$AC,AND($C5&lt;&gt;"",$AB5&lt;&gt;""))</f>
        <v>0</v>
      </c>
      <c r="AD5" s="21" t="str">
        <f t="shared" si="1" ref="AD5">IF(AND($P5="",$Q5=""),$C5&amp;" "&amp;$D5,"")</f>
        <v xml:space="preserve"> </v>
      </c>
      <c r="AE5" s="21" cm="1">
        <f t="array" ref="AE5">CreateID($AE$4,$AE:$AE,AND($C5&lt;&gt;"",$AD5&lt;&gt;""))</f>
        <v>0</v>
      </c>
      <c r="AF5" s="21" t="str" cm="1">
        <f t="array" ref="AF5">_xlfn.LET(_xlpm._letters,IF(AND($R5&lt;&gt;"",$R5&lt;&gt;Definitions!$M$4),SimpleLookup(SimpleLookup($C5,Risks!$A:$L),'Attack Steps'!$A:$O),""),IF(_xlpm._letters="","",","&amp;SanitizeInput(_xlpm._letters)))</f>
        <v/>
      </c>
      <c r="AG5" s="21" t="str">
        <f t="shared" si="2" ref="AG5">IF($AF5="","",$C5&amp;" ["&amp;$R5&amp;"]: "&amp;$S5)</f>
        <v/>
      </c>
      <c r="AH5" s="21" cm="1">
        <f t="array" ref="AH5">CreateID($AH$4,$AH:$AH,IFERROR(FIND(Definitions!$AR$4,$S5)&gt;0,FALSE))</f>
        <v>0</v>
      </c>
      <c r="AI5" s="21">
        <f>_xlfn.LET(_xlpm._comment,$S5,_xlpm._keyWord,Definitions!$AR$4,_xlpm._diffLen,LEN(_xlpm._comment)-LEN(SUBSTITUTE(_xlpm._comment,_xlpm._keyWord,"")),_xlpm._diffLen/LEN(_xlpm._keyWord))</f>
        <v>0</v>
      </c>
      <c r="AJ5" s="21" cm="1">
        <f t="array" ref="AJ5">CreateID($AJ$4,$AJ:$AJ,IFERROR(FIND(Definitions!$AR$4,$T5)&gt;0,FALSE))</f>
        <v>0</v>
      </c>
      <c r="AK5" s="21">
        <f>_xlfn.LET(_xlpm._comment,$T5,_xlpm._keyWord,Definitions!$AR$4,_xlpm._diffLen,LEN(_xlpm._comment)-LEN(SUBSTITUTE(_xlpm._comment,_xlpm._keyWord,"")),_xlpm._diffLen/LEN(_xlpm._keyWord))</f>
        <v>0</v>
      </c>
      <c r="AL5" s="21" cm="1">
        <f t="array" ref="AL5">CreateID($AL$4,$AL:$AL,IFERROR(FIND(Definitions!$AR$5,$S5)&gt;0,FALSE))</f>
        <v>0</v>
      </c>
      <c r="AM5" s="21">
        <f>_xlfn.LET(_xlpm._comment,$S5,_xlpm._keyWord,Definitions!$AR$5,_xlpm._diffLen,LEN(_xlpm._comment)-LEN(SUBSTITUTE(_xlpm._comment,_xlpm._keyWord,"")),_xlpm._diffLen/LEN(_xlpm._keyWord))</f>
        <v>0</v>
      </c>
      <c r="AN5" s="21" cm="1">
        <f t="array" ref="AN5">CreateID($AN$4,$AN:$AN,IFERROR(FIND(Definitions!$AR$5,$T5)&gt;0,FALSE))</f>
        <v>0</v>
      </c>
      <c r="AO5" s="21">
        <f>_xlfn.LET(_xlpm._comment,$T5,_xlpm._keyWord,Definitions!$AR$5,_xlpm._diffLen,LEN(_xlpm._comment)-LEN(SUBSTITUTE(_xlpm._comment,_xlpm._keyWord,"")),_xlpm._diffLen/LEN(_xlpm._keyWord))</f>
        <v>0</v>
      </c>
      <c r="AP5" s="21" t="str" cm="1">
        <f t="array" ref="AP5">IF($C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C5,Risks!$A:AV,Definitions!$Y:$Y,Definitions!$AB:$AB,1)&amp;CHAR(10)&amp;_xlpm._factorFunction($C5,Risks!$A:AW,Definitions!$Y:$Y,Definitions!$AB:$AB,2)&amp;CHAR(10)&amp;_xlpm._factorFunction($C5,Risks!$A:AX,Definitions!$Y:$Y,Definitions!$AB:$AB,3)&amp;CHAR(10)&amp;_xlpm._factorFunction($C5,Risks!$A:AY,Definitions!$Y:$Y,Definitions!$AB:$AB,4)&amp;CHAR(10)&amp;_xlpm._factorFunction($C5,Risks!$A:AZ,Definitions!$Y:$Y,Definitions!$AB:$AB,5)))</f>
        <v/>
      </c>
      <c r="AQ5" s="21" t="str" cm="1">
        <f t="array" ca="1" aca="1" ref="AQ5">RemoveDelimiter(GetValues($Y5,Mitigation!$A:$AG,"",","&amp;CHAR(10),FALSE),","&amp;CHAR(10))</f>
        <v/>
      </c>
      <c r="AR5" s="21" t="str" cm="1">
        <f t="array" ref="AR5">IF($C5="","",IF(ISERROR(SimpleLookup($C5,Risks!$A:$A)),$C5,""))</f>
        <v/>
      </c>
      <c r="AS5" s="21" cm="1">
        <f t="array" ref="AS5">CreateID($AS$4,$AS:$AS,$AR5&lt;&gt;"")</f>
        <v>0</v>
      </c>
      <c r="AT5" s="21" t="str" cm="1">
        <f t="array" ref="AT5">CreateSearchString($C5)</f>
        <v/>
      </c>
      <c r="AU5" s="21" t="str">
        <f>IF($C5="","",IF(MATCH($C5,$C:$C,0)=ROW($C5),"",$C5))</f>
        <v/>
      </c>
      <c r="AV5" s="21" cm="1">
        <f t="array" ref="AV5">CreateID($AV$4,$AV:$AV,$AU5&lt;&gt;"")</f>
        <v>0</v>
      </c>
      <c r="AW5" s="21" t="str" cm="1">
        <f t="array" ref="AW5">IF($C5="","",_xlfn.LET(_xlpm._ids,SanitizeInput(SimpleLookup($C5,Risks!$A:$AK)),_xlpm._assumptionIDs,SortList(_xlpm._ids,Assumptions!$A:$T,Helper!$B$6,"",",",TRUE),_xlpm._countermeasureIDs,SortList(_xlpm._ids,Countermeasures!$A:$T,Helper!$B$4,"",",",TRUE),_xlpm._sortedIDs,_xlpm._assumptionIDs&amp;_xlpm._countermeasureIDs,_xlpm._sortedIDs))</f>
        <v/>
      </c>
    </row>
    <row r="6" spans="1:1" ht="15">
      <c r="A6" s="9" t="str">
        <v>R2-3</v>
      </c>
    </row>
    <row r="7" spans="1:1" ht="15">
      <c r="A7" s="9" t="str">
        <v>R1-4</v>
      </c>
    </row>
    <row r="8" spans="1:1" ht="15">
      <c r="A8" s="9" t="str">
        <v>R2-4</v>
      </c>
    </row>
    <row r="9" spans="1:1" ht="15">
      <c r="A9" s="9" t="str">
        <v>R1-6</v>
      </c>
    </row>
    <row r="10" spans="1:1" ht="15">
      <c r="A10" s="9" t="str">
        <v>R2-6</v>
      </c>
    </row>
    <row r="11" spans="1:1" ht="15">
      <c r="A11" s="9" t="str">
        <v>R1-7</v>
      </c>
    </row>
    <row r="12" spans="1:1" ht="15">
      <c r="A12" s="9" t="str">
        <v>R2-7</v>
      </c>
    </row>
    <row r="13" spans="1:1" ht="15">
      <c r="A13" s="9" t="str">
        <v>R1-3-10</v>
      </c>
    </row>
    <row r="14" spans="1:1" ht="15">
      <c r="A14" s="9" t="str">
        <v>R2-3-10</v>
      </c>
    </row>
    <row r="15" spans="1:1" ht="15">
      <c r="A15" s="9" t="str">
        <v>R1-3-11</v>
      </c>
    </row>
    <row r="16" spans="1:1" ht="15">
      <c r="A16" s="9" t="str">
        <v>R2-3-11</v>
      </c>
    </row>
    <row r="17" spans="1:1" ht="15">
      <c r="A17" s="9" t="str">
        <v>R1-14</v>
      </c>
    </row>
    <row r="18" spans="1:1" ht="15">
      <c r="A18" s="9" t="str">
        <v>R1-16</v>
      </c>
    </row>
    <row r="19" spans="1:1" ht="15">
      <c r="A19" s="9" t="str">
        <v>R2-16</v>
      </c>
    </row>
    <row r="20" spans="1:1" ht="15">
      <c r="A20" s="9" t="str">
        <v>R21-23</v>
      </c>
    </row>
    <row r="21" spans="1:1" ht="15">
      <c r="A21" s="9" t="str">
        <v>R22-23</v>
      </c>
    </row>
    <row r="22" spans="1:1" ht="15">
      <c r="A22" s="9" t="str">
        <v>R1-29</v>
      </c>
    </row>
    <row r="23" spans="1:1" ht="15">
      <c r="A23" s="9" t="str">
        <v>R2-29</v>
      </c>
    </row>
    <row r="24" spans="1:1" ht="15">
      <c r="A24" s="9" t="str">
        <v>R31</v>
      </c>
    </row>
    <row r="25" spans="1:1" ht="15">
      <c r="A25" s="9" t="str">
        <v>R1-3-32</v>
      </c>
    </row>
    <row r="26" spans="1:1" ht="15">
      <c r="A26" s="9" t="str">
        <v>R2-3-32</v>
      </c>
    </row>
    <row r="27" spans="1:1" ht="15">
      <c r="A27" s="9" t="str">
        <v>R1-5-32</v>
      </c>
    </row>
    <row r="28" spans="1:1" ht="15">
      <c r="A28" s="9" t="str">
        <v>R2-5-32</v>
      </c>
    </row>
    <row r="29" spans="1:1" ht="15">
      <c r="A29" s="9" t="str">
        <v>R1-7-32</v>
      </c>
    </row>
    <row r="30" spans="1:1" ht="15">
      <c r="A30" s="9" t="str">
        <v>R2-7-32</v>
      </c>
    </row>
    <row r="31" spans="1:1" ht="15">
      <c r="A31" s="9" t="str">
        <v>R1-16-32</v>
      </c>
    </row>
    <row r="32" spans="1:1" ht="15">
      <c r="A32" s="9" t="str">
        <v>R2-16-32</v>
      </c>
    </row>
    <row r="33" spans="1:1" ht="15">
      <c r="A33" s="9" t="str">
        <v>R21-23-32</v>
      </c>
    </row>
    <row r="34" spans="1:1" ht="15">
      <c r="A34" s="9" t="str">
        <v>R22-23-32</v>
      </c>
    </row>
    <row r="35" spans="1:1" ht="15">
      <c r="A35" s="9" t="str">
        <v>R21-24-32</v>
      </c>
    </row>
    <row r="36" spans="1:1" ht="15">
      <c r="A36" s="9" t="str">
        <v>R22-24-32</v>
      </c>
    </row>
    <row r="37" spans="1:1" ht="15">
      <c r="A37" s="9" t="str">
        <v>R1-29-32</v>
      </c>
    </row>
    <row r="38" spans="1:1" ht="15">
      <c r="A38" s="9" t="str">
        <v>R2-29-32</v>
      </c>
    </row>
    <row r="39" spans="1:1" ht="15">
      <c r="A39" s="9" t="str">
        <v>R37</v>
      </c>
    </row>
    <row r="40" spans="1:1" ht="15">
      <c r="A40" s="9" t="str">
        <v>R38</v>
      </c>
    </row>
    <row r="41" spans="1:1" ht="15">
      <c r="A41" s="9" t="str">
        <v>R1-40</v>
      </c>
    </row>
    <row r="42" spans="1:1" ht="15">
      <c r="A42" s="9" t="str">
        <v>R2-40</v>
      </c>
    </row>
  </sheetData>
  <sheetProtection password="EDD3" sheet="1" objects="1" scenarios="1"/>
  <conditionalFormatting sqref="S1:S1048576">
    <cfRule type="expression" priority="1" dxfId="74">
      <formula>AND($Q1&lt;&gt;"",$S1="")</formula>
    </cfRule>
  </conditionalFormatting>
  <conditionalFormatting sqref="I1:I1048576 O1:O1048576">
    <cfRule type="expression" priority="8" dxfId="690">
      <formula>I1=Definitions!$AE$4</formula>
    </cfRule>
    <cfRule type="expression" priority="63" dxfId="691">
      <formula>I1=Definitions!$AE$5</formula>
    </cfRule>
    <cfRule type="expression" priority="64" dxfId="692">
      <formula>I1=Definitions!$AE$6</formula>
    </cfRule>
    <cfRule type="expression" priority="65" dxfId="693">
      <formula>I1=Definitions!$AE$7</formula>
    </cfRule>
    <cfRule type="expression" priority="66" dxfId="694">
      <formula>I1=Definitions!$AE$8</formula>
    </cfRule>
  </conditionalFormatting>
  <conditionalFormatting sqref="Q1:Q1048576">
    <cfRule type="expression" priority="2" dxfId="74">
      <formula>AND($O1&lt;&gt;"",$Q1="",$P1&lt;&gt;Definitions!$M$4)</formula>
    </cfRule>
  </conditionalFormatting>
  <conditionalFormatting sqref="T1:T1048576">
    <cfRule type="expression" priority="3" dxfId="685">
      <formula>IFERROR(FIND(Tasks!$B$17,T1)&gt;0,FALSE)</formula>
    </cfRule>
  </conditionalFormatting>
  <dataValidations count="1">
    <dataValidation type="list" allowBlank="1" showInputMessage="1" showErrorMessage="1" sqref="Q5">
      <formula1>Definitions!$M$4:$M$7</formula1>
    </dataValidation>
  </dataValidations>
  <pageMargins left="0.7" right="0.7" top="0.75" bottom="0.75" header="0.3" footer="0.3"/>
  <pageSetup orientation="portrait" paperSize="9" r:id="rId2"/>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D82E1A-DCF8-4A09-9231-B07CAD3B9BAB}">
  <sheetPr>
    <tabColor theme="9" tint="-0.49997"/>
  </sheetPr>
  <dimension ref="A1:AJ101"/>
  <sheetViews>
    <sheetView windowProtection="1" workbookViewId="0" topLeftCell="A1">
      <pane xSplit="2" ySplit="17" topLeftCell="C18" activePane="bottomRight" state="frozen"/>
      <selection pane="topLeft" activeCell="A16" sqref="A16"/>
      <selection pane="bottomLeft" activeCell="A17" sqref="A17"/>
      <selection pane="topRight" activeCell="C16" sqref="C16"/>
      <selection pane="bottomRight" activeCell="E18" sqref="E18"/>
    </sheetView>
  </sheetViews>
  <sheetFormatPr defaultColWidth="9.14428571428571" defaultRowHeight="15" outlineLevelCol="1"/>
  <cols>
    <col min="1" max="1" width="12.7142857142857" style="4" customWidth="1"/>
    <col min="2" max="2" width="30.7142857142857" style="4" customWidth="1"/>
    <col min="3" max="3" width="15.7142857142857" style="4" customWidth="1"/>
    <col min="4" max="4" width="75.7142857142857" style="4" customWidth="1"/>
    <col min="5" max="6" width="10.7142857142857" style="4" customWidth="1" outlineLevel="1"/>
    <col min="7" max="7" width="17.8571428571429" style="4" customWidth="1" outlineLevel="1"/>
    <col min="8" max="8" width="60.7142857142857" style="4" customWidth="1"/>
    <col min="9" max="9" width="14.1428571428571" style="2" hidden="1" customWidth="1"/>
    <col min="10" max="10" width="19.5714285714286" style="2" hidden="1" customWidth="1"/>
    <col min="11" max="11" width="20.5714285714286" style="2" hidden="1" customWidth="1"/>
    <col min="12" max="12" width="36.8571428571429" style="2" hidden="1" customWidth="1"/>
    <col min="13" max="13" width="29.4285714285714" style="2" hidden="1" customWidth="1"/>
    <col min="14" max="14" width="35.1428571428571" style="2" hidden="1" customWidth="1"/>
    <col min="15" max="15" width="22.7142857142857" style="2" hidden="1" customWidth="1"/>
    <col min="16" max="16" width="31.1428571428571" style="2" hidden="1" customWidth="1"/>
    <col min="17" max="17" width="29.2857142857143" style="2" hidden="1" customWidth="1"/>
    <col min="18" max="18" width="37" style="2" hidden="1" customWidth="1"/>
    <col min="19" max="19" width="32.7142857142857" style="2" hidden="1" customWidth="1"/>
    <col min="20" max="20" width="27" style="2" hidden="1" customWidth="1"/>
    <col min="21" max="21" width="19.8571428571429" style="2" hidden="1" customWidth="1"/>
    <col min="22" max="22" width="26.1428571428571" style="2" hidden="1" customWidth="1"/>
    <col min="23" max="23" width="22.5714285714286" style="2" hidden="1" customWidth="1"/>
    <col min="24" max="24" width="14.1428571428571" style="2" hidden="1" customWidth="1"/>
    <col min="25" max="25" width="19.5714285714286" style="2" hidden="1" customWidth="1"/>
    <col min="26" max="26" width="18.4285714285714" style="2" hidden="1" customWidth="1"/>
    <col min="27" max="27" width="31.7142857142857" style="2" hidden="1" customWidth="1"/>
    <col min="28" max="28" width="25.2857142857143" style="2" hidden="1" customWidth="1"/>
    <col min="29" max="29" width="35" style="2" hidden="1" customWidth="1"/>
    <col min="30" max="30" width="22.1428571428571" style="2" hidden="1" customWidth="1"/>
    <col min="31" max="31" width="19.8571428571429" style="2" hidden="1" customWidth="1"/>
    <col min="32" max="32" width="26.2857142857143" style="2" hidden="1" customWidth="1"/>
    <col min="33" max="33" width="68.4285714285714" style="2" hidden="1" customWidth="1"/>
    <col min="34" max="34" width="9.57142857142857" style="2" hidden="1" customWidth="1"/>
    <col min="35" max="35" width="24.2857142857143" style="2" hidden="1" customWidth="1"/>
    <col min="36" max="36" width="22.1428571428571" style="2" hidden="1" customWidth="1"/>
    <col min="37" max="16384" width="9.14285714285714" style="2"/>
  </cols>
  <sheetData>
    <row r="1" spans="2:2" s="12" customFormat="1" ht="18.75" hidden="1">
      <c r="B1" s="58" t="s">
        <v>686</v>
      </c>
    </row>
    <row r="2" spans="2:17" s="12" customFormat="1" ht="15" hidden="1">
      <c r="B2" s="11" t="s">
        <v>233</v>
      </c>
      <c r="C2" s="11" t="s">
        <v>667</v>
      </c>
      <c r="D2" s="11" t="s">
        <v>671</v>
      </c>
      <c r="E2" s="11"/>
      <c r="F2" s="12" t="s">
        <v>231</v>
      </c>
      <c r="I2" s="12" t="s">
        <v>235</v>
      </c>
      <c r="J2" s="12" t="s">
        <v>238</v>
      </c>
      <c r="K2" s="12" t="s">
        <v>546</v>
      </c>
      <c r="L2" s="12" t="s">
        <v>668</v>
      </c>
      <c r="M2" s="12" t="s">
        <v>672</v>
      </c>
      <c r="N2" s="12" t="s">
        <v>673</v>
      </c>
      <c r="O2" s="12" t="s">
        <v>242</v>
      </c>
      <c r="P2" s="12" t="s">
        <v>248</v>
      </c>
      <c r="Q2" s="12" t="s">
        <v>683</v>
      </c>
    </row>
    <row r="3" spans="2:17" s="12" customFormat="1" ht="15" hidden="1">
      <c r="B3" s="12" t="str" cm="1">
        <f t="array" ca="1" aca="1" ref="B3">CELL("address",Questionnaire!$G$3)</f>
        <v>'[QuBA-libre.xlsx]Questionnaire'!$G$3</v>
      </c>
      <c r="C3" s="12" t="str" cm="1">
        <f t="array" ca="1" aca="1" ref="C3">CELL("address",Questionnaire!$V$3)</f>
        <v>'[QuBA-libre.xlsx]Questionnaire'!$V$3</v>
      </c>
      <c r="D3" s="12" t="str" cm="1">
        <f t="array" ca="1" aca="1" ref="D3">CELL("address",Questionnaire!$W$3)</f>
        <v>'[QuBA-libre.xlsx]Questionnaire'!$W$3</v>
      </c>
      <c r="F3" s="12" t="str" cm="1">
        <f t="array" ca="1" aca="1" ref="F3">CELL("address",Questionnaire!$A$3)</f>
        <v>'[QuBA-libre.xlsx]Questionnaire'!$A$3</v>
      </c>
      <c r="I3" s="12" t="str">
        <f ca="1">IF(B3="","",_xlfn.LET(_xlpm._in,B3,_xlpm._start,FIND("]",_xlpm._in)+1,SUBSTITUTE(MID(_xlpm._in,_xlpm._start,FIND("!",_xlpm._in)-_xlpm._start),"'","")))</f>
        <v>Questionnaire</v>
      </c>
      <c r="J3" s="12" t="str">
        <f ca="1" t="shared" si="0" ref="J3:K7">IF($I3="","",_xlfn.LET(_xlpm._in,B3,_xlpm._start,FIND("$",_xlpm._in)+1,MID(_xlpm._in,_xlpm._start,FIND("$",SUBSTITUTE(_xlpm._in,"$","§",1))-_xlpm._start)))</f>
        <v>G</v>
      </c>
      <c r="K3" s="12" t="str">
        <f t="shared" ca="1" si="0"/>
        <v>V</v>
      </c>
      <c r="L3" s="12">
        <f ca="1">IF($I3="","",MAX(INDIRECT("'"&amp;$I3&amp;"'!"&amp;$K3&amp;":"&amp;$K3)))</f>
        <v>0</v>
      </c>
      <c r="M3" s="12" t="str">
        <f ca="1">IF($I3="","",_xlfn.LET(_xlpm._in,D3,_xlpm._start,FIND("$",_xlpm._in)+1,MID(_xlpm._in,_xlpm._start,FIND("$",SUBSTITUTE(_xlpm._in,"$","§",1))-_xlpm._start)))</f>
        <v>W</v>
      </c>
      <c r="N3" s="12">
        <f ca="1">IF($I3="","",SUM(INDIRECT("'"&amp;$I3&amp;"'!"&amp;$M3&amp;":"&amp;$M3)))</f>
        <v>0</v>
      </c>
      <c r="O3" s="12" cm="1">
        <f t="array" ca="1" aca="1" ref="O3">CreateID($O$2,$O:$O,AND($N3&lt;&gt;0,$N3&lt;&gt;""))</f>
        <v>0</v>
      </c>
      <c r="P3" s="12" t="str">
        <f ca="1">IF($B3="","",RIGHT($B3,LEN($B3)-FIND("$",SUBSTITUTE($B3,"$","§",1))))</f>
        <v>3</v>
      </c>
      <c r="Q3" s="12" t="str">
        <f ca="1">IF($I3="","",_xlfn.LET(_xlpm._in,F3,_xlpm._start,FIND("$",_xlpm._in)+1,MID(_xlpm._in,_xlpm._start,FIND("$",SUBSTITUTE(_xlpm._in,"$","§",1))-_xlpm._start)))</f>
        <v>A</v>
      </c>
    </row>
    <row r="4" spans="2:18" s="12" customFormat="1" ht="15" hidden="1">
      <c r="B4" s="12" t="str" cm="1">
        <f t="array" ca="1" aca="1" ref="B4">CELL("address",Mitigation!$O$2)</f>
        <v>'[QuBA-libre.xlsx]Mitigation'!$O$2</v>
      </c>
      <c r="C4" s="12" t="str" cm="1">
        <f t="array" ca="1" aca="1" ref="C4">CELL("address",Mitigation!$Z$2)</f>
        <v>'[QuBA-libre.xlsx]Mitigation'!$Z$2</v>
      </c>
      <c r="D4" s="12" t="str" cm="1">
        <f t="array" ca="1" aca="1" ref="D4">CELL("address",Mitigation!$AA$2)</f>
        <v>'[QuBA-libre.xlsx]Mitigation'!$AA$2</v>
      </c>
      <c r="F4" s="12" t="str" cm="1">
        <f t="array" ca="1" aca="1" ref="F4">CELL("address",Mitigation!$A$2)</f>
        <v>'[QuBA-libre.xlsx]Mitigation'!$A$2</v>
      </c>
      <c r="I4" s="12" t="str">
        <f ca="1">IF(B4="","",_xlfn.LET(_xlpm._in,B4,_xlpm._start,FIND("]",_xlpm._in)+1,SUBSTITUTE(MID(_xlpm._in,_xlpm._start,FIND("!",_xlpm._in)-_xlpm._start),"'","")))</f>
        <v>Mitigation</v>
      </c>
      <c r="J4" s="57" t="str">
        <f t="shared" ca="1" si="0"/>
        <v>O</v>
      </c>
      <c r="K4" s="57" t="str">
        <f t="shared" ca="1" si="0"/>
        <v>Z</v>
      </c>
      <c r="L4" s="12">
        <f ca="1">IF($I4="","",MAX(INDIRECT("'"&amp;$I4&amp;"'!"&amp;$K4&amp;":"&amp;$K4)))</f>
        <v>0</v>
      </c>
      <c r="M4" s="57" t="str">
        <f ca="1">IF($I4="","",_xlfn.LET(_xlpm._in,D4,_xlpm._start,FIND("$",_xlpm._in)+1,MID(_xlpm._in,_xlpm._start,FIND("$",SUBSTITUTE(_xlpm._in,"$","§",1))-_xlpm._start)))</f>
        <v>AA</v>
      </c>
      <c r="N4" s="57">
        <f ca="1">IF($I4="","",SUM(INDIRECT("'"&amp;$I4&amp;"'!"&amp;$M4&amp;":"&amp;$M4)))</f>
        <v>0</v>
      </c>
      <c r="O4" s="57" cm="1">
        <f t="array" ca="1" aca="1" ref="O4">CreateID($O$2,$O:$O,AND($N4&lt;&gt;0,$N4&lt;&gt;""))</f>
        <v>0</v>
      </c>
      <c r="P4" s="12" t="str">
        <f ca="1">IF($B4="","",RIGHT($B4,LEN($B4)-FIND("$",SUBSTITUTE($B4,"$","§",1))))</f>
        <v>2</v>
      </c>
      <c r="Q4" s="57" t="str">
        <f ca="1">IF($I4="","",_xlfn.LET(_xlpm._in,F4,_xlpm._start,FIND("$",_xlpm._in)+1,MID(_xlpm._in,_xlpm._start,FIND("$",SUBSTITUTE(_xlpm._in,"$","§",1))-_xlpm._start)))</f>
        <v>A</v>
      </c>
      <c r="R4" s="57"/>
    </row>
    <row r="5" spans="2:17" s="12" customFormat="1" ht="15" hidden="1">
      <c r="B5" s="12" t="str" cm="1">
        <f t="array" ca="1" aca="1" ref="B5">CELL("address",'Risk Treatment'!$S$4)</f>
        <v>'[QuBA-libre.xlsx]Risk Treatment'!$S$4</v>
      </c>
      <c r="C5" s="12" t="str" cm="1">
        <f t="array" ca="1" aca="1" ref="C5">CELL("address",'Risk Treatment'!$AH$4)</f>
        <v>'[QuBA-libre.xlsx]Risk Treatment'!$AH$4</v>
      </c>
      <c r="D5" s="12" t="str" cm="1">
        <f t="array" ca="1" aca="1" ref="D5">CELL("address",'Risk Treatment'!$AI$4)</f>
        <v>'[QuBA-libre.xlsx]Risk Treatment'!$AI$4</v>
      </c>
      <c r="F5" s="12" t="str" cm="1">
        <f t="array" ca="1" aca="1" ref="F5">CELL("address",'Risk Treatment'!$A$4)</f>
        <v>'[QuBA-libre.xlsx]Risk Treatment'!$A$4</v>
      </c>
      <c r="I5" s="12" t="str">
        <f ca="1">IF(B5="","",_xlfn.LET(_xlpm._in,B5,_xlpm._start,FIND("]",_xlpm._in)+1,SUBSTITUTE(MID(_xlpm._in,_xlpm._start,FIND("!",_xlpm._in)-_xlpm._start),"'","")))</f>
        <v>Risk Treatment</v>
      </c>
      <c r="J5" s="12" t="str">
        <f t="shared" ca="1" si="0"/>
        <v>S</v>
      </c>
      <c r="K5" s="12" t="str">
        <f t="shared" ca="1" si="0"/>
        <v>AH</v>
      </c>
      <c r="L5" s="12">
        <f ca="1">IF($I5="","",MAX(INDIRECT("'"&amp;$I5&amp;"'!"&amp;$K5&amp;":"&amp;$K5)))</f>
        <v>0</v>
      </c>
      <c r="M5" s="12" t="str">
        <f ca="1">IF($I5="","",_xlfn.LET(_xlpm._in,D5,_xlpm._start,FIND("$",_xlpm._in)+1,MID(_xlpm._in,_xlpm._start,FIND("$",SUBSTITUTE(_xlpm._in,"$","§",1))-_xlpm._start)))</f>
        <v>AI</v>
      </c>
      <c r="N5" s="12">
        <f ca="1">IF($I5="","",SUM(INDIRECT("'"&amp;$I5&amp;"'!"&amp;$M5&amp;":"&amp;$M5)))</f>
        <v>0</v>
      </c>
      <c r="O5" s="12" cm="1">
        <f t="array" ca="1" aca="1" ref="O5">CreateID($O$2,$O:$O,AND($N5&lt;&gt;0,$N5&lt;&gt;""))</f>
        <v>0</v>
      </c>
      <c r="P5" s="12" t="str">
        <f ca="1">IF($B5="","",RIGHT($B5,LEN($B5)-FIND("$",SUBSTITUTE($B5,"$","§",1))))</f>
        <v>4</v>
      </c>
      <c r="Q5" s="12" t="str">
        <f ca="1">IF($I5="","",_xlfn.LET(_xlpm._in,F5,_xlpm._start,FIND("$",_xlpm._in)+1,MID(_xlpm._in,_xlpm._start,FIND("$",SUBSTITUTE(_xlpm._in,"$","§",1))-_xlpm._start)))</f>
        <v>A</v>
      </c>
    </row>
    <row r="6" spans="2:18" s="12" customFormat="1" ht="15" hidden="1">
      <c r="B6" s="12" t="str" cm="1">
        <f t="array" ca="1" aca="1" ref="B6">CELL("address",'Risk Treatment'!$T$4)</f>
        <v>'[QuBA-libre.xlsx]Risk Treatment'!$T$4</v>
      </c>
      <c r="C6" s="12" t="str" cm="1">
        <f t="array" ca="1" aca="1" ref="C6">CELL("address",'Risk Treatment'!$AJ$4)</f>
        <v>'[QuBA-libre.xlsx]Risk Treatment'!$AJ$4</v>
      </c>
      <c r="D6" s="12" t="str" cm="1">
        <f t="array" ca="1" aca="1" ref="D6">CELL("address",'Risk Treatment'!$AK$4)</f>
        <v>'[QuBA-libre.xlsx]Risk Treatment'!$AK$4</v>
      </c>
      <c r="F6" s="12" t="str" cm="1">
        <f t="array" ca="1" aca="1" ref="F6">CELL("address",'Risk Treatment'!$A$4)</f>
        <v>'[QuBA-libre.xlsx]Risk Treatment'!$A$4</v>
      </c>
      <c r="I6" s="12" t="str">
        <f ca="1">IF(B6="","",_xlfn.LET(_xlpm._in,B6,_xlpm._start,FIND("]",_xlpm._in)+1,SUBSTITUTE(MID(_xlpm._in,_xlpm._start,FIND("!",_xlpm._in)-_xlpm._start),"'","")))</f>
        <v>Risk Treatment</v>
      </c>
      <c r="J6" s="57" t="str">
        <f t="shared" ca="1" si="0"/>
        <v>T</v>
      </c>
      <c r="K6" s="57" t="str">
        <f t="shared" ca="1" si="0"/>
        <v>AJ</v>
      </c>
      <c r="L6" s="12">
        <f ca="1">IF($I6="","",MAX(INDIRECT("'"&amp;$I6&amp;"'!"&amp;$K6&amp;":"&amp;$K6)))</f>
        <v>0</v>
      </c>
      <c r="M6" s="57" t="str">
        <f ca="1">IF($I6="","",_xlfn.LET(_xlpm._in,D6,_xlpm._start,FIND("$",_xlpm._in)+1,MID(_xlpm._in,_xlpm._start,FIND("$",SUBSTITUTE(_xlpm._in,"$","§",1))-_xlpm._start)))</f>
        <v>AK</v>
      </c>
      <c r="N6" s="57">
        <f ca="1">IF($I6="","",SUM(INDIRECT("'"&amp;$I6&amp;"'!"&amp;$M6&amp;":"&amp;$M6)))</f>
        <v>0</v>
      </c>
      <c r="O6" s="57" cm="1">
        <f t="array" ca="1" aca="1" ref="O6">CreateID($O$2,$O:$O,AND($N6&lt;&gt;0,$N6&lt;&gt;""))</f>
        <v>0</v>
      </c>
      <c r="P6" s="12" t="str">
        <f ca="1">IF($B6="","",RIGHT($B6,LEN($B6)-FIND("$",SUBSTITUTE($B6,"$","§",1))))</f>
        <v>4</v>
      </c>
      <c r="Q6" s="57" t="str">
        <f ca="1">IF($I6="","",_xlfn.LET(_xlpm._in,F6,_xlpm._start,FIND("$",_xlpm._in)+1,MID(_xlpm._in,_xlpm._start,FIND("$",SUBSTITUTE(_xlpm._in,"$","§",1))-_xlpm._start)))</f>
        <v>A</v>
      </c>
      <c r="R6" s="57"/>
    </row>
    <row r="7" spans="9:18" s="12" customFormat="1" ht="15" hidden="1">
      <c r="I7" s="12" t="str">
        <f>IF(B7="","",_xlfn.LET(_xlpm._in,B7,_xlpm._start,FIND("]",_xlpm._in)+1,SUBSTITUTE(MID(_xlpm._in,_xlpm._start,FIND("!",_xlpm._in)-_xlpm._start),"'","")))</f>
        <v/>
      </c>
      <c r="J7" s="57" t="str">
        <f t="shared" si="0"/>
        <v/>
      </c>
      <c r="K7" s="57" t="str">
        <f t="shared" si="0"/>
        <v/>
      </c>
      <c r="L7" s="12" t="str">
        <f ca="1">IF($I7="","",MAX(INDIRECT("'"&amp;$I7&amp;"'!"&amp;$K7&amp;":"&amp;$K7)))</f>
        <v/>
      </c>
      <c r="M7" s="57" t="str">
        <f>IF($I7="","",_xlfn.LET(_xlpm._in,D7,_xlpm._start,FIND("$",_xlpm._in)+1,MID(_xlpm._in,_xlpm._start,FIND("$",SUBSTITUTE(_xlpm._in,"$","§",1))-_xlpm._start)))</f>
        <v/>
      </c>
      <c r="N7" s="57" t="str">
        <f ca="1">IF($I7="","",SUM(INDIRECT("'"&amp;$I7&amp;"'!"&amp;$M7&amp;":"&amp;$M7)))</f>
        <v/>
      </c>
      <c r="O7" s="57" cm="1">
        <f t="array" ca="1" aca="1" ref="O7">CreateID($O$2,$O:$O,AND($N7&lt;&gt;0,$N7&lt;&gt;""))</f>
        <v>0</v>
      </c>
      <c r="P7" s="12" t="str">
        <f>IF($B7="","",RIGHT($B7,LEN($B7)-FIND("$",SUBSTITUTE($B7,"$","§",1))))</f>
        <v/>
      </c>
      <c r="Q7" s="57" t="str">
        <f>IF($I7="","",_xlfn.LET(_xlpm._in,F7,_xlpm._start,FIND("$",_xlpm._in)+1,MID(_xlpm._in,_xlpm._start,FIND("$",SUBSTITUTE(_xlpm._in,"$","§",1))-_xlpm._start)))</f>
        <v/>
      </c>
      <c r="R7" s="57"/>
    </row>
    <row r="8" spans="2:2" s="12" customFormat="1" ht="18.75" hidden="1">
      <c r="B8" s="58" t="s">
        <v>687</v>
      </c>
    </row>
    <row r="9" spans="2:17" s="12" customFormat="1" ht="15" hidden="1">
      <c r="B9" s="11" t="s">
        <v>233</v>
      </c>
      <c r="C9" s="11" t="s">
        <v>667</v>
      </c>
      <c r="D9" s="11" t="s">
        <v>671</v>
      </c>
      <c r="E9" s="11"/>
      <c r="F9" s="11" t="s">
        <v>231</v>
      </c>
      <c r="G9" s="11"/>
      <c r="I9" s="12" t="s">
        <v>235</v>
      </c>
      <c r="J9" s="12" t="s">
        <v>238</v>
      </c>
      <c r="K9" s="12" t="s">
        <v>546</v>
      </c>
      <c r="L9" s="12" t="s">
        <v>668</v>
      </c>
      <c r="M9" s="12" t="s">
        <v>672</v>
      </c>
      <c r="N9" s="12" t="s">
        <v>673</v>
      </c>
      <c r="O9" s="12" t="s">
        <v>242</v>
      </c>
      <c r="P9" s="12" t="s">
        <v>248</v>
      </c>
      <c r="Q9" s="12" t="s">
        <v>683</v>
      </c>
    </row>
    <row r="10" spans="2:17" s="12" customFormat="1" ht="15" hidden="1">
      <c r="B10" s="12" t="str" cm="1">
        <f t="array" ca="1" aca="1" ref="B10">CELL("address",Questionnaire!$G$3)</f>
        <v>'[QuBA-libre.xlsx]Questionnaire'!$G$3</v>
      </c>
      <c r="C10" s="12" t="str" cm="1">
        <f t="array" ca="1" aca="1" ref="C10">CELL("address",Questionnaire!$X$3)</f>
        <v>'[QuBA-libre.xlsx]Questionnaire'!$X$3</v>
      </c>
      <c r="D10" s="12" t="str" cm="1">
        <f t="array" ca="1" aca="1" ref="D10">CELL("address",Questionnaire!$Y$3)</f>
        <v>'[QuBA-libre.xlsx]Questionnaire'!$Y$3</v>
      </c>
      <c r="F10" s="12" t="str" cm="1">
        <f t="array" ca="1" aca="1" ref="F10">CELL("address",Questionnaire!$A$3)</f>
        <v>'[QuBA-libre.xlsx]Questionnaire'!$A$3</v>
      </c>
      <c r="I10" s="12" t="str">
        <f ca="1">IF(B10="","",_xlfn.LET(_xlpm._in,B10,_xlpm._start,FIND("]",_xlpm._in)+1,SUBSTITUTE(MID(_xlpm._in,_xlpm._start,FIND("!",_xlpm._in)-_xlpm._start),"'","")))</f>
        <v>Questionnaire</v>
      </c>
      <c r="J10" s="12" t="str">
        <f ca="1" t="shared" si="1" ref="J10:K14">IF($I10="","",_xlfn.LET(_xlpm._in,B10,_xlpm._start,FIND("$",_xlpm._in)+1,MID(_xlpm._in,_xlpm._start,FIND("$",SUBSTITUTE(_xlpm._in,"$","§",1))-_xlpm._start)))</f>
        <v>G</v>
      </c>
      <c r="K10" s="12" t="str">
        <f t="shared" ca="1" si="1"/>
        <v>X</v>
      </c>
      <c r="L10" s="12">
        <f ca="1">IF($I10="","",MAX(INDIRECT("'"&amp;$I10&amp;"'!"&amp;$K10&amp;":"&amp;$K10)))</f>
        <v>0</v>
      </c>
      <c r="M10" s="12" t="str">
        <f ca="1">IF($I10="","",_xlfn.LET(_xlpm._in,D10,_xlpm._start,FIND("$",_xlpm._in)+1,MID(_xlpm._in,_xlpm._start,FIND("$",SUBSTITUTE(_xlpm._in,"$","§",1))-_xlpm._start)))</f>
        <v>Y</v>
      </c>
      <c r="N10" s="12">
        <f ca="1">IF($I10="","",SUM(INDIRECT("'"&amp;$I10&amp;"'!"&amp;$M10&amp;":"&amp;$M10)))</f>
        <v>0</v>
      </c>
      <c r="O10" s="12" cm="1">
        <f t="array" ca="1" aca="1" ref="O10">CreateID($O$9,$O:$O,AND($N10&lt;&gt;0,$N10&lt;&gt;""))</f>
        <v>0</v>
      </c>
      <c r="P10" s="12" t="str">
        <f ca="1">IF($B10="","",RIGHT($B10,LEN($B10)-FIND("$",SUBSTITUTE($B10,"$","§",1))))</f>
        <v>3</v>
      </c>
      <c r="Q10" s="12" t="str">
        <f ca="1">IF($I10="","",_xlfn.LET(_xlpm._in,F10,_xlpm._start,FIND("$",_xlpm._in)+1,MID(_xlpm._in,_xlpm._start,FIND("$",SUBSTITUTE(_xlpm._in,"$","§",1))-_xlpm._start)))</f>
        <v>A</v>
      </c>
    </row>
    <row r="11" spans="2:17" s="12" customFormat="1" ht="15" hidden="1">
      <c r="B11" s="12" t="str" cm="1">
        <f t="array" ca="1" aca="1" ref="B11">CELL("address",Mitigation!$O$2)</f>
        <v>'[QuBA-libre.xlsx]Mitigation'!$O$2</v>
      </c>
      <c r="C11" s="12" t="str" cm="1">
        <f t="array" ca="1" aca="1" ref="C11">CELL("address",Mitigation!$AB$2)</f>
        <v>'[QuBA-libre.xlsx]Mitigation'!$AB$2</v>
      </c>
      <c r="D11" s="12" t="str" cm="1">
        <f t="array" ca="1" aca="1" ref="D11">CELL("address",Mitigation!$AC$2)</f>
        <v>'[QuBA-libre.xlsx]Mitigation'!$AC$2</v>
      </c>
      <c r="F11" s="12" t="str" cm="1">
        <f t="array" ca="1" aca="1" ref="F11">CELL("address",Mitigation!$A$2)</f>
        <v>'[QuBA-libre.xlsx]Mitigation'!$A$2</v>
      </c>
      <c r="I11" s="12" t="str">
        <f ca="1">IF(B11="","",_xlfn.LET(_xlpm._in,B11,_xlpm._start,FIND("]",_xlpm._in)+1,SUBSTITUTE(MID(_xlpm._in,_xlpm._start,FIND("!",_xlpm._in)-_xlpm._start),"'","")))</f>
        <v>Mitigation</v>
      </c>
      <c r="J11" s="12" t="str">
        <f t="shared" ca="1" si="1"/>
        <v>O</v>
      </c>
      <c r="K11" s="12" t="str">
        <f t="shared" ca="1" si="1"/>
        <v>AB</v>
      </c>
      <c r="L11" s="12">
        <f ca="1">IF($I11="","",MAX(INDIRECT("'"&amp;$I11&amp;"'!"&amp;$K11&amp;":"&amp;$K11)))</f>
        <v>0</v>
      </c>
      <c r="M11" s="12" t="str">
        <f ca="1">IF($I11="","",_xlfn.LET(_xlpm._in,D11,_xlpm._start,FIND("$",_xlpm._in)+1,MID(_xlpm._in,_xlpm._start,FIND("$",SUBSTITUTE(_xlpm._in,"$","§",1))-_xlpm._start)))</f>
        <v>AC</v>
      </c>
      <c r="N11" s="12">
        <f ca="1">IF($I11="","",SUM(INDIRECT("'"&amp;$I11&amp;"'!"&amp;$M11&amp;":"&amp;$M11)))</f>
        <v>0</v>
      </c>
      <c r="O11" s="12" cm="1">
        <f t="array" ca="1" aca="1" ref="O11">CreateID($O$9,$O:$O,AND($N11&lt;&gt;0,$N11&lt;&gt;""))</f>
        <v>0</v>
      </c>
      <c r="P11" s="12" t="str">
        <f ca="1">IF($B11="","",RIGHT($B11,LEN($B11)-FIND("$",SUBSTITUTE($B11,"$","§",1))))</f>
        <v>2</v>
      </c>
      <c r="Q11" s="12" t="str">
        <f ca="1">IF($I11="","",_xlfn.LET(_xlpm._in,F11,_xlpm._start,FIND("$",_xlpm._in)+1,MID(_xlpm._in,_xlpm._start,FIND("$",SUBSTITUTE(_xlpm._in,"$","§",1))-_xlpm._start)))</f>
        <v>A</v>
      </c>
    </row>
    <row r="12" spans="2:17" s="12" customFormat="1" ht="15" hidden="1">
      <c r="B12" s="12" t="str" cm="1">
        <f t="array" ca="1" aca="1" ref="B12">CELL("address",'Risk Treatment'!$S$4)</f>
        <v>'[QuBA-libre.xlsx]Risk Treatment'!$S$4</v>
      </c>
      <c r="C12" s="12" t="str" cm="1">
        <f t="array" ca="1" aca="1" ref="C12">CELL("address",'Risk Treatment'!$AL$4)</f>
        <v>'[QuBA-libre.xlsx]Risk Treatment'!$AL$4</v>
      </c>
      <c r="D12" s="12" t="str" cm="1">
        <f t="array" ca="1" aca="1" ref="D12">CELL("address",'Risk Treatment'!$AM$4)</f>
        <v>'[QuBA-libre.xlsx]Risk Treatment'!$AM$4</v>
      </c>
      <c r="F12" s="12" t="str" cm="1">
        <f t="array" ca="1" aca="1" ref="F12">CELL("address",'Risk Treatment'!$A$4)</f>
        <v>'[QuBA-libre.xlsx]Risk Treatment'!$A$4</v>
      </c>
      <c r="I12" s="12" t="str">
        <f ca="1">IF(B12="","",_xlfn.LET(_xlpm._in,B12,_xlpm._start,FIND("]",_xlpm._in)+1,SUBSTITUTE(MID(_xlpm._in,_xlpm._start,FIND("!",_xlpm._in)-_xlpm._start),"'","")))</f>
        <v>Risk Treatment</v>
      </c>
      <c r="J12" s="12" t="str">
        <f t="shared" ca="1" si="1"/>
        <v>S</v>
      </c>
      <c r="K12" s="12" t="str">
        <f t="shared" ca="1" si="1"/>
        <v>AL</v>
      </c>
      <c r="L12" s="12">
        <f ca="1">IF($I12="","",MAX(INDIRECT("'"&amp;$I12&amp;"'!"&amp;$K12&amp;":"&amp;$K12)))</f>
        <v>0</v>
      </c>
      <c r="M12" s="12" t="str">
        <f ca="1">IF($I12="","",_xlfn.LET(_xlpm._in,D12,_xlpm._start,FIND("$",_xlpm._in)+1,MID(_xlpm._in,_xlpm._start,FIND("$",SUBSTITUTE(_xlpm._in,"$","§",1))-_xlpm._start)))</f>
        <v>AM</v>
      </c>
      <c r="N12" s="12">
        <f ca="1">IF($I12="","",SUM(INDIRECT("'"&amp;$I12&amp;"'!"&amp;$M12&amp;":"&amp;$M12)))</f>
        <v>0</v>
      </c>
      <c r="O12" s="12" cm="1">
        <f t="array" ca="1" aca="1" ref="O12">CreateID($O$9,$O:$O,AND($N12&lt;&gt;0,$N12&lt;&gt;""))</f>
        <v>0</v>
      </c>
      <c r="P12" s="12" t="str">
        <f ca="1">IF($B12="","",RIGHT($B12,LEN($B12)-FIND("$",SUBSTITUTE($B12,"$","§",1))))</f>
        <v>4</v>
      </c>
      <c r="Q12" s="12" t="str">
        <f ca="1">IF($I12="","",_xlfn.LET(_xlpm._in,F12,_xlpm._start,FIND("$",_xlpm._in)+1,MID(_xlpm._in,_xlpm._start,FIND("$",SUBSTITUTE(_xlpm._in,"$","§",1))-_xlpm._start)))</f>
        <v>A</v>
      </c>
    </row>
    <row r="13" spans="2:17" s="12" customFormat="1" ht="15" hidden="1">
      <c r="B13" s="12" t="str" cm="1">
        <f t="array" ca="1" aca="1" ref="B13">CELL("address",'Risk Treatment'!$T$4)</f>
        <v>'[QuBA-libre.xlsx]Risk Treatment'!$T$4</v>
      </c>
      <c r="C13" s="12" t="str" cm="1">
        <f t="array" ca="1" aca="1" ref="C13">CELL("address",'Risk Treatment'!$AN$4)</f>
        <v>'[QuBA-libre.xlsx]Risk Treatment'!$AN$4</v>
      </c>
      <c r="D13" s="12" t="str" cm="1">
        <f t="array" ca="1" aca="1" ref="D13">CELL("address",'Risk Treatment'!$AO$4)</f>
        <v>'[QuBA-libre.xlsx]Risk Treatment'!$AO$4</v>
      </c>
      <c r="F13" s="12" t="str" cm="1">
        <f t="array" ca="1" aca="1" ref="F13">CELL("address",'Risk Treatment'!$A$4)</f>
        <v>'[QuBA-libre.xlsx]Risk Treatment'!$A$4</v>
      </c>
      <c r="I13" s="12" t="str">
        <f ca="1">IF(B13="","",_xlfn.LET(_xlpm._in,B13,_xlpm._start,FIND("]",_xlpm._in)+1,SUBSTITUTE(MID(_xlpm._in,_xlpm._start,FIND("!",_xlpm._in)-_xlpm._start),"'","")))</f>
        <v>Risk Treatment</v>
      </c>
      <c r="J13" s="12" t="str">
        <f t="shared" ca="1" si="1"/>
        <v>T</v>
      </c>
      <c r="K13" s="12" t="str">
        <f t="shared" ca="1" si="1"/>
        <v>AN</v>
      </c>
      <c r="L13" s="12">
        <f ca="1">IF($I13="","",MAX(INDIRECT("'"&amp;$I13&amp;"'!"&amp;$K13&amp;":"&amp;$K13)))</f>
        <v>0</v>
      </c>
      <c r="M13" s="12" t="str">
        <f ca="1">IF($I13="","",_xlfn.LET(_xlpm._in,D13,_xlpm._start,FIND("$",_xlpm._in)+1,MID(_xlpm._in,_xlpm._start,FIND("$",SUBSTITUTE(_xlpm._in,"$","§",1))-_xlpm._start)))</f>
        <v>AO</v>
      </c>
      <c r="N13" s="12">
        <f ca="1">IF($I13="","",SUM(INDIRECT("'"&amp;$I13&amp;"'!"&amp;$M13&amp;":"&amp;$M13)))</f>
        <v>0</v>
      </c>
      <c r="O13" s="12" cm="1">
        <f t="array" ca="1" aca="1" ref="O13">CreateID($O$9,$O:$O,AND($N13&lt;&gt;0,$N13&lt;&gt;""))</f>
        <v>0</v>
      </c>
      <c r="P13" s="12" t="str">
        <f ca="1">IF($B13="","",RIGHT($B13,LEN($B13)-FIND("$",SUBSTITUTE($B13,"$","§",1))))</f>
        <v>4</v>
      </c>
      <c r="Q13" s="12" t="str">
        <f ca="1">IF($I13="","",_xlfn.LET(_xlpm._in,F13,_xlpm._start,FIND("$",_xlpm._in)+1,MID(_xlpm._in,_xlpm._start,FIND("$",SUBSTITUTE(_xlpm._in,"$","§",1))-_xlpm._start)))</f>
        <v>A</v>
      </c>
    </row>
    <row r="14" spans="9:17" s="12" customFormat="1" ht="15" hidden="1">
      <c r="I14" s="12" t="str">
        <f>IF(B14="","",_xlfn.LET(_xlpm._in,B14,_xlpm._start,FIND("]",_xlpm._in)+1,SUBSTITUTE(MID(_xlpm._in,_xlpm._start,FIND("!",_xlpm._in)-_xlpm._start),"'","")))</f>
        <v/>
      </c>
      <c r="J14" s="12" t="str">
        <f t="shared" si="1"/>
        <v/>
      </c>
      <c r="K14" s="12" t="str">
        <f t="shared" si="1"/>
        <v/>
      </c>
      <c r="L14" s="12" t="str">
        <f ca="1">IF($I14="","",MAX(INDIRECT("'"&amp;$I14&amp;"'!"&amp;$K14&amp;":"&amp;$K14)))</f>
        <v/>
      </c>
      <c r="M14" s="12" t="str">
        <f>IF($I14="","",_xlfn.LET(_xlpm._in,D14,_xlpm._start,FIND("$",_xlpm._in)+1,MID(_xlpm._in,_xlpm._start,FIND("$",SUBSTITUTE(_xlpm._in,"$","§",1))-_xlpm._start)))</f>
        <v/>
      </c>
      <c r="N14" s="12" t="str">
        <f ca="1">IF($I14="","",SUM(INDIRECT("'"&amp;$I14&amp;"'!"&amp;$M14&amp;":"&amp;$M14)))</f>
        <v/>
      </c>
      <c r="O14" s="12" cm="1">
        <f t="array" ca="1" aca="1" ref="O14">CreateID($O$9,$O:$O,AND($N14&lt;&gt;0,$N14&lt;&gt;""))</f>
        <v>0</v>
      </c>
      <c r="P14" s="12" t="str">
        <f>IF($B14="","",RIGHT($B14,LEN($B14)-FIND("$",SUBSTITUTE($B14,"$","§",1))))</f>
        <v/>
      </c>
      <c r="Q14" s="12" t="str">
        <f>IF($I14="","",_xlfn.LET(_xlpm._in,F14,_xlpm._start,FIND("$",_xlpm._in)+1,MID(_xlpm._in,_xlpm._start,FIND("$",SUBSTITUTE(_xlpm._in,"$","§",1))-_xlpm._start)))</f>
        <v/>
      </c>
    </row>
    <row r="15" s="12" customFormat="1" ht="15" hidden="1"/>
    <row r="16" spans="1:8" s="115" customFormat="1" ht="15">
      <c r="A16" s="115" t="str" cm="1">
        <f t="array" ca="1" aca="1" ref="A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A$17,README!$E:$E,README!$I$36,README!$B$36)</f>
        <v>◈</v>
      </c>
      <c r="B16" s="115" t="str" cm="1">
        <f t="array" ca="1" aca="1" ref="B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B$17,README!$E:$E,README!$I$36,README!$B$36)</f>
        <v>◈</v>
      </c>
      <c r="C16" s="115" t="str" cm="1">
        <f t="array" ca="1" aca="1" ref="C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C$17,README!$E:$E,README!$I$36,README!$B$36)</f>
        <v>◈</v>
      </c>
      <c r="D16" s="115" t="str" cm="1">
        <f t="array" ca="1" aca="1" ref="D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D$17,README!$E:$E,README!$I$36,README!$B$36)</f>
        <v>◈</v>
      </c>
      <c r="E16" s="115" t="str" cm="1">
        <f t="array" ca="1" aca="1" ref="E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E$17,README!$E:$E,README!$I$36,README!$B$36)</f>
        <v>◈</v>
      </c>
      <c r="F16" s="115" t="str" cm="1">
        <f t="array" ca="1" aca="1" ref="F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F$17,README!$E:$E,README!$I$36,README!$B$36)</f>
        <v>◈</v>
      </c>
      <c r="G16" s="115" t="str" cm="1">
        <f t="array" ca="1" aca="1" ref="G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G$17,README!$E:$E,README!$I$36,README!$B$36)</f>
        <v>◈</v>
      </c>
      <c r="H16" s="115" t="str" cm="1">
        <f t="array" ca="1" aca="1" ref="H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$15,H$17,README!$E:$E,README!$I$36,README!$B$36)</f>
        <v>◈</v>
      </c>
    </row>
    <row r="17" spans="1:36" ht="15">
      <c r="A17" s="16" t="s">
        <v>53</v>
      </c>
      <c r="B17" s="16" t="s">
        <v>217</v>
      </c>
      <c r="C17" s="16" t="s">
        <v>370</v>
      </c>
      <c r="D17" s="16" t="s">
        <v>713</v>
      </c>
      <c r="E17" s="13" t="s">
        <v>714</v>
      </c>
      <c r="F17" s="16" t="s">
        <v>701</v>
      </c>
      <c r="G17" s="16" t="s">
        <v>1715</v>
      </c>
      <c r="H17" s="16" t="s">
        <v>3</v>
      </c>
      <c r="I17" s="10" t="s">
        <v>54</v>
      </c>
      <c r="J17" s="10" t="s">
        <v>483</v>
      </c>
      <c r="K17" s="10" t="s">
        <v>104</v>
      </c>
      <c r="L17" s="10" t="s">
        <v>674</v>
      </c>
      <c r="M17" s="10" t="s">
        <v>676</v>
      </c>
      <c r="N17" s="10" t="s">
        <v>677</v>
      </c>
      <c r="O17" s="10" t="s">
        <v>678</v>
      </c>
      <c r="P17" s="10" t="s">
        <v>679</v>
      </c>
      <c r="Q17" s="10" t="s">
        <v>680</v>
      </c>
      <c r="R17" s="10" t="s">
        <v>1014</v>
      </c>
      <c r="S17" s="10" t="s">
        <v>681</v>
      </c>
      <c r="T17" s="10" t="s">
        <v>685</v>
      </c>
      <c r="U17" s="10" t="s">
        <v>682</v>
      </c>
      <c r="V17" s="10" t="s">
        <v>684</v>
      </c>
      <c r="W17" s="10" t="s">
        <v>700</v>
      </c>
      <c r="X17" s="10" t="s">
        <v>235</v>
      </c>
      <c r="Y17" s="10" t="s">
        <v>699</v>
      </c>
      <c r="Z17" s="10" t="s">
        <v>716</v>
      </c>
      <c r="AA17" s="10" t="s">
        <v>710</v>
      </c>
      <c r="AB17" s="10" t="s">
        <v>709</v>
      </c>
      <c r="AC17" s="10" t="s">
        <v>711</v>
      </c>
      <c r="AD17" s="10" t="s">
        <v>712</v>
      </c>
      <c r="AE17" s="10" t="s">
        <v>715</v>
      </c>
      <c r="AF17" s="10" t="s">
        <v>717</v>
      </c>
      <c r="AG17" s="10" t="s">
        <v>725</v>
      </c>
      <c r="AH17" s="10" t="s">
        <v>1476</v>
      </c>
      <c r="AI17" s="10" t="s">
        <v>617</v>
      </c>
      <c r="AJ17" s="10" t="s">
        <v>618</v>
      </c>
    </row>
    <row r="18" spans="1:36" ht="48.75">
      <c r="A18" s="16" t="str">
        <f ca="1">_xlfn.LET(_xlpm._isAssumption,$J18,_xlpm._row,$K18,_xlpm._numActiveAssumptions,Helper!$B$8,_xlpm._numActiveCountermeasures,Helper!$B$9,_xlpm._numAdditionalAssumptions,Helper!$B$10,_xlpm._numAdditionalCountermeasures,Helper!$B$11,IF(_xlpm._isAssumption,IF(_xlpm._row&gt;_xlpm._numActiveAssumptions,$V18&amp;"-A"&amp;$Q18,INDEX(Assumptions!A:A,MATCH(_xlpm._row,Assumptions!$AG:$AG,0))),IF(_xlpm._row&gt;_xlpm._numActiveCountermeasures+_xlpm._numAdditionalCountermeasures,"",IF(_xlpm._row&gt;_xlpm._numActiveCountermeasures,$V18&amp;"-C"&amp;$Q18,INDEX(Countermeasures!$A:$A,MATCH(_xlpm._row,Countermeasures!$AI:$AI,0))))))</f>
        <v>A3</v>
      </c>
      <c r="B18" s="16" t="str" cm="1">
        <f t="array" ca="1" aca="1" ref="B18">IF($A18="","",_xlfn.LET(_xlpm._isAssumption,$J18,_xlpm._isAdditionalElement,$L18,IF(_xlpm._isAdditionalElement,IF(_xlpm._isAssumption,ParseElementsFromComment($U18,Definitions!$AR$4,Definitions!$AS$4,Definitions!$AR$6,$Q18),ParseElementsFromComment($U18,Definitions!$AR$5,Definitions!$AS$5,Definitions!$AR$6,$Q18)),_xlfn.LET(_xlpm._value,IF($A18="","",IF($J18,SimpleLookup($A18,Assumptions!$A:$B),SimpleLookup($A18,Countermeasures!$A:$B))),IF(_xlpm._value="","",_xlpm._value)))))</f>
        <v>SDR 1.2 – Handling of personal data</v>
      </c>
      <c r="C18" s="16" t="str" cm="1">
        <f t="array" ca="1" aca="1" ref="C18">IF($A18="","",IF($J18,IFERROR(SimpleLookup($A18,Assumptions!$A:$E),""),Definitions!$AO$4))</f>
        <v>Customer</v>
      </c>
      <c r="D18" s="36" t="str">
        <f ca="1" t="shared" si="2" ref="D18:D49">_xlfn.LET(_xlpm._dividerTop,REPT(_xlfn.UNICHAR(9552),63)&amp;CHAR(10),_xlpm._dividerHeader,CHAR(10)&amp;REPT(CHAR(150),84)&amp;CHAR(10),_xlpm._relatedQuestions,IF($AA18="","",_xlpm._dividerTop&amp;"Comments of related questions / answers:"&amp;_xlpm._dividerHeader&amp;$AA18),_xlpm._assignedToAttackSteps,IF($AB18="","",_xlpm._dividerTop&amp;"Assigned to attack steps:"&amp;_xlpm._dividerHeader&amp;$AB18),_xlpm._definedInContextOfElement,IF($AC18="","",_xlpm._dividerTop&amp;"Defined in the context of:"&amp;_xlpm._dividerHeader&amp;$AC18),_xlpm._dependantCountermeasures,IF($AD18="","",_xlpm._dividerTop&amp;"Dependency of countermeasures:"&amp;_xlpm._dividerHeader&amp;$AD18),_xlpm._defaultElementText,IF($AF18="","",_xlpm._dividerTop&amp;"Default "&amp;IF($J18,"assumption","countermeasure")&amp;":"&amp;_xlpm._dividerHeader&amp;$AF18),_xlpm._relatedQuestions&amp;IF(AND(_xlpm._relatedQuestions&lt;&gt;"",_xlpm._assignedToAttackSteps&lt;&gt;""),CHAR(10),"")&amp;_xlpm._assignedToAttackSteps&amp;IF(AND(OR(_xlpm._relatedQuestions&lt;&gt;"",_xlpm._assignedToAttackSteps&lt;&gt;""),_xlpm._definedInContextOfElement&lt;&gt;""),CHAR(10),"")&amp;_xlpm._definedInContextOfElement&amp;IF(AND(OR(_xlpm._relatedQuestions&lt;&gt;"",_xlpm._assignedToAttackSteps&lt;&gt;"",_xlpm._definedInContextOfElement&lt;&gt;""),_xlpm._dependantCountermeasures&lt;&gt;""),CHAR(10),"")&amp;_xlpm._dependantCountermeasures&amp;IF(AND(OR(_xlpm._relatedQuestions&lt;&gt;"",_xlpm._assignedToAttackSteps&lt;&gt;"",_xlpm._definedInContextOfElement&lt;&gt;"",_xlpm._dependantCountermeasures&lt;&gt;""),_xlpm._defaultElementText&lt;&gt;""),CHAR(10),"")&amp;_xlpm._defaultElementText)</f>
        <v xml:space="preserve">═══════════════════════════════════════════════════════════════
Comments of related questions / answers:
––––––––––––––––––––––––––––––––––––––––––––––––––––––––––––––––––––––––––––––––––––
QI2 </v>
      </c>
      <c r="E18" s="13"/>
      <c r="F18" s="59" t="str">
        <f ca="1" t="shared" si="3" ref="F18:F49">IF(AND($E18&lt;&gt;"",$AE18=""),"Error: Unknown ID: "&amp;$E18,IF($A18="","",HYPERLINK("#"&amp;IF($AE18="",$Z18,$AE18),"click me")))</f>
        <v>click me</v>
      </c>
      <c r="G18" s="122" t="str" cm="1">
        <f t="array" ca="1" aca="1" ref="G18">_xlfn.LET(_xlpm._val,IFERROR(SimpleLookup($A18,Countermeasures!$A:$R),IFERROR(SimpleLookup($A18,Assumptions!$A:$R),"")),IF(_xlpm._val="","",_xlpm._val))</f>
        <v/>
      </c>
      <c r="H18" s="16" t="str" cm="1">
        <f t="array" ca="1" aca="1" ref="H18">_xlfn.LET(_xlpm._value,IF($A18="","",IFERROR(IF($J18,SimpleLookup($A18,Assumptions!$A:$S),SimpleLookup($A18,Countermeasures!$A:$S)),"")),IF(_xlpm._value="","",_xlpm._value))</f>
        <v/>
      </c>
      <c r="I18" s="10" cm="1">
        <f t="array" ca="1" aca="1" ref="I18">IF(ROW()=ROW($I$17)+1,0,INDEX($I:$I,ROW()-1))+IF($A18="",0,1)</f>
        <v>1</v>
      </c>
      <c r="J18" s="10" t="b">
        <f ca="1">_xlfn.LET(_xlpm._row,ROW()-ROW($K$17),_xlpm._numActiveAssumptions,Helper!$B$8,_xlpm._numAdditionalAssumptions,SUM(Table24['# Elements]),_xlpm._row&lt;=_xlpm._numActiveAssumptions+_xlpm._numAdditionalAssumptions)</f>
        <v>1</v>
      </c>
      <c r="K18" s="10">
        <f ca="1">_xlfn.LET(_xlpm._row,ROW()-ROW($K$17),_xlpm._numActiveAssumptions,Helper!$B$8,_xlpm._numAdditionalAssumptions,Helper!$B$10,_xlpm._isAssumption,$J18,_xlpm._elementID,IF(_xlpm._isAssumption,_xlpm._row,_xlpm._row-_xlpm._numActiveAssumptions-_xlpm._numAdditionalAssumptions),_xlpm._elementID)</f>
        <v>1</v>
      </c>
      <c r="L18"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18" s="14" cm="1">
        <f t="array" ca="1" aca="1" ref="M18">IF($L18,IF(ROW()=ROW($M$17)+1,1,INDEX($M:$M,ROW()-1)+IF(INDEX($T:$T,ROW()-1),1,0)),1)</f>
        <v>1</v>
      </c>
      <c r="N18" s="14" t="str" cm="1">
        <f t="array" ca="1" aca="1" ref="N18">IF($L18=TRUE,_xlfn.LET(_xlpm._isAssumption,$J18,_xlpm._indexRange,IF(_xlpm._isAssumption,Table24['# Elements],Table25['# Elements]),_xlpm._lookupRow,$W18,INDEX(_xlpm._indexRange,_xlpm._lookupRow)),"")</f>
        <v/>
      </c>
      <c r="O18" s="20" t="str" cm="1">
        <f t="array" ca="1" aca="1" ref="O18">IF($N18="","",_xlfn.LET(_xlpm._prevRow,ROW()-1,IF(OR(INDEX($N:$N,_xlpm._prevRow)&lt;&gt;$N18,INDEX($M:$M,_xlpm._prevRow)&lt;&gt;$M18),1,INDEX($O:$O,_xlpm._prevRow)+IF(INDEX($S:$S,_xlpm._prevRow),1,0))))</f>
        <v/>
      </c>
      <c r="P18" s="20" t="str" cm="1">
        <f t="array" ca="1" aca="1" ref="P18">IF($O18="","",_xlfn.LET(_xlpm._isAssumption,$J18,_xlpm._sheetRow,$W18,_xlpm._sheetName,$X18,_xlpm._elementIDRange,IF(_xlpm._isAssumption,Table24[Element ID Column],Table25[Element ID Column]),_xlpm._numberOfElementsRange,IF(_xlpm._isAssumption,Table24[Number of Elements Column],Table25[Number of Elements Column]),SimpleLookup($O18,INDIRECT("'"&amp;_xlpm._sheetName&amp;"'!"&amp;INDEX(_xlpm._elementIDRange,_xlpm._sheetRow)&amp;":"&amp;INDEX(_xlpm._numberOfElementsRange,_xlpm._sheetRow)))))</f>
        <v/>
      </c>
      <c r="Q18" s="20" t="str" cm="1">
        <f t="array" ca="1" aca="1" ref="Q18">IF($O18="","",IF(OR(INDEX($O:$O,ROW()-1)&lt;&gt;$O18,INDEX($M:$M,ROW()-1)&lt;&gt;$M18),1,INDEX($Q:$Q,ROW()-1)+1))</f>
        <v/>
      </c>
      <c r="R18" s="20">
        <f ca="1" t="shared" si="4" ref="R18:R49">COUNTIFS(OFFSET($L$17,1,0,ROW()-ROW($L$17),1),TRUE,OFFSET($M$17,1,0,ROW()-ROW($M$17),1),$M18,OFFSET($J$17,1,0,ROW()-ROW($J$17),1),$J18)</f>
        <v>0</v>
      </c>
      <c r="S18" s="20" t="str">
        <f ca="1" t="shared" si="5" ref="S18:S49">IF($L18,$P18=$Q18,"")</f>
        <v/>
      </c>
      <c r="T18" s="20" t="b">
        <f ca="1">_xlfn.LET(_xlpm._isAssumption,$J18,_xlpm._numberOfElementsRange,IF(_xlpm._isAssumption,Table24['# Elements],Table25['# Elements]),_xlpm._sheetRow,$W18,IF($L18,AND($S18,$R18=$N18),FALSE))</f>
        <v>0</v>
      </c>
      <c r="U18" s="20" t="str" cm="1">
        <f t="array" ca="1" aca="1" ref="U18">IF($L18,_xlfn.LET(_xlpm._elementID,$O18,_xlpm._isAssumption,$J18,_xlpm._sheetRow,$W18,_xlpm._sheetName,$X18,_xlpm._elementRow,$Y18,_xlpm._resultColumnLetter,IF(_xlpm._isAssumption,INDEX(Table24[Comment Column],_xlpm._sheetRow),INDEX(Table25[Comment Column],_xlpm._sheetRow)),INDEX(INDIRECT("'"&amp;_xlpm._sheetName&amp;"'!"&amp;_xlpm._resultColumnLetter&amp;":"&amp;_xlpm._resultColumnLetter),_xlpm._elementRow)),"")</f>
        <v/>
      </c>
      <c r="V18" s="20" t="str" cm="1">
        <f t="array" ca="1" aca="1" ref="V18">IF($L18,_xlfn.LET(_xlpm._elementID,$O18,_xlpm._isAssumption,$J18,_xlpm._sheetRow,$W18,_xlpm._sheetName,$X18,_xlpm._resultColumnLetter,IF(_xlpm._isAssumption,INDEX(Table24[Sheet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18" s="20" t="str">
        <f ca="1">IF($L18=TRUE,_xlfn.LET(_xlpm._isAssumption,$J18,_xlpm._searchRange,IF(_xlpm._isAssumption,Table24[Task Sheet Shadow ID],Table25[Task Sheet Shadow ID]),MATCH($M18,_xlpm._searchRange,0)),"")</f>
        <v/>
      </c>
      <c r="X18" s="20" t="str" cm="1">
        <f t="array" ca="1" aca="1" ref="X18">IF($L18,_xlfn.LET(_xlpm._isAssumption,$J18,_xlpm._sheetRow,$W18,IF(_xlpm._isAssumption,INDEX(Table24[Sheet Name],_xlpm._sheetRow),INDEX(Table25[Sheet Name],_xlpm._sheetRow))),"")</f>
        <v/>
      </c>
      <c r="Y18" s="20" t="str" cm="1">
        <f t="array" ca="1" aca="1" ref="Y18">IF($L18,_xlfn.LET(_xlpm._elementID,$O18,_xlpm._isAssumption,$J18,_xlpm._sheetRow,$W18,_xlpm._sheetName,$X18,_xlpm._elementIDColumnLetter,IF(_xlpm._isAssumption,INDEX(Table24[Element ID Column],_xlpm._sheetRow),INDEX(Table25[Element ID Column],_xlpm._sheetRow)),MATCH(_xlpm._elementID,INDIRECT("'"&amp;_xlpm._sheetName&amp;"'!"&amp;_xlpm._elementIDColumnLetter&amp;":"&amp;_xlpm._elementIDColumnLetter),0)),"")</f>
        <v/>
      </c>
      <c r="Z18" s="20" t="str" cm="1">
        <f t="array" ca="1" aca="1" ref="Z18">IF($A18="","",_xlfn.LET(_xlpm._isAssumption,$J18,_xlpm._isAdditionalElement,$L18,_xlpm._sheetRow,$W18,_xlpm._sheetName,$X18,_xlpm._columnLetter,INDEX(IF(_xlpm._isAdditionalElement,Table24[Comment Column],Table25[Comment Column]),_xlpm._sheetRow),_xlpm._sheetReference,IF(_xlpm._isAssumption,IF(_xlpm._isAdditionalElement,CELL("address",INDEX(INDIRECT("'"&amp;_xlpm._sheetName&amp;"'!"&amp;_xlpm._columnLetter&amp;":"&amp;_xlpm._columnLetter),$Y18)),CELL("address",INDEX(Assumptions!$A:$A,MATCH($A18,Assumptions!$A:$A,0),1))),IF(_xlpm._isAdditionalElement,CELL("address",INDEX(INDIRECT("'"&amp;_xlpm._sheetName&amp;"'!"&amp;_xlpm._columnLetter&amp;":"&amp;_xlpm._columnLetter),$Y18)),CELL("address",INDEX(Countermeasures!$A:$A,MATCH($A18,Countermeasures!$A:$A,0),1)))),_xlpm._start,FIND("]",_xlpm._sheetReference),"'"&amp;SUBSTITUTE(SUBSTITUTE(RIGHT(_xlpm._sheetReference,LEN(_xlpm._sheetReference)-_xlpm._start),"'",""),"!","'!")))</f>
        <v>'Assumptions'!$A$6</v>
      </c>
      <c r="AA18" s="20" t="str" cm="1">
        <f t="array" ca="1" aca="1" ref="AA18">IF(NOT($L18),_xlfn.LET(_xlpm._value,IF($A18="","",IF($J18,SimpleLookup($A18,Assumptions!$A:$AK),SimpleLookup($A18,Countermeasures!$A:$AN))),IF(_xlpm._value="","",_xlpm._value)),"")</f>
        <v xml:space="preserve">QI2 </v>
      </c>
      <c r="AB18" s="20" t="str" cm="1">
        <f t="array" ca="1" aca="1" ref="AB18">LookupNames(InverseLookup($A18,Mitigation!$AD$2,Mitigation!$A$2,1,Helper!$B$5,","),'Attack Steps'!$A:$B)</f>
        <v/>
      </c>
      <c r="AC18" s="20" t="str" cm="1">
        <f t="array" ca="1" aca="1" ref="AC18">IF($L18,_xlfn.LET(_xlpm._in,$A18,_xlpm._lastDashNum,LEN(_xlpm._in)-LEN(SUBSTITUTE(_xlpm._in,"-","")),_xlpm._lastDashPos,FIND(CHAR(1),SUBSTITUTE(_xlpm._in,"-",CHAR(1),_xlpm._lastDashNum)),_xlpm._id,LEFT(_xlpm._in,_xlpm._lastDashPos-1),_xlpm._id&amp;"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18" s="20" t="str" cm="1">
        <f t="array" ca="1" aca="1" ref="AD18">_xlfn.LET(_xlpm._countermeasures,InverseLookup($A18,Countermeasures!$AG$2,Countermeasures!$A$2,1,Helper!$B$4,","),LookupNames(_xlpm._countermeasures,Countermeasures!$A:$B))</f>
        <v/>
      </c>
      <c r="AE18" s="20" t="str" cm="1">
        <f t="array" ca="1" aca="1" ref="AE18">IF($E18="","",_xlfn.LET(_xlpm._id,$E18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18" s="20" t="str" cm="1">
        <f t="array" ca="1" aca="1" ref="AF18">IF(OR($A18="",$L18),"",_xlfn.LET(_xlpm._answers,IF($J18,SimpleLookup($A18,Assumptions!$A:$F),SimpleLookup($A18,Countermeasures!$A:$D)),IF(_xlpm._answers="*",IF($J18,SimpleLookup($A18,Assumptions!$A:$C),SimpleLookup($A18,Countermeasures!$A:$C)),"")))</f>
        <v/>
      </c>
      <c r="AG18" s="20" t="str" cm="1">
        <f t="array" ca="1" aca="1" ref="AG18">IF(NOT($L18),"",_xlfn.LET(_xlpm._mappedInMitigation,IFERROR(VLOOKUP($V18,'Attack Steps'!$A:$O,COLUMNS('Attack Steps'!$A:$O),FALSE),""),CreateSearchString(_xlpm._mappedInMitigation)))</f>
        <v/>
      </c>
      <c r="AH18" s="20" t="b">
        <f ca="1">ROW()-ROW($AH$17)=Helper!$B$15</f>
        <v>0</v>
      </c>
      <c r="AI18" s="20" t="str">
        <f ca="1" t="shared" si="6" ref="AI18:AI49">IF(IFERROR(MATCH(TRUE,$AH:$AH,0)&gt;0,FALSE),"",IF(OFFSET($AH18,1,0)="","Please enlarge the table!",""))</f>
        <v/>
      </c>
      <c r="AJ18" s="20" cm="1">
        <f t="array" ca="1" aca="1" ref="AJ18">CreateID($AJ$17,$AJ:$AJ,$AI18&lt;&gt;"")</f>
        <v>0</v>
      </c>
    </row>
    <row r="19" spans="1:36" ht="60.75">
      <c r="A19" s="16" t="str">
        <f ca="1">_xlfn.LET(_xlpm._isAssumption,$J19,_xlpm._row,$K19,_xlpm._numActiveAssumptions,Helper!$B$8,_xlpm._numActiveCountermeasures,Helper!$B$9,_xlpm._numAdditionalAssumptions,Helper!$B$10,_xlpm._numAdditionalCountermeasures,Helper!$B$11,IF(_xlpm._isAssumption,IF(_xlpm._row&gt;_xlpm._numActiveAssumptions,$V19&amp;"-A"&amp;$Q19,INDEX(Assumptions!A:A,MATCH(_xlpm._row,Assumptions!$AG:$AG,0))),IF(_xlpm._row&gt;_xlpm._numActiveCountermeasures+_xlpm._numAdditionalCountermeasures,"",IF(_xlpm._row&gt;_xlpm._numActiveCountermeasures,$V19&amp;"-C"&amp;$Q19,INDEX(Countermeasures!$A:$A,MATCH(_xlpm._row,Countermeasures!$AI:$AI,0))))))</f>
        <v>A4</v>
      </c>
      <c r="B19" s="16" t="str" cm="1">
        <f t="array" ca="1" aca="1" ref="B19">IF($A19="","",_xlfn.LET(_xlpm._isAssumption,$J19,_xlpm._isAdditionalElement,$L19,IF(_xlpm._isAdditionalElement,IF(_xlpm._isAssumption,ParseElementsFromComment($U19,Definitions!$AR$4,Definitions!$AS$4,Definitions!$AR$6,$Q19),ParseElementsFromComment($U19,Definitions!$AR$5,Definitions!$AS$5,Definitions!$AR$6,$Q19)),_xlfn.LET(_xlpm._value,IF($A19="","",IF($J19,SimpleLookup($A19,Assumptions!$A:$B),SimpleLookup($A19,Countermeasures!$A:$B))),IF(_xlpm._value="","",_xlpm._value)))))</f>
        <v>SDR 2.1 – No legal or contractual obligations for data confidentiality</v>
      </c>
      <c r="C19" s="16" t="str" cm="1">
        <f t="array" ca="1" aca="1" ref="C19">IF($A19="","",IF($J19,IFERROR(SimpleLookup($A19,Assumptions!$A:$E),""),Definitions!$AO$4))</f>
        <v>acontis techonlogies GmbH</v>
      </c>
      <c r="D19" s="36" t="str">
        <f t="shared" ca="1" si="2"/>
        <v>═══════════════════════════════════════════════════════════════
Comments of related questions / answers:
––––––––––––––––––––––––––––––––––––––––––––––––––––––––––––––––––––––––––––––––––––
QI4 The EC-Master stack just transports data but does not process nor store data. The data is opauqe for the EC-Master stack.</v>
      </c>
      <c r="E19" s="13"/>
      <c r="F19" s="59" t="str">
        <f t="shared" ca="1" si="3"/>
        <v>click me</v>
      </c>
      <c r="G19" s="122" t="str" cm="1">
        <f t="array" ca="1" aca="1" ref="G19">_xlfn.LET(_xlpm._val,IFERROR(SimpleLookup($A19,Countermeasures!$A:$R),IFERROR(SimpleLookup($A19,Assumptions!$A:$R),"")),IF(_xlpm._val="","",_xlpm._val))</f>
        <v/>
      </c>
      <c r="H19" s="16" t="str" cm="1">
        <f t="array" ca="1" aca="1" ref="H19">_xlfn.LET(_xlpm._value,IF($A19="","",IFERROR(IF($J19,SimpleLookup($A19,Assumptions!$A:$S),SimpleLookup($A19,Countermeasures!$A:$S)),"")),IF(_xlpm._value="","",_xlpm._value))</f>
        <v>Note that this assumption does not exclude damage scenarios for information disclosure, it just states that no immediate damages arise from a violation of laws or contracts. Also note that privacy is handled on its own.</v>
      </c>
      <c r="I19" s="10" cm="1">
        <f t="array" ca="1" aca="1" ref="I19">IF(ROW()=ROW($I$17)+1,0,INDEX($I:$I,ROW()-1))+IF($A19="",0,1)</f>
        <v>2</v>
      </c>
      <c r="J19" s="10" t="b">
        <f ca="1">_xlfn.LET(_xlpm._row,ROW()-ROW($K$17),_xlpm._numActiveAssumptions,Helper!$B$8,_xlpm._numAdditionalAssumptions,SUM(Table24['# Elements]),_xlpm._row&lt;=_xlpm._numActiveAssumptions+_xlpm._numAdditionalAssumptions)</f>
        <v>1</v>
      </c>
      <c r="K19" s="10">
        <f ca="1">_xlfn.LET(_xlpm._row,ROW()-ROW($K$17),_xlpm._numActiveAssumptions,Helper!$B$8,_xlpm._numAdditionalAssumptions,Helper!$B$10,_xlpm._isAssumption,$J19,_xlpm._elementID,IF(_xlpm._isAssumption,_xlpm._row,_xlpm._row-_xlpm._numActiveAssumptions-_xlpm._numAdditionalAssumptions),_xlpm._elementID)</f>
        <v>2</v>
      </c>
      <c r="L19"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19" s="14" cm="1">
        <f t="array" ca="1" aca="1" ref="M19">IF($L19,IF(ROW()=ROW($M$17)+1,1,INDEX($M:$M,ROW()-1)+IF(INDEX($T:$T,ROW()-1),1,0)),1)</f>
        <v>1</v>
      </c>
      <c r="N19" s="14" t="str" cm="1">
        <f t="array" ca="1" aca="1" ref="N19">IF($L19=TRUE,_xlfn.LET(_xlpm._isAssumption,$J19,_xlpm._indexRange,IF(_xlpm._isAssumption,Table24['# Elements],Table25['# Elements]),_xlpm._lookupRow,$W19,INDEX(_xlpm._indexRange,_xlpm._lookupRow)),"")</f>
        <v/>
      </c>
      <c r="O19" s="20" t="str" cm="1">
        <f t="array" ca="1" aca="1" ref="O19">IF($N19="","",_xlfn.LET(_xlpm._prevRow,ROW()-1,IF(OR(INDEX($N:$N,_xlpm._prevRow)&lt;&gt;$N19,INDEX($M:$M,_xlpm._prevRow)&lt;&gt;$M19),1,INDEX($O:$O,_xlpm._prevRow)+IF(INDEX($S:$S,_xlpm._prevRow),1,0))))</f>
        <v/>
      </c>
      <c r="P19" s="20" t="str" cm="1">
        <f t="array" ca="1" aca="1" ref="P19">IF($O19="","",_xlfn.LET(_xlpm._isAssumption,$J19,_xlpm._sheetRow,$W19,_xlpm._sheetName,$X19,_xlpm._elementIDRange,IF(_xlpm._isAssumption,Table24[Element ID Column],Table25[Element ID Column]),_xlpm._numberOfElementsRange,IF(_xlpm._isAssumption,Table24[Number of Elements Column],Table25[Number of Elements Column]),SimpleLookup($O19,INDIRECT("'"&amp;_xlpm._sheetName&amp;"'!"&amp;INDEX(_xlpm._elementIDRange,_xlpm._sheetRow)&amp;":"&amp;INDEX(_xlpm._numberOfElementsRange,_xlpm._sheetRow)))))</f>
        <v/>
      </c>
      <c r="Q19" s="20" t="str" cm="1">
        <f t="array" ca="1" aca="1" ref="Q19">IF($O19="","",IF(OR(INDEX($O:$O,ROW()-1)&lt;&gt;$O19,INDEX($M:$M,ROW()-1)&lt;&gt;$M19),1,INDEX($Q:$Q,ROW()-1)+1))</f>
        <v/>
      </c>
      <c r="R19" s="20">
        <f t="shared" ca="1" si="4"/>
        <v>0</v>
      </c>
      <c r="S19" s="20" t="str">
        <f t="shared" ca="1" si="5"/>
        <v/>
      </c>
      <c r="T19" s="20" t="b">
        <f ca="1">_xlfn.LET(_xlpm._isAssumption,$J19,_xlpm._numberOfElementsRange,IF(_xlpm._isAssumption,Table24['# Elements],Table25['# Elements]),_xlpm._sheetRow,$W19,IF($L19,AND($S19,$R19=$N19),FALSE))</f>
        <v>0</v>
      </c>
      <c r="U19" s="20" t="str" cm="1">
        <f t="array" ca="1" aca="1" ref="U19">IF($L19,_xlfn.LET(_xlpm._elementID,$O19,_xlpm._isAssumption,$J19,_xlpm._sheetRow,$W19,_xlpm._sheetName,$X19,_xlpm._elementRow,$Y19,_xlpm._resultColumnLetter,IF(_xlpm._isAssumption,INDEX(Table24[Comment Column],_xlpm._sheetRow),INDEX(Table25[Comment Column],_xlpm._sheetRow)),INDEX(INDIRECT("'"&amp;_xlpm._sheetName&amp;"'!"&amp;_xlpm._resultColumnLetter&amp;":"&amp;_xlpm._resultColumnLetter),_xlpm._elementRow)),"")</f>
        <v/>
      </c>
      <c r="V19" s="20" t="str" cm="1">
        <f t="array" ca="1" aca="1" ref="V19">IF($L19,_xlfn.LET(_xlpm._elementID,$O19,_xlpm._isAssumption,$J19,_xlpm._sheetRow,$W19,_xlpm._sheetName,$X19,_xlpm._resultColumnLetter,IF(_xlpm._isAssumption,INDEX(Table24[Sheet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19" s="20" t="str">
        <f ca="1">IF($L19=TRUE,_xlfn.LET(_xlpm._isAssumption,$J19,_xlpm._searchRange,IF(_xlpm._isAssumption,Table24[Task Sheet Shadow ID],Table25[Task Sheet Shadow ID]),MATCH($M19,_xlpm._searchRange,0)),"")</f>
        <v/>
      </c>
      <c r="X19" s="20" t="str" cm="1">
        <f t="array" ca="1" aca="1" ref="X19">IF($L19,_xlfn.LET(_xlpm._isAssumption,$J19,_xlpm._sheetRow,$W19,IF(_xlpm._isAssumption,INDEX(Table24[Sheet Name],_xlpm._sheetRow),INDEX(Table25[Sheet Name],_xlpm._sheetRow))),"")</f>
        <v/>
      </c>
      <c r="Y19" s="20" t="str" cm="1">
        <f t="array" ca="1" aca="1" ref="Y19">IF($L19,_xlfn.LET(_xlpm._elementID,$O19,_xlpm._isAssumption,$J19,_xlpm._sheetRow,$W19,_xlpm._sheetName,$X19,_xlpm._elementIDColumnLetter,IF(_xlpm._isAssumption,INDEX(Table24[Element ID Column],_xlpm._sheetRow),INDEX(Table25[Element ID Column],_xlpm._sheetRow)),MATCH(_xlpm._elementID,INDIRECT("'"&amp;_xlpm._sheetName&amp;"'!"&amp;_xlpm._elementIDColumnLetter&amp;":"&amp;_xlpm._elementIDColumnLetter),0)),"")</f>
        <v/>
      </c>
      <c r="Z19" s="20" t="str" cm="1">
        <f t="array" ca="1" aca="1" ref="Z19">IF($A19="","",_xlfn.LET(_xlpm._isAssumption,$J19,_xlpm._isAdditionalElement,$L19,_xlpm._sheetRow,$W19,_xlpm._sheetName,$X19,_xlpm._columnLetter,INDEX(IF(_xlpm._isAdditionalElement,Table24[Comment Column],Table25[Comment Column]),_xlpm._sheetRow),_xlpm._sheetReference,IF(_xlpm._isAssumption,IF(_xlpm._isAdditionalElement,CELL("address",INDEX(INDIRECT("'"&amp;_xlpm._sheetName&amp;"'!"&amp;_xlpm._columnLetter&amp;":"&amp;_xlpm._columnLetter),$Y19)),CELL("address",INDEX(Assumptions!$A:$A,MATCH($A19,Assumptions!$A:$A,0),1))),IF(_xlpm._isAdditionalElement,CELL("address",INDEX(INDIRECT("'"&amp;_xlpm._sheetName&amp;"'!"&amp;_xlpm._columnLetter&amp;":"&amp;_xlpm._columnLetter),$Y19)),CELL("address",INDEX(Countermeasures!$A:$A,MATCH($A19,Countermeasures!$A:$A,0),1)))),_xlpm._start,FIND("]",_xlpm._sheetReference),"'"&amp;SUBSTITUTE(SUBSTITUTE(RIGHT(_xlpm._sheetReference,LEN(_xlpm._sheetReference)-_xlpm._start),"'",""),"!","'!")))</f>
        <v>'Assumptions'!$A$7</v>
      </c>
      <c r="AA19" s="20" t="str" cm="1">
        <f t="array" ca="1" aca="1" ref="AA19">IF(NOT($L19),_xlfn.LET(_xlpm._value,IF($A19="","",IF($J19,SimpleLookup($A19,Assumptions!$A:$AK),SimpleLookup($A19,Countermeasures!$A:$AN))),IF(_xlpm._value="","",_xlpm._value)),"")</f>
        <v>QI4 The EC-Master stack just transports data but does not process nor store data. The data is opauqe for the EC-Master stack.</v>
      </c>
      <c r="AB19" s="20" t="str" cm="1">
        <f t="array" ca="1" aca="1" ref="AB19">LookupNames(InverseLookup($A19,Mitigation!$AD$2,Mitigation!$A$2,1,Helper!$B$5,","),'Attack Steps'!$A:$B)</f>
        <v/>
      </c>
      <c r="AC19" s="20" t="str" cm="1">
        <f t="array" ca="1" aca="1" ref="AC19">IF($L19,_xlfn.LET(_xlpm._in,$A19,_xlpm._lastDashNum,LEN(_xlpm._in)-LEN(SUBSTITUTE(_xlpm._in,"-","")),_xlpm._lastDashPos,FIND(CHAR(1),SUBSTITUTE(_xlpm._in,"-",CHAR(1),_xlpm._lastDashNum)),_xlpm._id,LEFT(_xlpm._in,_xlpm._lastDashPos-1),_xlpm._id&amp;"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19" s="20" t="str" cm="1">
        <f t="array" ca="1" aca="1" ref="AD19">_xlfn.LET(_xlpm._countermeasures,InverseLookup($A19,Countermeasures!$AG$2,Countermeasures!$A$2,1,Helper!$B$4,","),LookupNames(_xlpm._countermeasures,Countermeasures!$A:$B))</f>
        <v/>
      </c>
      <c r="AE19" s="20" t="str" cm="1">
        <f t="array" ca="1" aca="1" ref="AE19">IF($E19="","",_xlfn.LET(_xlpm._id,$E19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19" s="20" t="str" cm="1">
        <f t="array" ca="1" aca="1" ref="AF19">IF(OR($A19="",$L19),"",_xlfn.LET(_xlpm._answers,IF($J19,SimpleLookup($A19,Assumptions!$A:$F),SimpleLookup($A19,Countermeasures!$A:$D)),IF(_xlpm._answers="*",IF($J19,SimpleLookup($A19,Assumptions!$A:$C),SimpleLookup($A19,Countermeasures!$A:$C)),"")))</f>
        <v/>
      </c>
      <c r="AG19" s="20" t="str" cm="1">
        <f t="array" ca="1" aca="1" ref="AG19">IF(NOT($L19),"",_xlfn.LET(_xlpm._mappedInMitigation,IFERROR(VLOOKUP($V19,'Attack Steps'!$A:$O,COLUMNS('Attack Steps'!$A:$O),FALSE),""),CreateSearchString(_xlpm._mappedInMitigation)))</f>
        <v/>
      </c>
      <c r="AH19" s="20" t="b">
        <f ca="1">ROW()-ROW($AH$17)=Helper!$B$15</f>
        <v>0</v>
      </c>
      <c r="AI19" s="20" t="str">
        <f t="shared" ca="1" si="6"/>
        <v/>
      </c>
      <c r="AJ19" s="20" cm="1">
        <f t="array" ca="1" aca="1" ref="AJ19">CreateID($AJ$17,$AJ:$AJ,$AI19&lt;&gt;"")</f>
        <v>0</v>
      </c>
    </row>
    <row r="20" spans="1:36" ht="48.75">
      <c r="A20" s="16" t="str">
        <f ca="1">_xlfn.LET(_xlpm._isAssumption,$J20,_xlpm._row,$K20,_xlpm._numActiveAssumptions,Helper!$B$8,_xlpm._numActiveCountermeasures,Helper!$B$9,_xlpm._numAdditionalAssumptions,Helper!$B$10,_xlpm._numAdditionalCountermeasures,Helper!$B$11,IF(_xlpm._isAssumption,IF(_xlpm._row&gt;_xlpm._numActiveAssumptions,$V20&amp;"-A"&amp;$Q20,INDEX(Assumptions!A:A,MATCH(_xlpm._row,Assumptions!$AG:$AG,0))),IF(_xlpm._row&gt;_xlpm._numActiveCountermeasures+_xlpm._numAdditionalCountermeasures,"",IF(_xlpm._row&gt;_xlpm._numActiveCountermeasures,$V20&amp;"-C"&amp;$Q20,INDEX(Countermeasures!$A:$A,MATCH(_xlpm._row,Countermeasures!$AI:$AI,0))))))</f>
        <v>A10</v>
      </c>
      <c r="B20" s="16" t="str" cm="1">
        <f t="array" ca="1" aca="1" ref="B20">IF($A20="","",_xlfn.LET(_xlpm._isAssumption,$J20,_xlpm._isAdditionalElement,$L20,IF(_xlpm._isAdditionalElement,IF(_xlpm._isAssumption,ParseElementsFromComment($U20,Definitions!$AR$4,Definitions!$AS$4,Definitions!$AR$6,$Q20),ParseElementsFromComment($U20,Definitions!$AR$5,Definitions!$AS$5,Definitions!$AR$6,$Q20)),_xlfn.LET(_xlpm._value,IF($A20="","",IF($J20,SimpleLookup($A20,Assumptions!$A:$B),SimpleLookup($A20,Countermeasures!$A:$B))),IF(_xlpm._value="","",_xlpm._value)))))</f>
        <v>SDR 2.2 – No contractual obligations regarding product availability</v>
      </c>
      <c r="C20" s="16" t="str" cm="1">
        <f t="array" ca="1" aca="1" ref="C20">IF($A20="","",IF($J20,IFERROR(SimpleLookup($A20,Assumptions!$A:$E),""),Definitions!$AO$4))</f>
        <v>acontis techonlogies GmbH</v>
      </c>
      <c r="D20" s="36" t="str">
        <f t="shared" ca="1" si="2"/>
        <v xml:space="preserve">═══════════════════════════════════════════════════════════════
Comments of related questions / answers:
––––––––––––––––––––––––––––––––––––––––––––––––––––––––––––––––––––––––––––––––––––
QI9 </v>
      </c>
      <c r="E20" s="13"/>
      <c r="F20" s="59" t="str">
        <f t="shared" ca="1" si="3"/>
        <v>click me</v>
      </c>
      <c r="G20" s="122" t="str" cm="1">
        <f t="array" ca="1" aca="1" ref="G20">_xlfn.LET(_xlpm._val,IFERROR(SimpleLookup($A20,Countermeasures!$A:$R),IFERROR(SimpleLookup($A20,Assumptions!$A:$R),"")),IF(_xlpm._val="","",_xlpm._val))</f>
        <v/>
      </c>
      <c r="H20" s="16" t="str" cm="1">
        <f t="array" ca="1" aca="1" ref="H20">_xlfn.LET(_xlpm._value,IF($A20="","",IFERROR(IF($J20,SimpleLookup($A20,Assumptions!$A:$S),SimpleLookup($A20,Countermeasures!$A:$S)),"")),IF(_xlpm._value="","",_xlpm._value))</f>
        <v/>
      </c>
      <c r="I20" s="10" cm="1">
        <f t="array" ca="1" aca="1" ref="I20">IF(ROW()=ROW($I$17)+1,0,INDEX($I:$I,ROW()-1))+IF($A20="",0,1)</f>
        <v>3</v>
      </c>
      <c r="J20" s="10" t="b">
        <f ca="1">_xlfn.LET(_xlpm._row,ROW()-ROW($K$17),_xlpm._numActiveAssumptions,Helper!$B$8,_xlpm._numAdditionalAssumptions,SUM(Table24['# Elements]),_xlpm._row&lt;=_xlpm._numActiveAssumptions+_xlpm._numAdditionalAssumptions)</f>
        <v>1</v>
      </c>
      <c r="K20" s="10">
        <f ca="1">_xlfn.LET(_xlpm._row,ROW()-ROW($K$17),_xlpm._numActiveAssumptions,Helper!$B$8,_xlpm._numAdditionalAssumptions,Helper!$B$10,_xlpm._isAssumption,$J20,_xlpm._elementID,IF(_xlpm._isAssumption,_xlpm._row,_xlpm._row-_xlpm._numActiveAssumptions-_xlpm._numAdditionalAssumptions),_xlpm._elementID)</f>
        <v>3</v>
      </c>
      <c r="L20"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0" s="14" cm="1">
        <f t="array" ca="1" aca="1" ref="M20">IF($L20,IF(ROW()=ROW($M$17)+1,1,INDEX($M:$M,ROW()-1)+IF(INDEX($T:$T,ROW()-1),1,0)),1)</f>
        <v>1</v>
      </c>
      <c r="N20" s="14" t="str" cm="1">
        <f t="array" ca="1" aca="1" ref="N20">IF($L20=TRUE,_xlfn.LET(_xlpm._isAssumption,$J20,_xlpm._indexRange,IF(_xlpm._isAssumption,Table24['# Elements],Table25['# Elements]),_xlpm._lookupRow,$W20,INDEX(_xlpm._indexRange,_xlpm._lookupRow)),"")</f>
        <v/>
      </c>
      <c r="O20" s="20" t="str" cm="1">
        <f t="array" ca="1" aca="1" ref="O20">IF($N20="","",_xlfn.LET(_xlpm._prevRow,ROW()-1,IF(OR(INDEX($N:$N,_xlpm._prevRow)&lt;&gt;$N20,INDEX($M:$M,_xlpm._prevRow)&lt;&gt;$M20),1,INDEX($O:$O,_xlpm._prevRow)+IF(INDEX($S:$S,_xlpm._prevRow),1,0))))</f>
        <v/>
      </c>
      <c r="P20" s="20" t="str" cm="1">
        <f t="array" ca="1" aca="1" ref="P20">IF($O20="","",_xlfn.LET(_xlpm._isAssumption,$J20,_xlpm._sheetRow,$W20,_xlpm._sheetName,$X20,_xlpm._elementIDRange,IF(_xlpm._isAssumption,Table24[Element ID Column],Table25[Element ID Column]),_xlpm._numberOfElementsRange,IF(_xlpm._isAssumption,Table24[Number of Elements Column],Table25[Number of Elements Column]),SimpleLookup($O20,INDIRECT("'"&amp;_xlpm._sheetName&amp;"'!"&amp;INDEX(_xlpm._elementIDRange,_xlpm._sheetRow)&amp;":"&amp;INDEX(_xlpm._numberOfElementsRange,_xlpm._sheetRow)))))</f>
        <v/>
      </c>
      <c r="Q20" s="20" t="str" cm="1">
        <f t="array" ca="1" aca="1" ref="Q20">IF($O20="","",IF(OR(INDEX($O:$O,ROW()-1)&lt;&gt;$O20,INDEX($M:$M,ROW()-1)&lt;&gt;$M20),1,INDEX($Q:$Q,ROW()-1)+1))</f>
        <v/>
      </c>
      <c r="R20" s="20">
        <f t="shared" ca="1" si="4"/>
        <v>0</v>
      </c>
      <c r="S20" s="20" t="str">
        <f t="shared" ca="1" si="5"/>
        <v/>
      </c>
      <c r="T20" s="20" t="b">
        <f ca="1">_xlfn.LET(_xlpm._isAssumption,$J20,_xlpm._numberOfElementsRange,IF(_xlpm._isAssumption,Table24['# Elements],Table25['# Elements]),_xlpm._sheetRow,$W20,IF($L20,AND($S20,$R20=$N20),FALSE))</f>
        <v>0</v>
      </c>
      <c r="U20" s="20" t="str" cm="1">
        <f t="array" ca="1" aca="1" ref="U20">IF($L20,_xlfn.LET(_xlpm._elementID,$O20,_xlpm._isAssumption,$J20,_xlpm._sheetRow,$W20,_xlpm._sheetName,$X20,_xlpm._elementRow,$Y20,_xlpm._resultColumnLetter,IF(_xlpm._isAssumption,INDEX(Table24[Comment Column],_xlpm._sheetRow),INDEX(Table25[Comment Column],_xlpm._sheetRow)),INDEX(INDIRECT("'"&amp;_xlpm._sheetName&amp;"'!"&amp;_xlpm._resultColumnLetter&amp;":"&amp;_xlpm._resultColumnLetter),_xlpm._elementRow)),"")</f>
        <v/>
      </c>
      <c r="V20" s="20" t="str" cm="1">
        <f t="array" ca="1" aca="1" ref="V20">IF($L20,_xlfn.LET(_xlpm._elementID,$O20,_xlpm._isAssumption,$J20,_xlpm._sheetRow,$W20,_xlpm._sheetName,$X20,_xlpm._resultColumnLetter,IF(_xlpm._isAssumption,INDEX(Table24[Sheet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0" s="20" t="str">
        <f ca="1">IF($L20=TRUE,_xlfn.LET(_xlpm._isAssumption,$J20,_xlpm._searchRange,IF(_xlpm._isAssumption,Table24[Task Sheet Shadow ID],Table25[Task Sheet Shadow ID]),MATCH($M20,_xlpm._searchRange,0)),"")</f>
        <v/>
      </c>
      <c r="X20" s="20" t="str" cm="1">
        <f t="array" ca="1" aca="1" ref="X20">IF($L20,_xlfn.LET(_xlpm._isAssumption,$J20,_xlpm._sheetRow,$W20,IF(_xlpm._isAssumption,INDEX(Table24[Sheet Name],_xlpm._sheetRow),INDEX(Table25[Sheet Name],_xlpm._sheetRow))),"")</f>
        <v/>
      </c>
      <c r="Y20" s="20" t="str" cm="1">
        <f t="array" ca="1" aca="1" ref="Y20">IF($L20,_xlfn.LET(_xlpm._elementID,$O20,_xlpm._isAssumption,$J20,_xlpm._sheetRow,$W20,_xlpm._sheetName,$X20,_xlpm._elementIDColumnLetter,IF(_xlpm._isAssumption,INDEX(Table24[Element ID Column],_xlpm._sheetRow),INDEX(Table25[Element ID Column],_xlpm._sheetRow)),MATCH(_xlpm._elementID,INDIRECT("'"&amp;_xlpm._sheetName&amp;"'!"&amp;_xlpm._elementIDColumnLetter&amp;":"&amp;_xlpm._elementIDColumnLetter),0)),"")</f>
        <v/>
      </c>
      <c r="Z20" s="20" t="str" cm="1">
        <f t="array" ca="1" aca="1" ref="Z20">IF($A20="","",_xlfn.LET(_xlpm._isAssumption,$J20,_xlpm._isAdditionalElement,$L20,_xlpm._sheetRow,$W20,_xlpm._sheetName,$X20,_xlpm._columnLetter,INDEX(IF(_xlpm._isAdditionalElement,Table24[Comment Column],Table25[Comment Column]),_xlpm._sheetRow),_xlpm._sheetReference,IF(_xlpm._isAssumption,IF(_xlpm._isAdditionalElement,CELL("address",INDEX(INDIRECT("'"&amp;_xlpm._sheetName&amp;"'!"&amp;_xlpm._columnLetter&amp;":"&amp;_xlpm._columnLetter),$Y20)),CELL("address",INDEX(Assumptions!$A:$A,MATCH($A20,Assumptions!$A:$A,0),1))),IF(_xlpm._isAdditionalElement,CELL("address",INDEX(INDIRECT("'"&amp;_xlpm._sheetName&amp;"'!"&amp;_xlpm._columnLetter&amp;":"&amp;_xlpm._columnLetter),$Y20)),CELL("address",INDEX(Countermeasures!$A:$A,MATCH($A20,Countermeasures!$A:$A,0),1)))),_xlpm._start,FIND("]",_xlpm._sheetReference),"'"&amp;SUBSTITUTE(SUBSTITUTE(RIGHT(_xlpm._sheetReference,LEN(_xlpm._sheetReference)-_xlpm._start),"'",""),"!","'!")))</f>
        <v>'Assumptions'!$A$13</v>
      </c>
      <c r="AA20" s="20" t="str" cm="1">
        <f t="array" ca="1" aca="1" ref="AA20">IF(NOT($L20),_xlfn.LET(_xlpm._value,IF($A20="","",IF($J20,SimpleLookup($A20,Assumptions!$A:$AK),SimpleLookup($A20,Countermeasures!$A:$AN))),IF(_xlpm._value="","",_xlpm._value)),"")</f>
        <v xml:space="preserve">QI9 </v>
      </c>
      <c r="AB20" s="20" t="str" cm="1">
        <f t="array" ca="1" aca="1" ref="AB20">LookupNames(InverseLookup($A20,Mitigation!$AD$2,Mitigation!$A$2,1,Helper!$B$5,","),'Attack Steps'!$A:$B)</f>
        <v/>
      </c>
      <c r="AC20" s="20" t="str" cm="1">
        <f t="array" ca="1" aca="1" ref="AC20">IF($L20,_xlfn.LET(_xlpm._in,$A20,_xlpm._lastDashNum,LEN(_xlpm._in)-LEN(SUBSTITUTE(_xlpm._in,"-","")),_xlpm._lastDashPos,FIND(CHAR(1),SUBSTITUTE(_xlpm._in,"-",CHAR(1),_xlpm._lastDashNum)),_xlpm._id,LEFT(_xlpm._in,_xlpm._lastDashPos-1),_xlpm._id&amp;"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0" s="20" t="str" cm="1">
        <f t="array" ca="1" aca="1" ref="AD20">_xlfn.LET(_xlpm._countermeasures,InverseLookup($A20,Countermeasures!$AG$2,Countermeasures!$A$2,1,Helper!$B$4,","),LookupNames(_xlpm._countermeasures,Countermeasures!$A:$B))</f>
        <v/>
      </c>
      <c r="AE20" s="20" t="str" cm="1">
        <f t="array" ca="1" aca="1" ref="AE20">IF($E20="","",_xlfn.LET(_xlpm._id,$E20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0" s="20" t="str" cm="1">
        <f t="array" ca="1" aca="1" ref="AF20">IF(OR($A20="",$L20),"",_xlfn.LET(_xlpm._answers,IF($J20,SimpleLookup($A20,Assumptions!$A:$F),SimpleLookup($A20,Countermeasures!$A:$D)),IF(_xlpm._answers="*",IF($J20,SimpleLookup($A20,Assumptions!$A:$C),SimpleLookup($A20,Countermeasures!$A:$C)),"")))</f>
        <v/>
      </c>
      <c r="AG20" s="20" t="str" cm="1">
        <f t="array" ca="1" aca="1" ref="AG20">IF(NOT($L20),"",_xlfn.LET(_xlpm._mappedInMitigation,IFERROR(VLOOKUP($V20,'Attack Steps'!$A:$O,COLUMNS('Attack Steps'!$A:$O),FALSE),""),CreateSearchString(_xlpm._mappedInMitigation)))</f>
        <v/>
      </c>
      <c r="AH20" s="20" t="b">
        <f ca="1">ROW()-ROW($AH$17)=Helper!$B$15</f>
        <v>0</v>
      </c>
      <c r="AI20" s="20" t="str">
        <f t="shared" ca="1" si="6"/>
        <v/>
      </c>
      <c r="AJ20" s="20" cm="1">
        <f t="array" ca="1" aca="1" ref="AJ20">CreateID($AJ$17,$AJ:$AJ,$AI20&lt;&gt;"")</f>
        <v>0</v>
      </c>
    </row>
    <row r="21" spans="1:36" ht="48.75">
      <c r="A21" s="16" t="str">
        <f ca="1">_xlfn.LET(_xlpm._isAssumption,$J21,_xlpm._row,$K21,_xlpm._numActiveAssumptions,Helper!$B$8,_xlpm._numActiveCountermeasures,Helper!$B$9,_xlpm._numAdditionalAssumptions,Helper!$B$10,_xlpm._numAdditionalCountermeasures,Helper!$B$11,IF(_xlpm._isAssumption,IF(_xlpm._row&gt;_xlpm._numActiveAssumptions,$V21&amp;"-A"&amp;$Q21,INDEX(Assumptions!A:A,MATCH(_xlpm._row,Assumptions!$AG:$AG,0))),IF(_xlpm._row&gt;_xlpm._numActiveCountermeasures+_xlpm._numAdditionalCountermeasures,"",IF(_xlpm._row&gt;_xlpm._numActiveCountermeasures,$V21&amp;"-C"&amp;$Q21,INDEX(Countermeasures!$A:$A,MATCH(_xlpm._row,Countermeasures!$AI:$AI,0))))))</f>
        <v>A11</v>
      </c>
      <c r="B21" s="16" t="str" cm="1">
        <f t="array" ca="1" aca="1" ref="B21">IF($A21="","",_xlfn.LET(_xlpm._isAssumption,$J21,_xlpm._isAdditionalElement,$L21,IF(_xlpm._isAdditionalElement,IF(_xlpm._isAssumption,ParseElementsFromComment($U21,Definitions!$AR$4,Definitions!$AS$4,Definitions!$AR$6,$Q21),ParseElementsFromComment($U21,Definitions!$AR$5,Definitions!$AS$5,Definitions!$AR$6,$Q21)),_xlfn.LET(_xlpm._value,IF($A21="","",IF($J21,SimpleLookup($A21,Assumptions!$A:$B),SimpleLookup($A21,Countermeasures!$A:$B))),IF(_xlpm._value="","",_xlpm._value)))))</f>
        <v>SDR 2.3 – No legal or contractual obligations for product integrity</v>
      </c>
      <c r="C21" s="16" t="str" cm="1">
        <f t="array" ca="1" aca="1" ref="C21">IF($A21="","",IF($J21,IFERROR(SimpleLookup($A21,Assumptions!$A:$E),""),Definitions!$AO$4))</f>
        <v>acontis techonlogies GmbH</v>
      </c>
      <c r="D21" s="36" t="str">
        <f t="shared" ca="1" si="2"/>
        <v xml:space="preserve">═══════════════════════════════════════════════════════════════
Comments of related questions / answers:
––––––––––––––––––––––––––––––––––––––––––––––––––––––––––––––––––––––––––––––––––––
QI16 </v>
      </c>
      <c r="E21" s="13"/>
      <c r="F21" s="59" t="str">
        <f t="shared" ca="1" si="3"/>
        <v>click me</v>
      </c>
      <c r="G21" s="122" t="str" cm="1">
        <f t="array" ca="1" aca="1" ref="G21">_xlfn.LET(_xlpm._val,IFERROR(SimpleLookup($A21,Countermeasures!$A:$R),IFERROR(SimpleLookup($A21,Assumptions!$A:$R),"")),IF(_xlpm._val="","",_xlpm._val))</f>
        <v/>
      </c>
      <c r="H21" s="16" t="str" cm="1">
        <f t="array" ca="1" aca="1" ref="H21">_xlfn.LET(_xlpm._value,IF($A21="","",IFERROR(IF($J21,SimpleLookup($A21,Assumptions!$A:$S),SimpleLookup($A21,Countermeasures!$A:$S)),"")),IF(_xlpm._value="","",_xlpm._value))</f>
        <v/>
      </c>
      <c r="I21" s="10" cm="1">
        <f t="array" ca="1" aca="1" ref="I21">IF(ROW()=ROW($I$17)+1,0,INDEX($I:$I,ROW()-1))+IF($A21="",0,1)</f>
        <v>4</v>
      </c>
      <c r="J21" s="10" t="b">
        <f ca="1">_xlfn.LET(_xlpm._row,ROW()-ROW($K$17),_xlpm._numActiveAssumptions,Helper!$B$8,_xlpm._numAdditionalAssumptions,SUM(Table24['# Elements]),_xlpm._row&lt;=_xlpm._numActiveAssumptions+_xlpm._numAdditionalAssumptions)</f>
        <v>1</v>
      </c>
      <c r="K21" s="10">
        <f ca="1">_xlfn.LET(_xlpm._row,ROW()-ROW($K$17),_xlpm._numActiveAssumptions,Helper!$B$8,_xlpm._numAdditionalAssumptions,Helper!$B$10,_xlpm._isAssumption,$J21,_xlpm._elementID,IF(_xlpm._isAssumption,_xlpm._row,_xlpm._row-_xlpm._numActiveAssumptions-_xlpm._numAdditionalAssumptions),_xlpm._elementID)</f>
        <v>4</v>
      </c>
      <c r="L21"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1" s="14" cm="1">
        <f t="array" ca="1" aca="1" ref="M21">IF($L21,IF(ROW()=ROW($M$17)+1,1,INDEX($M:$M,ROW()-1)+IF(INDEX($T:$T,ROW()-1),1,0)),1)</f>
        <v>1</v>
      </c>
      <c r="N21" s="14" t="str" cm="1">
        <f t="array" ca="1" aca="1" ref="N21">IF($L21=TRUE,_xlfn.LET(_xlpm._isAssumption,$J21,_xlpm._indexRange,IF(_xlpm._isAssumption,Table24['# Elements],Table25['# Elements]),_xlpm._lookupRow,$W21,INDEX(_xlpm._indexRange,_xlpm._lookupRow)),"")</f>
        <v/>
      </c>
      <c r="O21" s="20" t="str" cm="1">
        <f t="array" ca="1" aca="1" ref="O21">IF($N21="","",_xlfn.LET(_xlpm._prevRow,ROW()-1,IF(OR(INDEX($N:$N,_xlpm._prevRow)&lt;&gt;$N21,INDEX($M:$M,_xlpm._prevRow)&lt;&gt;$M21),1,INDEX($O:$O,_xlpm._prevRow)+IF(INDEX($S:$S,_xlpm._prevRow),1,0))))</f>
        <v/>
      </c>
      <c r="P21" s="20" t="str" cm="1">
        <f t="array" ca="1" aca="1" ref="P21">IF($O21="","",_xlfn.LET(_xlpm._isAssumption,$J21,_xlpm._sheetRow,$W21,_xlpm._sheetName,$X21,_xlpm._elementIDRange,IF(_xlpm._isAssumption,Table24[Element ID Column],Table25[Element ID Column]),_xlpm._numberOfElementsRange,IF(_xlpm._isAssumption,Table24[Number of Elements Column],Table25[Number of Elements Column]),SimpleLookup($O21,INDIRECT("'"&amp;_xlpm._sheetName&amp;"'!"&amp;INDEX(_xlpm._elementIDRange,_xlpm._sheetRow)&amp;":"&amp;INDEX(_xlpm._numberOfElementsRange,_xlpm._sheetRow)))))</f>
        <v/>
      </c>
      <c r="Q21" s="20" t="str" cm="1">
        <f t="array" ca="1" aca="1" ref="Q21">IF($O21="","",IF(OR(INDEX($O:$O,ROW()-1)&lt;&gt;$O21,INDEX($M:$M,ROW()-1)&lt;&gt;$M21),1,INDEX($Q:$Q,ROW()-1)+1))</f>
        <v/>
      </c>
      <c r="R21" s="20">
        <f t="shared" ca="1" si="4"/>
        <v>0</v>
      </c>
      <c r="S21" s="20" t="str">
        <f t="shared" ca="1" si="5"/>
        <v/>
      </c>
      <c r="T21" s="20" t="b">
        <f ca="1">_xlfn.LET(_xlpm._isAssumption,$J21,_xlpm._numberOfElementsRange,IF(_xlpm._isAssumption,Table24['# Elements],Table25['# Elements]),_xlpm._sheetRow,$W21,IF($L21,AND($S21,$R21=$N21),FALSE))</f>
        <v>0</v>
      </c>
      <c r="U21" s="20" t="str" cm="1">
        <f t="array" ca="1" aca="1" ref="U21">IF($L21,_xlfn.LET(_xlpm._elementID,$O21,_xlpm._isAssumption,$J21,_xlpm._sheetRow,$W21,_xlpm._sheetName,$X21,_xlpm._elementRow,$Y21,_xlpm._resultColumnLetter,IF(_xlpm._isAssumption,INDEX(Table24[Comment Column],_xlpm._sheetRow),INDEX(Table25[Comment Column],_xlpm._sheetRow)),INDEX(INDIRECT("'"&amp;_xlpm._sheetName&amp;"'!"&amp;_xlpm._resultColumnLetter&amp;":"&amp;_xlpm._resultColumnLetter),_xlpm._elementRow)),"")</f>
        <v/>
      </c>
      <c r="V21" s="20" t="str" cm="1">
        <f t="array" ca="1" aca="1" ref="V21">IF($L21,_xlfn.LET(_xlpm._elementID,$O21,_xlpm._isAssumption,$J21,_xlpm._sheetRow,$W21,_xlpm._sheetName,$X21,_xlpm._resultColumnLetter,IF(_xlpm._isAssumption,INDEX(Table24[Sheet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1" s="20" t="str">
        <f ca="1">IF($L21=TRUE,_xlfn.LET(_xlpm._isAssumption,$J21,_xlpm._searchRange,IF(_xlpm._isAssumption,Table24[Task Sheet Shadow ID],Table25[Task Sheet Shadow ID]),MATCH($M21,_xlpm._searchRange,0)),"")</f>
        <v/>
      </c>
      <c r="X21" s="20" t="str" cm="1">
        <f t="array" ca="1" aca="1" ref="X21">IF($L21,_xlfn.LET(_xlpm._isAssumption,$J21,_xlpm._sheetRow,$W21,IF(_xlpm._isAssumption,INDEX(Table24[Sheet Name],_xlpm._sheetRow),INDEX(Table25[Sheet Name],_xlpm._sheetRow))),"")</f>
        <v/>
      </c>
      <c r="Y21" s="20" t="str" cm="1">
        <f t="array" ca="1" aca="1" ref="Y21">IF($L21,_xlfn.LET(_xlpm._elementID,$O21,_xlpm._isAssumption,$J21,_xlpm._sheetRow,$W21,_xlpm._sheetName,$X21,_xlpm._elementIDColumnLetter,IF(_xlpm._isAssumption,INDEX(Table24[Element ID Column],_xlpm._sheetRow),INDEX(Table25[Element ID Column],_xlpm._sheetRow)),MATCH(_xlpm._elementID,INDIRECT("'"&amp;_xlpm._sheetName&amp;"'!"&amp;_xlpm._elementIDColumnLetter&amp;":"&amp;_xlpm._elementIDColumnLetter),0)),"")</f>
        <v/>
      </c>
      <c r="Z21" s="20" t="str" cm="1">
        <f t="array" ca="1" aca="1" ref="Z21">IF($A21="","",_xlfn.LET(_xlpm._isAssumption,$J21,_xlpm._isAdditionalElement,$L21,_xlpm._sheetRow,$W21,_xlpm._sheetName,$X21,_xlpm._columnLetter,INDEX(IF(_xlpm._isAdditionalElement,Table24[Comment Column],Table25[Comment Column]),_xlpm._sheetRow),_xlpm._sheetReference,IF(_xlpm._isAssumption,IF(_xlpm._isAdditionalElement,CELL("address",INDEX(INDIRECT("'"&amp;_xlpm._sheetName&amp;"'!"&amp;_xlpm._columnLetter&amp;":"&amp;_xlpm._columnLetter),$Y21)),CELL("address",INDEX(Assumptions!$A:$A,MATCH($A21,Assumptions!$A:$A,0),1))),IF(_xlpm._isAdditionalElement,CELL("address",INDEX(INDIRECT("'"&amp;_xlpm._sheetName&amp;"'!"&amp;_xlpm._columnLetter&amp;":"&amp;_xlpm._columnLetter),$Y21)),CELL("address",INDEX(Countermeasures!$A:$A,MATCH($A21,Countermeasures!$A:$A,0),1)))),_xlpm._start,FIND("]",_xlpm._sheetReference),"'"&amp;SUBSTITUTE(SUBSTITUTE(RIGHT(_xlpm._sheetReference,LEN(_xlpm._sheetReference)-_xlpm._start),"'",""),"!","'!")))</f>
        <v>'Assumptions'!$A$14</v>
      </c>
      <c r="AA21" s="20" t="str" cm="1">
        <f t="array" ca="1" aca="1" ref="AA21">IF(NOT($L21),_xlfn.LET(_xlpm._value,IF($A21="","",IF($J21,SimpleLookup($A21,Assumptions!$A:$AK),SimpleLookup($A21,Countermeasures!$A:$AN))),IF(_xlpm._value="","",_xlpm._value)),"")</f>
        <v xml:space="preserve">QI16 </v>
      </c>
      <c r="AB21" s="20" t="str" cm="1">
        <f t="array" ca="1" aca="1" ref="AB21">LookupNames(InverseLookup($A21,Mitigation!$AD$2,Mitigation!$A$2,1,Helper!$B$5,","),'Attack Steps'!$A:$B)</f>
        <v/>
      </c>
      <c r="AC21" s="20" t="str" cm="1">
        <f t="array" ca="1" aca="1" ref="AC21">IF($L21,_xlfn.LET(_xlpm._in,$A21,_xlpm._lastDashNum,LEN(_xlpm._in)-LEN(SUBSTITUTE(_xlpm._in,"-","")),_xlpm._lastDashPos,FIND(CHAR(1),SUBSTITUTE(_xlpm._in,"-",CHAR(1),_xlpm._lastDashNum)),_xlpm._id,LEFT(_xlpm._in,_xlpm._lastDashPos-1),_xlpm._id&amp;"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1" s="20" t="str" cm="1">
        <f t="array" ca="1" aca="1" ref="AD21">_xlfn.LET(_xlpm._countermeasures,InverseLookup($A21,Countermeasures!$AG$2,Countermeasures!$A$2,1,Helper!$B$4,","),LookupNames(_xlpm._countermeasures,Countermeasures!$A:$B))</f>
        <v/>
      </c>
      <c r="AE21" s="20" t="str" cm="1">
        <f t="array" ca="1" aca="1" ref="AE21">IF($E21="","",_xlfn.LET(_xlpm._id,$E21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1" s="20" t="str" cm="1">
        <f t="array" ca="1" aca="1" ref="AF21">IF(OR($A21="",$L21),"",_xlfn.LET(_xlpm._answers,IF($J21,SimpleLookup($A21,Assumptions!$A:$F),SimpleLookup($A21,Countermeasures!$A:$D)),IF(_xlpm._answers="*",IF($J21,SimpleLookup($A21,Assumptions!$A:$C),SimpleLookup($A21,Countermeasures!$A:$C)),"")))</f>
        <v/>
      </c>
      <c r="AG21" s="20" t="str" cm="1">
        <f t="array" ca="1" aca="1" ref="AG21">IF(NOT($L21),"",_xlfn.LET(_xlpm._mappedInMitigation,IFERROR(VLOOKUP($V21,'Attack Steps'!$A:$O,COLUMNS('Attack Steps'!$A:$O),FALSE),""),CreateSearchString(_xlpm._mappedInMitigation)))</f>
        <v/>
      </c>
      <c r="AH21" s="20" t="b">
        <f ca="1">ROW()-ROW($AH$17)=Helper!$B$15</f>
        <v>0</v>
      </c>
      <c r="AI21" s="20" t="str">
        <f t="shared" ca="1" si="6"/>
        <v/>
      </c>
      <c r="AJ21" s="20" cm="1">
        <f t="array" ca="1" aca="1" ref="AJ21">CreateID($AJ$17,$AJ:$AJ,$AI21&lt;&gt;"")</f>
        <v>0</v>
      </c>
    </row>
    <row r="22" spans="1:36" ht="72.75">
      <c r="A22" s="16" t="str">
        <f ca="1">_xlfn.LET(_xlpm._isAssumption,$J22,_xlpm._row,$K22,_xlpm._numActiveAssumptions,Helper!$B$8,_xlpm._numActiveCountermeasures,Helper!$B$9,_xlpm._numAdditionalAssumptions,Helper!$B$10,_xlpm._numAdditionalCountermeasures,Helper!$B$11,IF(_xlpm._isAssumption,IF(_xlpm._row&gt;_xlpm._numActiveAssumptions,$V22&amp;"-A"&amp;$Q22,INDEX(Assumptions!A:A,MATCH(_xlpm._row,Assumptions!$AG:$AG,0))),IF(_xlpm._row&gt;_xlpm._numActiveCountermeasures+_xlpm._numAdditionalCountermeasures,"",IF(_xlpm._row&gt;_xlpm._numActiveCountermeasures,$V22&amp;"-C"&amp;$Q22,INDEX(Countermeasures!$A:$A,MATCH(_xlpm._row,Countermeasures!$AI:$AI,0))))))</f>
        <v>A12</v>
      </c>
      <c r="B22" s="16" t="str" cm="1">
        <f t="array" ca="1" aca="1" ref="B22">IF($A22="","",_xlfn.LET(_xlpm._isAssumption,$J22,_xlpm._isAdditionalElement,$L22,IF(_xlpm._isAdditionalElement,IF(_xlpm._isAssumption,ParseElementsFromComment($U22,Definitions!$AR$4,Definitions!$AS$4,Definitions!$AR$6,$Q22),ParseElementsFromComment($U22,Definitions!$AR$5,Definitions!$AS$5,Definitions!$AR$6,$Q22)),_xlfn.LET(_xlpm._value,IF($A22="","",IF($J22,SimpleLookup($A22,Assumptions!$A:$B),SimpleLookup($A22,Countermeasures!$A:$B))),IF(_xlpm._value="","",_xlpm._value)))))</f>
        <v>SDR 1.10 – Device operates in trustworthy operational environment</v>
      </c>
      <c r="C22" s="16" t="str" cm="1">
        <f t="array" ca="1" aca="1" ref="C22">IF($A22="","",IF($J22,IFERROR(SimpleLookup($A22,Assumptions!$A:$E),""),Definitions!$AO$4))</f>
        <v>Customer</v>
      </c>
      <c r="D22" s="36" t="str">
        <f t="shared" ca="1" si="2"/>
        <v>═══════════════════════════════════════════════════════════════
Comments of related questions / answers:
––––––––––––––––––––––––––––––––––––––––––––––––––––––––––––––––––––––––––––––––––––
QA12 Customer
QA13 Customer</v>
      </c>
      <c r="E22" s="13"/>
      <c r="F22" s="59" t="str">
        <f t="shared" ca="1" si="3"/>
        <v>click me</v>
      </c>
      <c r="G22" s="122" t="str" cm="1">
        <f t="array" ca="1" aca="1" ref="G22">_xlfn.LET(_xlpm._val,IFERROR(SimpleLookup($A22,Countermeasures!$A:$R),IFERROR(SimpleLookup($A22,Assumptions!$A:$R),"")),IF(_xlpm._val="","",_xlpm._val))</f>
        <v/>
      </c>
      <c r="H22" s="16" t="str" cm="1">
        <f t="array" ca="1" aca="1" ref="H22">_xlfn.LET(_xlpm._value,IF($A22="","",IFERROR(IF($J22,SimpleLookup($A22,Assumptions!$A:$S),SimpleLookup($A22,Countermeasures!$A:$S)),"")),IF(_xlpm._value="","",_xlpm._value))</f>
        <v>None: As the operational environment is trustworthy, no attacks are expected to originate from there</v>
      </c>
      <c r="I22" s="10" cm="1">
        <f t="array" ca="1" aca="1" ref="I22">IF(ROW()=ROW($I$17)+1,0,INDEX($I:$I,ROW()-1))+IF($A22="",0,1)</f>
        <v>5</v>
      </c>
      <c r="J22" s="10" t="b">
        <f ca="1">_xlfn.LET(_xlpm._row,ROW()-ROW($K$17),_xlpm._numActiveAssumptions,Helper!$B$8,_xlpm._numAdditionalAssumptions,SUM(Table24['# Elements]),_xlpm._row&lt;=_xlpm._numActiveAssumptions+_xlpm._numAdditionalAssumptions)</f>
        <v>1</v>
      </c>
      <c r="K22" s="10">
        <f ca="1">_xlfn.LET(_xlpm._row,ROW()-ROW($K$17),_xlpm._numActiveAssumptions,Helper!$B$8,_xlpm._numAdditionalAssumptions,Helper!$B$10,_xlpm._isAssumption,$J22,_xlpm._elementID,IF(_xlpm._isAssumption,_xlpm._row,_xlpm._row-_xlpm._numActiveAssumptions-_xlpm._numAdditionalAssumptions),_xlpm._elementID)</f>
        <v>5</v>
      </c>
      <c r="L22"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2" s="14" cm="1">
        <f t="array" ca="1" aca="1" ref="M22">IF($L22,IF(ROW()=ROW($M$17)+1,1,INDEX($M:$M,ROW()-1)+IF(INDEX($T:$T,ROW()-1),1,0)),1)</f>
        <v>1</v>
      </c>
      <c r="N22" s="14" t="str" cm="1">
        <f t="array" ca="1" aca="1" ref="N22">IF($L22=TRUE,_xlfn.LET(_xlpm._isAssumption,$J22,_xlpm._indexRange,IF(_xlpm._isAssumption,Table24['# Elements],Table25['# Elements]),_xlpm._lookupRow,$W22,INDEX(_xlpm._indexRange,_xlpm._lookupRow)),"")</f>
        <v/>
      </c>
      <c r="O22" s="20" t="str" cm="1">
        <f t="array" ca="1" aca="1" ref="O22">IF($N22="","",_xlfn.LET(_xlpm._prevRow,ROW()-1,IF(OR(INDEX($N:$N,_xlpm._prevRow)&lt;&gt;$N22,INDEX($M:$M,_xlpm._prevRow)&lt;&gt;$M22),1,INDEX($O:$O,_xlpm._prevRow)+IF(INDEX($S:$S,_xlpm._prevRow),1,0))))</f>
        <v/>
      </c>
      <c r="P22" s="20" t="str" cm="1">
        <f t="array" ca="1" aca="1" ref="P22">IF($O22="","",_xlfn.LET(_xlpm._isAssumption,$J22,_xlpm._sheetRow,$W22,_xlpm._sheetName,$X22,_xlpm._elementIDRange,IF(_xlpm._isAssumption,Table24[Element ID Column],Table25[Element ID Column]),_xlpm._numberOfElementsRange,IF(_xlpm._isAssumption,Table24[Number of Elements Column],Table25[Number of Elements Column]),SimpleLookup($O22,INDIRECT("'"&amp;_xlpm._sheetName&amp;"'!"&amp;INDEX(_xlpm._elementIDRange,_xlpm._sheetRow)&amp;":"&amp;INDEX(_xlpm._numberOfElementsRange,_xlpm._sheetRow)))))</f>
        <v/>
      </c>
      <c r="Q22" s="20" t="str" cm="1">
        <f t="array" ca="1" aca="1" ref="Q22">IF($O22="","",IF(OR(INDEX($O:$O,ROW()-1)&lt;&gt;$O22,INDEX($M:$M,ROW()-1)&lt;&gt;$M22),1,INDEX($Q:$Q,ROW()-1)+1))</f>
        <v/>
      </c>
      <c r="R22" s="20">
        <f t="shared" ca="1" si="4"/>
        <v>0</v>
      </c>
      <c r="S22" s="20" t="str">
        <f t="shared" ca="1" si="5"/>
        <v/>
      </c>
      <c r="T22" s="20" t="b">
        <f ca="1">_xlfn.LET(_xlpm._isAssumption,$J22,_xlpm._numberOfElementsRange,IF(_xlpm._isAssumption,Table24['# Elements],Table25['# Elements]),_xlpm._sheetRow,$W22,IF($L22,AND($S22,$R22=$N22),FALSE))</f>
        <v>0</v>
      </c>
      <c r="U22" s="20" t="str" cm="1">
        <f t="array" ca="1" aca="1" ref="U22">IF($L22,_xlfn.LET(_xlpm._elementID,$O22,_xlpm._isAssumption,$J22,_xlpm._sheetRow,$W22,_xlpm._sheetName,$X22,_xlpm._elementRow,$Y22,_xlpm._resultColumnLetter,IF(_xlpm._isAssumption,INDEX(Table24[Comment Column],_xlpm._sheetRow),INDEX(Table25[Comment Column],_xlpm._sheetRow)),INDEX(INDIRECT("'"&amp;_xlpm._sheetName&amp;"'!"&amp;_xlpm._resultColumnLetter&amp;":"&amp;_xlpm._resultColumnLetter),_xlpm._elementRow)),"")</f>
        <v/>
      </c>
      <c r="V22" s="20" t="str" cm="1">
        <f t="array" ca="1" aca="1" ref="V22">IF($L22,_xlfn.LET(_xlpm._elementID,$O22,_xlpm._isAssumption,$J22,_xlpm._sheetRow,$W22,_xlpm._sheetName,$X22,_xlpm._resultColumnLetter,IF(_xlpm._isAssumption,INDEX(Table24[Sheet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2" s="20" t="str">
        <f ca="1">IF($L22=TRUE,_xlfn.LET(_xlpm._isAssumption,$J22,_xlpm._searchRange,IF(_xlpm._isAssumption,Table24[Task Sheet Shadow ID],Table25[Task Sheet Shadow ID]),MATCH($M22,_xlpm._searchRange,0)),"")</f>
        <v/>
      </c>
      <c r="X22" s="20" t="str" cm="1">
        <f t="array" ca="1" aca="1" ref="X22">IF($L22,_xlfn.LET(_xlpm._isAssumption,$J22,_xlpm._sheetRow,$W22,IF(_xlpm._isAssumption,INDEX(Table24[Sheet Name],_xlpm._sheetRow),INDEX(Table25[Sheet Name],_xlpm._sheetRow))),"")</f>
        <v/>
      </c>
      <c r="Y22" s="20" t="str" cm="1">
        <f t="array" ca="1" aca="1" ref="Y22">IF($L22,_xlfn.LET(_xlpm._elementID,$O22,_xlpm._isAssumption,$J22,_xlpm._sheetRow,$W22,_xlpm._sheetName,$X22,_xlpm._elementIDColumnLetter,IF(_xlpm._isAssumption,INDEX(Table24[Element ID Column],_xlpm._sheetRow),INDEX(Table25[Element ID Column],_xlpm._sheetRow)),MATCH(_xlpm._elementID,INDIRECT("'"&amp;_xlpm._sheetName&amp;"'!"&amp;_xlpm._elementIDColumnLetter&amp;":"&amp;_xlpm._elementIDColumnLetter),0)),"")</f>
        <v/>
      </c>
      <c r="Z22" s="20" t="str" cm="1">
        <f t="array" ca="1" aca="1" ref="Z22">IF($A22="","",_xlfn.LET(_xlpm._isAssumption,$J22,_xlpm._isAdditionalElement,$L22,_xlpm._sheetRow,$W22,_xlpm._sheetName,$X22,_xlpm._columnLetter,INDEX(IF(_xlpm._isAdditionalElement,Table24[Comment Column],Table25[Comment Column]),_xlpm._sheetRow),_xlpm._sheetReference,IF(_xlpm._isAssumption,IF(_xlpm._isAdditionalElement,CELL("address",INDEX(INDIRECT("'"&amp;_xlpm._sheetName&amp;"'!"&amp;_xlpm._columnLetter&amp;":"&amp;_xlpm._columnLetter),$Y22)),CELL("address",INDEX(Assumptions!$A:$A,MATCH($A22,Assumptions!$A:$A,0),1))),IF(_xlpm._isAdditionalElement,CELL("address",INDEX(INDIRECT("'"&amp;_xlpm._sheetName&amp;"'!"&amp;_xlpm._columnLetter&amp;":"&amp;_xlpm._columnLetter),$Y22)),CELL("address",INDEX(Countermeasures!$A:$A,MATCH($A22,Countermeasures!$A:$A,0),1)))),_xlpm._start,FIND("]",_xlpm._sheetReference),"'"&amp;SUBSTITUTE(SUBSTITUTE(RIGHT(_xlpm._sheetReference,LEN(_xlpm._sheetReference)-_xlpm._start),"'",""),"!","'!")))</f>
        <v>'Assumptions'!$A$15</v>
      </c>
      <c r="AA22" s="20" t="str" cm="1">
        <f t="array" ca="1" aca="1" ref="AA22">IF(NOT($L22),_xlfn.LET(_xlpm._value,IF($A22="","",IF($J22,SimpleLookup($A22,Assumptions!$A:$AK),SimpleLookup($A22,Countermeasures!$A:$AN))),IF(_xlpm._value="","",_xlpm._value)),"")</f>
        <v>QA12 Customer
QA13 Customer</v>
      </c>
      <c r="AB22" s="20" t="str" cm="1">
        <f t="array" ca="1" aca="1" ref="AB22">LookupNames(InverseLookup($A22,Mitigation!$AD$2,Mitigation!$A$2,1,Helper!$B$5,","),'Attack Steps'!$A:$B)</f>
        <v/>
      </c>
      <c r="AC22" s="20" t="str" cm="1">
        <f t="array" ca="1" aca="1" ref="AC22">IF($L22,_xlfn.LET(_xlpm._in,$A22,_xlpm._lastDashNum,LEN(_xlpm._in)-LEN(SUBSTITUTE(_xlpm._in,"-","")),_xlpm._lastDashPos,FIND(CHAR(1),SUBSTITUTE(_xlpm._in,"-",CHAR(1),_xlpm._lastDashNum)),_xlpm._id,LEFT(_xlpm._in,_xlpm._lastDashPos-1),_xlpm._id&amp;"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2" s="20" t="str" cm="1">
        <f t="array" ca="1" aca="1" ref="AD22">_xlfn.LET(_xlpm._countermeasures,InverseLookup($A22,Countermeasures!$AG$2,Countermeasures!$A$2,1,Helper!$B$4,","),LookupNames(_xlpm._countermeasures,Countermeasures!$A:$B))</f>
        <v/>
      </c>
      <c r="AE22" s="20" t="str" cm="1">
        <f t="array" ca="1" aca="1" ref="AE22">IF($E22="","",_xlfn.LET(_xlpm._id,$E22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2" s="20" t="str" cm="1">
        <f t="array" ca="1" aca="1" ref="AF22">IF(OR($A22="",$L22),"",_xlfn.LET(_xlpm._answers,IF($J22,SimpleLookup($A22,Assumptions!$A:$F),SimpleLookup($A22,Countermeasures!$A:$D)),IF(_xlpm._answers="*",IF($J22,SimpleLookup($A22,Assumptions!$A:$C),SimpleLookup($A22,Countermeasures!$A:$C)),"")))</f>
        <v/>
      </c>
      <c r="AG22" s="20" t="str" cm="1">
        <f t="array" ca="1" aca="1" ref="AG22">IF(NOT($L22),"",_xlfn.LET(_xlpm._mappedInMitigation,IFERROR(VLOOKUP($V22,'Attack Steps'!$A:$O,COLUMNS('Attack Steps'!$A:$O),FALSE),""),CreateSearchString(_xlpm._mappedInMitigation)))</f>
        <v/>
      </c>
      <c r="AH22" s="20" t="b">
        <f ca="1">ROW()-ROW($AH$17)=Helper!$B$15</f>
        <v>0</v>
      </c>
      <c r="AI22" s="20" t="str">
        <f t="shared" ca="1" si="6"/>
        <v/>
      </c>
      <c r="AJ22" s="20" cm="1">
        <f t="array" ca="1" aca="1" ref="AJ22">CreateID($AJ$17,$AJ:$AJ,$AI22&lt;&gt;"")</f>
        <v>0</v>
      </c>
    </row>
    <row r="23" spans="1:36" ht="48.75">
      <c r="A23" s="16" t="str">
        <f ca="1">_xlfn.LET(_xlpm._isAssumption,$J23,_xlpm._row,$K23,_xlpm._numActiveAssumptions,Helper!$B$8,_xlpm._numActiveCountermeasures,Helper!$B$9,_xlpm._numAdditionalAssumptions,Helper!$B$10,_xlpm._numAdditionalCountermeasures,Helper!$B$11,IF(_xlpm._isAssumption,IF(_xlpm._row&gt;_xlpm._numActiveAssumptions,$V23&amp;"-A"&amp;$Q23,INDEX(Assumptions!A:A,MATCH(_xlpm._row,Assumptions!$AG:$AG,0))),IF(_xlpm._row&gt;_xlpm._numActiveCountermeasures+_xlpm._numAdditionalCountermeasures,"",IF(_xlpm._row&gt;_xlpm._numActiveCountermeasures,$V23&amp;"-C"&amp;$Q23,INDEX(Countermeasures!$A:$A,MATCH(_xlpm._row,Countermeasures!$AI:$AI,0))))))</f>
        <v>A15</v>
      </c>
      <c r="B23" s="16" t="str" cm="1">
        <f t="array" ca="1" aca="1" ref="B23">IF($A23="","",_xlfn.LET(_xlpm._isAssumption,$J23,_xlpm._isAdditionalElement,$L23,IF(_xlpm._isAdditionalElement,IF(_xlpm._isAssumption,ParseElementsFromComment($U23,Definitions!$AR$4,Definitions!$AS$4,Definitions!$AR$6,$Q23),ParseElementsFromComment($U23,Definitions!$AR$5,Definitions!$AS$5,Definitions!$AR$6,$Q23)),_xlfn.LET(_xlpm._value,IF($A23="","",IF($J23,SimpleLookup($A23,Assumptions!$A:$B),SimpleLookup($A23,Countermeasures!$A:$B))),IF(_xlpm._value="","",_xlpm._value)))))</f>
        <v>SDR 1.13 – Area with restricted access</v>
      </c>
      <c r="C23" s="16" t="str" cm="1">
        <f t="array" ca="1" aca="1" ref="C23">IF($A23="","",IF($J23,IFERROR(SimpleLookup($A23,Assumptions!$A:$E),""),Definitions!$AO$4))</f>
        <v>Customer</v>
      </c>
      <c r="D23" s="36" t="str">
        <f t="shared" ca="1" si="2"/>
        <v xml:space="preserve">═══════════════════════════════════════════════════════════════
Comments of related questions / answers:
––––––––––––––––––––––––––––––––––––––––––––––––––––––––––––––––––––––––––––––––––––
QA15 </v>
      </c>
      <c r="E23" s="13"/>
      <c r="F23" s="59" t="str">
        <f t="shared" ca="1" si="3"/>
        <v>click me</v>
      </c>
      <c r="G23" s="122" t="str" cm="1">
        <f t="array" ca="1" aca="1" ref="G23">_xlfn.LET(_xlpm._val,IFERROR(SimpleLookup($A23,Countermeasures!$A:$R),IFERROR(SimpleLookup($A23,Assumptions!$A:$R),"")),IF(_xlpm._val="","",_xlpm._val))</f>
        <v/>
      </c>
      <c r="H23" s="16" t="str" cm="1">
        <f t="array" ca="1" aca="1" ref="H23">_xlfn.LET(_xlpm._value,IF($A23="","",IFERROR(IF($J23,SimpleLookup($A23,Assumptions!$A:$S),SimpleLookup($A23,Countermeasures!$A:$S)),"")),IF(_xlpm._value="","",_xlpm._value))</f>
        <v>None: As access to the area is restricted, physical access by unauthorized entities is not relevant for the analysis</v>
      </c>
      <c r="I23" s="10" cm="1">
        <f t="array" ca="1" aca="1" ref="I23">IF(ROW()=ROW($I$17)+1,0,INDEX($I:$I,ROW()-1))+IF($A23="",0,1)</f>
        <v>6</v>
      </c>
      <c r="J23" s="10" t="b">
        <f ca="1">_xlfn.LET(_xlpm._row,ROW()-ROW($K$17),_xlpm._numActiveAssumptions,Helper!$B$8,_xlpm._numAdditionalAssumptions,SUM(Table24['# Elements]),_xlpm._row&lt;=_xlpm._numActiveAssumptions+_xlpm._numAdditionalAssumptions)</f>
        <v>1</v>
      </c>
      <c r="K23" s="10">
        <f ca="1">_xlfn.LET(_xlpm._row,ROW()-ROW($K$17),_xlpm._numActiveAssumptions,Helper!$B$8,_xlpm._numAdditionalAssumptions,Helper!$B$10,_xlpm._isAssumption,$J23,_xlpm._elementID,IF(_xlpm._isAssumption,_xlpm._row,_xlpm._row-_xlpm._numActiveAssumptions-_xlpm._numAdditionalAssumptions),_xlpm._elementID)</f>
        <v>6</v>
      </c>
      <c r="L23"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3" s="14" cm="1">
        <f t="array" ca="1" aca="1" ref="M23">IF($L23,IF(ROW()=ROW($M$17)+1,1,INDEX($M:$M,ROW()-1)+IF(INDEX($T:$T,ROW()-1),1,0)),1)</f>
        <v>1</v>
      </c>
      <c r="N23" s="14" t="str" cm="1">
        <f t="array" ca="1" aca="1" ref="N23">IF($L23=TRUE,_xlfn.LET(_xlpm._isAssumption,$J23,_xlpm._indexRange,IF(_xlpm._isAssumption,Table24['# Elements],Table25['# Elements]),_xlpm._lookupRow,$W23,INDEX(_xlpm._indexRange,_xlpm._lookupRow)),"")</f>
        <v/>
      </c>
      <c r="O23" s="20" t="str" cm="1">
        <f t="array" ca="1" aca="1" ref="O23">IF($N23="","",_xlfn.LET(_xlpm._prevRow,ROW()-1,IF(OR(INDEX($N:$N,_xlpm._prevRow)&lt;&gt;$N23,INDEX($M:$M,_xlpm._prevRow)&lt;&gt;$M23),1,INDEX($O:$O,_xlpm._prevRow)+IF(INDEX($S:$S,_xlpm._prevRow),1,0))))</f>
        <v/>
      </c>
      <c r="P23" s="20" t="str" cm="1">
        <f t="array" ca="1" aca="1" ref="P23">IF($O23="","",_xlfn.LET(_xlpm._isAssumption,$J23,_xlpm._sheetRow,$W23,_xlpm._sheetName,$X23,_xlpm._elementIDRange,IF(_xlpm._isAssumption,Table24[Element ID Column],Table25[Element ID Column]),_xlpm._numberOfElementsRange,IF(_xlpm._isAssumption,Table24[Number of Elements Column],Table25[Number of Elements Column]),SimpleLookup($O23,INDIRECT("'"&amp;_xlpm._sheetName&amp;"'!"&amp;INDEX(_xlpm._elementIDRange,_xlpm._sheetRow)&amp;":"&amp;INDEX(_xlpm._numberOfElementsRange,_xlpm._sheetRow)))))</f>
        <v/>
      </c>
      <c r="Q23" s="20" t="str" cm="1">
        <f t="array" ca="1" aca="1" ref="Q23">IF($O23="","",IF(OR(INDEX($O:$O,ROW()-1)&lt;&gt;$O23,INDEX($M:$M,ROW()-1)&lt;&gt;$M23),1,INDEX($Q:$Q,ROW()-1)+1))</f>
        <v/>
      </c>
      <c r="R23" s="20">
        <f t="shared" ca="1" si="4"/>
        <v>0</v>
      </c>
      <c r="S23" s="20" t="str">
        <f t="shared" ca="1" si="5"/>
        <v/>
      </c>
      <c r="T23" s="20" t="b">
        <f ca="1">_xlfn.LET(_xlpm._isAssumption,$J23,_xlpm._numberOfElementsRange,IF(_xlpm._isAssumption,Table24['# Elements],Table25['# Elements]),_xlpm._sheetRow,$W23,IF($L23,AND($S23,$R23=$N23),FALSE))</f>
        <v>0</v>
      </c>
      <c r="U23" s="20" t="str" cm="1">
        <f t="array" ca="1" aca="1" ref="U23">IF($L23,_xlfn.LET(_xlpm._elementID,$O23,_xlpm._isAssumption,$J23,_xlpm._sheetRow,$W23,_xlpm._sheetName,$X23,_xlpm._elementRow,$Y23,_xlpm._resultColumnLetter,IF(_xlpm._isAssumption,INDEX(Table24[Comment Column],_xlpm._sheetRow),INDEX(Table25[Comment Column],_xlpm._sheetRow)),INDEX(INDIRECT("'"&amp;_xlpm._sheetName&amp;"'!"&amp;_xlpm._resultColumnLetter&amp;":"&amp;_xlpm._resultColumnLetter),_xlpm._elementRow)),"")</f>
        <v/>
      </c>
      <c r="V23" s="20" t="str" cm="1">
        <f t="array" ca="1" aca="1" ref="V23">IF($L23,_xlfn.LET(_xlpm._elementID,$O23,_xlpm._isAssumption,$J23,_xlpm._sheetRow,$W23,_xlpm._sheetName,$X23,_xlpm._resultColumnLetter,IF(_xlpm._isAssumption,INDEX(Table24[Sheet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3" s="20" t="str">
        <f ca="1">IF($L23=TRUE,_xlfn.LET(_xlpm._isAssumption,$J23,_xlpm._searchRange,IF(_xlpm._isAssumption,Table24[Task Sheet Shadow ID],Table25[Task Sheet Shadow ID]),MATCH($M23,_xlpm._searchRange,0)),"")</f>
        <v/>
      </c>
      <c r="X23" s="20" t="str" cm="1">
        <f t="array" ca="1" aca="1" ref="X23">IF($L23,_xlfn.LET(_xlpm._isAssumption,$J23,_xlpm._sheetRow,$W23,IF(_xlpm._isAssumption,INDEX(Table24[Sheet Name],_xlpm._sheetRow),INDEX(Table25[Sheet Name],_xlpm._sheetRow))),"")</f>
        <v/>
      </c>
      <c r="Y23" s="20" t="str" cm="1">
        <f t="array" ca="1" aca="1" ref="Y23">IF($L23,_xlfn.LET(_xlpm._elementID,$O23,_xlpm._isAssumption,$J23,_xlpm._sheetRow,$W23,_xlpm._sheetName,$X23,_xlpm._elementIDColumnLetter,IF(_xlpm._isAssumption,INDEX(Table24[Element ID Column],_xlpm._sheetRow),INDEX(Table25[Element ID Column],_xlpm._sheetRow)),MATCH(_xlpm._elementID,INDIRECT("'"&amp;_xlpm._sheetName&amp;"'!"&amp;_xlpm._elementIDColumnLetter&amp;":"&amp;_xlpm._elementIDColumnLetter),0)),"")</f>
        <v/>
      </c>
      <c r="Z23" s="20" t="str" cm="1">
        <f t="array" ca="1" aca="1" ref="Z23">IF($A23="","",_xlfn.LET(_xlpm._isAssumption,$J23,_xlpm._isAdditionalElement,$L23,_xlpm._sheetRow,$W23,_xlpm._sheetName,$X23,_xlpm._columnLetter,INDEX(IF(_xlpm._isAdditionalElement,Table24[Comment Column],Table25[Comment Column]),_xlpm._sheetRow),_xlpm._sheetReference,IF(_xlpm._isAssumption,IF(_xlpm._isAdditionalElement,CELL("address",INDEX(INDIRECT("'"&amp;_xlpm._sheetName&amp;"'!"&amp;_xlpm._columnLetter&amp;":"&amp;_xlpm._columnLetter),$Y23)),CELL("address",INDEX(Assumptions!$A:$A,MATCH($A23,Assumptions!$A:$A,0),1))),IF(_xlpm._isAdditionalElement,CELL("address",INDEX(INDIRECT("'"&amp;_xlpm._sheetName&amp;"'!"&amp;_xlpm._columnLetter&amp;":"&amp;_xlpm._columnLetter),$Y23)),CELL("address",INDEX(Countermeasures!$A:$A,MATCH($A23,Countermeasures!$A:$A,0),1)))),_xlpm._start,FIND("]",_xlpm._sheetReference),"'"&amp;SUBSTITUTE(SUBSTITUTE(RIGHT(_xlpm._sheetReference,LEN(_xlpm._sheetReference)-_xlpm._start),"'",""),"!","'!")))</f>
        <v>'Assumptions'!$A$18</v>
      </c>
      <c r="AA23" s="20" t="str" cm="1">
        <f t="array" ca="1" aca="1" ref="AA23">IF(NOT($L23),_xlfn.LET(_xlpm._value,IF($A23="","",IF($J23,SimpleLookup($A23,Assumptions!$A:$AK),SimpleLookup($A23,Countermeasures!$A:$AN))),IF(_xlpm._value="","",_xlpm._value)),"")</f>
        <v xml:space="preserve">QA15 </v>
      </c>
      <c r="AB23" s="20" t="str" cm="1">
        <f t="array" ca="1" aca="1" ref="AB23">LookupNames(InverseLookup($A23,Mitigation!$AD$2,Mitigation!$A$2,1,Helper!$B$5,","),'Attack Steps'!$A:$B)</f>
        <v/>
      </c>
      <c r="AC23" s="20" t="str" cm="1">
        <f t="array" ca="1" aca="1" ref="AC23">IF($L23,_xlfn.LET(_xlpm._in,$A23,_xlpm._lastDashNum,LEN(_xlpm._in)-LEN(SUBSTITUTE(_xlpm._in,"-","")),_xlpm._lastDashPos,FIND(CHAR(1),SUBSTITUTE(_xlpm._in,"-",CHAR(1),_xlpm._lastDashNum)),_xlpm._id,LEFT(_xlpm._in,_xlpm._lastDashPos-1),_xlpm._id&amp;"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3" s="20" t="str" cm="1">
        <f t="array" ca="1" aca="1" ref="AD23">_xlfn.LET(_xlpm._countermeasures,InverseLookup($A23,Countermeasures!$AG$2,Countermeasures!$A$2,1,Helper!$B$4,","),LookupNames(_xlpm._countermeasures,Countermeasures!$A:$B))</f>
        <v/>
      </c>
      <c r="AE23" s="20" t="str" cm="1">
        <f t="array" ca="1" aca="1" ref="AE23">IF($E23="","",_xlfn.LET(_xlpm._id,$E23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3" s="20" t="str" cm="1">
        <f t="array" ca="1" aca="1" ref="AF23">IF(OR($A23="",$L23),"",_xlfn.LET(_xlpm._answers,IF($J23,SimpleLookup($A23,Assumptions!$A:$F),SimpleLookup($A23,Countermeasures!$A:$D)),IF(_xlpm._answers="*",IF($J23,SimpleLookup($A23,Assumptions!$A:$C),SimpleLookup($A23,Countermeasures!$A:$C)),"")))</f>
        <v/>
      </c>
      <c r="AG23" s="20" t="str" cm="1">
        <f t="array" ca="1" aca="1" ref="AG23">IF(NOT($L23),"",_xlfn.LET(_xlpm._mappedInMitigation,IFERROR(VLOOKUP($V23,'Attack Steps'!$A:$O,COLUMNS('Attack Steps'!$A:$O),FALSE),""),CreateSearchString(_xlpm._mappedInMitigation)))</f>
        <v/>
      </c>
      <c r="AH23" s="20" t="b">
        <f ca="1">ROW()-ROW($AH$17)=Helper!$B$15</f>
        <v>0</v>
      </c>
      <c r="AI23" s="20" t="str">
        <f t="shared" ca="1" si="6"/>
        <v/>
      </c>
      <c r="AJ23" s="20" cm="1">
        <f t="array" ca="1" aca="1" ref="AJ23">CreateID($AJ$17,$AJ:$AJ,$AI23&lt;&gt;"")</f>
        <v>0</v>
      </c>
    </row>
    <row r="24" spans="1:36" ht="48.75">
      <c r="A24" s="16" t="str">
        <f ca="1">_xlfn.LET(_xlpm._isAssumption,$J24,_xlpm._row,$K24,_xlpm._numActiveAssumptions,Helper!$B$8,_xlpm._numActiveCountermeasures,Helper!$B$9,_xlpm._numAdditionalAssumptions,Helper!$B$10,_xlpm._numAdditionalCountermeasures,Helper!$B$11,IF(_xlpm._isAssumption,IF(_xlpm._row&gt;_xlpm._numActiveAssumptions,$V24&amp;"-A"&amp;$Q24,INDEX(Assumptions!A:A,MATCH(_xlpm._row,Assumptions!$AG:$AG,0))),IF(_xlpm._row&gt;_xlpm._numActiveCountermeasures+_xlpm._numAdditionalCountermeasures,"",IF(_xlpm._row&gt;_xlpm._numActiveCountermeasures,$V24&amp;"-C"&amp;$Q24,INDEX(Countermeasures!$A:$A,MATCH(_xlpm._row,Countermeasures!$AI:$AI,0))))))</f>
        <v>A16</v>
      </c>
      <c r="B24" s="16" t="str" cm="1">
        <f t="array" ca="1" aca="1" ref="B24">IF($A24="","",_xlfn.LET(_xlpm._isAssumption,$J24,_xlpm._isAdditionalElement,$L24,IF(_xlpm._isAdditionalElement,IF(_xlpm._isAssumption,ParseElementsFromComment($U24,Definitions!$AR$4,Definitions!$AS$4,Definitions!$AR$6,$Q24),ParseElementsFromComment($U24,Definitions!$AR$5,Definitions!$AS$5,Definitions!$AR$6,$Q24)),_xlfn.LET(_xlpm._value,IF($A24="","",IF($J24,SimpleLookup($A24,Assumptions!$A:$B),SimpleLookup($A24,Countermeasures!$A:$B))),IF(_xlpm._value="","",_xlpm._value)))))</f>
        <v>SDR 1.14 – Communication media located in restricted access area</v>
      </c>
      <c r="C24" s="16" t="str" cm="1">
        <f t="array" ca="1" aca="1" ref="C24">IF($A24="","",IF($J24,IFERROR(SimpleLookup($A24,Assumptions!$A:$E),""),Definitions!$AO$4))</f>
        <v>Customer</v>
      </c>
      <c r="D24" s="36" t="str">
        <f t="shared" ca="1" si="2"/>
        <v xml:space="preserve">═══════════════════════════════════════════════════════════════
Comments of related questions / answers:
––––––––––––––––––––––––––––––––––––––––––––––––––––––––––––––––––––––––––––––––––––
QA16 </v>
      </c>
      <c r="E24" s="13"/>
      <c r="F24" s="59" t="str">
        <f t="shared" ca="1" si="3"/>
        <v>click me</v>
      </c>
      <c r="G24" s="122" t="str" cm="1">
        <f t="array" ca="1" aca="1" ref="G24">_xlfn.LET(_xlpm._val,IFERROR(SimpleLookup($A24,Countermeasures!$A:$R),IFERROR(SimpleLookup($A24,Assumptions!$A:$R),"")),IF(_xlpm._val="","",_xlpm._val))</f>
        <v/>
      </c>
      <c r="H24" s="16" t="str" cm="1">
        <f t="array" ca="1" aca="1" ref="H24">_xlfn.LET(_xlpm._value,IF($A24="","",IFERROR(IF($J24,SimpleLookup($A24,Assumptions!$A:$S),SimpleLookup($A24,Countermeasures!$A:$S)),"")),IF(_xlpm._value="","",_xlpm._value))</f>
        <v>None: As access to the area is restricted, physical access by unauthorized entities is not relevant for the analysis</v>
      </c>
      <c r="I24" s="10" cm="1">
        <f t="array" ca="1" aca="1" ref="I24">IF(ROW()=ROW($I$17)+1,0,INDEX($I:$I,ROW()-1))+IF($A24="",0,1)</f>
        <v>7</v>
      </c>
      <c r="J24" s="10" t="b">
        <f ca="1">_xlfn.LET(_xlpm._row,ROW()-ROW($K$17),_xlpm._numActiveAssumptions,Helper!$B$8,_xlpm._numAdditionalAssumptions,SUM(Table24['# Elements]),_xlpm._row&lt;=_xlpm._numActiveAssumptions+_xlpm._numAdditionalAssumptions)</f>
        <v>1</v>
      </c>
      <c r="K24" s="10">
        <f ca="1">_xlfn.LET(_xlpm._row,ROW()-ROW($K$17),_xlpm._numActiveAssumptions,Helper!$B$8,_xlpm._numAdditionalAssumptions,Helper!$B$10,_xlpm._isAssumption,$J24,_xlpm._elementID,IF(_xlpm._isAssumption,_xlpm._row,_xlpm._row-_xlpm._numActiveAssumptions-_xlpm._numAdditionalAssumptions),_xlpm._elementID)</f>
        <v>7</v>
      </c>
      <c r="L24"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4" s="14" cm="1">
        <f t="array" ca="1" aca="1" ref="M24">IF($L24,IF(ROW()=ROW($M$17)+1,1,INDEX($M:$M,ROW()-1)+IF(INDEX($T:$T,ROW()-1),1,0)),1)</f>
        <v>1</v>
      </c>
      <c r="N24" s="14" t="str" cm="1">
        <f t="array" ca="1" aca="1" ref="N24">IF($L24=TRUE,_xlfn.LET(_xlpm._isAssumption,$J24,_xlpm._indexRange,IF(_xlpm._isAssumption,Table24['# Elements],Table25['# Elements]),_xlpm._lookupRow,$W24,INDEX(_xlpm._indexRange,_xlpm._lookupRow)),"")</f>
        <v/>
      </c>
      <c r="O24" s="20" t="str" cm="1">
        <f t="array" ca="1" aca="1" ref="O24">IF($N24="","",_xlfn.LET(_xlpm._prevRow,ROW()-1,IF(OR(INDEX($N:$N,_xlpm._prevRow)&lt;&gt;$N24,INDEX($M:$M,_xlpm._prevRow)&lt;&gt;$M24),1,INDEX($O:$O,_xlpm._prevRow)+IF(INDEX($S:$S,_xlpm._prevRow),1,0))))</f>
        <v/>
      </c>
      <c r="P24" s="20" t="str" cm="1">
        <f t="array" ca="1" aca="1" ref="P24">IF($O24="","",_xlfn.LET(_xlpm._isAssumption,$J24,_xlpm._sheetRow,$W24,_xlpm._sheetName,$X24,_xlpm._elementIDRange,IF(_xlpm._isAssumption,Table24[Element ID Column],Table25[Element ID Column]),_xlpm._numberOfElementsRange,IF(_xlpm._isAssumption,Table24[Number of Elements Column],Table25[Number of Elements Column]),SimpleLookup($O24,INDIRECT("'"&amp;_xlpm._sheetName&amp;"'!"&amp;INDEX(_xlpm._elementIDRange,_xlpm._sheetRow)&amp;":"&amp;INDEX(_xlpm._numberOfElementsRange,_xlpm._sheetRow)))))</f>
        <v/>
      </c>
      <c r="Q24" s="20" t="str" cm="1">
        <f t="array" ca="1" aca="1" ref="Q24">IF($O24="","",IF(OR(INDEX($O:$O,ROW()-1)&lt;&gt;$O24,INDEX($M:$M,ROW()-1)&lt;&gt;$M24),1,INDEX($Q:$Q,ROW()-1)+1))</f>
        <v/>
      </c>
      <c r="R24" s="20">
        <f t="shared" ca="1" si="4"/>
        <v>0</v>
      </c>
      <c r="S24" s="20" t="str">
        <f t="shared" ca="1" si="5"/>
        <v/>
      </c>
      <c r="T24" s="20" t="b">
        <f ca="1">_xlfn.LET(_xlpm._isAssumption,$J24,_xlpm._numberOfElementsRange,IF(_xlpm._isAssumption,Table24['# Elements],Table25['# Elements]),_xlpm._sheetRow,$W24,IF($L24,AND($S24,$R24=$N24),FALSE))</f>
        <v>0</v>
      </c>
      <c r="U24" s="20" t="str" cm="1">
        <f t="array" ca="1" aca="1" ref="U24">IF($L24,_xlfn.LET(_xlpm._elementID,$O24,_xlpm._isAssumption,$J24,_xlpm._sheetRow,$W24,_xlpm._sheetName,$X24,_xlpm._elementRow,$Y24,_xlpm._resultColumnLetter,IF(_xlpm._isAssumption,INDEX(Table24[Comment Column],_xlpm._sheetRow),INDEX(Table25[Comment Column],_xlpm._sheetRow)),INDEX(INDIRECT("'"&amp;_xlpm._sheetName&amp;"'!"&amp;_xlpm._resultColumnLetter&amp;":"&amp;_xlpm._resultColumnLetter),_xlpm._elementRow)),"")</f>
        <v/>
      </c>
      <c r="V24" s="20" t="str" cm="1">
        <f t="array" ca="1" aca="1" ref="V24">IF($L24,_xlfn.LET(_xlpm._elementID,$O24,_xlpm._isAssumption,$J24,_xlpm._sheetRow,$W24,_xlpm._sheetName,$X24,_xlpm._resultColumnLetter,IF(_xlpm._isAssumption,INDEX(Table24[Sheet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4" s="20" t="str">
        <f ca="1">IF($L24=TRUE,_xlfn.LET(_xlpm._isAssumption,$J24,_xlpm._searchRange,IF(_xlpm._isAssumption,Table24[Task Sheet Shadow ID],Table25[Task Sheet Shadow ID]),MATCH($M24,_xlpm._searchRange,0)),"")</f>
        <v/>
      </c>
      <c r="X24" s="20" t="str" cm="1">
        <f t="array" ca="1" aca="1" ref="X24">IF($L24,_xlfn.LET(_xlpm._isAssumption,$J24,_xlpm._sheetRow,$W24,IF(_xlpm._isAssumption,INDEX(Table24[Sheet Name],_xlpm._sheetRow),INDEX(Table25[Sheet Name],_xlpm._sheetRow))),"")</f>
        <v/>
      </c>
      <c r="Y24" s="20" t="str" cm="1">
        <f t="array" ca="1" aca="1" ref="Y24">IF($L24,_xlfn.LET(_xlpm._elementID,$O24,_xlpm._isAssumption,$J24,_xlpm._sheetRow,$W24,_xlpm._sheetName,$X24,_xlpm._elementIDColumnLetter,IF(_xlpm._isAssumption,INDEX(Table24[Element ID Column],_xlpm._sheetRow),INDEX(Table25[Element ID Column],_xlpm._sheetRow)),MATCH(_xlpm._elementID,INDIRECT("'"&amp;_xlpm._sheetName&amp;"'!"&amp;_xlpm._elementIDColumnLetter&amp;":"&amp;_xlpm._elementIDColumnLetter),0)),"")</f>
        <v/>
      </c>
      <c r="Z24" s="20" t="str" cm="1">
        <f t="array" ca="1" aca="1" ref="Z24">IF($A24="","",_xlfn.LET(_xlpm._isAssumption,$J24,_xlpm._isAdditionalElement,$L24,_xlpm._sheetRow,$W24,_xlpm._sheetName,$X24,_xlpm._columnLetter,INDEX(IF(_xlpm._isAdditionalElement,Table24[Comment Column],Table25[Comment Column]),_xlpm._sheetRow),_xlpm._sheetReference,IF(_xlpm._isAssumption,IF(_xlpm._isAdditionalElement,CELL("address",INDEX(INDIRECT("'"&amp;_xlpm._sheetName&amp;"'!"&amp;_xlpm._columnLetter&amp;":"&amp;_xlpm._columnLetter),$Y24)),CELL("address",INDEX(Assumptions!$A:$A,MATCH($A24,Assumptions!$A:$A,0),1))),IF(_xlpm._isAdditionalElement,CELL("address",INDEX(INDIRECT("'"&amp;_xlpm._sheetName&amp;"'!"&amp;_xlpm._columnLetter&amp;":"&amp;_xlpm._columnLetter),$Y24)),CELL("address",INDEX(Countermeasures!$A:$A,MATCH($A24,Countermeasures!$A:$A,0),1)))),_xlpm._start,FIND("]",_xlpm._sheetReference),"'"&amp;SUBSTITUTE(SUBSTITUTE(RIGHT(_xlpm._sheetReference,LEN(_xlpm._sheetReference)-_xlpm._start),"'",""),"!","'!")))</f>
        <v>'Assumptions'!$A$19</v>
      </c>
      <c r="AA24" s="20" t="str" cm="1">
        <f t="array" ca="1" aca="1" ref="AA24">IF(NOT($L24),_xlfn.LET(_xlpm._value,IF($A24="","",IF($J24,SimpleLookup($A24,Assumptions!$A:$AK),SimpleLookup($A24,Countermeasures!$A:$AN))),IF(_xlpm._value="","",_xlpm._value)),"")</f>
        <v xml:space="preserve">QA16 </v>
      </c>
      <c r="AB24" s="20" t="str" cm="1">
        <f t="array" ca="1" aca="1" ref="AB24">LookupNames(InverseLookup($A24,Mitigation!$AD$2,Mitigation!$A$2,1,Helper!$B$5,","),'Attack Steps'!$A:$B)</f>
        <v/>
      </c>
      <c r="AC24" s="20" t="str" cm="1">
        <f t="array" ca="1" aca="1" ref="AC24">IF($L24,_xlfn.LET(_xlpm._in,$A24,_xlpm._lastDashNum,LEN(_xlpm._in)-LEN(SUBSTITUTE(_xlpm._in,"-","")),_xlpm._lastDashPos,FIND(CHAR(1),SUBSTITUTE(_xlpm._in,"-",CHAR(1),_xlpm._lastDashNum)),_xlpm._id,LEFT(_xlpm._in,_xlpm._lastDashPos-1),_xlpm._id&amp;"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4" s="20" t="str" cm="1">
        <f t="array" ca="1" aca="1" ref="AD24">_xlfn.LET(_xlpm._countermeasures,InverseLookup($A24,Countermeasures!$AG$2,Countermeasures!$A$2,1,Helper!$B$4,","),LookupNames(_xlpm._countermeasures,Countermeasures!$A:$B))</f>
        <v/>
      </c>
      <c r="AE24" s="20" t="str" cm="1">
        <f t="array" ca="1" aca="1" ref="AE24">IF($E24="","",_xlfn.LET(_xlpm._id,$E24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4" s="20" t="str" cm="1">
        <f t="array" ca="1" aca="1" ref="AF24">IF(OR($A24="",$L24),"",_xlfn.LET(_xlpm._answers,IF($J24,SimpleLookup($A24,Assumptions!$A:$F),SimpleLookup($A24,Countermeasures!$A:$D)),IF(_xlpm._answers="*",IF($J24,SimpleLookup($A24,Assumptions!$A:$C),SimpleLookup($A24,Countermeasures!$A:$C)),"")))</f>
        <v/>
      </c>
      <c r="AG24" s="20" t="str" cm="1">
        <f t="array" ca="1" aca="1" ref="AG24">IF(NOT($L24),"",_xlfn.LET(_xlpm._mappedInMitigation,IFERROR(VLOOKUP($V24,'Attack Steps'!$A:$O,COLUMNS('Attack Steps'!$A:$O),FALSE),""),CreateSearchString(_xlpm._mappedInMitigation)))</f>
        <v/>
      </c>
      <c r="AH24" s="20" t="b">
        <f ca="1">ROW()-ROW($AH$17)=Helper!$B$15</f>
        <v>0</v>
      </c>
      <c r="AI24" s="20" t="str">
        <f t="shared" ca="1" si="6"/>
        <v/>
      </c>
      <c r="AJ24" s="20" cm="1">
        <f t="array" ca="1" aca="1" ref="AJ24">CreateID($AJ$17,$AJ:$AJ,$AI24&lt;&gt;"")</f>
        <v>0</v>
      </c>
    </row>
    <row r="25" spans="1:36" ht="48.75">
      <c r="A25" s="16" t="str">
        <f ca="1">_xlfn.LET(_xlpm._isAssumption,$J25,_xlpm._row,$K25,_xlpm._numActiveAssumptions,Helper!$B$8,_xlpm._numActiveCountermeasures,Helper!$B$9,_xlpm._numAdditionalAssumptions,Helper!$B$10,_xlpm._numAdditionalCountermeasures,Helper!$B$11,IF(_xlpm._isAssumption,IF(_xlpm._row&gt;_xlpm._numActiveAssumptions,$V25&amp;"-A"&amp;$Q25,INDEX(Assumptions!A:A,MATCH(_xlpm._row,Assumptions!$AG:$AG,0))),IF(_xlpm._row&gt;_xlpm._numActiveCountermeasures+_xlpm._numAdditionalCountermeasures,"",IF(_xlpm._row&gt;_xlpm._numActiveCountermeasures,$V25&amp;"-C"&amp;$Q25,INDEX(Countermeasures!$A:$A,MATCH(_xlpm._row,Countermeasures!$AI:$AI,0))))))</f>
        <v>A17</v>
      </c>
      <c r="B25" s="16" t="str" cm="1">
        <f t="array" ca="1" aca="1" ref="B25">IF($A25="","",_xlfn.LET(_xlpm._isAssumption,$J25,_xlpm._isAdditionalElement,$L25,IF(_xlpm._isAdditionalElement,IF(_xlpm._isAssumption,ParseElementsFromComment($U25,Definitions!$AR$4,Definitions!$AS$4,Definitions!$AR$6,$Q25),ParseElementsFromComment($U25,Definitions!$AR$5,Definitions!$AS$5,Definitions!$AR$6,$Q25)),_xlfn.LET(_xlpm._value,IF($A25="","",IF($J25,SimpleLookup($A25,Assumptions!$A:$B),SimpleLookup($A25,Countermeasures!$A:$B))),IF(_xlpm._value="","",_xlpm._value)))))</f>
        <v>SDR 2.4 – Secure production</v>
      </c>
      <c r="C25" s="16" t="str" cm="1">
        <f t="array" ca="1" aca="1" ref="C25">IF($A25="","",IF($J25,IFERROR(SimpleLookup($A25,Assumptions!$A:$E),""),Definitions!$AO$4))</f>
        <v>acontis techonlogies GmbH</v>
      </c>
      <c r="D25" s="36" t="str">
        <f t="shared" ca="1" si="2"/>
        <v>═══════════════════════════════════════════════════════════════
Comments of related questions / answers:
––––––––––––––––––––––––––––––––––––––––––––––––––––––––––––––––––––––––––––––––––––
QA18 Access control on many levels</v>
      </c>
      <c r="E25" s="13"/>
      <c r="F25" s="59" t="str">
        <f t="shared" ca="1" si="3"/>
        <v>click me</v>
      </c>
      <c r="G25" s="122" t="str" cm="1">
        <f t="array" ca="1" aca="1" ref="G25">_xlfn.LET(_xlpm._val,IFERROR(SimpleLookup($A25,Countermeasures!$A:$R),IFERROR(SimpleLookup($A25,Assumptions!$A:$R),"")),IF(_xlpm._val="","",_xlpm._val))</f>
        <v/>
      </c>
      <c r="H25" s="16" t="str" cm="1">
        <f t="array" ca="1" aca="1" ref="H25">_xlfn.LET(_xlpm._value,IF($A25="","",IFERROR(IF($J25,SimpleLookup($A25,Assumptions!$A:$S),SimpleLookup($A25,Countermeasures!$A:$S)),"")),IF(_xlpm._value="","",_xlpm._value))</f>
        <v>None: acontis techonlogies GmbH's production environment is protected against attacks</v>
      </c>
      <c r="I25" s="10" cm="1">
        <f t="array" ca="1" aca="1" ref="I25">IF(ROW()=ROW($I$17)+1,0,INDEX($I:$I,ROW()-1))+IF($A25="",0,1)</f>
        <v>8</v>
      </c>
      <c r="J25" s="10" t="b">
        <f ca="1">_xlfn.LET(_xlpm._row,ROW()-ROW($K$17),_xlpm._numActiveAssumptions,Helper!$B$8,_xlpm._numAdditionalAssumptions,SUM(Table24['# Elements]),_xlpm._row&lt;=_xlpm._numActiveAssumptions+_xlpm._numAdditionalAssumptions)</f>
        <v>1</v>
      </c>
      <c r="K25" s="10">
        <f ca="1">_xlfn.LET(_xlpm._row,ROW()-ROW($K$17),_xlpm._numActiveAssumptions,Helper!$B$8,_xlpm._numAdditionalAssumptions,Helper!$B$10,_xlpm._isAssumption,$J25,_xlpm._elementID,IF(_xlpm._isAssumption,_xlpm._row,_xlpm._row-_xlpm._numActiveAssumptions-_xlpm._numAdditionalAssumptions),_xlpm._elementID)</f>
        <v>8</v>
      </c>
      <c r="L25"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5" s="14" cm="1">
        <f t="array" ca="1" aca="1" ref="M25">IF($L25,IF(ROW()=ROW($M$17)+1,1,INDEX($M:$M,ROW()-1)+IF(INDEX($T:$T,ROW()-1),1,0)),1)</f>
        <v>1</v>
      </c>
      <c r="N25" s="14" t="str" cm="1">
        <f t="array" ca="1" aca="1" ref="N25">IF($L25=TRUE,_xlfn.LET(_xlpm._isAssumption,$J25,_xlpm._indexRange,IF(_xlpm._isAssumption,Table24['# Elements],Table25['# Elements]),_xlpm._lookupRow,$W25,INDEX(_xlpm._indexRange,_xlpm._lookupRow)),"")</f>
        <v/>
      </c>
      <c r="O25" s="20" t="str" cm="1">
        <f t="array" ca="1" aca="1" ref="O25">IF($N25="","",_xlfn.LET(_xlpm._prevRow,ROW()-1,IF(OR(INDEX($N:$N,_xlpm._prevRow)&lt;&gt;$N25,INDEX($M:$M,_xlpm._prevRow)&lt;&gt;$M25),1,INDEX($O:$O,_xlpm._prevRow)+IF(INDEX($S:$S,_xlpm._prevRow),1,0))))</f>
        <v/>
      </c>
      <c r="P25" s="20" t="str" cm="1">
        <f t="array" ca="1" aca="1" ref="P25">IF($O25="","",_xlfn.LET(_xlpm._isAssumption,$J25,_xlpm._sheetRow,$W25,_xlpm._sheetName,$X25,_xlpm._elementIDRange,IF(_xlpm._isAssumption,Table24[Element ID Column],Table25[Element ID Column]),_xlpm._numberOfElementsRange,IF(_xlpm._isAssumption,Table24[Number of Elements Column],Table25[Number of Elements Column]),SimpleLookup($O25,INDIRECT("'"&amp;_xlpm._sheetName&amp;"'!"&amp;INDEX(_xlpm._elementIDRange,_xlpm._sheetRow)&amp;":"&amp;INDEX(_xlpm._numberOfElementsRange,_xlpm._sheetRow)))))</f>
        <v/>
      </c>
      <c r="Q25" s="20" t="str" cm="1">
        <f t="array" ca="1" aca="1" ref="Q25">IF($O25="","",IF(OR(INDEX($O:$O,ROW()-1)&lt;&gt;$O25,INDEX($M:$M,ROW()-1)&lt;&gt;$M25),1,INDEX($Q:$Q,ROW()-1)+1))</f>
        <v/>
      </c>
      <c r="R25" s="20">
        <f t="shared" ca="1" si="4"/>
        <v>0</v>
      </c>
      <c r="S25" s="20" t="str">
        <f t="shared" ca="1" si="5"/>
        <v/>
      </c>
      <c r="T25" s="20" t="b">
        <f ca="1">_xlfn.LET(_xlpm._isAssumption,$J25,_xlpm._numberOfElementsRange,IF(_xlpm._isAssumption,Table24['# Elements],Table25['# Elements]),_xlpm._sheetRow,$W25,IF($L25,AND($S25,$R25=$N25),FALSE))</f>
        <v>0</v>
      </c>
      <c r="U25" s="20" t="str" cm="1">
        <f t="array" ca="1" aca="1" ref="U25">IF($L25,_xlfn.LET(_xlpm._elementID,$O25,_xlpm._isAssumption,$J25,_xlpm._sheetRow,$W25,_xlpm._sheetName,$X25,_xlpm._elementRow,$Y25,_xlpm._resultColumnLetter,IF(_xlpm._isAssumption,INDEX(Table24[Comment Column],_xlpm._sheetRow),INDEX(Table25[Comment Column],_xlpm._sheetRow)),INDEX(INDIRECT("'"&amp;_xlpm._sheetName&amp;"'!"&amp;_xlpm._resultColumnLetter&amp;":"&amp;_xlpm._resultColumnLetter),_xlpm._elementRow)),"")</f>
        <v/>
      </c>
      <c r="V25" s="20" t="str" cm="1">
        <f t="array" ca="1" aca="1" ref="V25">IF($L25,_xlfn.LET(_xlpm._elementID,$O25,_xlpm._isAssumption,$J25,_xlpm._sheetRow,$W25,_xlpm._sheetName,$X25,_xlpm._resultColumnLetter,IF(_xlpm._isAssumption,INDEX(Table24[Sheet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5" s="20" t="str">
        <f ca="1">IF($L25=TRUE,_xlfn.LET(_xlpm._isAssumption,$J25,_xlpm._searchRange,IF(_xlpm._isAssumption,Table24[Task Sheet Shadow ID],Table25[Task Sheet Shadow ID]),MATCH($M25,_xlpm._searchRange,0)),"")</f>
        <v/>
      </c>
      <c r="X25" s="20" t="str" cm="1">
        <f t="array" ca="1" aca="1" ref="X25">IF($L25,_xlfn.LET(_xlpm._isAssumption,$J25,_xlpm._sheetRow,$W25,IF(_xlpm._isAssumption,INDEX(Table24[Sheet Name],_xlpm._sheetRow),INDEX(Table25[Sheet Name],_xlpm._sheetRow))),"")</f>
        <v/>
      </c>
      <c r="Y25" s="20" t="str" cm="1">
        <f t="array" ca="1" aca="1" ref="Y25">IF($L25,_xlfn.LET(_xlpm._elementID,$O25,_xlpm._isAssumption,$J25,_xlpm._sheetRow,$W25,_xlpm._sheetName,$X25,_xlpm._elementIDColumnLetter,IF(_xlpm._isAssumption,INDEX(Table24[Element ID Column],_xlpm._sheetRow),INDEX(Table25[Element ID Column],_xlpm._sheetRow)),MATCH(_xlpm._elementID,INDIRECT("'"&amp;_xlpm._sheetName&amp;"'!"&amp;_xlpm._elementIDColumnLetter&amp;":"&amp;_xlpm._elementIDColumnLetter),0)),"")</f>
        <v/>
      </c>
      <c r="Z25" s="20" t="str" cm="1">
        <f t="array" ca="1" aca="1" ref="Z25">IF($A25="","",_xlfn.LET(_xlpm._isAssumption,$J25,_xlpm._isAdditionalElement,$L25,_xlpm._sheetRow,$W25,_xlpm._sheetName,$X25,_xlpm._columnLetter,INDEX(IF(_xlpm._isAdditionalElement,Table24[Comment Column],Table25[Comment Column]),_xlpm._sheetRow),_xlpm._sheetReference,IF(_xlpm._isAssumption,IF(_xlpm._isAdditionalElement,CELL("address",INDEX(INDIRECT("'"&amp;_xlpm._sheetName&amp;"'!"&amp;_xlpm._columnLetter&amp;":"&amp;_xlpm._columnLetter),$Y25)),CELL("address",INDEX(Assumptions!$A:$A,MATCH($A25,Assumptions!$A:$A,0),1))),IF(_xlpm._isAdditionalElement,CELL("address",INDEX(INDIRECT("'"&amp;_xlpm._sheetName&amp;"'!"&amp;_xlpm._columnLetter&amp;":"&amp;_xlpm._columnLetter),$Y25)),CELL("address",INDEX(Countermeasures!$A:$A,MATCH($A25,Countermeasures!$A:$A,0),1)))),_xlpm._start,FIND("]",_xlpm._sheetReference),"'"&amp;SUBSTITUTE(SUBSTITUTE(RIGHT(_xlpm._sheetReference,LEN(_xlpm._sheetReference)-_xlpm._start),"'",""),"!","'!")))</f>
        <v>'Assumptions'!$A$20</v>
      </c>
      <c r="AA25" s="20" t="str" cm="1">
        <f t="array" ca="1" aca="1" ref="AA25">IF(NOT($L25),_xlfn.LET(_xlpm._value,IF($A25="","",IF($J25,SimpleLookup($A25,Assumptions!$A:$AK),SimpleLookup($A25,Countermeasures!$A:$AN))),IF(_xlpm._value="","",_xlpm._value)),"")</f>
        <v>QA18 Access control on many levels</v>
      </c>
      <c r="AB25" s="20" t="str" cm="1">
        <f t="array" ca="1" aca="1" ref="AB25">LookupNames(InverseLookup($A25,Mitigation!$AD$2,Mitigation!$A$2,1,Helper!$B$5,","),'Attack Steps'!$A:$B)</f>
        <v/>
      </c>
      <c r="AC25" s="20" t="str" cm="1">
        <f t="array" ca="1" aca="1" ref="AC25">IF($L25,_xlfn.LET(_xlpm._in,$A25,_xlpm._lastDashNum,LEN(_xlpm._in)-LEN(SUBSTITUTE(_xlpm._in,"-","")),_xlpm._lastDashPos,FIND(CHAR(1),SUBSTITUTE(_xlpm._in,"-",CHAR(1),_xlpm._lastDashNum)),_xlpm._id,LEFT(_xlpm._in,_xlpm._lastDashPos-1),_xlpm._id&amp;"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5" s="20" t="str" cm="1">
        <f t="array" ca="1" aca="1" ref="AD25">_xlfn.LET(_xlpm._countermeasures,InverseLookup($A25,Countermeasures!$AG$2,Countermeasures!$A$2,1,Helper!$B$4,","),LookupNames(_xlpm._countermeasures,Countermeasures!$A:$B))</f>
        <v/>
      </c>
      <c r="AE25" s="20" t="str" cm="1">
        <f t="array" ca="1" aca="1" ref="AE25">IF($E25="","",_xlfn.LET(_xlpm._id,$E25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5" s="20" t="str" cm="1">
        <f t="array" ca="1" aca="1" ref="AF25">IF(OR($A25="",$L25),"",_xlfn.LET(_xlpm._answers,IF($J25,SimpleLookup($A25,Assumptions!$A:$F),SimpleLookup($A25,Countermeasures!$A:$D)),IF(_xlpm._answers="*",IF($J25,SimpleLookup($A25,Assumptions!$A:$C),SimpleLookup($A25,Countermeasures!$A:$C)),"")))</f>
        <v/>
      </c>
      <c r="AG25" s="20" t="str" cm="1">
        <f t="array" ca="1" aca="1" ref="AG25">IF(NOT($L25),"",_xlfn.LET(_xlpm._mappedInMitigation,IFERROR(VLOOKUP($V25,'Attack Steps'!$A:$O,COLUMNS('Attack Steps'!$A:$O),FALSE),""),CreateSearchString(_xlpm._mappedInMitigation)))</f>
        <v/>
      </c>
      <c r="AH25" s="20" t="b">
        <f ca="1">ROW()-ROW($AH$17)=Helper!$B$15</f>
        <v>0</v>
      </c>
      <c r="AI25" s="20" t="str">
        <f t="shared" ca="1" si="6"/>
        <v/>
      </c>
      <c r="AJ25" s="20" cm="1">
        <f t="array" ca="1" aca="1" ref="AJ25">CreateID($AJ$17,$AJ:$AJ,$AI25&lt;&gt;"")</f>
        <v>0</v>
      </c>
    </row>
    <row r="26" spans="1:36" ht="48.75">
      <c r="A26" s="16" t="str">
        <f ca="1">_xlfn.LET(_xlpm._isAssumption,$J26,_xlpm._row,$K26,_xlpm._numActiveAssumptions,Helper!$B$8,_xlpm._numActiveCountermeasures,Helper!$B$9,_xlpm._numAdditionalAssumptions,Helper!$B$10,_xlpm._numAdditionalCountermeasures,Helper!$B$11,IF(_xlpm._isAssumption,IF(_xlpm._row&gt;_xlpm._numActiveAssumptions,$V26&amp;"-A"&amp;$Q26,INDEX(Assumptions!A:A,MATCH(_xlpm._row,Assumptions!$AG:$AG,0))),IF(_xlpm._row&gt;_xlpm._numActiveCountermeasures+_xlpm._numAdditionalCountermeasures,"",IF(_xlpm._row&gt;_xlpm._numActiveCountermeasures,$V26&amp;"-C"&amp;$Q26,INDEX(Countermeasures!$A:$A,MATCH(_xlpm._row,Countermeasures!$AI:$AI,0))))))</f>
        <v>A18</v>
      </c>
      <c r="B26" s="16" t="str" cm="1">
        <f t="array" ca="1" aca="1" ref="B26">IF($A26="","",_xlfn.LET(_xlpm._isAssumption,$J26,_xlpm._isAdditionalElement,$L26,IF(_xlpm._isAdditionalElement,IF(_xlpm._isAssumption,ParseElementsFromComment($U26,Definitions!$AR$4,Definitions!$AS$4,Definitions!$AR$6,$Q26),ParseElementsFromComment($U26,Definitions!$AR$5,Definitions!$AS$5,Definitions!$AR$6,$Q26)),_xlfn.LET(_xlpm._value,IF($A26="","",IF($J26,SimpleLookup($A26,Assumptions!$A:$B),SimpleLookup($A26,Countermeasures!$A:$B))),IF(_xlpm._value="","",_xlpm._value)))))</f>
        <v>SDR 2.5 – Secure supply chain</v>
      </c>
      <c r="C26" s="16" t="str" cm="1">
        <f t="array" ca="1" aca="1" ref="C26">IF($A26="","",IF($J26,IFERROR(SimpleLookup($A26,Assumptions!$A:$E),""),Definitions!$AO$4))</f>
        <v>acontis techonlogies GmbH</v>
      </c>
      <c r="D26" s="36" t="str">
        <f t="shared" ca="1" si="2"/>
        <v>═══════════════════════════════════════════════════════════════
Comments of related questions / answers:
––––––––––––––––––––––––––––––––––––––––––––––––––––––––––––––––––––––––––––––––––––
QA19 eXpat community</v>
      </c>
      <c r="E26" s="13"/>
      <c r="F26" s="59" t="str">
        <f t="shared" ca="1" si="3"/>
        <v>click me</v>
      </c>
      <c r="G26" s="122" t="str" cm="1">
        <f t="array" ca="1" aca="1" ref="G26">_xlfn.LET(_xlpm._val,IFERROR(SimpleLookup($A26,Countermeasures!$A:$R),IFERROR(SimpleLookup($A26,Assumptions!$A:$R),"")),IF(_xlpm._val="","",_xlpm._val))</f>
        <v/>
      </c>
      <c r="H26" s="16" t="str" cm="1">
        <f t="array" ca="1" aca="1" ref="H26">_xlfn.LET(_xlpm._value,IF($A26="","",IFERROR(IF($J26,SimpleLookup($A26,Assumptions!$A:$S),SimpleLookup($A26,Countermeasures!$A:$S)),"")),IF(_xlpm._value="","",_xlpm._value))</f>
        <v>None: The supply chain partners are trustworthy and protected against attacks</v>
      </c>
      <c r="I26" s="10" cm="1">
        <f t="array" ca="1" aca="1" ref="I26">IF(ROW()=ROW($I$17)+1,0,INDEX($I:$I,ROW()-1))+IF($A26="",0,1)</f>
        <v>9</v>
      </c>
      <c r="J26" s="10" t="b">
        <f ca="1">_xlfn.LET(_xlpm._row,ROW()-ROW($K$17),_xlpm._numActiveAssumptions,Helper!$B$8,_xlpm._numAdditionalAssumptions,SUM(Table24['# Elements]),_xlpm._row&lt;=_xlpm._numActiveAssumptions+_xlpm._numAdditionalAssumptions)</f>
        <v>1</v>
      </c>
      <c r="K26" s="10">
        <f ca="1">_xlfn.LET(_xlpm._row,ROW()-ROW($K$17),_xlpm._numActiveAssumptions,Helper!$B$8,_xlpm._numAdditionalAssumptions,Helper!$B$10,_xlpm._isAssumption,$J26,_xlpm._elementID,IF(_xlpm._isAssumption,_xlpm._row,_xlpm._row-_xlpm._numActiveAssumptions-_xlpm._numAdditionalAssumptions),_xlpm._elementID)</f>
        <v>9</v>
      </c>
      <c r="L26"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6" s="14" cm="1">
        <f t="array" ca="1" aca="1" ref="M26">IF($L26,IF(ROW()=ROW($M$17)+1,1,INDEX($M:$M,ROW()-1)+IF(INDEX($T:$T,ROW()-1),1,0)),1)</f>
        <v>1</v>
      </c>
      <c r="N26" s="14" t="str" cm="1">
        <f t="array" ca="1" aca="1" ref="N26">IF($L26=TRUE,_xlfn.LET(_xlpm._isAssumption,$J26,_xlpm._indexRange,IF(_xlpm._isAssumption,Table24['# Elements],Table25['# Elements]),_xlpm._lookupRow,$W26,INDEX(_xlpm._indexRange,_xlpm._lookupRow)),"")</f>
        <v/>
      </c>
      <c r="O26" s="20" t="str" cm="1">
        <f t="array" ca="1" aca="1" ref="O26">IF($N26="","",_xlfn.LET(_xlpm._prevRow,ROW()-1,IF(OR(INDEX($N:$N,_xlpm._prevRow)&lt;&gt;$N26,INDEX($M:$M,_xlpm._prevRow)&lt;&gt;$M26),1,INDEX($O:$O,_xlpm._prevRow)+IF(INDEX($S:$S,_xlpm._prevRow),1,0))))</f>
        <v/>
      </c>
      <c r="P26" s="20" t="str" cm="1">
        <f t="array" ca="1" aca="1" ref="P26">IF($O26="","",_xlfn.LET(_xlpm._isAssumption,$J26,_xlpm._sheetRow,$W26,_xlpm._sheetName,$X26,_xlpm._elementIDRange,IF(_xlpm._isAssumption,Table24[Element ID Column],Table25[Element ID Column]),_xlpm._numberOfElementsRange,IF(_xlpm._isAssumption,Table24[Number of Elements Column],Table25[Number of Elements Column]),SimpleLookup($O26,INDIRECT("'"&amp;_xlpm._sheetName&amp;"'!"&amp;INDEX(_xlpm._elementIDRange,_xlpm._sheetRow)&amp;":"&amp;INDEX(_xlpm._numberOfElementsRange,_xlpm._sheetRow)))))</f>
        <v/>
      </c>
      <c r="Q26" s="20" t="str" cm="1">
        <f t="array" ca="1" aca="1" ref="Q26">IF($O26="","",IF(OR(INDEX($O:$O,ROW()-1)&lt;&gt;$O26,INDEX($M:$M,ROW()-1)&lt;&gt;$M26),1,INDEX($Q:$Q,ROW()-1)+1))</f>
        <v/>
      </c>
      <c r="R26" s="20">
        <f t="shared" ca="1" si="4"/>
        <v>0</v>
      </c>
      <c r="S26" s="20" t="str">
        <f t="shared" ca="1" si="5"/>
        <v/>
      </c>
      <c r="T26" s="20" t="b">
        <f ca="1">_xlfn.LET(_xlpm._isAssumption,$J26,_xlpm._numberOfElementsRange,IF(_xlpm._isAssumption,Table24['# Elements],Table25['# Elements]),_xlpm._sheetRow,$W26,IF($L26,AND($S26,$R26=$N26),FALSE))</f>
        <v>0</v>
      </c>
      <c r="U26" s="20" t="str" cm="1">
        <f t="array" ca="1" aca="1" ref="U26">IF($L26,_xlfn.LET(_xlpm._elementID,$O26,_xlpm._isAssumption,$J26,_xlpm._sheetRow,$W26,_xlpm._sheetName,$X26,_xlpm._elementRow,$Y26,_xlpm._resultColumnLetter,IF(_xlpm._isAssumption,INDEX(Table24[Comment Column],_xlpm._sheetRow),INDEX(Table25[Comment Column],_xlpm._sheetRow)),INDEX(INDIRECT("'"&amp;_xlpm._sheetName&amp;"'!"&amp;_xlpm._resultColumnLetter&amp;":"&amp;_xlpm._resultColumnLetter),_xlpm._elementRow)),"")</f>
        <v/>
      </c>
      <c r="V26" s="20" t="str" cm="1">
        <f t="array" ca="1" aca="1" ref="V26">IF($L26,_xlfn.LET(_xlpm._elementID,$O26,_xlpm._isAssumption,$J26,_xlpm._sheetRow,$W26,_xlpm._sheetName,$X26,_xlpm._resultColumnLetter,IF(_xlpm._isAssumption,INDEX(Table24[Sheet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6" s="20" t="str">
        <f ca="1">IF($L26=TRUE,_xlfn.LET(_xlpm._isAssumption,$J26,_xlpm._searchRange,IF(_xlpm._isAssumption,Table24[Task Sheet Shadow ID],Table25[Task Sheet Shadow ID]),MATCH($M26,_xlpm._searchRange,0)),"")</f>
        <v/>
      </c>
      <c r="X26" s="20" t="str" cm="1">
        <f t="array" ca="1" aca="1" ref="X26">IF($L26,_xlfn.LET(_xlpm._isAssumption,$J26,_xlpm._sheetRow,$W26,IF(_xlpm._isAssumption,INDEX(Table24[Sheet Name],_xlpm._sheetRow),INDEX(Table25[Sheet Name],_xlpm._sheetRow))),"")</f>
        <v/>
      </c>
      <c r="Y26" s="20" t="str" cm="1">
        <f t="array" ca="1" aca="1" ref="Y26">IF($L26,_xlfn.LET(_xlpm._elementID,$O26,_xlpm._isAssumption,$J26,_xlpm._sheetRow,$W26,_xlpm._sheetName,$X26,_xlpm._elementIDColumnLetter,IF(_xlpm._isAssumption,INDEX(Table24[Element ID Column],_xlpm._sheetRow),INDEX(Table25[Element ID Column],_xlpm._sheetRow)),MATCH(_xlpm._elementID,INDIRECT("'"&amp;_xlpm._sheetName&amp;"'!"&amp;_xlpm._elementIDColumnLetter&amp;":"&amp;_xlpm._elementIDColumnLetter),0)),"")</f>
        <v/>
      </c>
      <c r="Z26" s="20" t="str" cm="1">
        <f t="array" ca="1" aca="1" ref="Z26">IF($A26="","",_xlfn.LET(_xlpm._isAssumption,$J26,_xlpm._isAdditionalElement,$L26,_xlpm._sheetRow,$W26,_xlpm._sheetName,$X26,_xlpm._columnLetter,INDEX(IF(_xlpm._isAdditionalElement,Table24[Comment Column],Table25[Comment Column]),_xlpm._sheetRow),_xlpm._sheetReference,IF(_xlpm._isAssumption,IF(_xlpm._isAdditionalElement,CELL("address",INDEX(INDIRECT("'"&amp;_xlpm._sheetName&amp;"'!"&amp;_xlpm._columnLetter&amp;":"&amp;_xlpm._columnLetter),$Y26)),CELL("address",INDEX(Assumptions!$A:$A,MATCH($A26,Assumptions!$A:$A,0),1))),IF(_xlpm._isAdditionalElement,CELL("address",INDEX(INDIRECT("'"&amp;_xlpm._sheetName&amp;"'!"&amp;_xlpm._columnLetter&amp;":"&amp;_xlpm._columnLetter),$Y26)),CELL("address",INDEX(Countermeasures!$A:$A,MATCH($A26,Countermeasures!$A:$A,0),1)))),_xlpm._start,FIND("]",_xlpm._sheetReference),"'"&amp;SUBSTITUTE(SUBSTITUTE(RIGHT(_xlpm._sheetReference,LEN(_xlpm._sheetReference)-_xlpm._start),"'",""),"!","'!")))</f>
        <v>'Assumptions'!$A$21</v>
      </c>
      <c r="AA26" s="20" t="str" cm="1">
        <f t="array" ca="1" aca="1" ref="AA26">IF(NOT($L26),_xlfn.LET(_xlpm._value,IF($A26="","",IF($J26,SimpleLookup($A26,Assumptions!$A:$AK),SimpleLookup($A26,Countermeasures!$A:$AN))),IF(_xlpm._value="","",_xlpm._value)),"")</f>
        <v>QA19 eXpat community</v>
      </c>
      <c r="AB26" s="20" t="str" cm="1">
        <f t="array" ca="1" aca="1" ref="AB26">LookupNames(InverseLookup($A26,Mitigation!$AD$2,Mitigation!$A$2,1,Helper!$B$5,","),'Attack Steps'!$A:$B)</f>
        <v/>
      </c>
      <c r="AC26" s="20" t="str" cm="1">
        <f t="array" ca="1" aca="1" ref="AC26">IF($L26,_xlfn.LET(_xlpm._in,$A26,_xlpm._lastDashNum,LEN(_xlpm._in)-LEN(SUBSTITUTE(_xlpm._in,"-","")),_xlpm._lastDashPos,FIND(CHAR(1),SUBSTITUTE(_xlpm._in,"-",CHAR(1),_xlpm._lastDashNum)),_xlpm._id,LEFT(_xlpm._in,_xlpm._lastDashPos-1),_xlpm._id&amp;"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6" s="20" t="str" cm="1">
        <f t="array" ca="1" aca="1" ref="AD26">_xlfn.LET(_xlpm._countermeasures,InverseLookup($A26,Countermeasures!$AG$2,Countermeasures!$A$2,1,Helper!$B$4,","),LookupNames(_xlpm._countermeasures,Countermeasures!$A:$B))</f>
        <v/>
      </c>
      <c r="AE26" s="20" t="str" cm="1">
        <f t="array" ca="1" aca="1" ref="AE26">IF($E26="","",_xlfn.LET(_xlpm._id,$E26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6" s="20" t="str" cm="1">
        <f t="array" ca="1" aca="1" ref="AF26">IF(OR($A26="",$L26),"",_xlfn.LET(_xlpm._answers,IF($J26,SimpleLookup($A26,Assumptions!$A:$F),SimpleLookup($A26,Countermeasures!$A:$D)),IF(_xlpm._answers="*",IF($J26,SimpleLookup($A26,Assumptions!$A:$C),SimpleLookup($A26,Countermeasures!$A:$C)),"")))</f>
        <v/>
      </c>
      <c r="AG26" s="20" t="str" cm="1">
        <f t="array" ca="1" aca="1" ref="AG26">IF(NOT($L26),"",_xlfn.LET(_xlpm._mappedInMitigation,IFERROR(VLOOKUP($V26,'Attack Steps'!$A:$O,COLUMNS('Attack Steps'!$A:$O),FALSE),""),CreateSearchString(_xlpm._mappedInMitigation)))</f>
        <v/>
      </c>
      <c r="AH26" s="20" t="b">
        <f ca="1">ROW()-ROW($AH$17)=Helper!$B$15</f>
        <v>0</v>
      </c>
      <c r="AI26" s="20" t="str">
        <f t="shared" ca="1" si="6"/>
        <v/>
      </c>
      <c r="AJ26" s="20" cm="1">
        <f t="array" ca="1" aca="1" ref="AJ26">CreateID($AJ$17,$AJ:$AJ,$AI26&lt;&gt;"")</f>
        <v>0</v>
      </c>
    </row>
    <row r="27" spans="1:36" ht="90">
      <c r="A27" s="16" t="str">
        <f ca="1">_xlfn.LET(_xlpm._isAssumption,$J27,_xlpm._row,$K27,_xlpm._numActiveAssumptions,Helper!$B$8,_xlpm._numActiveCountermeasures,Helper!$B$9,_xlpm._numAdditionalAssumptions,Helper!$B$10,_xlpm._numAdditionalCountermeasures,Helper!$B$11,IF(_xlpm._isAssumption,IF(_xlpm._row&gt;_xlpm._numActiveAssumptions,$V27&amp;"-A"&amp;$Q27,INDEX(Assumptions!A:A,MATCH(_xlpm._row,Assumptions!$AG:$AG,0))),IF(_xlpm._row&gt;_xlpm._numActiveCountermeasures+_xlpm._numAdditionalCountermeasures,"",IF(_xlpm._row&gt;_xlpm._numActiveCountermeasures,$V27&amp;"-C"&amp;$Q27,INDEX(Countermeasures!$A:$A,MATCH(_xlpm._row,Countermeasures!$AI:$AI,0))))))</f>
        <v>A21</v>
      </c>
      <c r="B27" s="16" t="str" cm="1">
        <f t="array" ca="1" aca="1" ref="B27">IF($A27="","",_xlfn.LET(_xlpm._isAssumption,$J27,_xlpm._isAdditionalElement,$L27,IF(_xlpm._isAdditionalElement,IF(_xlpm._isAssumption,ParseElementsFromComment($U27,Definitions!$AR$4,Definitions!$AS$4,Definitions!$AR$6,$Q27),ParseElementsFromComment($U27,Definitions!$AR$5,Definitions!$AS$5,Definitions!$AR$6,$Q27)),_xlfn.LET(_xlpm._value,IF($A27="","",IF($J27,SimpleLookup($A27,Assumptions!$A:$B),SimpleLookup($A27,Countermeasures!$A:$B))),IF(_xlpm._value="","",_xlpm._value)))))</f>
        <v>SDR 2.7 - Scope for customer-based attacks</v>
      </c>
      <c r="C27" s="16" t="str" cm="1">
        <f t="array" ca="1" aca="1" ref="C27">IF($A27="","",IF($J27,IFERROR(SimpleLookup($A27,Assumptions!$A:$E),""),Definitions!$AO$4))</f>
        <v>acontis techonlogies GmbH</v>
      </c>
      <c r="D27" s="36" t="str">
        <f t="shared" ca="1" si="2"/>
        <v>═══════════════════════════════════════════════════════════════
Default assumption:
––––––––––––––––––––––––––––––––––––––––––––––––––––––––––––––––––––––––––––––––––––
If the customer conducts attacks, then only selected damages are in scope of the analysis.</v>
      </c>
      <c r="E27" s="13"/>
      <c r="F27" s="59" t="str">
        <f t="shared" ca="1" si="3"/>
        <v>click me</v>
      </c>
      <c r="G27" s="122" t="str" cm="1">
        <f t="array" ca="1" aca="1" ref="G27">_xlfn.LET(_xlpm._val,IFERROR(SimpleLookup($A27,Countermeasures!$A:$R),IFERROR(SimpleLookup($A27,Assumptions!$A:$R),"")),IF(_xlpm._val="","",_xlpm._val))</f>
        <v/>
      </c>
      <c r="H27" s="16" t="str" cm="1">
        <f t="array" ca="1" aca="1" ref="H27">_xlfn.LET(_xlpm._value,IF($A27="","",IFERROR(IF($J27,SimpleLookup($A27,Assumptions!$A:$S),SimpleLookup($A27,Countermeasures!$A:$S)),"")),IF(_xlpm._value="","",_xlpm._value))</f>
        <v>Removes damage scenarios not plausible when the customer acts as an attacker.
Note that safety-related aspects are not covered in this assumption, as people might wish to circumvent safety measures to "optimize" processes.</v>
      </c>
      <c r="I27" s="10" cm="1">
        <f t="array" ca="1" aca="1" ref="I27">IF(ROW()=ROW($I$17)+1,0,INDEX($I:$I,ROW()-1))+IF($A27="",0,1)</f>
        <v>10</v>
      </c>
      <c r="J27" s="10" t="b">
        <f ca="1">_xlfn.LET(_xlpm._row,ROW()-ROW($K$17),_xlpm._numActiveAssumptions,Helper!$B$8,_xlpm._numAdditionalAssumptions,SUM(Table24['# Elements]),_xlpm._row&lt;=_xlpm._numActiveAssumptions+_xlpm._numAdditionalAssumptions)</f>
        <v>1</v>
      </c>
      <c r="K27" s="10">
        <f ca="1">_xlfn.LET(_xlpm._row,ROW()-ROW($K$17),_xlpm._numActiveAssumptions,Helper!$B$8,_xlpm._numAdditionalAssumptions,Helper!$B$10,_xlpm._isAssumption,$J27,_xlpm._elementID,IF(_xlpm._isAssumption,_xlpm._row,_xlpm._row-_xlpm._numActiveAssumptions-_xlpm._numAdditionalAssumptions),_xlpm._elementID)</f>
        <v>10</v>
      </c>
      <c r="L27"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7" s="14" cm="1">
        <f t="array" ca="1" aca="1" ref="M27">IF($L27,IF(ROW()=ROW($M$17)+1,1,INDEX($M:$M,ROW()-1)+IF(INDEX($T:$T,ROW()-1),1,0)),1)</f>
        <v>1</v>
      </c>
      <c r="N27" s="14" t="str" cm="1">
        <f t="array" ca="1" aca="1" ref="N27">IF($L27=TRUE,_xlfn.LET(_xlpm._isAssumption,$J27,_xlpm._indexRange,IF(_xlpm._isAssumption,Table24['# Elements],Table25['# Elements]),_xlpm._lookupRow,$W27,INDEX(_xlpm._indexRange,_xlpm._lookupRow)),"")</f>
        <v/>
      </c>
      <c r="O27" s="20" t="str" cm="1">
        <f t="array" ca="1" aca="1" ref="O27">IF($N27="","",_xlfn.LET(_xlpm._prevRow,ROW()-1,IF(OR(INDEX($N:$N,_xlpm._prevRow)&lt;&gt;$N27,INDEX($M:$M,_xlpm._prevRow)&lt;&gt;$M27),1,INDEX($O:$O,_xlpm._prevRow)+IF(INDEX($S:$S,_xlpm._prevRow),1,0))))</f>
        <v/>
      </c>
      <c r="P27" s="20" t="str" cm="1">
        <f t="array" ca="1" aca="1" ref="P27">IF($O27="","",_xlfn.LET(_xlpm._isAssumption,$J27,_xlpm._sheetRow,$W27,_xlpm._sheetName,$X27,_xlpm._elementIDRange,IF(_xlpm._isAssumption,Table24[Element ID Column],Table25[Element ID Column]),_xlpm._numberOfElementsRange,IF(_xlpm._isAssumption,Table24[Number of Elements Column],Table25[Number of Elements Column]),SimpleLookup($O27,INDIRECT("'"&amp;_xlpm._sheetName&amp;"'!"&amp;INDEX(_xlpm._elementIDRange,_xlpm._sheetRow)&amp;":"&amp;INDEX(_xlpm._numberOfElementsRange,_xlpm._sheetRow)))))</f>
        <v/>
      </c>
      <c r="Q27" s="20" t="str" cm="1">
        <f t="array" ca="1" aca="1" ref="Q27">IF($O27="","",IF(OR(INDEX($O:$O,ROW()-1)&lt;&gt;$O27,INDEX($M:$M,ROW()-1)&lt;&gt;$M27),1,INDEX($Q:$Q,ROW()-1)+1))</f>
        <v/>
      </c>
      <c r="R27" s="20">
        <f t="shared" ca="1" si="4"/>
        <v>0</v>
      </c>
      <c r="S27" s="20" t="str">
        <f t="shared" ca="1" si="5"/>
        <v/>
      </c>
      <c r="T27" s="20" t="b">
        <f ca="1">_xlfn.LET(_xlpm._isAssumption,$J27,_xlpm._numberOfElementsRange,IF(_xlpm._isAssumption,Table24['# Elements],Table25['# Elements]),_xlpm._sheetRow,$W27,IF($L27,AND($S27,$R27=$N27),FALSE))</f>
        <v>0</v>
      </c>
      <c r="U27" s="20" t="str" cm="1">
        <f t="array" ca="1" aca="1" ref="U27">IF($L27,_xlfn.LET(_xlpm._elementID,$O27,_xlpm._isAssumption,$J27,_xlpm._sheetRow,$W27,_xlpm._sheetName,$X27,_xlpm._elementRow,$Y27,_xlpm._resultColumnLetter,IF(_xlpm._isAssumption,INDEX(Table24[Comment Column],_xlpm._sheetRow),INDEX(Table25[Comment Column],_xlpm._sheetRow)),INDEX(INDIRECT("'"&amp;_xlpm._sheetName&amp;"'!"&amp;_xlpm._resultColumnLetter&amp;":"&amp;_xlpm._resultColumnLetter),_xlpm._elementRow)),"")</f>
        <v/>
      </c>
      <c r="V27" s="20" t="str" cm="1">
        <f t="array" ca="1" aca="1" ref="V27">IF($L27,_xlfn.LET(_xlpm._elementID,$O27,_xlpm._isAssumption,$J27,_xlpm._sheetRow,$W27,_xlpm._sheetName,$X27,_xlpm._resultColumnLetter,IF(_xlpm._isAssumption,INDEX(Table24[Sheet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7" s="20" t="str">
        <f ca="1">IF($L27=TRUE,_xlfn.LET(_xlpm._isAssumption,$J27,_xlpm._searchRange,IF(_xlpm._isAssumption,Table24[Task Sheet Shadow ID],Table25[Task Sheet Shadow ID]),MATCH($M27,_xlpm._searchRange,0)),"")</f>
        <v/>
      </c>
      <c r="X27" s="20" t="str" cm="1">
        <f t="array" ca="1" aca="1" ref="X27">IF($L27,_xlfn.LET(_xlpm._isAssumption,$J27,_xlpm._sheetRow,$W27,IF(_xlpm._isAssumption,INDEX(Table24[Sheet Name],_xlpm._sheetRow),INDEX(Table25[Sheet Name],_xlpm._sheetRow))),"")</f>
        <v/>
      </c>
      <c r="Y27" s="20" t="str" cm="1">
        <f t="array" ca="1" aca="1" ref="Y27">IF($L27,_xlfn.LET(_xlpm._elementID,$O27,_xlpm._isAssumption,$J27,_xlpm._sheetRow,$W27,_xlpm._sheetName,$X27,_xlpm._elementIDColumnLetter,IF(_xlpm._isAssumption,INDEX(Table24[Element ID Column],_xlpm._sheetRow),INDEX(Table25[Element ID Column],_xlpm._sheetRow)),MATCH(_xlpm._elementID,INDIRECT("'"&amp;_xlpm._sheetName&amp;"'!"&amp;_xlpm._elementIDColumnLetter&amp;":"&amp;_xlpm._elementIDColumnLetter),0)),"")</f>
        <v/>
      </c>
      <c r="Z27" s="20" t="str" cm="1">
        <f t="array" ca="1" aca="1" ref="Z27">IF($A27="","",_xlfn.LET(_xlpm._isAssumption,$J27,_xlpm._isAdditionalElement,$L27,_xlpm._sheetRow,$W27,_xlpm._sheetName,$X27,_xlpm._columnLetter,INDEX(IF(_xlpm._isAdditionalElement,Table24[Comment Column],Table25[Comment Column]),_xlpm._sheetRow),_xlpm._sheetReference,IF(_xlpm._isAssumption,IF(_xlpm._isAdditionalElement,CELL("address",INDEX(INDIRECT("'"&amp;_xlpm._sheetName&amp;"'!"&amp;_xlpm._columnLetter&amp;":"&amp;_xlpm._columnLetter),$Y27)),CELL("address",INDEX(Assumptions!$A:$A,MATCH($A27,Assumptions!$A:$A,0),1))),IF(_xlpm._isAdditionalElement,CELL("address",INDEX(INDIRECT("'"&amp;_xlpm._sheetName&amp;"'!"&amp;_xlpm._columnLetter&amp;":"&amp;_xlpm._columnLetter),$Y27)),CELL("address",INDEX(Countermeasures!$A:$A,MATCH($A27,Countermeasures!$A:$A,0),1)))),_xlpm._start,FIND("]",_xlpm._sheetReference),"'"&amp;SUBSTITUTE(SUBSTITUTE(RIGHT(_xlpm._sheetReference,LEN(_xlpm._sheetReference)-_xlpm._start),"'",""),"!","'!")))</f>
        <v>'Assumptions'!$A$24</v>
      </c>
      <c r="AA27" s="20" t="str" cm="1">
        <f t="array" ca="1" aca="1" ref="AA27">IF(NOT($L27),_xlfn.LET(_xlpm._value,IF($A27="","",IF($J27,SimpleLookup($A27,Assumptions!$A:$AK),SimpleLookup($A27,Countermeasures!$A:$AN))),IF(_xlpm._value="","",_xlpm._value)),"")</f>
        <v/>
      </c>
      <c r="AB27" s="20" t="str" cm="1">
        <f t="array" ca="1" aca="1" ref="AB27">LookupNames(InverseLookup($A27,Mitigation!$AD$2,Mitigation!$A$2,1,Helper!$B$5,","),'Attack Steps'!$A:$B)</f>
        <v/>
      </c>
      <c r="AC27" s="20" t="str" cm="1">
        <f t="array" ca="1" aca="1" ref="AC27">IF($L27,_xlfn.LET(_xlpm._in,$A27,_xlpm._lastDashNum,LEN(_xlpm._in)-LEN(SUBSTITUTE(_xlpm._in,"-","")),_xlpm._lastDashPos,FIND(CHAR(1),SUBSTITUTE(_xlpm._in,"-",CHAR(1),_xlpm._lastDashNum)),_xlpm._id,LEFT(_xlpm._in,_xlpm._lastDashPos-1),_xlpm._id&amp;"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7" s="20" t="str" cm="1">
        <f t="array" ca="1" aca="1" ref="AD27">_xlfn.LET(_xlpm._countermeasures,InverseLookup($A27,Countermeasures!$AG$2,Countermeasures!$A$2,1,Helper!$B$4,","),LookupNames(_xlpm._countermeasures,Countermeasures!$A:$B))</f>
        <v/>
      </c>
      <c r="AE27" s="20" t="str" cm="1">
        <f t="array" ca="1" aca="1" ref="AE27">IF($E27="","",_xlfn.LET(_xlpm._id,$E27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7" s="20" t="str" cm="1">
        <f t="array" ca="1" aca="1" ref="AF27">IF(OR($A27="",$L27),"",_xlfn.LET(_xlpm._answers,IF($J27,SimpleLookup($A27,Assumptions!$A:$F),SimpleLookup($A27,Countermeasures!$A:$D)),IF(_xlpm._answers="*",IF($J27,SimpleLookup($A27,Assumptions!$A:$C),SimpleLookup($A27,Countermeasures!$A:$C)),"")))</f>
        <v>If the customer conducts attacks, then only selected damages are in scope of the analysis.</v>
      </c>
      <c r="AG27" s="20" t="str" cm="1">
        <f t="array" ca="1" aca="1" ref="AG27">IF(NOT($L27),"",_xlfn.LET(_xlpm._mappedInMitigation,IFERROR(VLOOKUP($V27,'Attack Steps'!$A:$O,COLUMNS('Attack Steps'!$A:$O),FALSE),""),CreateSearchString(_xlpm._mappedInMitigation)))</f>
        <v/>
      </c>
      <c r="AH27" s="20" t="b">
        <f ca="1">ROW()-ROW($AH$17)=Helper!$B$15</f>
        <v>0</v>
      </c>
      <c r="AI27" s="20" t="str">
        <f t="shared" ca="1" si="6"/>
        <v/>
      </c>
      <c r="AJ27" s="20" cm="1">
        <f t="array" ca="1" aca="1" ref="AJ27">CreateID($AJ$17,$AJ:$AJ,$AI27&lt;&gt;"")</f>
        <v>0</v>
      </c>
    </row>
    <row r="28" spans="1:36" ht="60.75">
      <c r="A28" s="16" t="str">
        <f ca="1">_xlfn.LET(_xlpm._isAssumption,$J28,_xlpm._row,$K28,_xlpm._numActiveAssumptions,Helper!$B$8,_xlpm._numActiveCountermeasures,Helper!$B$9,_xlpm._numAdditionalAssumptions,Helper!$B$10,_xlpm._numAdditionalCountermeasures,Helper!$B$11,IF(_xlpm._isAssumption,IF(_xlpm._row&gt;_xlpm._numActiveAssumptions,$V28&amp;"-A"&amp;$Q28,INDEX(Assumptions!A:A,MATCH(_xlpm._row,Assumptions!$AG:$AG,0))),IF(_xlpm._row&gt;_xlpm._numActiveCountermeasures+_xlpm._numAdditionalCountermeasures,"",IF(_xlpm._row&gt;_xlpm._numActiveCountermeasures,$V28&amp;"-C"&amp;$Q28,INDEX(Countermeasures!$A:$A,MATCH(_xlpm._row,Countermeasures!$AI:$AI,0))))))</f>
        <v>A24</v>
      </c>
      <c r="B28" s="16" t="str" cm="1">
        <f t="array" ca="1" aca="1" ref="B28">IF($A28="","",_xlfn.LET(_xlpm._isAssumption,$J28,_xlpm._isAdditionalElement,$L28,IF(_xlpm._isAdditionalElement,IF(_xlpm._isAssumption,ParseElementsFromComment($U28,Definitions!$AR$4,Definitions!$AS$4,Definitions!$AR$6,$Q28),ParseElementsFromComment($U28,Definitions!$AR$5,Definitions!$AS$5,Definitions!$AR$6,$Q28)),_xlfn.LET(_xlpm._value,IF($A28="","",IF($J28,SimpleLookup($A28,Assumptions!$A:$B),SimpleLookup($A28,Countermeasures!$A:$B))),IF(_xlpm._value="","",_xlpm._value)))))</f>
        <v>SDR 1.21 - Product not storing secrets</v>
      </c>
      <c r="C28" s="16" t="str" cm="1">
        <f t="array" ca="1" aca="1" ref="C28">IF($A28="","",IF($J28,IFERROR(SimpleLookup($A28,Assumptions!$A:$E),""),Definitions!$AO$4))</f>
        <v>Customer</v>
      </c>
      <c r="D28" s="36" t="str">
        <f t="shared" ca="1" si="2"/>
        <v>═══════════════════════════════════════════════════════════════
Comments of related questions / answers:
––––––––––––––––––––––––––––––––––––––––––––––––––––––––––––––––––––––––––––––––––––
QI5 Again, the EC-Master stack just transports data but does not process nor store data. The data is opauqe for the EC-Master stack. TLS excluded in this answer.</v>
      </c>
      <c r="E28" s="13"/>
      <c r="F28" s="59" t="str">
        <f t="shared" ca="1" si="3"/>
        <v>click me</v>
      </c>
      <c r="G28" s="122" t="str" cm="1">
        <f t="array" ca="1" aca="1" ref="G28">_xlfn.LET(_xlpm._val,IFERROR(SimpleLookup($A28,Countermeasures!$A:$R),IFERROR(SimpleLookup($A28,Assumptions!$A:$R),"")),IF(_xlpm._val="","",_xlpm._val))</f>
        <v/>
      </c>
      <c r="H28" s="16" t="str" cm="1">
        <f t="array" ca="1" aca="1" ref="H28">_xlfn.LET(_xlpm._value,IF($A28="","",IFERROR(IF($J28,SimpleLookup($A28,Assumptions!$A:$S),SimpleLookup($A28,Countermeasures!$A:$S)),"")),IF(_xlpm._value="","",_xlpm._value))</f>
        <v/>
      </c>
      <c r="I28" s="10" cm="1">
        <f t="array" ca="1" aca="1" ref="I28">IF(ROW()=ROW($I$17)+1,0,INDEX($I:$I,ROW()-1))+IF($A28="",0,1)</f>
        <v>11</v>
      </c>
      <c r="J28" s="10" t="b">
        <f ca="1">_xlfn.LET(_xlpm._row,ROW()-ROW($K$17),_xlpm._numActiveAssumptions,Helper!$B$8,_xlpm._numAdditionalAssumptions,SUM(Table24['# Elements]),_xlpm._row&lt;=_xlpm._numActiveAssumptions+_xlpm._numAdditionalAssumptions)</f>
        <v>1</v>
      </c>
      <c r="K28" s="10">
        <f ca="1">_xlfn.LET(_xlpm._row,ROW()-ROW($K$17),_xlpm._numActiveAssumptions,Helper!$B$8,_xlpm._numAdditionalAssumptions,Helper!$B$10,_xlpm._isAssumption,$J28,_xlpm._elementID,IF(_xlpm._isAssumption,_xlpm._row,_xlpm._row-_xlpm._numActiveAssumptions-_xlpm._numAdditionalAssumptions),_xlpm._elementID)</f>
        <v>11</v>
      </c>
      <c r="L28"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8" s="14" cm="1">
        <f t="array" ca="1" aca="1" ref="M28">IF($L28,IF(ROW()=ROW($M$17)+1,1,INDEX($M:$M,ROW()-1)+IF(INDEX($T:$T,ROW()-1),1,0)),1)</f>
        <v>1</v>
      </c>
      <c r="N28" s="14" t="str" cm="1">
        <f t="array" ca="1" aca="1" ref="N28">IF($L28=TRUE,_xlfn.LET(_xlpm._isAssumption,$J28,_xlpm._indexRange,IF(_xlpm._isAssumption,Table24['# Elements],Table25['# Elements]),_xlpm._lookupRow,$W28,INDEX(_xlpm._indexRange,_xlpm._lookupRow)),"")</f>
        <v/>
      </c>
      <c r="O28" s="20" t="str" cm="1">
        <f t="array" ca="1" aca="1" ref="O28">IF($N28="","",_xlfn.LET(_xlpm._prevRow,ROW()-1,IF(OR(INDEX($N:$N,_xlpm._prevRow)&lt;&gt;$N28,INDEX($M:$M,_xlpm._prevRow)&lt;&gt;$M28),1,INDEX($O:$O,_xlpm._prevRow)+IF(INDEX($S:$S,_xlpm._prevRow),1,0))))</f>
        <v/>
      </c>
      <c r="P28" s="20" t="str" cm="1">
        <f t="array" ca="1" aca="1" ref="P28">IF($O28="","",_xlfn.LET(_xlpm._isAssumption,$J28,_xlpm._sheetRow,$W28,_xlpm._sheetName,$X28,_xlpm._elementIDRange,IF(_xlpm._isAssumption,Table24[Element ID Column],Table25[Element ID Column]),_xlpm._numberOfElementsRange,IF(_xlpm._isAssumption,Table24[Number of Elements Column],Table25[Number of Elements Column]),SimpleLookup($O28,INDIRECT("'"&amp;_xlpm._sheetName&amp;"'!"&amp;INDEX(_xlpm._elementIDRange,_xlpm._sheetRow)&amp;":"&amp;INDEX(_xlpm._numberOfElementsRange,_xlpm._sheetRow)))))</f>
        <v/>
      </c>
      <c r="Q28" s="20" t="str" cm="1">
        <f t="array" ca="1" aca="1" ref="Q28">IF($O28="","",IF(OR(INDEX($O:$O,ROW()-1)&lt;&gt;$O28,INDEX($M:$M,ROW()-1)&lt;&gt;$M28),1,INDEX($Q:$Q,ROW()-1)+1))</f>
        <v/>
      </c>
      <c r="R28" s="20">
        <f t="shared" ca="1" si="4"/>
        <v>0</v>
      </c>
      <c r="S28" s="20" t="str">
        <f t="shared" ca="1" si="5"/>
        <v/>
      </c>
      <c r="T28" s="20" t="b">
        <f ca="1">_xlfn.LET(_xlpm._isAssumption,$J28,_xlpm._numberOfElementsRange,IF(_xlpm._isAssumption,Table24['# Elements],Table25['# Elements]),_xlpm._sheetRow,$W28,IF($L28,AND($S28,$R28=$N28),FALSE))</f>
        <v>0</v>
      </c>
      <c r="U28" s="20" t="str" cm="1">
        <f t="array" ca="1" aca="1" ref="U28">IF($L28,_xlfn.LET(_xlpm._elementID,$O28,_xlpm._isAssumption,$J28,_xlpm._sheetRow,$W28,_xlpm._sheetName,$X28,_xlpm._elementRow,$Y28,_xlpm._resultColumnLetter,IF(_xlpm._isAssumption,INDEX(Table24[Comment Column],_xlpm._sheetRow),INDEX(Table25[Comment Column],_xlpm._sheetRow)),INDEX(INDIRECT("'"&amp;_xlpm._sheetName&amp;"'!"&amp;_xlpm._resultColumnLetter&amp;":"&amp;_xlpm._resultColumnLetter),_xlpm._elementRow)),"")</f>
        <v/>
      </c>
      <c r="V28" s="20" t="str" cm="1">
        <f t="array" ca="1" aca="1" ref="V28">IF($L28,_xlfn.LET(_xlpm._elementID,$O28,_xlpm._isAssumption,$J28,_xlpm._sheetRow,$W28,_xlpm._sheetName,$X28,_xlpm._resultColumnLetter,IF(_xlpm._isAssumption,INDEX(Table24[Sheet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8" s="20" t="str">
        <f ca="1">IF($L28=TRUE,_xlfn.LET(_xlpm._isAssumption,$J28,_xlpm._searchRange,IF(_xlpm._isAssumption,Table24[Task Sheet Shadow ID],Table25[Task Sheet Shadow ID]),MATCH($M28,_xlpm._searchRange,0)),"")</f>
        <v/>
      </c>
      <c r="X28" s="20" t="str" cm="1">
        <f t="array" ca="1" aca="1" ref="X28">IF($L28,_xlfn.LET(_xlpm._isAssumption,$J28,_xlpm._sheetRow,$W28,IF(_xlpm._isAssumption,INDEX(Table24[Sheet Name],_xlpm._sheetRow),INDEX(Table25[Sheet Name],_xlpm._sheetRow))),"")</f>
        <v/>
      </c>
      <c r="Y28" s="20" t="str" cm="1">
        <f t="array" ca="1" aca="1" ref="Y28">IF($L28,_xlfn.LET(_xlpm._elementID,$O28,_xlpm._isAssumption,$J28,_xlpm._sheetRow,$W28,_xlpm._sheetName,$X28,_xlpm._elementIDColumnLetter,IF(_xlpm._isAssumption,INDEX(Table24[Element ID Column],_xlpm._sheetRow),INDEX(Table25[Element ID Column],_xlpm._sheetRow)),MATCH(_xlpm._elementID,INDIRECT("'"&amp;_xlpm._sheetName&amp;"'!"&amp;_xlpm._elementIDColumnLetter&amp;":"&amp;_xlpm._elementIDColumnLetter),0)),"")</f>
        <v/>
      </c>
      <c r="Z28" s="20" t="str" cm="1">
        <f t="array" ca="1" aca="1" ref="Z28">IF($A28="","",_xlfn.LET(_xlpm._isAssumption,$J28,_xlpm._isAdditionalElement,$L28,_xlpm._sheetRow,$W28,_xlpm._sheetName,$X28,_xlpm._columnLetter,INDEX(IF(_xlpm._isAdditionalElement,Table24[Comment Column],Table25[Comment Column]),_xlpm._sheetRow),_xlpm._sheetReference,IF(_xlpm._isAssumption,IF(_xlpm._isAdditionalElement,CELL("address",INDEX(INDIRECT("'"&amp;_xlpm._sheetName&amp;"'!"&amp;_xlpm._columnLetter&amp;":"&amp;_xlpm._columnLetter),$Y28)),CELL("address",INDEX(Assumptions!$A:$A,MATCH($A28,Assumptions!$A:$A,0),1))),IF(_xlpm._isAdditionalElement,CELL("address",INDEX(INDIRECT("'"&amp;_xlpm._sheetName&amp;"'!"&amp;_xlpm._columnLetter&amp;":"&amp;_xlpm._columnLetter),$Y28)),CELL("address",INDEX(Countermeasures!$A:$A,MATCH($A28,Countermeasures!$A:$A,0),1)))),_xlpm._start,FIND("]",_xlpm._sheetReference),"'"&amp;SUBSTITUTE(SUBSTITUTE(RIGHT(_xlpm._sheetReference,LEN(_xlpm._sheetReference)-_xlpm._start),"'",""),"!","'!")))</f>
        <v>'Assumptions'!$A$27</v>
      </c>
      <c r="AA28" s="20" t="str" cm="1">
        <f t="array" ca="1" aca="1" ref="AA28">IF(NOT($L28),_xlfn.LET(_xlpm._value,IF($A28="","",IF($J28,SimpleLookup($A28,Assumptions!$A:$AK),SimpleLookup($A28,Countermeasures!$A:$AN))),IF(_xlpm._value="","",_xlpm._value)),"")</f>
        <v>QI5 Again, the EC-Master stack just transports data but does not process nor store data. The data is opauqe for the EC-Master stack. TLS excluded in this answer.</v>
      </c>
      <c r="AB28" s="20" t="str" cm="1">
        <f t="array" ca="1" aca="1" ref="AB28">LookupNames(InverseLookup($A28,Mitigation!$AD$2,Mitigation!$A$2,1,Helper!$B$5,","),'Attack Steps'!$A:$B)</f>
        <v/>
      </c>
      <c r="AC28" s="20" t="str" cm="1">
        <f t="array" ca="1" aca="1" ref="AC28">IF($L28,_xlfn.LET(_xlpm._in,$A28,_xlpm._lastDashNum,LEN(_xlpm._in)-LEN(SUBSTITUTE(_xlpm._in,"-","")),_xlpm._lastDashPos,FIND(CHAR(1),SUBSTITUTE(_xlpm._in,"-",CHAR(1),_xlpm._lastDashNum)),_xlpm._id,LEFT(_xlpm._in,_xlpm._lastDashPos-1),_xlpm._id&amp;"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8" s="20" t="str" cm="1">
        <f t="array" ca="1" aca="1" ref="AD28">_xlfn.LET(_xlpm._countermeasures,InverseLookup($A28,Countermeasures!$AG$2,Countermeasures!$A$2,1,Helper!$B$4,","),LookupNames(_xlpm._countermeasures,Countermeasures!$A:$B))</f>
        <v/>
      </c>
      <c r="AE28" s="20" t="str" cm="1">
        <f t="array" ca="1" aca="1" ref="AE28">IF($E28="","",_xlfn.LET(_xlpm._id,$E28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8" s="20" t="str" cm="1">
        <f t="array" ca="1" aca="1" ref="AF28">IF(OR($A28="",$L28),"",_xlfn.LET(_xlpm._answers,IF($J28,SimpleLookup($A28,Assumptions!$A:$F),SimpleLookup($A28,Countermeasures!$A:$D)),IF(_xlpm._answers="*",IF($J28,SimpleLookup($A28,Assumptions!$A:$C),SimpleLookup($A28,Countermeasures!$A:$C)),"")))</f>
        <v/>
      </c>
      <c r="AG28" s="20" t="str" cm="1">
        <f t="array" ca="1" aca="1" ref="AG28">IF(NOT($L28),"",_xlfn.LET(_xlpm._mappedInMitigation,IFERROR(VLOOKUP($V28,'Attack Steps'!$A:$O,COLUMNS('Attack Steps'!$A:$O),FALSE),""),CreateSearchString(_xlpm._mappedInMitigation)))</f>
        <v/>
      </c>
      <c r="AH28" s="20" t="b">
        <f ca="1">ROW()-ROW($AH$17)=Helper!$B$15</f>
        <v>0</v>
      </c>
      <c r="AI28" s="20" t="str">
        <f t="shared" ca="1" si="6"/>
        <v/>
      </c>
      <c r="AJ28" s="20" cm="1">
        <f t="array" ca="1" aca="1" ref="AJ28">CreateID($AJ$17,$AJ:$AJ,$AI28&lt;&gt;"")</f>
        <v>0</v>
      </c>
    </row>
    <row r="29" spans="1:36" ht="60.75">
      <c r="A29" s="16" t="str">
        <f ca="1">_xlfn.LET(_xlpm._isAssumption,$J29,_xlpm._row,$K29,_xlpm._numActiveAssumptions,Helper!$B$8,_xlpm._numActiveCountermeasures,Helper!$B$9,_xlpm._numAdditionalAssumptions,Helper!$B$10,_xlpm._numAdditionalCountermeasures,Helper!$B$11,IF(_xlpm._isAssumption,IF(_xlpm._row&gt;_xlpm._numActiveAssumptions,$V29&amp;"-A"&amp;$Q29,INDEX(Assumptions!A:A,MATCH(_xlpm._row,Assumptions!$AG:$AG,0))),IF(_xlpm._row&gt;_xlpm._numActiveCountermeasures+_xlpm._numAdditionalCountermeasures,"",IF(_xlpm._row&gt;_xlpm._numActiveCountermeasures,$V29&amp;"-C"&amp;$Q29,INDEX(Countermeasures!$A:$A,MATCH(_xlpm._row,Countermeasures!$AI:$AI,0))))))</f>
        <v>A30</v>
      </c>
      <c r="B29" s="16" t="str" cm="1">
        <f t="array" ca="1" aca="1" ref="B29">IF($A29="","",_xlfn.LET(_xlpm._isAssumption,$J29,_xlpm._isAdditionalElement,$L29,IF(_xlpm._isAdditionalElement,IF(_xlpm._isAssumption,ParseElementsFromComment($U29,Definitions!$AR$4,Definitions!$AS$4,Definitions!$AR$6,$Q29),ParseElementsFromComment($U29,Definitions!$AR$5,Definitions!$AS$5,Definitions!$AR$6,$Q29)),_xlfn.LET(_xlpm._value,IF($A29="","",IF($J29,SimpleLookup($A29,Assumptions!$A:$B),SimpleLookup($A29,Countermeasures!$A:$B))),IF(_xlpm._value="","",_xlpm._value)))))</f>
        <v>SDR 1.19 - Physical destruction</v>
      </c>
      <c r="C29" s="16" t="str" cm="1">
        <f t="array" ca="1" aca="1" ref="C29">IF($A29="","",IF($J29,IFERROR(SimpleLookup($A29,Assumptions!$A:$E),""),Definitions!$AO$4))</f>
        <v>Other (see comment)</v>
      </c>
      <c r="D29" s="36" t="str">
        <f t="shared" ca="1" si="2"/>
        <v>═══════════════════════════════════════════════════════════════
Default assumption:
––––––––––––––––––––––––––––––––––––––––––––––––––––––––––––––––––––––––––––––––––––
Vandalism or other forms of physical destruction of the product are not in scope of this analysis.</v>
      </c>
      <c r="E29" s="13"/>
      <c r="F29" s="59" t="str">
        <f t="shared" ca="1" si="3"/>
        <v>click me</v>
      </c>
      <c r="G29" s="122" t="str" cm="1">
        <f t="array" ca="1" aca="1" ref="G29">_xlfn.LET(_xlpm._val,IFERROR(SimpleLookup($A29,Countermeasures!$A:$R),IFERROR(SimpleLookup($A29,Assumptions!$A:$R),"")),IF(_xlpm._val="","",_xlpm._val))</f>
        <v/>
      </c>
      <c r="H29" s="16" t="str" cm="1">
        <f t="array" ca="1" aca="1" ref="H29">_xlfn.LET(_xlpm._value,IF($A29="","",IFERROR(IF($J29,SimpleLookup($A29,Assumptions!$A:$S),SimpleLookup($A29,Countermeasures!$A:$S)),"")),IF(_xlpm._value="","",_xlpm._value))</f>
        <v>Scope definition - physical vandalism cannot be managed by the product's cybersecurity, but must be handled by compensating countermeasures, such as physical access control or monitoring.</v>
      </c>
      <c r="I29" s="10" cm="1">
        <f t="array" ca="1" aca="1" ref="I29">IF(ROW()=ROW($I$17)+1,0,INDEX($I:$I,ROW()-1))+IF($A29="",0,1)</f>
        <v>12</v>
      </c>
      <c r="J29" s="10" t="b">
        <f ca="1">_xlfn.LET(_xlpm._row,ROW()-ROW($K$17),_xlpm._numActiveAssumptions,Helper!$B$8,_xlpm._numAdditionalAssumptions,SUM(Table24['# Elements]),_xlpm._row&lt;=_xlpm._numActiveAssumptions+_xlpm._numAdditionalAssumptions)</f>
        <v>1</v>
      </c>
      <c r="K29" s="10">
        <f ca="1">_xlfn.LET(_xlpm._row,ROW()-ROW($K$17),_xlpm._numActiveAssumptions,Helper!$B$8,_xlpm._numAdditionalAssumptions,Helper!$B$10,_xlpm._isAssumption,$J29,_xlpm._elementID,IF(_xlpm._isAssumption,_xlpm._row,_xlpm._row-_xlpm._numActiveAssumptions-_xlpm._numAdditionalAssumptions),_xlpm._elementID)</f>
        <v>12</v>
      </c>
      <c r="L29"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29" s="14" cm="1">
        <f t="array" ca="1" aca="1" ref="M29">IF($L29,IF(ROW()=ROW($M$17)+1,1,INDEX($M:$M,ROW()-1)+IF(INDEX($T:$T,ROW()-1),1,0)),1)</f>
        <v>1</v>
      </c>
      <c r="N29" s="14" t="str" cm="1">
        <f t="array" ca="1" aca="1" ref="N29">IF($L29=TRUE,_xlfn.LET(_xlpm._isAssumption,$J29,_xlpm._indexRange,IF(_xlpm._isAssumption,Table24['# Elements],Table25['# Elements]),_xlpm._lookupRow,$W29,INDEX(_xlpm._indexRange,_xlpm._lookupRow)),"")</f>
        <v/>
      </c>
      <c r="O29" s="20" t="str" cm="1">
        <f t="array" ca="1" aca="1" ref="O29">IF($N29="","",_xlfn.LET(_xlpm._prevRow,ROW()-1,IF(OR(INDEX($N:$N,_xlpm._prevRow)&lt;&gt;$N29,INDEX($M:$M,_xlpm._prevRow)&lt;&gt;$M29),1,INDEX($O:$O,_xlpm._prevRow)+IF(INDEX($S:$S,_xlpm._prevRow),1,0))))</f>
        <v/>
      </c>
      <c r="P29" s="20" t="str" cm="1">
        <f t="array" ca="1" aca="1" ref="P29">IF($O29="","",_xlfn.LET(_xlpm._isAssumption,$J29,_xlpm._sheetRow,$W29,_xlpm._sheetName,$X29,_xlpm._elementIDRange,IF(_xlpm._isAssumption,Table24[Element ID Column],Table25[Element ID Column]),_xlpm._numberOfElementsRange,IF(_xlpm._isAssumption,Table24[Number of Elements Column],Table25[Number of Elements Column]),SimpleLookup($O29,INDIRECT("'"&amp;_xlpm._sheetName&amp;"'!"&amp;INDEX(_xlpm._elementIDRange,_xlpm._sheetRow)&amp;":"&amp;INDEX(_xlpm._numberOfElementsRange,_xlpm._sheetRow)))))</f>
        <v/>
      </c>
      <c r="Q29" s="20" t="str" cm="1">
        <f t="array" ca="1" aca="1" ref="Q29">IF($O29="","",IF(OR(INDEX($O:$O,ROW()-1)&lt;&gt;$O29,INDEX($M:$M,ROW()-1)&lt;&gt;$M29),1,INDEX($Q:$Q,ROW()-1)+1))</f>
        <v/>
      </c>
      <c r="R29" s="20">
        <f t="shared" ca="1" si="4"/>
        <v>0</v>
      </c>
      <c r="S29" s="20" t="str">
        <f t="shared" ca="1" si="5"/>
        <v/>
      </c>
      <c r="T29" s="20" t="b">
        <f ca="1">_xlfn.LET(_xlpm._isAssumption,$J29,_xlpm._numberOfElementsRange,IF(_xlpm._isAssumption,Table24['# Elements],Table25['# Elements]),_xlpm._sheetRow,$W29,IF($L29,AND($S29,$R29=$N29),FALSE))</f>
        <v>0</v>
      </c>
      <c r="U29" s="20" t="str" cm="1">
        <f t="array" ca="1" aca="1" ref="U29">IF($L29,_xlfn.LET(_xlpm._elementID,$O29,_xlpm._isAssumption,$J29,_xlpm._sheetRow,$W29,_xlpm._sheetName,$X29,_xlpm._elementRow,$Y29,_xlpm._resultColumnLetter,IF(_xlpm._isAssumption,INDEX(Table24[Comment Column],_xlpm._sheetRow),INDEX(Table25[Comment Column],_xlpm._sheetRow)),INDEX(INDIRECT("'"&amp;_xlpm._sheetName&amp;"'!"&amp;_xlpm._resultColumnLetter&amp;":"&amp;_xlpm._resultColumnLetter),_xlpm._elementRow)),"")</f>
        <v/>
      </c>
      <c r="V29" s="20" t="str" cm="1">
        <f t="array" ca="1" aca="1" ref="V29">IF($L29,_xlfn.LET(_xlpm._elementID,$O29,_xlpm._isAssumption,$J29,_xlpm._sheetRow,$W29,_xlpm._sheetName,$X29,_xlpm._resultColumnLetter,IF(_xlpm._isAssumption,INDEX(Table24[Sheet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29" s="20" t="str">
        <f ca="1">IF($L29=TRUE,_xlfn.LET(_xlpm._isAssumption,$J29,_xlpm._searchRange,IF(_xlpm._isAssumption,Table24[Task Sheet Shadow ID],Table25[Task Sheet Shadow ID]),MATCH($M29,_xlpm._searchRange,0)),"")</f>
        <v/>
      </c>
      <c r="X29" s="20" t="str" cm="1">
        <f t="array" ca="1" aca="1" ref="X29">IF($L29,_xlfn.LET(_xlpm._isAssumption,$J29,_xlpm._sheetRow,$W29,IF(_xlpm._isAssumption,INDEX(Table24[Sheet Name],_xlpm._sheetRow),INDEX(Table25[Sheet Name],_xlpm._sheetRow))),"")</f>
        <v/>
      </c>
      <c r="Y29" s="20" t="str" cm="1">
        <f t="array" ca="1" aca="1" ref="Y29">IF($L29,_xlfn.LET(_xlpm._elementID,$O29,_xlpm._isAssumption,$J29,_xlpm._sheetRow,$W29,_xlpm._sheetName,$X29,_xlpm._elementIDColumnLetter,IF(_xlpm._isAssumption,INDEX(Table24[Element ID Column],_xlpm._sheetRow),INDEX(Table25[Element ID Column],_xlpm._sheetRow)),MATCH(_xlpm._elementID,INDIRECT("'"&amp;_xlpm._sheetName&amp;"'!"&amp;_xlpm._elementIDColumnLetter&amp;":"&amp;_xlpm._elementIDColumnLetter),0)),"")</f>
        <v/>
      </c>
      <c r="Z29" s="20" t="str" cm="1">
        <f t="array" ca="1" aca="1" ref="Z29">IF($A29="","",_xlfn.LET(_xlpm._isAssumption,$J29,_xlpm._isAdditionalElement,$L29,_xlpm._sheetRow,$W29,_xlpm._sheetName,$X29,_xlpm._columnLetter,INDEX(IF(_xlpm._isAdditionalElement,Table24[Comment Column],Table25[Comment Column]),_xlpm._sheetRow),_xlpm._sheetReference,IF(_xlpm._isAssumption,IF(_xlpm._isAdditionalElement,CELL("address",INDEX(INDIRECT("'"&amp;_xlpm._sheetName&amp;"'!"&amp;_xlpm._columnLetter&amp;":"&amp;_xlpm._columnLetter),$Y29)),CELL("address",INDEX(Assumptions!$A:$A,MATCH($A29,Assumptions!$A:$A,0),1))),IF(_xlpm._isAdditionalElement,CELL("address",INDEX(INDIRECT("'"&amp;_xlpm._sheetName&amp;"'!"&amp;_xlpm._columnLetter&amp;":"&amp;_xlpm._columnLetter),$Y29)),CELL("address",INDEX(Countermeasures!$A:$A,MATCH($A29,Countermeasures!$A:$A,0),1)))),_xlpm._start,FIND("]",_xlpm._sheetReference),"'"&amp;SUBSTITUTE(SUBSTITUTE(RIGHT(_xlpm._sheetReference,LEN(_xlpm._sheetReference)-_xlpm._start),"'",""),"!","'!")))</f>
        <v>'Assumptions'!$A$33</v>
      </c>
      <c r="AA29" s="20" t="str" cm="1">
        <f t="array" ca="1" aca="1" ref="AA29">IF(NOT($L29),_xlfn.LET(_xlpm._value,IF($A29="","",IF($J29,SimpleLookup($A29,Assumptions!$A:$AK),SimpleLookup($A29,Countermeasures!$A:$AN))),IF(_xlpm._value="","",_xlpm._value)),"")</f>
        <v/>
      </c>
      <c r="AB29" s="20" t="str" cm="1">
        <f t="array" ca="1" aca="1" ref="AB29">LookupNames(InverseLookup($A29,Mitigation!$AD$2,Mitigation!$A$2,1,Helper!$B$5,","),'Attack Steps'!$A:$B)</f>
        <v/>
      </c>
      <c r="AC29" s="20" t="str" cm="1">
        <f t="array" ca="1" aca="1" ref="AC29">IF($L29,_xlfn.LET(_xlpm._in,$A29,_xlpm._lastDashNum,LEN(_xlpm._in)-LEN(SUBSTITUTE(_xlpm._in,"-","")),_xlpm._lastDashPos,FIND(CHAR(1),SUBSTITUTE(_xlpm._in,"-",CHAR(1),_xlpm._lastDashNum)),_xlpm._id,LEFT(_xlpm._in,_xlpm._lastDashPos-1),_xlpm._id&amp;"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29" s="20" t="str" cm="1">
        <f t="array" ca="1" aca="1" ref="AD29">_xlfn.LET(_xlpm._countermeasures,InverseLookup($A29,Countermeasures!$AG$2,Countermeasures!$A$2,1,Helper!$B$4,","),LookupNames(_xlpm._countermeasures,Countermeasures!$A:$B))</f>
        <v/>
      </c>
      <c r="AE29" s="20" t="str" cm="1">
        <f t="array" ca="1" aca="1" ref="AE29">IF($E29="","",_xlfn.LET(_xlpm._id,$E29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29" s="20" t="str" cm="1">
        <f t="array" ca="1" aca="1" ref="AF29">IF(OR($A29="",$L29),"",_xlfn.LET(_xlpm._answers,IF($J29,SimpleLookup($A29,Assumptions!$A:$F),SimpleLookup($A29,Countermeasures!$A:$D)),IF(_xlpm._answers="*",IF($J29,SimpleLookup($A29,Assumptions!$A:$C),SimpleLookup($A29,Countermeasures!$A:$C)),"")))</f>
        <v>Vandalism or other forms of physical destruction of the product are not in scope of this analysis.</v>
      </c>
      <c r="AG29" s="20" t="str" cm="1">
        <f t="array" ca="1" aca="1" ref="AG29">IF(NOT($L29),"",_xlfn.LET(_xlpm._mappedInMitigation,IFERROR(VLOOKUP($V29,'Attack Steps'!$A:$O,COLUMNS('Attack Steps'!$A:$O),FALSE),""),CreateSearchString(_xlpm._mappedInMitigation)))</f>
        <v/>
      </c>
      <c r="AH29" s="20" t="b">
        <f ca="1">ROW()-ROW($AH$17)=Helper!$B$15</f>
        <v>0</v>
      </c>
      <c r="AI29" s="20" t="str">
        <f t="shared" ca="1" si="6"/>
        <v/>
      </c>
      <c r="AJ29" s="20" cm="1">
        <f t="array" ca="1" aca="1" ref="AJ29">CreateID($AJ$17,$AJ:$AJ,$AI29&lt;&gt;"")</f>
        <v>0</v>
      </c>
    </row>
    <row r="30" spans="1:36" ht="60.75">
      <c r="A30" s="16" t="str">
        <f ca="1">_xlfn.LET(_xlpm._isAssumption,$J30,_xlpm._row,$K30,_xlpm._numActiveAssumptions,Helper!$B$8,_xlpm._numActiveCountermeasures,Helper!$B$9,_xlpm._numAdditionalAssumptions,Helper!$B$10,_xlpm._numAdditionalCountermeasures,Helper!$B$11,IF(_xlpm._isAssumption,IF(_xlpm._row&gt;_xlpm._numActiveAssumptions,$V30&amp;"-A"&amp;$Q30,INDEX(Assumptions!A:A,MATCH(_xlpm._row,Assumptions!$AG:$AG,0))),IF(_xlpm._row&gt;_xlpm._numActiveCountermeasures+_xlpm._numAdditionalCountermeasures,"",IF(_xlpm._row&gt;_xlpm._numActiveCountermeasures,$V30&amp;"-C"&amp;$Q30,INDEX(Countermeasures!$A:$A,MATCH(_xlpm._row,Countermeasures!$AI:$AI,0))))))</f>
        <v>A31</v>
      </c>
      <c r="B30" s="16" t="str" cm="1">
        <f t="array" ca="1" aca="1" ref="B30">IF($A30="","",_xlfn.LET(_xlpm._isAssumption,$J30,_xlpm._isAdditionalElement,$L30,IF(_xlpm._isAdditionalElement,IF(_xlpm._isAssumption,ParseElementsFromComment($U30,Definitions!$AR$4,Definitions!$AS$4,Definitions!$AR$6,$Q30),ParseElementsFromComment($U30,Definitions!$AR$5,Definitions!$AS$5,Definitions!$AR$6,$Q30)),_xlfn.LET(_xlpm._value,IF($A30="","",IF($J30,SimpleLookup($A30,Assumptions!$A:$B),SimpleLookup($A30,Countermeasures!$A:$B))),IF(_xlpm._value="","",_xlpm._value)))))</f>
        <v>SDR 1.5 - The product's availability is not relevant for safety</v>
      </c>
      <c r="C30" s="16" t="str" cm="1">
        <f t="array" ca="1" aca="1" ref="C30">IF($A30="","",IF($J30,IFERROR(SimpleLookup($A30,Assumptions!$A:$E),""),Definitions!$AO$4))</f>
        <v>Customer</v>
      </c>
      <c r="D30" s="36" t="str">
        <f t="shared" ca="1" si="2"/>
        <v>═══════════════════════════════════════════════════════════════
Comments of related questions / answers:
––––––––––––––––––––––––––––––––––––––––––––––––––––––––––––––––––––––––––––––––––––
QI6 The customer/user must ensure correct and safe usage by applying counter measures. At least by using the product correctly.</v>
      </c>
      <c r="E30" s="13"/>
      <c r="F30" s="59" t="str">
        <f t="shared" ca="1" si="3"/>
        <v>click me</v>
      </c>
      <c r="G30" s="122" t="str" cm="1">
        <f t="array" ca="1" aca="1" ref="G30">_xlfn.LET(_xlpm._val,IFERROR(SimpleLookup($A30,Countermeasures!$A:$R),IFERROR(SimpleLookup($A30,Assumptions!$A:$R),"")),IF(_xlpm._val="","",_xlpm._val))</f>
        <v/>
      </c>
      <c r="H30" s="16" t="str" cm="1">
        <f t="array" ca="1" aca="1" ref="H30">_xlfn.LET(_xlpm._value,IF($A30="","",IFERROR(IF($J30,SimpleLookup($A30,Assumptions!$A:$S),SimpleLookup($A30,Countermeasures!$A:$S)),"")),IF(_xlpm._value="","",_xlpm._value))</f>
        <v/>
      </c>
      <c r="I30" s="10" cm="1">
        <f t="array" ca="1" aca="1" ref="I30">IF(ROW()=ROW($I$17)+1,0,INDEX($I:$I,ROW()-1))+IF($A30="",0,1)</f>
        <v>13</v>
      </c>
      <c r="J30" s="10" t="b">
        <f ca="1">_xlfn.LET(_xlpm._row,ROW()-ROW($K$17),_xlpm._numActiveAssumptions,Helper!$B$8,_xlpm._numAdditionalAssumptions,SUM(Table24['# Elements]),_xlpm._row&lt;=_xlpm._numActiveAssumptions+_xlpm._numAdditionalAssumptions)</f>
        <v>1</v>
      </c>
      <c r="K30" s="10">
        <f ca="1">_xlfn.LET(_xlpm._row,ROW()-ROW($K$17),_xlpm._numActiveAssumptions,Helper!$B$8,_xlpm._numAdditionalAssumptions,Helper!$B$10,_xlpm._isAssumption,$J30,_xlpm._elementID,IF(_xlpm._isAssumption,_xlpm._row,_xlpm._row-_xlpm._numActiveAssumptions-_xlpm._numAdditionalAssumptions),_xlpm._elementID)</f>
        <v>13</v>
      </c>
      <c r="L30"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0" s="14" cm="1">
        <f t="array" ca="1" aca="1" ref="M30">IF($L30,IF(ROW()=ROW($M$17)+1,1,INDEX($M:$M,ROW()-1)+IF(INDEX($T:$T,ROW()-1),1,0)),1)</f>
        <v>1</v>
      </c>
      <c r="N30" s="14" t="str" cm="1">
        <f t="array" ca="1" aca="1" ref="N30">IF($L30=TRUE,_xlfn.LET(_xlpm._isAssumption,$J30,_xlpm._indexRange,IF(_xlpm._isAssumption,Table24['# Elements],Table25['# Elements]),_xlpm._lookupRow,$W30,INDEX(_xlpm._indexRange,_xlpm._lookupRow)),"")</f>
        <v/>
      </c>
      <c r="O30" s="20" t="str" cm="1">
        <f t="array" ca="1" aca="1" ref="O30">IF($N30="","",_xlfn.LET(_xlpm._prevRow,ROW()-1,IF(OR(INDEX($N:$N,_xlpm._prevRow)&lt;&gt;$N30,INDEX($M:$M,_xlpm._prevRow)&lt;&gt;$M30),1,INDEX($O:$O,_xlpm._prevRow)+IF(INDEX($S:$S,_xlpm._prevRow),1,0))))</f>
        <v/>
      </c>
      <c r="P30" s="20" t="str" cm="1">
        <f t="array" ca="1" aca="1" ref="P30">IF($O30="","",_xlfn.LET(_xlpm._isAssumption,$J30,_xlpm._sheetRow,$W30,_xlpm._sheetName,$X30,_xlpm._elementIDRange,IF(_xlpm._isAssumption,Table24[Element ID Column],Table25[Element ID Column]),_xlpm._numberOfElementsRange,IF(_xlpm._isAssumption,Table24[Number of Elements Column],Table25[Number of Elements Column]),SimpleLookup($O30,INDIRECT("'"&amp;_xlpm._sheetName&amp;"'!"&amp;INDEX(_xlpm._elementIDRange,_xlpm._sheetRow)&amp;":"&amp;INDEX(_xlpm._numberOfElementsRange,_xlpm._sheetRow)))))</f>
        <v/>
      </c>
      <c r="Q30" s="20" t="str" cm="1">
        <f t="array" ca="1" aca="1" ref="Q30">IF($O30="","",IF(OR(INDEX($O:$O,ROW()-1)&lt;&gt;$O30,INDEX($M:$M,ROW()-1)&lt;&gt;$M30),1,INDEX($Q:$Q,ROW()-1)+1))</f>
        <v/>
      </c>
      <c r="R30" s="20">
        <f t="shared" ca="1" si="4"/>
        <v>0</v>
      </c>
      <c r="S30" s="20" t="str">
        <f t="shared" ca="1" si="5"/>
        <v/>
      </c>
      <c r="T30" s="20" t="b">
        <f ca="1">_xlfn.LET(_xlpm._isAssumption,$J30,_xlpm._numberOfElementsRange,IF(_xlpm._isAssumption,Table24['# Elements],Table25['# Elements]),_xlpm._sheetRow,$W30,IF($L30,AND($S30,$R30=$N30),FALSE))</f>
        <v>0</v>
      </c>
      <c r="U30" s="20" t="str" cm="1">
        <f t="array" ca="1" aca="1" ref="U30">IF($L30,_xlfn.LET(_xlpm._elementID,$O30,_xlpm._isAssumption,$J30,_xlpm._sheetRow,$W30,_xlpm._sheetName,$X30,_xlpm._elementRow,$Y30,_xlpm._resultColumnLetter,IF(_xlpm._isAssumption,INDEX(Table24[Comment Column],_xlpm._sheetRow),INDEX(Table25[Comment Column],_xlpm._sheetRow)),INDEX(INDIRECT("'"&amp;_xlpm._sheetName&amp;"'!"&amp;_xlpm._resultColumnLetter&amp;":"&amp;_xlpm._resultColumnLetter),_xlpm._elementRow)),"")</f>
        <v/>
      </c>
      <c r="V30" s="20" t="str" cm="1">
        <f t="array" ca="1" aca="1" ref="V30">IF($L30,_xlfn.LET(_xlpm._elementID,$O30,_xlpm._isAssumption,$J30,_xlpm._sheetRow,$W30,_xlpm._sheetName,$X30,_xlpm._resultColumnLetter,IF(_xlpm._isAssumption,INDEX(Table24[Sheet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0" s="20" t="str">
        <f ca="1">IF($L30=TRUE,_xlfn.LET(_xlpm._isAssumption,$J30,_xlpm._searchRange,IF(_xlpm._isAssumption,Table24[Task Sheet Shadow ID],Table25[Task Sheet Shadow ID]),MATCH($M30,_xlpm._searchRange,0)),"")</f>
        <v/>
      </c>
      <c r="X30" s="20" t="str" cm="1">
        <f t="array" ca="1" aca="1" ref="X30">IF($L30,_xlfn.LET(_xlpm._isAssumption,$J30,_xlpm._sheetRow,$W30,IF(_xlpm._isAssumption,INDEX(Table24[Sheet Name],_xlpm._sheetRow),INDEX(Table25[Sheet Name],_xlpm._sheetRow))),"")</f>
        <v/>
      </c>
      <c r="Y30" s="20" t="str" cm="1">
        <f t="array" ca="1" aca="1" ref="Y30">IF($L30,_xlfn.LET(_xlpm._elementID,$O30,_xlpm._isAssumption,$J30,_xlpm._sheetRow,$W30,_xlpm._sheetName,$X30,_xlpm._elementIDColumnLetter,IF(_xlpm._isAssumption,INDEX(Table24[Element ID Column],_xlpm._sheetRow),INDEX(Table25[Element ID Column],_xlpm._sheetRow)),MATCH(_xlpm._elementID,INDIRECT("'"&amp;_xlpm._sheetName&amp;"'!"&amp;_xlpm._elementIDColumnLetter&amp;":"&amp;_xlpm._elementIDColumnLetter),0)),"")</f>
        <v/>
      </c>
      <c r="Z30" s="20" t="str" cm="1">
        <f t="array" ca="1" aca="1" ref="Z30">IF($A30="","",_xlfn.LET(_xlpm._isAssumption,$J30,_xlpm._isAdditionalElement,$L30,_xlpm._sheetRow,$W30,_xlpm._sheetName,$X30,_xlpm._columnLetter,INDEX(IF(_xlpm._isAdditionalElement,Table24[Comment Column],Table25[Comment Column]),_xlpm._sheetRow),_xlpm._sheetReference,IF(_xlpm._isAssumption,IF(_xlpm._isAdditionalElement,CELL("address",INDEX(INDIRECT("'"&amp;_xlpm._sheetName&amp;"'!"&amp;_xlpm._columnLetter&amp;":"&amp;_xlpm._columnLetter),$Y30)),CELL("address",INDEX(Assumptions!$A:$A,MATCH($A30,Assumptions!$A:$A,0),1))),IF(_xlpm._isAdditionalElement,CELL("address",INDEX(INDIRECT("'"&amp;_xlpm._sheetName&amp;"'!"&amp;_xlpm._columnLetter&amp;":"&amp;_xlpm._columnLetter),$Y30)),CELL("address",INDEX(Countermeasures!$A:$A,MATCH($A30,Countermeasures!$A:$A,0),1)))),_xlpm._start,FIND("]",_xlpm._sheetReference),"'"&amp;SUBSTITUTE(SUBSTITUTE(RIGHT(_xlpm._sheetReference,LEN(_xlpm._sheetReference)-_xlpm._start),"'",""),"!","'!")))</f>
        <v>'Assumptions'!$A$34</v>
      </c>
      <c r="AA30" s="20" t="str" cm="1">
        <f t="array" ca="1" aca="1" ref="AA30">IF(NOT($L30),_xlfn.LET(_xlpm._value,IF($A30="","",IF($J30,SimpleLookup($A30,Assumptions!$A:$AK),SimpleLookup($A30,Countermeasures!$A:$AN))),IF(_xlpm._value="","",_xlpm._value)),"")</f>
        <v>QI6 The customer/user must ensure correct and safe usage by applying counter measures. At least by using the product correctly.</v>
      </c>
      <c r="AB30" s="20" t="str" cm="1">
        <f t="array" ca="1" aca="1" ref="AB30">LookupNames(InverseLookup($A30,Mitigation!$AD$2,Mitigation!$A$2,1,Helper!$B$5,","),'Attack Steps'!$A:$B)</f>
        <v/>
      </c>
      <c r="AC30" s="20" t="str" cm="1">
        <f t="array" ca="1" aca="1" ref="AC30">IF($L30,_xlfn.LET(_xlpm._in,$A30,_xlpm._lastDashNum,LEN(_xlpm._in)-LEN(SUBSTITUTE(_xlpm._in,"-","")),_xlpm._lastDashPos,FIND(CHAR(1),SUBSTITUTE(_xlpm._in,"-",CHAR(1),_xlpm._lastDashNum)),_xlpm._id,LEFT(_xlpm._in,_xlpm._lastDashPos-1),_xlpm._id&amp;"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0" s="20" t="str" cm="1">
        <f t="array" ca="1" aca="1" ref="AD30">_xlfn.LET(_xlpm._countermeasures,InverseLookup($A30,Countermeasures!$AG$2,Countermeasures!$A$2,1,Helper!$B$4,","),LookupNames(_xlpm._countermeasures,Countermeasures!$A:$B))</f>
        <v/>
      </c>
      <c r="AE30" s="20" t="str" cm="1">
        <f t="array" ca="1" aca="1" ref="AE30">IF($E30="","",_xlfn.LET(_xlpm._id,$E30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0" s="20" t="str" cm="1">
        <f t="array" ca="1" aca="1" ref="AF30">IF(OR($A30="",$L30),"",_xlfn.LET(_xlpm._answers,IF($J30,SimpleLookup($A30,Assumptions!$A:$F),SimpleLookup($A30,Countermeasures!$A:$D)),IF(_xlpm._answers="*",IF($J30,SimpleLookup($A30,Assumptions!$A:$C),SimpleLookup($A30,Countermeasures!$A:$C)),"")))</f>
        <v/>
      </c>
      <c r="AG30" s="20" t="str" cm="1">
        <f t="array" ca="1" aca="1" ref="AG30">IF(NOT($L30),"",_xlfn.LET(_xlpm._mappedInMitigation,IFERROR(VLOOKUP($V30,'Attack Steps'!$A:$O,COLUMNS('Attack Steps'!$A:$O),FALSE),""),CreateSearchString(_xlpm._mappedInMitigation)))</f>
        <v/>
      </c>
      <c r="AH30" s="20" t="b">
        <f ca="1">ROW()-ROW($AH$17)=Helper!$B$15</f>
        <v>0</v>
      </c>
      <c r="AI30" s="20" t="str">
        <f t="shared" ca="1" si="6"/>
        <v/>
      </c>
      <c r="AJ30" s="20" cm="1">
        <f t="array" ca="1" aca="1" ref="AJ30">CreateID($AJ$17,$AJ:$AJ,$AI30&lt;&gt;"")</f>
        <v>0</v>
      </c>
    </row>
    <row r="31" spans="1:36" ht="72.75">
      <c r="A31" s="16" t="str">
        <f ca="1">_xlfn.LET(_xlpm._isAssumption,$J31,_xlpm._row,$K31,_xlpm._numActiveAssumptions,Helper!$B$8,_xlpm._numActiveCountermeasures,Helper!$B$9,_xlpm._numAdditionalAssumptions,Helper!$B$10,_xlpm._numAdditionalCountermeasures,Helper!$B$11,IF(_xlpm._isAssumption,IF(_xlpm._row&gt;_xlpm._numActiveAssumptions,$V31&amp;"-A"&amp;$Q31,INDEX(Assumptions!A:A,MATCH(_xlpm._row,Assumptions!$AG:$AG,0))),IF(_xlpm._row&gt;_xlpm._numActiveCountermeasures+_xlpm._numAdditionalCountermeasures,"",IF(_xlpm._row&gt;_xlpm._numActiveCountermeasures,$V31&amp;"-C"&amp;$Q31,INDEX(Countermeasures!$A:$A,MATCH(_xlpm._row,Countermeasures!$AI:$AI,0))))))</f>
        <v>A34</v>
      </c>
      <c r="B31" s="16" t="str" cm="1">
        <f t="array" ca="1" aca="1" ref="B31">IF($A31="","",_xlfn.LET(_xlpm._isAssumption,$J31,_xlpm._isAdditionalElement,$L31,IF(_xlpm._isAdditionalElement,IF(_xlpm._isAssumption,ParseElementsFromComment($U31,Definitions!$AR$4,Definitions!$AS$4,Definitions!$AR$6,$Q31),ParseElementsFromComment($U31,Definitions!$AR$5,Definitions!$AS$5,Definitions!$AR$6,$Q31)),_xlfn.LET(_xlpm._value,IF($A31="","",IF($J31,SimpleLookup($A31,Assumptions!$A:$B),SimpleLookup($A31,Countermeasures!$A:$B))),IF(_xlpm._value="","",_xlpm._value)))))</f>
        <v>SDR 2.10 - The product is delivered with a secure by default configuration</v>
      </c>
      <c r="C31" s="16" t="str" cm="1">
        <f t="array" ca="1" aca="1" ref="C31">IF($A31="","",IF($J31,IFERROR(SimpleLookup($A31,Assumptions!$A:$E),""),Definitions!$AO$4))</f>
        <v>acontis techonlogies GmbH</v>
      </c>
      <c r="D31" s="36" t="str">
        <f t="shared" ca="1" si="2"/>
        <v>═══════════════════════════════════════════════════════════════
Default assumption:
––––––––––––––––––––––––––––––––––––––––––––––––––––––––––––––––––––––––––––––––––––
The product's configuration is secure by default. If user generated passwords are required, then the user is prompted to change the password on first use. The secure defaults are restored by a factory reset, if applicable.</v>
      </c>
      <c r="E31" s="13"/>
      <c r="F31" s="59" t="str">
        <f t="shared" ca="1" si="3"/>
        <v>click me</v>
      </c>
      <c r="G31" s="122" t="str" cm="1">
        <f t="array" ca="1" aca="1" ref="G31">_xlfn.LET(_xlpm._val,IFERROR(SimpleLookup($A31,Countermeasures!$A:$R),IFERROR(SimpleLookup($A31,Assumptions!$A:$R),"")),IF(_xlpm._val="","",_xlpm._val))</f>
        <v/>
      </c>
      <c r="H31" s="16" t="str" cm="1">
        <f t="array" ca="1" aca="1" ref="H31">_xlfn.LET(_xlpm._value,IF($A31="","",IFERROR(IF($J31,SimpleLookup($A31,Assumptions!$A:$S),SimpleLookup($A31,Countermeasures!$A:$S)),"")),IF(_xlpm._value="","",_xlpm._value))</f>
        <v/>
      </c>
      <c r="I31" s="10" cm="1">
        <f t="array" ca="1" aca="1" ref="I31">IF(ROW()=ROW($I$17)+1,0,INDEX($I:$I,ROW()-1))+IF($A31="",0,1)</f>
        <v>14</v>
      </c>
      <c r="J31" s="10" t="b">
        <f ca="1">_xlfn.LET(_xlpm._row,ROW()-ROW($K$17),_xlpm._numActiveAssumptions,Helper!$B$8,_xlpm._numAdditionalAssumptions,SUM(Table24['# Elements]),_xlpm._row&lt;=_xlpm._numActiveAssumptions+_xlpm._numAdditionalAssumptions)</f>
        <v>1</v>
      </c>
      <c r="K31" s="10">
        <f ca="1">_xlfn.LET(_xlpm._row,ROW()-ROW($K$17),_xlpm._numActiveAssumptions,Helper!$B$8,_xlpm._numAdditionalAssumptions,Helper!$B$10,_xlpm._isAssumption,$J31,_xlpm._elementID,IF(_xlpm._isAssumption,_xlpm._row,_xlpm._row-_xlpm._numActiveAssumptions-_xlpm._numAdditionalAssumptions),_xlpm._elementID)</f>
        <v>14</v>
      </c>
      <c r="L31"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1" s="14" cm="1">
        <f t="array" ca="1" aca="1" ref="M31">IF($L31,IF(ROW()=ROW($M$17)+1,1,INDEX($M:$M,ROW()-1)+IF(INDEX($T:$T,ROW()-1),1,0)),1)</f>
        <v>1</v>
      </c>
      <c r="N31" s="14" t="str" cm="1">
        <f t="array" ca="1" aca="1" ref="N31">IF($L31=TRUE,_xlfn.LET(_xlpm._isAssumption,$J31,_xlpm._indexRange,IF(_xlpm._isAssumption,Table24['# Elements],Table25['# Elements]),_xlpm._lookupRow,$W31,INDEX(_xlpm._indexRange,_xlpm._lookupRow)),"")</f>
        <v/>
      </c>
      <c r="O31" s="20" t="str" cm="1">
        <f t="array" ca="1" aca="1" ref="O31">IF($N31="","",_xlfn.LET(_xlpm._prevRow,ROW()-1,IF(OR(INDEX($N:$N,_xlpm._prevRow)&lt;&gt;$N31,INDEX($M:$M,_xlpm._prevRow)&lt;&gt;$M31),1,INDEX($O:$O,_xlpm._prevRow)+IF(INDEX($S:$S,_xlpm._prevRow),1,0))))</f>
        <v/>
      </c>
      <c r="P31" s="20" t="str" cm="1">
        <f t="array" ca="1" aca="1" ref="P31">IF($O31="","",_xlfn.LET(_xlpm._isAssumption,$J31,_xlpm._sheetRow,$W31,_xlpm._sheetName,$X31,_xlpm._elementIDRange,IF(_xlpm._isAssumption,Table24[Element ID Column],Table25[Element ID Column]),_xlpm._numberOfElementsRange,IF(_xlpm._isAssumption,Table24[Number of Elements Column],Table25[Number of Elements Column]),SimpleLookup($O31,INDIRECT("'"&amp;_xlpm._sheetName&amp;"'!"&amp;INDEX(_xlpm._elementIDRange,_xlpm._sheetRow)&amp;":"&amp;INDEX(_xlpm._numberOfElementsRange,_xlpm._sheetRow)))))</f>
        <v/>
      </c>
      <c r="Q31" s="20" t="str" cm="1">
        <f t="array" ca="1" aca="1" ref="Q31">IF($O31="","",IF(OR(INDEX($O:$O,ROW()-1)&lt;&gt;$O31,INDEX($M:$M,ROW()-1)&lt;&gt;$M31),1,INDEX($Q:$Q,ROW()-1)+1))</f>
        <v/>
      </c>
      <c r="R31" s="20">
        <f t="shared" ca="1" si="4"/>
        <v>0</v>
      </c>
      <c r="S31" s="20" t="str">
        <f t="shared" ca="1" si="5"/>
        <v/>
      </c>
      <c r="T31" s="20" t="b">
        <f ca="1">_xlfn.LET(_xlpm._isAssumption,$J31,_xlpm._numberOfElementsRange,IF(_xlpm._isAssumption,Table24['# Elements],Table25['# Elements]),_xlpm._sheetRow,$W31,IF($L31,AND($S31,$R31=$N31),FALSE))</f>
        <v>0</v>
      </c>
      <c r="U31" s="20" t="str" cm="1">
        <f t="array" ca="1" aca="1" ref="U31">IF($L31,_xlfn.LET(_xlpm._elementID,$O31,_xlpm._isAssumption,$J31,_xlpm._sheetRow,$W31,_xlpm._sheetName,$X31,_xlpm._elementRow,$Y31,_xlpm._resultColumnLetter,IF(_xlpm._isAssumption,INDEX(Table24[Comment Column],_xlpm._sheetRow),INDEX(Table25[Comment Column],_xlpm._sheetRow)),INDEX(INDIRECT("'"&amp;_xlpm._sheetName&amp;"'!"&amp;_xlpm._resultColumnLetter&amp;":"&amp;_xlpm._resultColumnLetter),_xlpm._elementRow)),"")</f>
        <v/>
      </c>
      <c r="V31" s="20" t="str" cm="1">
        <f t="array" ca="1" aca="1" ref="V31">IF($L31,_xlfn.LET(_xlpm._elementID,$O31,_xlpm._isAssumption,$J31,_xlpm._sheetRow,$W31,_xlpm._sheetName,$X31,_xlpm._resultColumnLetter,IF(_xlpm._isAssumption,INDEX(Table24[Sheet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1" s="20" t="str">
        <f ca="1">IF($L31=TRUE,_xlfn.LET(_xlpm._isAssumption,$J31,_xlpm._searchRange,IF(_xlpm._isAssumption,Table24[Task Sheet Shadow ID],Table25[Task Sheet Shadow ID]),MATCH($M31,_xlpm._searchRange,0)),"")</f>
        <v/>
      </c>
      <c r="X31" s="20" t="str" cm="1">
        <f t="array" ca="1" aca="1" ref="X31">IF($L31,_xlfn.LET(_xlpm._isAssumption,$J31,_xlpm._sheetRow,$W31,IF(_xlpm._isAssumption,INDEX(Table24[Sheet Name],_xlpm._sheetRow),INDEX(Table25[Sheet Name],_xlpm._sheetRow))),"")</f>
        <v/>
      </c>
      <c r="Y31" s="20" t="str" cm="1">
        <f t="array" ca="1" aca="1" ref="Y31">IF($L31,_xlfn.LET(_xlpm._elementID,$O31,_xlpm._isAssumption,$J31,_xlpm._sheetRow,$W31,_xlpm._sheetName,$X31,_xlpm._elementIDColumnLetter,IF(_xlpm._isAssumption,INDEX(Table24[Element ID Column],_xlpm._sheetRow),INDEX(Table25[Element ID Column],_xlpm._sheetRow)),MATCH(_xlpm._elementID,INDIRECT("'"&amp;_xlpm._sheetName&amp;"'!"&amp;_xlpm._elementIDColumnLetter&amp;":"&amp;_xlpm._elementIDColumnLetter),0)),"")</f>
        <v/>
      </c>
      <c r="Z31" s="20" t="str" cm="1">
        <f t="array" ca="1" aca="1" ref="Z31">IF($A31="","",_xlfn.LET(_xlpm._isAssumption,$J31,_xlpm._isAdditionalElement,$L31,_xlpm._sheetRow,$W31,_xlpm._sheetName,$X31,_xlpm._columnLetter,INDEX(IF(_xlpm._isAdditionalElement,Table24[Comment Column],Table25[Comment Column]),_xlpm._sheetRow),_xlpm._sheetReference,IF(_xlpm._isAssumption,IF(_xlpm._isAdditionalElement,CELL("address",INDEX(INDIRECT("'"&amp;_xlpm._sheetName&amp;"'!"&amp;_xlpm._columnLetter&amp;":"&amp;_xlpm._columnLetter),$Y31)),CELL("address",INDEX(Assumptions!$A:$A,MATCH($A31,Assumptions!$A:$A,0),1))),IF(_xlpm._isAdditionalElement,CELL("address",INDEX(INDIRECT("'"&amp;_xlpm._sheetName&amp;"'!"&amp;_xlpm._columnLetter&amp;":"&amp;_xlpm._columnLetter),$Y31)),CELL("address",INDEX(Countermeasures!$A:$A,MATCH($A31,Countermeasures!$A:$A,0),1)))),_xlpm._start,FIND("]",_xlpm._sheetReference),"'"&amp;SUBSTITUTE(SUBSTITUTE(RIGHT(_xlpm._sheetReference,LEN(_xlpm._sheetReference)-_xlpm._start),"'",""),"!","'!")))</f>
        <v>'Assumptions'!$A$37</v>
      </c>
      <c r="AA31" s="20" t="str" cm="1">
        <f t="array" ca="1" aca="1" ref="AA31">IF(NOT($L31),_xlfn.LET(_xlpm._value,IF($A31="","",IF($J31,SimpleLookup($A31,Assumptions!$A:$AK),SimpleLookup($A31,Countermeasures!$A:$AN))),IF(_xlpm._value="","",_xlpm._value)),"")</f>
        <v/>
      </c>
      <c r="AB31" s="20" t="str" cm="1">
        <f t="array" ca="1" aca="1" ref="AB31">LookupNames(InverseLookup($A31,Mitigation!$AD$2,Mitigation!$A$2,1,Helper!$B$5,","),'Attack Steps'!$A:$B)</f>
        <v/>
      </c>
      <c r="AC31" s="20" t="str" cm="1">
        <f t="array" ca="1" aca="1" ref="AC31">IF($L31,_xlfn.LET(_xlpm._in,$A31,_xlpm._lastDashNum,LEN(_xlpm._in)-LEN(SUBSTITUTE(_xlpm._in,"-","")),_xlpm._lastDashPos,FIND(CHAR(1),SUBSTITUTE(_xlpm._in,"-",CHAR(1),_xlpm._lastDashNum)),_xlpm._id,LEFT(_xlpm._in,_xlpm._lastDashPos-1),_xlpm._id&amp;"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1" s="20" t="str" cm="1">
        <f t="array" ca="1" aca="1" ref="AD31">_xlfn.LET(_xlpm._countermeasures,InverseLookup($A31,Countermeasures!$AG$2,Countermeasures!$A$2,1,Helper!$B$4,","),LookupNames(_xlpm._countermeasures,Countermeasures!$A:$B))</f>
        <v/>
      </c>
      <c r="AE31" s="20" t="str" cm="1">
        <f t="array" ca="1" aca="1" ref="AE31">IF($E31="","",_xlfn.LET(_xlpm._id,$E31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1" s="20" t="str" cm="1">
        <f t="array" ca="1" aca="1" ref="AF31">IF(OR($A31="",$L31),"",_xlfn.LET(_xlpm._answers,IF($J31,SimpleLookup($A31,Assumptions!$A:$F),SimpleLookup($A31,Countermeasures!$A:$D)),IF(_xlpm._answers="*",IF($J31,SimpleLookup($A31,Assumptions!$A:$C),SimpleLookup($A31,Countermeasures!$A:$C)),"")))</f>
        <v>The product's configuration is secure by default. If user generated passwords are required, then the user is prompted to change the password on first use. The secure defaults are restored by a factory reset, if applicable.</v>
      </c>
      <c r="AG31" s="20" t="str" cm="1">
        <f t="array" ca="1" aca="1" ref="AG31">IF(NOT($L31),"",_xlfn.LET(_xlpm._mappedInMitigation,IFERROR(VLOOKUP($V31,'Attack Steps'!$A:$O,COLUMNS('Attack Steps'!$A:$O),FALSE),""),CreateSearchString(_xlpm._mappedInMitigation)))</f>
        <v/>
      </c>
      <c r="AH31" s="20" t="b">
        <f ca="1">ROW()-ROW($AH$17)=Helper!$B$15</f>
        <v>0</v>
      </c>
      <c r="AI31" s="20" t="str">
        <f t="shared" ca="1" si="6"/>
        <v/>
      </c>
      <c r="AJ31" s="20" cm="1">
        <f t="array" ca="1" aca="1" ref="AJ31">CreateID($AJ$17,$AJ:$AJ,$AI31&lt;&gt;"")</f>
        <v>0</v>
      </c>
    </row>
    <row r="32" spans="1:36" ht="48.75">
      <c r="A32" s="16" t="str">
        <f ca="1">_xlfn.LET(_xlpm._isAssumption,$J32,_xlpm._row,$K32,_xlpm._numActiveAssumptions,Helper!$B$8,_xlpm._numActiveCountermeasures,Helper!$B$9,_xlpm._numAdditionalAssumptions,Helper!$B$10,_xlpm._numAdditionalCountermeasures,Helper!$B$11,IF(_xlpm._isAssumption,IF(_xlpm._row&gt;_xlpm._numActiveAssumptions,$V32&amp;"-A"&amp;$Q32,INDEX(Assumptions!A:A,MATCH(_xlpm._row,Assumptions!$AG:$AG,0))),IF(_xlpm._row&gt;_xlpm._numActiveCountermeasures+_xlpm._numAdditionalCountermeasures,"",IF(_xlpm._row&gt;_xlpm._numActiveCountermeasures,$V32&amp;"-C"&amp;$Q32,INDEX(Countermeasures!$A:$A,MATCH(_xlpm._row,Countermeasures!$AI:$AI,0))))))</f>
        <v>A36</v>
      </c>
      <c r="B32" s="16" t="str" cm="1">
        <f t="array" ca="1" aca="1" ref="B32">IF($A32="","",_xlfn.LET(_xlpm._isAssumption,$J32,_xlpm._isAdditionalElement,$L32,IF(_xlpm._isAdditionalElement,IF(_xlpm._isAssumption,ParseElementsFromComment($U32,Definitions!$AR$4,Definitions!$AS$4,Definitions!$AR$6,$Q32),ParseElementsFromComment($U32,Definitions!$AR$5,Definitions!$AS$5,Definitions!$AR$6,$Q32)),_xlfn.LET(_xlpm._value,IF($A32="","",IF($J32,SimpleLookup($A32,Assumptions!$A:$B),SimpleLookup($A32,Countermeasures!$A:$B))),IF(_xlpm._value="","",_xlpm._value)))))</f>
        <v>SDR 1.18 - Well-protected trustworthy wireless network</v>
      </c>
      <c r="C32" s="16" t="str" cm="1">
        <f t="array" ca="1" aca="1" ref="C32">IF($A32="","",IF($J32,IFERROR(SimpleLookup($A32,Assumptions!$A:$E),""),Definitions!$AO$4))</f>
        <v>Customer</v>
      </c>
      <c r="D32" s="36" t="str">
        <f t="shared" ca="1" si="2"/>
        <v>═══════════════════════════════════════════════════════════════
Comments of related questions / answers:
––––––––––––––––––––––––––––––––––––––––––––––––––––––––––––––––––––––––––––––––––––
QA13 Customer</v>
      </c>
      <c r="E32" s="13"/>
      <c r="F32" s="59" t="str">
        <f t="shared" ca="1" si="3"/>
        <v>click me</v>
      </c>
      <c r="G32" s="122" t="str" cm="1">
        <f t="array" ca="1" aca="1" ref="G32">_xlfn.LET(_xlpm._val,IFERROR(SimpleLookup($A32,Countermeasures!$A:$R),IFERROR(SimpleLookup($A32,Assumptions!$A:$R),"")),IF(_xlpm._val="","",_xlpm._val))</f>
        <v/>
      </c>
      <c r="H32" s="16" t="str" cm="1">
        <f t="array" ca="1" aca="1" ref="H32">_xlfn.LET(_xlpm._value,IF($A32="","",IFERROR(IF($J32,SimpleLookup($A32,Assumptions!$A:$S),SimpleLookup($A32,Countermeasures!$A:$S)),"")),IF(_xlpm._value="","",_xlpm._value))</f>
        <v>Prevents attackers from accessing the trusted wireless network the product uses over a gateway. Note that this network is not part of the product.</v>
      </c>
      <c r="I32" s="10" cm="1">
        <f t="array" ca="1" aca="1" ref="I32">IF(ROW()=ROW($I$17)+1,0,INDEX($I:$I,ROW()-1))+IF($A32="",0,1)</f>
        <v>15</v>
      </c>
      <c r="J32" s="10" t="b">
        <f ca="1">_xlfn.LET(_xlpm._row,ROW()-ROW($K$17),_xlpm._numActiveAssumptions,Helper!$B$8,_xlpm._numAdditionalAssumptions,SUM(Table24['# Elements]),_xlpm._row&lt;=_xlpm._numActiveAssumptions+_xlpm._numAdditionalAssumptions)</f>
        <v>1</v>
      </c>
      <c r="K32" s="10">
        <f ca="1">_xlfn.LET(_xlpm._row,ROW()-ROW($K$17),_xlpm._numActiveAssumptions,Helper!$B$8,_xlpm._numAdditionalAssumptions,Helper!$B$10,_xlpm._isAssumption,$J32,_xlpm._elementID,IF(_xlpm._isAssumption,_xlpm._row,_xlpm._row-_xlpm._numActiveAssumptions-_xlpm._numAdditionalAssumptions),_xlpm._elementID)</f>
        <v>15</v>
      </c>
      <c r="L32"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2" s="14" cm="1">
        <f t="array" ca="1" aca="1" ref="M32">IF($L32,IF(ROW()=ROW($M$17)+1,1,INDEX($M:$M,ROW()-1)+IF(INDEX($T:$T,ROW()-1),1,0)),1)</f>
        <v>1</v>
      </c>
      <c r="N32" s="14" t="str" cm="1">
        <f t="array" ca="1" aca="1" ref="N32">IF($L32=TRUE,_xlfn.LET(_xlpm._isAssumption,$J32,_xlpm._indexRange,IF(_xlpm._isAssumption,Table24['# Elements],Table25['# Elements]),_xlpm._lookupRow,$W32,INDEX(_xlpm._indexRange,_xlpm._lookupRow)),"")</f>
        <v/>
      </c>
      <c r="O32" s="20" t="str" cm="1">
        <f t="array" ca="1" aca="1" ref="O32">IF($N32="","",_xlfn.LET(_xlpm._prevRow,ROW()-1,IF(OR(INDEX($N:$N,_xlpm._prevRow)&lt;&gt;$N32,INDEX($M:$M,_xlpm._prevRow)&lt;&gt;$M32),1,INDEX($O:$O,_xlpm._prevRow)+IF(INDEX($S:$S,_xlpm._prevRow),1,0))))</f>
        <v/>
      </c>
      <c r="P32" s="20" t="str" cm="1">
        <f t="array" ca="1" aca="1" ref="P32">IF($O32="","",_xlfn.LET(_xlpm._isAssumption,$J32,_xlpm._sheetRow,$W32,_xlpm._sheetName,$X32,_xlpm._elementIDRange,IF(_xlpm._isAssumption,Table24[Element ID Column],Table25[Element ID Column]),_xlpm._numberOfElementsRange,IF(_xlpm._isAssumption,Table24[Number of Elements Column],Table25[Number of Elements Column]),SimpleLookup($O32,INDIRECT("'"&amp;_xlpm._sheetName&amp;"'!"&amp;INDEX(_xlpm._elementIDRange,_xlpm._sheetRow)&amp;":"&amp;INDEX(_xlpm._numberOfElementsRange,_xlpm._sheetRow)))))</f>
        <v/>
      </c>
      <c r="Q32" s="20" t="str" cm="1">
        <f t="array" ca="1" aca="1" ref="Q32">IF($O32="","",IF(OR(INDEX($O:$O,ROW()-1)&lt;&gt;$O32,INDEX($M:$M,ROW()-1)&lt;&gt;$M32),1,INDEX($Q:$Q,ROW()-1)+1))</f>
        <v/>
      </c>
      <c r="R32" s="20">
        <f t="shared" ca="1" si="4"/>
        <v>0</v>
      </c>
      <c r="S32" s="20" t="str">
        <f t="shared" ca="1" si="5"/>
        <v/>
      </c>
      <c r="T32" s="20" t="b">
        <f ca="1">_xlfn.LET(_xlpm._isAssumption,$J32,_xlpm._numberOfElementsRange,IF(_xlpm._isAssumption,Table24['# Elements],Table25['# Elements]),_xlpm._sheetRow,$W32,IF($L32,AND($S32,$R32=$N32),FALSE))</f>
        <v>0</v>
      </c>
      <c r="U32" s="20" t="str" cm="1">
        <f t="array" ca="1" aca="1" ref="U32">IF($L32,_xlfn.LET(_xlpm._elementID,$O32,_xlpm._isAssumption,$J32,_xlpm._sheetRow,$W32,_xlpm._sheetName,$X32,_xlpm._elementRow,$Y32,_xlpm._resultColumnLetter,IF(_xlpm._isAssumption,INDEX(Table24[Comment Column],_xlpm._sheetRow),INDEX(Table25[Comment Column],_xlpm._sheetRow)),INDEX(INDIRECT("'"&amp;_xlpm._sheetName&amp;"'!"&amp;_xlpm._resultColumnLetter&amp;":"&amp;_xlpm._resultColumnLetter),_xlpm._elementRow)),"")</f>
        <v/>
      </c>
      <c r="V32" s="20" t="str" cm="1">
        <f t="array" ca="1" aca="1" ref="V32">IF($L32,_xlfn.LET(_xlpm._elementID,$O32,_xlpm._isAssumption,$J32,_xlpm._sheetRow,$W32,_xlpm._sheetName,$X32,_xlpm._resultColumnLetter,IF(_xlpm._isAssumption,INDEX(Table24[Sheet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2" s="20" t="str">
        <f ca="1">IF($L32=TRUE,_xlfn.LET(_xlpm._isAssumption,$J32,_xlpm._searchRange,IF(_xlpm._isAssumption,Table24[Task Sheet Shadow ID],Table25[Task Sheet Shadow ID]),MATCH($M32,_xlpm._searchRange,0)),"")</f>
        <v/>
      </c>
      <c r="X32" s="20" t="str" cm="1">
        <f t="array" ca="1" aca="1" ref="X32">IF($L32,_xlfn.LET(_xlpm._isAssumption,$J32,_xlpm._sheetRow,$W32,IF(_xlpm._isAssumption,INDEX(Table24[Sheet Name],_xlpm._sheetRow),INDEX(Table25[Sheet Name],_xlpm._sheetRow))),"")</f>
        <v/>
      </c>
      <c r="Y32" s="20" t="str" cm="1">
        <f t="array" ca="1" aca="1" ref="Y32">IF($L32,_xlfn.LET(_xlpm._elementID,$O32,_xlpm._isAssumption,$J32,_xlpm._sheetRow,$W32,_xlpm._sheetName,$X32,_xlpm._elementIDColumnLetter,IF(_xlpm._isAssumption,INDEX(Table24[Element ID Column],_xlpm._sheetRow),INDEX(Table25[Element ID Column],_xlpm._sheetRow)),MATCH(_xlpm._elementID,INDIRECT("'"&amp;_xlpm._sheetName&amp;"'!"&amp;_xlpm._elementIDColumnLetter&amp;":"&amp;_xlpm._elementIDColumnLetter),0)),"")</f>
        <v/>
      </c>
      <c r="Z32" s="20" t="str" cm="1">
        <f t="array" ca="1" aca="1" ref="Z32">IF($A32="","",_xlfn.LET(_xlpm._isAssumption,$J32,_xlpm._isAdditionalElement,$L32,_xlpm._sheetRow,$W32,_xlpm._sheetName,$X32,_xlpm._columnLetter,INDEX(IF(_xlpm._isAdditionalElement,Table24[Comment Column],Table25[Comment Column]),_xlpm._sheetRow),_xlpm._sheetReference,IF(_xlpm._isAssumption,IF(_xlpm._isAdditionalElement,CELL("address",INDEX(INDIRECT("'"&amp;_xlpm._sheetName&amp;"'!"&amp;_xlpm._columnLetter&amp;":"&amp;_xlpm._columnLetter),$Y32)),CELL("address",INDEX(Assumptions!$A:$A,MATCH($A32,Assumptions!$A:$A,0),1))),IF(_xlpm._isAdditionalElement,CELL("address",INDEX(INDIRECT("'"&amp;_xlpm._sheetName&amp;"'!"&amp;_xlpm._columnLetter&amp;":"&amp;_xlpm._columnLetter),$Y32)),CELL("address",INDEX(Countermeasures!$A:$A,MATCH($A32,Countermeasures!$A:$A,0),1)))),_xlpm._start,FIND("]",_xlpm._sheetReference),"'"&amp;SUBSTITUTE(SUBSTITUTE(RIGHT(_xlpm._sheetReference,LEN(_xlpm._sheetReference)-_xlpm._start),"'",""),"!","'!")))</f>
        <v>'Assumptions'!$A$39</v>
      </c>
      <c r="AA32" s="20" t="str" cm="1">
        <f t="array" ca="1" aca="1" ref="AA32">IF(NOT($L32),_xlfn.LET(_xlpm._value,IF($A32="","",IF($J32,SimpleLookup($A32,Assumptions!$A:$AK),SimpleLookup($A32,Countermeasures!$A:$AN))),IF(_xlpm._value="","",_xlpm._value)),"")</f>
        <v>QA13 Customer</v>
      </c>
      <c r="AB32" s="20" t="str" cm="1">
        <f t="array" ca="1" aca="1" ref="AB32">LookupNames(InverseLookup($A32,Mitigation!$AD$2,Mitigation!$A$2,1,Helper!$B$5,","),'Attack Steps'!$A:$B)</f>
        <v/>
      </c>
      <c r="AC32" s="20" t="str" cm="1">
        <f t="array" ca="1" aca="1" ref="AC32">IF($L32,_xlfn.LET(_xlpm._in,$A32,_xlpm._lastDashNum,LEN(_xlpm._in)-LEN(SUBSTITUTE(_xlpm._in,"-","")),_xlpm._lastDashPos,FIND(CHAR(1),SUBSTITUTE(_xlpm._in,"-",CHAR(1),_xlpm._lastDashNum)),_xlpm._id,LEFT(_xlpm._in,_xlpm._lastDashPos-1),_xlpm._id&amp;"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2" s="20" t="str" cm="1">
        <f t="array" ca="1" aca="1" ref="AD32">_xlfn.LET(_xlpm._countermeasures,InverseLookup($A32,Countermeasures!$AG$2,Countermeasures!$A$2,1,Helper!$B$4,","),LookupNames(_xlpm._countermeasures,Countermeasures!$A:$B))</f>
        <v/>
      </c>
      <c r="AE32" s="20" t="str" cm="1">
        <f t="array" ca="1" aca="1" ref="AE32">IF($E32="","",_xlfn.LET(_xlpm._id,$E32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2" s="20" t="str" cm="1">
        <f t="array" ca="1" aca="1" ref="AF32">IF(OR($A32="",$L32),"",_xlfn.LET(_xlpm._answers,IF($J32,SimpleLookup($A32,Assumptions!$A:$F),SimpleLookup($A32,Countermeasures!$A:$D)),IF(_xlpm._answers="*",IF($J32,SimpleLookup($A32,Assumptions!$A:$C),SimpleLookup($A32,Countermeasures!$A:$C)),"")))</f>
        <v/>
      </c>
      <c r="AG32" s="20" t="str" cm="1">
        <f t="array" ca="1" aca="1" ref="AG32">IF(NOT($L32),"",_xlfn.LET(_xlpm._mappedInMitigation,IFERROR(VLOOKUP($V32,'Attack Steps'!$A:$O,COLUMNS('Attack Steps'!$A:$O),FALSE),""),CreateSearchString(_xlpm._mappedInMitigation)))</f>
        <v/>
      </c>
      <c r="AH32" s="20" t="b">
        <f ca="1">ROW()-ROW($AH$17)=Helper!$B$15</f>
        <v>0</v>
      </c>
      <c r="AI32" s="20" t="str">
        <f t="shared" ca="1" si="6"/>
        <v/>
      </c>
      <c r="AJ32" s="20" cm="1">
        <f t="array" ca="1" aca="1" ref="AJ32">CreateID($AJ$17,$AJ:$AJ,$AI32&lt;&gt;"")</f>
        <v>0</v>
      </c>
    </row>
    <row r="33" spans="1:36" ht="75">
      <c r="A33" s="16" t="str">
        <f ca="1">_xlfn.LET(_xlpm._isAssumption,$J33,_xlpm._row,$K33,_xlpm._numActiveAssumptions,Helper!$B$8,_xlpm._numActiveCountermeasures,Helper!$B$9,_xlpm._numAdditionalAssumptions,Helper!$B$10,_xlpm._numAdditionalCountermeasures,Helper!$B$11,IF(_xlpm._isAssumption,IF(_xlpm._row&gt;_xlpm._numActiveAssumptions,$V33&amp;"-A"&amp;$Q33,INDEX(Assumptions!A:A,MATCH(_xlpm._row,Assumptions!$AG:$AG,0))),IF(_xlpm._row&gt;_xlpm._numActiveCountermeasures+_xlpm._numAdditionalCountermeasures,"",IF(_xlpm._row&gt;_xlpm._numActiveCountermeasures,$V33&amp;"-C"&amp;$Q33,INDEX(Countermeasures!$A:$A,MATCH(_xlpm._row,Countermeasures!$AI:$AI,0))))))</f>
        <v>A38</v>
      </c>
      <c r="B33" s="16" t="str" cm="1">
        <f t="array" ca="1" aca="1" ref="B33">IF($A33="","",_xlfn.LET(_xlpm._isAssumption,$J33,_xlpm._isAdditionalElement,$L33,IF(_xlpm._isAdditionalElement,IF(_xlpm._isAssumption,ParseElementsFromComment($U33,Definitions!$AR$4,Definitions!$AS$4,Definitions!$AR$6,$Q33),ParseElementsFromComment($U33,Definitions!$AR$5,Definitions!$AS$5,Definitions!$AR$6,$Q33)),_xlfn.LET(_xlpm._value,IF($A33="","",IF($J33,SimpleLookup($A33,Assumptions!$A:$B),SimpleLookup($A33,Countermeasures!$A:$B))),IF(_xlpm._value="","",_xlpm._value)))))</f>
        <v>SDR 1.20 - Least privilege for provided credentials</v>
      </c>
      <c r="C33" s="16" t="str" cm="1">
        <f t="array" ca="1" aca="1" ref="C33">IF($A33="","",IF($J33,IFERROR(SimpleLookup($A33,Assumptions!$A:$E),""),Definitions!$AO$4))</f>
        <v>Customer</v>
      </c>
      <c r="D33" s="36" t="str">
        <f t="shared" ca="1" si="2"/>
        <v>═══════════════════════════════════════════════════════════════
Comments of related questions / answers:
––––––––––––––––––––––––––––––––––––––––––––––––––––––––––––––––––––––––––––––––––––
QI5 Again, the EC-Master stack just transports data but does not process nor store data. The data is opauqe for the EC-Master stack. TLS excluded in this answer.</v>
      </c>
      <c r="E33" s="13"/>
      <c r="F33" s="59" t="str">
        <f t="shared" ca="1" si="3"/>
        <v>click me</v>
      </c>
      <c r="G33" s="122" t="str" cm="1">
        <f t="array" ca="1" aca="1" ref="G33">_xlfn.LET(_xlpm._val,IFERROR(SimpleLookup($A33,Countermeasures!$A:$R),IFERROR(SimpleLookup($A33,Assumptions!$A:$R),"")),IF(_xlpm._val="","",_xlpm._val))</f>
        <v/>
      </c>
      <c r="H33" s="16" t="str" cm="1">
        <f t="array" ca="1" aca="1" ref="H33">_xlfn.LET(_xlpm._value,IF($A33="","",IFERROR(IF($J33,SimpleLookup($A33,Assumptions!$A:$S),SimpleLookup($A33,Countermeasures!$A:$S)),"")),IF(_xlpm._value="","",_xlpm._value))</f>
        <v>Note that the effects of this are modeled in countermeasure C3, as the product must offer the functionality to apply the principle of least privilege.
Note that a device with no credentials fulfills this requirement.</v>
      </c>
      <c r="I33" s="10" cm="1">
        <f t="array" ca="1" aca="1" ref="I33">IF(ROW()=ROW($I$17)+1,0,INDEX($I:$I,ROW()-1))+IF($A33="",0,1)</f>
        <v>16</v>
      </c>
      <c r="J33" s="10" t="b">
        <f ca="1">_xlfn.LET(_xlpm._row,ROW()-ROW($K$17),_xlpm._numActiveAssumptions,Helper!$B$8,_xlpm._numAdditionalAssumptions,SUM(Table24['# Elements]),_xlpm._row&lt;=_xlpm._numActiveAssumptions+_xlpm._numAdditionalAssumptions)</f>
        <v>1</v>
      </c>
      <c r="K33" s="10">
        <f ca="1">_xlfn.LET(_xlpm._row,ROW()-ROW($K$17),_xlpm._numActiveAssumptions,Helper!$B$8,_xlpm._numAdditionalAssumptions,Helper!$B$10,_xlpm._isAssumption,$J33,_xlpm._elementID,IF(_xlpm._isAssumption,_xlpm._row,_xlpm._row-_xlpm._numActiveAssumptions-_xlpm._numAdditionalAssumptions),_xlpm._elementID)</f>
        <v>16</v>
      </c>
      <c r="L33"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3" s="14" cm="1">
        <f t="array" ca="1" aca="1" ref="M33">IF($L33,IF(ROW()=ROW($M$17)+1,1,INDEX($M:$M,ROW()-1)+IF(INDEX($T:$T,ROW()-1),1,0)),1)</f>
        <v>1</v>
      </c>
      <c r="N33" s="14" t="str" cm="1">
        <f t="array" ca="1" aca="1" ref="N33">IF($L33=TRUE,_xlfn.LET(_xlpm._isAssumption,$J33,_xlpm._indexRange,IF(_xlpm._isAssumption,Table24['# Elements],Table25['# Elements]),_xlpm._lookupRow,$W33,INDEX(_xlpm._indexRange,_xlpm._lookupRow)),"")</f>
        <v/>
      </c>
      <c r="O33" s="20" t="str" cm="1">
        <f t="array" ca="1" aca="1" ref="O33">IF($N33="","",_xlfn.LET(_xlpm._prevRow,ROW()-1,IF(OR(INDEX($N:$N,_xlpm._prevRow)&lt;&gt;$N33,INDEX($M:$M,_xlpm._prevRow)&lt;&gt;$M33),1,INDEX($O:$O,_xlpm._prevRow)+IF(INDEX($S:$S,_xlpm._prevRow),1,0))))</f>
        <v/>
      </c>
      <c r="P33" s="20" t="str" cm="1">
        <f t="array" ca="1" aca="1" ref="P33">IF($O33="","",_xlfn.LET(_xlpm._isAssumption,$J33,_xlpm._sheetRow,$W33,_xlpm._sheetName,$X33,_xlpm._elementIDRange,IF(_xlpm._isAssumption,Table24[Element ID Column],Table25[Element ID Column]),_xlpm._numberOfElementsRange,IF(_xlpm._isAssumption,Table24[Number of Elements Column],Table25[Number of Elements Column]),SimpleLookup($O33,INDIRECT("'"&amp;_xlpm._sheetName&amp;"'!"&amp;INDEX(_xlpm._elementIDRange,_xlpm._sheetRow)&amp;":"&amp;INDEX(_xlpm._numberOfElementsRange,_xlpm._sheetRow)))))</f>
        <v/>
      </c>
      <c r="Q33" s="20" t="str" cm="1">
        <f t="array" ca="1" aca="1" ref="Q33">IF($O33="","",IF(OR(INDEX($O:$O,ROW()-1)&lt;&gt;$O33,INDEX($M:$M,ROW()-1)&lt;&gt;$M33),1,INDEX($Q:$Q,ROW()-1)+1))</f>
        <v/>
      </c>
      <c r="R33" s="20">
        <f t="shared" ca="1" si="4"/>
        <v>0</v>
      </c>
      <c r="S33" s="20" t="str">
        <f t="shared" ca="1" si="5"/>
        <v/>
      </c>
      <c r="T33" s="20" t="b">
        <f ca="1">_xlfn.LET(_xlpm._isAssumption,$J33,_xlpm._numberOfElementsRange,IF(_xlpm._isAssumption,Table24['# Elements],Table25['# Elements]),_xlpm._sheetRow,$W33,IF($L33,AND($S33,$R33=$N33),FALSE))</f>
        <v>0</v>
      </c>
      <c r="U33" s="20" t="str" cm="1">
        <f t="array" ca="1" aca="1" ref="U33">IF($L33,_xlfn.LET(_xlpm._elementID,$O33,_xlpm._isAssumption,$J33,_xlpm._sheetRow,$W33,_xlpm._sheetName,$X33,_xlpm._elementRow,$Y33,_xlpm._resultColumnLetter,IF(_xlpm._isAssumption,INDEX(Table24[Comment Column],_xlpm._sheetRow),INDEX(Table25[Comment Column],_xlpm._sheetRow)),INDEX(INDIRECT("'"&amp;_xlpm._sheetName&amp;"'!"&amp;_xlpm._resultColumnLetter&amp;":"&amp;_xlpm._resultColumnLetter),_xlpm._elementRow)),"")</f>
        <v/>
      </c>
      <c r="V33" s="20" t="str" cm="1">
        <f t="array" ca="1" aca="1" ref="V33">IF($L33,_xlfn.LET(_xlpm._elementID,$O33,_xlpm._isAssumption,$J33,_xlpm._sheetRow,$W33,_xlpm._sheetName,$X33,_xlpm._resultColumnLetter,IF(_xlpm._isAssumption,INDEX(Table24[Sheet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3" s="20" t="str">
        <f ca="1">IF($L33=TRUE,_xlfn.LET(_xlpm._isAssumption,$J33,_xlpm._searchRange,IF(_xlpm._isAssumption,Table24[Task Sheet Shadow ID],Table25[Task Sheet Shadow ID]),MATCH($M33,_xlpm._searchRange,0)),"")</f>
        <v/>
      </c>
      <c r="X33" s="20" t="str" cm="1">
        <f t="array" ca="1" aca="1" ref="X33">IF($L33,_xlfn.LET(_xlpm._isAssumption,$J33,_xlpm._sheetRow,$W33,IF(_xlpm._isAssumption,INDEX(Table24[Sheet Name],_xlpm._sheetRow),INDEX(Table25[Sheet Name],_xlpm._sheetRow))),"")</f>
        <v/>
      </c>
      <c r="Y33" s="20" t="str" cm="1">
        <f t="array" ca="1" aca="1" ref="Y33">IF($L33,_xlfn.LET(_xlpm._elementID,$O33,_xlpm._isAssumption,$J33,_xlpm._sheetRow,$W33,_xlpm._sheetName,$X33,_xlpm._elementIDColumnLetter,IF(_xlpm._isAssumption,INDEX(Table24[Element ID Column],_xlpm._sheetRow),INDEX(Table25[Element ID Column],_xlpm._sheetRow)),MATCH(_xlpm._elementID,INDIRECT("'"&amp;_xlpm._sheetName&amp;"'!"&amp;_xlpm._elementIDColumnLetter&amp;":"&amp;_xlpm._elementIDColumnLetter),0)),"")</f>
        <v/>
      </c>
      <c r="Z33" s="20" t="str" cm="1">
        <f t="array" ca="1" aca="1" ref="Z33">IF($A33="","",_xlfn.LET(_xlpm._isAssumption,$J33,_xlpm._isAdditionalElement,$L33,_xlpm._sheetRow,$W33,_xlpm._sheetName,$X33,_xlpm._columnLetter,INDEX(IF(_xlpm._isAdditionalElement,Table24[Comment Column],Table25[Comment Column]),_xlpm._sheetRow),_xlpm._sheetReference,IF(_xlpm._isAssumption,IF(_xlpm._isAdditionalElement,CELL("address",INDEX(INDIRECT("'"&amp;_xlpm._sheetName&amp;"'!"&amp;_xlpm._columnLetter&amp;":"&amp;_xlpm._columnLetter),$Y33)),CELL("address",INDEX(Assumptions!$A:$A,MATCH($A33,Assumptions!$A:$A,0),1))),IF(_xlpm._isAdditionalElement,CELL("address",INDEX(INDIRECT("'"&amp;_xlpm._sheetName&amp;"'!"&amp;_xlpm._columnLetter&amp;":"&amp;_xlpm._columnLetter),$Y33)),CELL("address",INDEX(Countermeasures!$A:$A,MATCH($A33,Countermeasures!$A:$A,0),1)))),_xlpm._start,FIND("]",_xlpm._sheetReference),"'"&amp;SUBSTITUTE(SUBSTITUTE(RIGHT(_xlpm._sheetReference,LEN(_xlpm._sheetReference)-_xlpm._start),"'",""),"!","'!")))</f>
        <v>'Assumptions'!$A$41</v>
      </c>
      <c r="AA33" s="20" t="str" cm="1">
        <f t="array" ca="1" aca="1" ref="AA33">IF(NOT($L33),_xlfn.LET(_xlpm._value,IF($A33="","",IF($J33,SimpleLookup($A33,Assumptions!$A:$AK),SimpleLookup($A33,Countermeasures!$A:$AN))),IF(_xlpm._value="","",_xlpm._value)),"")</f>
        <v>QI5 Again, the EC-Master stack just transports data but does not process nor store data. The data is opauqe for the EC-Master stack. TLS excluded in this answer.</v>
      </c>
      <c r="AB33" s="20" t="str" cm="1">
        <f t="array" ca="1" aca="1" ref="AB33">LookupNames(InverseLookup($A33,Mitigation!$AD$2,Mitigation!$A$2,1,Helper!$B$5,","),'Attack Steps'!$A:$B)</f>
        <v/>
      </c>
      <c r="AC33" s="20" t="str" cm="1">
        <f t="array" ca="1" aca="1" ref="AC33">IF($L33,_xlfn.LET(_xlpm._in,$A33,_xlpm._lastDashNum,LEN(_xlpm._in)-LEN(SUBSTITUTE(_xlpm._in,"-","")),_xlpm._lastDashPos,FIND(CHAR(1),SUBSTITUTE(_xlpm._in,"-",CHAR(1),_xlpm._lastDashNum)),_xlpm._id,LEFT(_xlpm._in,_xlpm._lastDashPos-1),_xlpm._id&amp;"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3" s="20" t="str" cm="1">
        <f t="array" ca="1" aca="1" ref="AD33">_xlfn.LET(_xlpm._countermeasures,InverseLookup($A33,Countermeasures!$AG$2,Countermeasures!$A$2,1,Helper!$B$4,","),LookupNames(_xlpm._countermeasures,Countermeasures!$A:$B))</f>
        <v/>
      </c>
      <c r="AE33" s="20" t="str" cm="1">
        <f t="array" ca="1" aca="1" ref="AE33">IF($E33="","",_xlfn.LET(_xlpm._id,$E33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3" s="20" t="str" cm="1">
        <f t="array" ca="1" aca="1" ref="AF33">IF(OR($A33="",$L33),"",_xlfn.LET(_xlpm._answers,IF($J33,SimpleLookup($A33,Assumptions!$A:$F),SimpleLookup($A33,Countermeasures!$A:$D)),IF(_xlpm._answers="*",IF($J33,SimpleLookup($A33,Assumptions!$A:$C),SimpleLookup($A33,Countermeasures!$A:$C)),"")))</f>
        <v/>
      </c>
      <c r="AG33" s="20" t="str" cm="1">
        <f t="array" ca="1" aca="1" ref="AG33">IF(NOT($L33),"",_xlfn.LET(_xlpm._mappedInMitigation,IFERROR(VLOOKUP($V33,'Attack Steps'!$A:$O,COLUMNS('Attack Steps'!$A:$O),FALSE),""),CreateSearchString(_xlpm._mappedInMitigation)))</f>
        <v/>
      </c>
      <c r="AH33" s="20" t="b">
        <f ca="1">ROW()-ROW($AH$17)=Helper!$B$15</f>
        <v>0</v>
      </c>
      <c r="AI33" s="20" t="str">
        <f t="shared" ca="1" si="6"/>
        <v/>
      </c>
      <c r="AJ33" s="20" cm="1">
        <f t="array" ca="1" aca="1" ref="AJ33">CreateID($AJ$17,$AJ:$AJ,$AI33&lt;&gt;"")</f>
        <v>0</v>
      </c>
    </row>
    <row r="34" spans="1:36" ht="48.75">
      <c r="A34" s="16" t="str">
        <f ca="1">_xlfn.LET(_xlpm._isAssumption,$J34,_xlpm._row,$K34,_xlpm._numActiveAssumptions,Helper!$B$8,_xlpm._numActiveCountermeasures,Helper!$B$9,_xlpm._numAdditionalAssumptions,Helper!$B$10,_xlpm._numAdditionalCountermeasures,Helper!$B$11,IF(_xlpm._isAssumption,IF(_xlpm._row&gt;_xlpm._numActiveAssumptions,$V34&amp;"-A"&amp;$Q34,INDEX(Assumptions!A:A,MATCH(_xlpm._row,Assumptions!$AG:$AG,0))),IF(_xlpm._row&gt;_xlpm._numActiveCountermeasures+_xlpm._numAdditionalCountermeasures,"",IF(_xlpm._row&gt;_xlpm._numActiveCountermeasures,$V34&amp;"-C"&amp;$Q34,INDEX(Countermeasures!$A:$A,MATCH(_xlpm._row,Countermeasures!$AI:$AI,0))))))</f>
        <v>A42</v>
      </c>
      <c r="B34" s="16" t="str" cm="1">
        <f t="array" ca="1" aca="1" ref="B34">IF($A34="","",_xlfn.LET(_xlpm._isAssumption,$J34,_xlpm._isAdditionalElement,$L34,IF(_xlpm._isAdditionalElement,IF(_xlpm._isAssumption,ParseElementsFromComment($U34,Definitions!$AR$4,Definitions!$AS$4,Definitions!$AR$6,$Q34),ParseElementsFromComment($U34,Definitions!$AR$5,Definitions!$AS$5,Definitions!$AR$6,$Q34)),_xlfn.LET(_xlpm._value,IF($A34="","",IF($J34,SimpleLookup($A34,Assumptions!$A:$B),SimpleLookup($A34,Countermeasures!$A:$B))),IF(_xlpm._value="","",_xlpm._value)))))</f>
        <v>SDR 1.1 – List all network traffic</v>
      </c>
      <c r="C34" s="16" t="str" cm="1">
        <f t="array" ca="1" aca="1" ref="C34">IF($A34="","",IF($J34,IFERROR(SimpleLookup($A34,Assumptions!$A:$E),""),Definitions!$AO$4))</f>
        <v>acontis techonlogies GmbH</v>
      </c>
      <c r="D34" s="36" t="str">
        <f t="shared" ca="1" si="2"/>
        <v xml:space="preserve">═══════════════════════════════════════════════════════════════
Comments of related questions / answers:
––––––––––––––––––––––––––––––––––––––––––––––––––––––––––––––––––––––––––––––––––––
QA1 </v>
      </c>
      <c r="E34" s="13"/>
      <c r="F34" s="59" t="str">
        <f t="shared" ca="1" si="3"/>
        <v>click me</v>
      </c>
      <c r="G34" s="122" t="str" cm="1">
        <f t="array" ca="1" aca="1" ref="G34">_xlfn.LET(_xlpm._val,IFERROR(SimpleLookup($A34,Countermeasures!$A:$R),IFERROR(SimpleLookup($A34,Assumptions!$A:$R),"")),IF(_xlpm._val="","",_xlpm._val))</f>
        <v/>
      </c>
      <c r="H34" s="16" t="str" cm="1">
        <f t="array" ca="1" aca="1" ref="H34">_xlfn.LET(_xlpm._value,IF($A34="","",IFERROR(IF($J34,SimpleLookup($A34,Assumptions!$A:$S),SimpleLookup($A34,Countermeasures!$A:$S)),"")),IF(_xlpm._value="","",_xlpm._value))</f>
        <v>Note that providing an empty list is a valid option if the product is not supposed to communicate over a network.</v>
      </c>
      <c r="I34" s="10" cm="1">
        <f t="array" ca="1" aca="1" ref="I34">IF(ROW()=ROW($I$17)+1,0,INDEX($I:$I,ROW()-1))+IF($A34="",0,1)</f>
        <v>17</v>
      </c>
      <c r="J34" s="10" t="b">
        <f ca="1">_xlfn.LET(_xlpm._row,ROW()-ROW($K$17),_xlpm._numActiveAssumptions,Helper!$B$8,_xlpm._numAdditionalAssumptions,SUM(Table24['# Elements]),_xlpm._row&lt;=_xlpm._numActiveAssumptions+_xlpm._numAdditionalAssumptions)</f>
        <v>1</v>
      </c>
      <c r="K34" s="10">
        <f ca="1">_xlfn.LET(_xlpm._row,ROW()-ROW($K$17),_xlpm._numActiveAssumptions,Helper!$B$8,_xlpm._numAdditionalAssumptions,Helper!$B$10,_xlpm._isAssumption,$J34,_xlpm._elementID,IF(_xlpm._isAssumption,_xlpm._row,_xlpm._row-_xlpm._numActiveAssumptions-_xlpm._numAdditionalAssumptions),_xlpm._elementID)</f>
        <v>17</v>
      </c>
      <c r="L34" s="14"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4" s="14" cm="1">
        <f t="array" ca="1" aca="1" ref="M34">IF($L34,IF(ROW()=ROW($M$17)+1,1,INDEX($M:$M,ROW()-1)+IF(INDEX($T:$T,ROW()-1),1,0)),1)</f>
        <v>1</v>
      </c>
      <c r="N34" s="14" t="str" cm="1">
        <f t="array" ca="1" aca="1" ref="N34">IF($L34=TRUE,_xlfn.LET(_xlpm._isAssumption,$J34,_xlpm._indexRange,IF(_xlpm._isAssumption,Table24['# Elements],Table25['# Elements]),_xlpm._lookupRow,$W34,INDEX(_xlpm._indexRange,_xlpm._lookupRow)),"")</f>
        <v/>
      </c>
      <c r="O34" s="20" t="str" cm="1">
        <f t="array" ca="1" aca="1" ref="O34">IF($N34="","",_xlfn.LET(_xlpm._prevRow,ROW()-1,IF(OR(INDEX($N:$N,_xlpm._prevRow)&lt;&gt;$N34,INDEX($M:$M,_xlpm._prevRow)&lt;&gt;$M34),1,INDEX($O:$O,_xlpm._prevRow)+IF(INDEX($S:$S,_xlpm._prevRow),1,0))))</f>
        <v/>
      </c>
      <c r="P34" s="20" t="str" cm="1">
        <f t="array" ca="1" aca="1" ref="P34">IF($O34="","",_xlfn.LET(_xlpm._isAssumption,$J34,_xlpm._sheetRow,$W34,_xlpm._sheetName,$X34,_xlpm._elementIDRange,IF(_xlpm._isAssumption,Table24[Element ID Column],Table25[Element ID Column]),_xlpm._numberOfElementsRange,IF(_xlpm._isAssumption,Table24[Number of Elements Column],Table25[Number of Elements Column]),SimpleLookup($O34,INDIRECT("'"&amp;_xlpm._sheetName&amp;"'!"&amp;INDEX(_xlpm._elementIDRange,_xlpm._sheetRow)&amp;":"&amp;INDEX(_xlpm._numberOfElementsRange,_xlpm._sheetRow)))))</f>
        <v/>
      </c>
      <c r="Q34" s="20" t="str" cm="1">
        <f t="array" ca="1" aca="1" ref="Q34">IF($O34="","",IF(OR(INDEX($O:$O,ROW()-1)&lt;&gt;$O34,INDEX($M:$M,ROW()-1)&lt;&gt;$M34),1,INDEX($Q:$Q,ROW()-1)+1))</f>
        <v/>
      </c>
      <c r="R34" s="20">
        <f t="shared" ca="1" si="4"/>
        <v>0</v>
      </c>
      <c r="S34" s="20" t="str">
        <f t="shared" ca="1" si="5"/>
        <v/>
      </c>
      <c r="T34" s="20" t="b">
        <f ca="1">_xlfn.LET(_xlpm._isAssumption,$J34,_xlpm._numberOfElementsRange,IF(_xlpm._isAssumption,Table24['# Elements],Table25['# Elements]),_xlpm._sheetRow,$W34,IF($L34,AND($S34,$R34=$N34),FALSE))</f>
        <v>0</v>
      </c>
      <c r="U34" s="20" t="str" cm="1">
        <f t="array" ca="1" aca="1" ref="U34">IF($L34,_xlfn.LET(_xlpm._elementID,$O34,_xlpm._isAssumption,$J34,_xlpm._sheetRow,$W34,_xlpm._sheetName,$X34,_xlpm._elementRow,$Y34,_xlpm._resultColumnLetter,IF(_xlpm._isAssumption,INDEX(Table24[Comment Column],_xlpm._sheetRow),INDEX(Table25[Comment Column],_xlpm._sheetRow)),INDEX(INDIRECT("'"&amp;_xlpm._sheetName&amp;"'!"&amp;_xlpm._resultColumnLetter&amp;":"&amp;_xlpm._resultColumnLetter),_xlpm._elementRow)),"")</f>
        <v/>
      </c>
      <c r="V34" s="20" t="str" cm="1">
        <f t="array" ca="1" aca="1" ref="V34">IF($L34,_xlfn.LET(_xlpm._elementID,$O34,_xlpm._isAssumption,$J34,_xlpm._sheetRow,$W34,_xlpm._sheetName,$X34,_xlpm._resultColumnLetter,IF(_xlpm._isAssumption,INDEX(Table24[Sheet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4" s="20" t="str">
        <f ca="1">IF($L34=TRUE,_xlfn.LET(_xlpm._isAssumption,$J34,_xlpm._searchRange,IF(_xlpm._isAssumption,Table24[Task Sheet Shadow ID],Table25[Task Sheet Shadow ID]),MATCH($M34,_xlpm._searchRange,0)),"")</f>
        <v/>
      </c>
      <c r="X34" s="20" t="str" cm="1">
        <f t="array" ca="1" aca="1" ref="X34">IF($L34,_xlfn.LET(_xlpm._isAssumption,$J34,_xlpm._sheetRow,$W34,IF(_xlpm._isAssumption,INDEX(Table24[Sheet Name],_xlpm._sheetRow),INDEX(Table25[Sheet Name],_xlpm._sheetRow))),"")</f>
        <v/>
      </c>
      <c r="Y34" s="20" t="str" cm="1">
        <f t="array" ca="1" aca="1" ref="Y34">IF($L34,_xlfn.LET(_xlpm._elementID,$O34,_xlpm._isAssumption,$J34,_xlpm._sheetRow,$W34,_xlpm._sheetName,$X34,_xlpm._elementIDColumnLetter,IF(_xlpm._isAssumption,INDEX(Table24[Element ID Column],_xlpm._sheetRow),INDEX(Table25[Element ID Column],_xlpm._sheetRow)),MATCH(_xlpm._elementID,INDIRECT("'"&amp;_xlpm._sheetName&amp;"'!"&amp;_xlpm._elementIDColumnLetter&amp;":"&amp;_xlpm._elementIDColumnLetter),0)),"")</f>
        <v/>
      </c>
      <c r="Z34" s="20" t="str" cm="1">
        <f t="array" ca="1" aca="1" ref="Z34">IF($A34="","",_xlfn.LET(_xlpm._isAssumption,$J34,_xlpm._isAdditionalElement,$L34,_xlpm._sheetRow,$W34,_xlpm._sheetName,$X34,_xlpm._columnLetter,INDEX(IF(_xlpm._isAdditionalElement,Table24[Comment Column],Table25[Comment Column]),_xlpm._sheetRow),_xlpm._sheetReference,IF(_xlpm._isAssumption,IF(_xlpm._isAdditionalElement,CELL("address",INDEX(INDIRECT("'"&amp;_xlpm._sheetName&amp;"'!"&amp;_xlpm._columnLetter&amp;":"&amp;_xlpm._columnLetter),$Y34)),CELL("address",INDEX(Assumptions!$A:$A,MATCH($A34,Assumptions!$A:$A,0),1))),IF(_xlpm._isAdditionalElement,CELL("address",INDEX(INDIRECT("'"&amp;_xlpm._sheetName&amp;"'!"&amp;_xlpm._columnLetter&amp;":"&amp;_xlpm._columnLetter),$Y34)),CELL("address",INDEX(Countermeasures!$A:$A,MATCH($A34,Countermeasures!$A:$A,0),1)))),_xlpm._start,FIND("]",_xlpm._sheetReference),"'"&amp;SUBSTITUTE(SUBSTITUTE(RIGHT(_xlpm._sheetReference,LEN(_xlpm._sheetReference)-_xlpm._start),"'",""),"!","'!")))</f>
        <v>'Assumptions'!$A$44</v>
      </c>
      <c r="AA34" s="20" t="str" cm="1">
        <f t="array" ca="1" aca="1" ref="AA34">IF(NOT($L34),_xlfn.LET(_xlpm._value,IF($A34="","",IF($J34,SimpleLookup($A34,Assumptions!$A:$AK),SimpleLookup($A34,Countermeasures!$A:$AN))),IF(_xlpm._value="","",_xlpm._value)),"")</f>
        <v xml:space="preserve">QA1 </v>
      </c>
      <c r="AB34" s="20" t="str" cm="1">
        <f t="array" ca="1" aca="1" ref="AB34">LookupNames(InverseLookup($A34,Mitigation!$AD$2,Mitigation!$A$2,1,Helper!$B$5,","),'Attack Steps'!$A:$B)</f>
        <v/>
      </c>
      <c r="AC34" s="20" t="str" cm="1">
        <f t="array" ca="1" aca="1" ref="AC34">IF($L34,_xlfn.LET(_xlpm._in,$A34,_xlpm._lastDashNum,LEN(_xlpm._in)-LEN(SUBSTITUTE(_xlpm._in,"-","")),_xlpm._lastDashPos,FIND(CHAR(1),SUBSTITUTE(_xlpm._in,"-",CHAR(1),_xlpm._lastDashNum)),_xlpm._id,LEFT(_xlpm._in,_xlpm._lastDashPos-1),_xlpm._id&amp;"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4" s="20" t="str" cm="1">
        <f t="array" ca="1" aca="1" ref="AD34">_xlfn.LET(_xlpm._countermeasures,InverseLookup($A34,Countermeasures!$AG$2,Countermeasures!$A$2,1,Helper!$B$4,","),LookupNames(_xlpm._countermeasures,Countermeasures!$A:$B))</f>
        <v/>
      </c>
      <c r="AE34" s="20" t="str" cm="1">
        <f t="array" ca="1" aca="1" ref="AE34">IF($E34="","",_xlfn.LET(_xlpm._id,$E34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4" s="20" t="str" cm="1">
        <f t="array" ca="1" aca="1" ref="AF34">IF(OR($A34="",$L34),"",_xlfn.LET(_xlpm._answers,IF($J34,SimpleLookup($A34,Assumptions!$A:$F),SimpleLookup($A34,Countermeasures!$A:$D)),IF(_xlpm._answers="*",IF($J34,SimpleLookup($A34,Assumptions!$A:$C),SimpleLookup($A34,Countermeasures!$A:$C)),"")))</f>
        <v/>
      </c>
      <c r="AG34" s="20" t="str" cm="1">
        <f t="array" ca="1" aca="1" ref="AG34">IF(NOT($L34),"",_xlfn.LET(_xlpm._mappedInMitigation,IFERROR(VLOOKUP($V34,'Attack Steps'!$A:$O,COLUMNS('Attack Steps'!$A:$O),FALSE),""),CreateSearchString(_xlpm._mappedInMitigation)))</f>
        <v/>
      </c>
      <c r="AH34" s="20" t="b">
        <f ca="1">ROW()-ROW($AH$17)=Helper!$B$15</f>
        <v>0</v>
      </c>
      <c r="AI34" s="20" t="str">
        <f t="shared" ca="1" si="6"/>
        <v/>
      </c>
      <c r="AJ34" s="20" cm="1">
        <f t="array" ca="1" aca="1" ref="AJ34">CreateID($AJ$17,$AJ:$AJ,$AI34&lt;&gt;"")</f>
        <v>0</v>
      </c>
    </row>
    <row r="35" spans="1:36" ht="48.75">
      <c r="A35" s="16" t="str">
        <f ca="1">_xlfn.LET(_xlpm._isAssumption,$J35,_xlpm._row,$K35,_xlpm._numActiveAssumptions,Helper!$B$8,_xlpm._numActiveCountermeasures,Helper!$B$9,_xlpm._numAdditionalAssumptions,Helper!$B$10,_xlpm._numAdditionalCountermeasures,Helper!$B$11,IF(_xlpm._isAssumption,IF(_xlpm._row&gt;_xlpm._numActiveAssumptions,$V35&amp;"-A"&amp;$Q35,INDEX(Assumptions!A:A,MATCH(_xlpm._row,Assumptions!$AG:$AG,0))),IF(_xlpm._row&gt;_xlpm._numActiveCountermeasures+_xlpm._numAdditionalCountermeasures,"",IF(_xlpm._row&gt;_xlpm._numActiveCountermeasures,$V35&amp;"-C"&amp;$Q35,INDEX(Countermeasures!$A:$A,MATCH(_xlpm._row,Countermeasures!$AI:$AI,0))))))</f>
        <v>A43</v>
      </c>
      <c r="B35" s="16" t="str" cm="1">
        <f t="array" ca="1" aca="1" ref="B35">IF($A35="","",_xlfn.LET(_xlpm._isAssumption,$J35,_xlpm._isAdditionalElement,$L35,IF(_xlpm._isAdditionalElement,IF(_xlpm._isAssumption,ParseElementsFromComment($U35,Definitions!$AR$4,Definitions!$AS$4,Definitions!$AR$6,$Q35),ParseElementsFromComment($U35,Definitions!$AR$5,Definitions!$AS$5,Definitions!$AR$6,$Q35)),_xlfn.LET(_xlpm._value,IF($A35="","",IF($J35,SimpleLookup($A35,Assumptions!$A:$B),SimpleLookup($A35,Countermeasures!$A:$B))),IF(_xlpm._value="","",_xlpm._value)))))</f>
        <v>SDR 1.17 - Sensing capabilities</v>
      </c>
      <c r="C35" s="16" t="str" cm="1">
        <f t="array" ca="1" aca="1" ref="C35">IF($A35="","",IF($J35,IFERROR(SimpleLookup($A35,Assumptions!$A:$E),""),Definitions!$AO$4))</f>
        <v>acontis techonlogies GmbH</v>
      </c>
      <c r="D35" s="36" t="str">
        <f t="shared" ca="1" si="2"/>
        <v>═══════════════════════════════════════════════════════════════
Default assumption:
––––––––––––––––––––––––––––––––––––––––––––––––––––––––––––––––––––––––––––––––––––
The customer buying the product can understand the sensing capabilities of the product.</v>
      </c>
      <c r="E35" s="13"/>
      <c r="F35" s="59" t="str">
        <f t="shared" ca="1" si="3"/>
        <v>click me</v>
      </c>
      <c r="G35" s="122" t="str" cm="1">
        <f t="array" ca="1" aca="1" ref="G35">_xlfn.LET(_xlpm._val,IFERROR(SimpleLookup($A35,Countermeasures!$A:$R),IFERROR(SimpleLookup($A35,Assumptions!$A:$R),"")),IF(_xlpm._val="","",_xlpm._val))</f>
        <v/>
      </c>
      <c r="H35" s="16" t="str" cm="1">
        <f t="array" ca="1" aca="1" ref="H35">_xlfn.LET(_xlpm._value,IF($A35="","",IFERROR(IF($J35,SimpleLookup($A35,Assumptions!$A:$S),SimpleLookup($A35,Countermeasures!$A:$S)),"")),IF(_xlpm._value="","",_xlpm._value))</f>
        <v/>
      </c>
      <c r="I35" s="10" cm="1">
        <f t="array" ca="1" aca="1" ref="I35">IF(ROW()=ROW($I$17)+1,0,INDEX($I:$I,ROW()-1))+IF($A35="",0,1)</f>
        <v>18</v>
      </c>
      <c r="J35" s="10" t="b">
        <f ca="1">_xlfn.LET(_xlpm._row,ROW()-ROW($K$17),_xlpm._numActiveAssumptions,Helper!$B$8,_xlpm._numAdditionalAssumptions,SUM(Table24['# Elements]),_xlpm._row&lt;=_xlpm._numActiveAssumptions+_xlpm._numAdditionalAssumptions)</f>
        <v>1</v>
      </c>
      <c r="K35" s="21">
        <f ca="1">_xlfn.LET(_xlpm._row,ROW()-ROW($K$17),_xlpm._numActiveAssumptions,Helper!$B$8,_xlpm._numAdditionalAssumptions,Helper!$B$10,_xlpm._isAssumption,$J35,_xlpm._elementID,IF(_xlpm._isAssumption,_xlpm._row,_xlpm._row-_xlpm._numActiveAssumptions-_xlpm._numAdditionalAssumptions),_xlpm._elementID)</f>
        <v>18</v>
      </c>
      <c r="L3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5" s="20" cm="1">
        <f t="array" ca="1" aca="1" ref="M35">IF($L35,IF(ROW()=ROW($M$17)+1,1,INDEX($M:$M,ROW()-1)+IF(INDEX($T:$T,ROW()-1),1,0)),1)</f>
        <v>1</v>
      </c>
      <c r="N35" s="14" t="str" cm="1">
        <f t="array" ca="1" aca="1" ref="N35">IF($L35=TRUE,_xlfn.LET(_xlpm._isAssumption,$J35,_xlpm._indexRange,IF(_xlpm._isAssumption,Table24['# Elements],Table25['# Elements]),_xlpm._lookupRow,$W35,INDEX(_xlpm._indexRange,_xlpm._lookupRow)),"")</f>
        <v/>
      </c>
      <c r="O35" s="20" t="str" cm="1">
        <f t="array" ca="1" aca="1" ref="O35">IF($N35="","",_xlfn.LET(_xlpm._prevRow,ROW()-1,IF(OR(INDEX($N:$N,_xlpm._prevRow)&lt;&gt;$N35,INDEX($M:$M,_xlpm._prevRow)&lt;&gt;$M35),1,INDEX($O:$O,_xlpm._prevRow)+IF(INDEX($S:$S,_xlpm._prevRow),1,0))))</f>
        <v/>
      </c>
      <c r="P35" s="20" t="str" cm="1">
        <f t="array" ca="1" aca="1" ref="P35">IF($O35="","",_xlfn.LET(_xlpm._isAssumption,$J35,_xlpm._sheetRow,$W35,_xlpm._sheetName,$X35,_xlpm._elementIDRange,IF(_xlpm._isAssumption,Table24[Element ID Column],Table25[Element ID Column]),_xlpm._numberOfElementsRange,IF(_xlpm._isAssumption,Table24[Number of Elements Column],Table25[Number of Elements Column]),SimpleLookup($O35,INDIRECT("'"&amp;_xlpm._sheetName&amp;"'!"&amp;INDEX(_xlpm._elementIDRange,_xlpm._sheetRow)&amp;":"&amp;INDEX(_xlpm._numberOfElementsRange,_xlpm._sheetRow)))))</f>
        <v/>
      </c>
      <c r="Q35" s="20" t="str" cm="1">
        <f t="array" ca="1" aca="1" ref="Q35">IF($O35="","",IF(OR(INDEX($O:$O,ROW()-1)&lt;&gt;$O35,INDEX($M:$M,ROW()-1)&lt;&gt;$M35),1,INDEX($Q:$Q,ROW()-1)+1))</f>
        <v/>
      </c>
      <c r="R35" s="20">
        <f t="shared" ca="1" si="4"/>
        <v>0</v>
      </c>
      <c r="S35" s="20" t="str">
        <f t="shared" ca="1" si="5"/>
        <v/>
      </c>
      <c r="T35" s="20" t="b">
        <f ca="1">_xlfn.LET(_xlpm._isAssumption,$J35,_xlpm._numberOfElementsRange,IF(_xlpm._isAssumption,Table24['# Elements],Table25['# Elements]),_xlpm._sheetRow,$W35,IF($L35,AND($S35,$R35=$N35),FALSE))</f>
        <v>0</v>
      </c>
      <c r="U35" s="20" t="str" cm="1">
        <f t="array" ca="1" aca="1" ref="U35">IF($L35,_xlfn.LET(_xlpm._elementID,$O35,_xlpm._isAssumption,$J35,_xlpm._sheetRow,$W35,_xlpm._sheetName,$X35,_xlpm._elementRow,$Y35,_xlpm._resultColumnLetter,IF(_xlpm._isAssumption,INDEX(Table24[Comment Column],_xlpm._sheetRow),INDEX(Table25[Comment Column],_xlpm._sheetRow)),INDEX(INDIRECT("'"&amp;_xlpm._sheetName&amp;"'!"&amp;_xlpm._resultColumnLetter&amp;":"&amp;_xlpm._resultColumnLetter),_xlpm._elementRow)),"")</f>
        <v/>
      </c>
      <c r="V35" s="20" t="str" cm="1">
        <f t="array" ca="1" aca="1" ref="V35">IF($L35,_xlfn.LET(_xlpm._elementID,$O35,_xlpm._isAssumption,$J35,_xlpm._sheetRow,$W35,_xlpm._sheetName,$X35,_xlpm._resultColumnLetter,IF(_xlpm._isAssumption,INDEX(Table24[Sheet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5" s="20" t="str">
        <f ca="1">IF($L35=TRUE,_xlfn.LET(_xlpm._isAssumption,$J35,_xlpm._searchRange,IF(_xlpm._isAssumption,Table24[Task Sheet Shadow ID],Table25[Task Sheet Shadow ID]),MATCH($M35,_xlpm._searchRange,0)),"")</f>
        <v/>
      </c>
      <c r="X35" s="20" t="str" cm="1">
        <f t="array" ca="1" aca="1" ref="X35">IF($L35,_xlfn.LET(_xlpm._isAssumption,$J35,_xlpm._sheetRow,$W35,IF(_xlpm._isAssumption,INDEX(Table24[Sheet Name],_xlpm._sheetRow),INDEX(Table25[Sheet Name],_xlpm._sheetRow))),"")</f>
        <v/>
      </c>
      <c r="Y35" s="20" t="str" cm="1">
        <f t="array" ca="1" aca="1" ref="Y35">IF($L35,_xlfn.LET(_xlpm._elementID,$O35,_xlpm._isAssumption,$J35,_xlpm._sheetRow,$W35,_xlpm._sheetName,$X35,_xlpm._elementIDColumnLetter,IF(_xlpm._isAssumption,INDEX(Table24[Element ID Column],_xlpm._sheetRow),INDEX(Table25[Element ID Column],_xlpm._sheetRow)),MATCH(_xlpm._elementID,INDIRECT("'"&amp;_xlpm._sheetName&amp;"'!"&amp;_xlpm._elementIDColumnLetter&amp;":"&amp;_xlpm._elementIDColumnLetter),0)),"")</f>
        <v/>
      </c>
      <c r="Z35" s="20" t="str" cm="1">
        <f t="array" ca="1" aca="1" ref="Z35">IF($A35="","",_xlfn.LET(_xlpm._isAssumption,$J35,_xlpm._isAdditionalElement,$L35,_xlpm._sheetRow,$W35,_xlpm._sheetName,$X35,_xlpm._columnLetter,INDEX(IF(_xlpm._isAdditionalElement,Table24[Comment Column],Table25[Comment Column]),_xlpm._sheetRow),_xlpm._sheetReference,IF(_xlpm._isAssumption,IF(_xlpm._isAdditionalElement,CELL("address",INDEX(INDIRECT("'"&amp;_xlpm._sheetName&amp;"'!"&amp;_xlpm._columnLetter&amp;":"&amp;_xlpm._columnLetter),$Y35)),CELL("address",INDEX(Assumptions!$A:$A,MATCH($A35,Assumptions!$A:$A,0),1))),IF(_xlpm._isAdditionalElement,CELL("address",INDEX(INDIRECT("'"&amp;_xlpm._sheetName&amp;"'!"&amp;_xlpm._columnLetter&amp;":"&amp;_xlpm._columnLetter),$Y35)),CELL("address",INDEX(Countermeasures!$A:$A,MATCH($A35,Countermeasures!$A:$A,0),1)))),_xlpm._start,FIND("]",_xlpm._sheetReference),"'"&amp;SUBSTITUTE(SUBSTITUTE(RIGHT(_xlpm._sheetReference,LEN(_xlpm._sheetReference)-_xlpm._start),"'",""),"!","'!")))</f>
        <v>'Assumptions'!$A$45</v>
      </c>
      <c r="AA35" s="20" t="str" cm="1">
        <f t="array" ca="1" aca="1" ref="AA35">IF(NOT($L35),_xlfn.LET(_xlpm._value,IF($A35="","",IF($J35,SimpleLookup($A35,Assumptions!$A:$AK),SimpleLookup($A35,Countermeasures!$A:$AN))),IF(_xlpm._value="","",_xlpm._value)),"")</f>
        <v/>
      </c>
      <c r="AB35" s="20" t="str" cm="1">
        <f t="array" ca="1" aca="1" ref="AB35">LookupNames(InverseLookup($A35,Mitigation!$AD$2,Mitigation!$A$2,1,Helper!$B$5,","),'Attack Steps'!$A:$B)</f>
        <v/>
      </c>
      <c r="AC35" s="20" t="str" cm="1">
        <f t="array" ca="1" aca="1" ref="AC35">IF($L35,_xlfn.LET(_xlpm._in,$A35,_xlpm._lastDashNum,LEN(_xlpm._in)-LEN(SUBSTITUTE(_xlpm._in,"-","")),_xlpm._lastDashPos,FIND(CHAR(1),SUBSTITUTE(_xlpm._in,"-",CHAR(1),_xlpm._lastDashNum)),_xlpm._id,LEFT(_xlpm._in,_xlpm._lastDashPos-1),_xlpm._id&amp;"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5" s="20" t="str" cm="1">
        <f t="array" ca="1" aca="1" ref="AD35">_xlfn.LET(_xlpm._countermeasures,InverseLookup($A35,Countermeasures!$AG$2,Countermeasures!$A$2,1,Helper!$B$4,","),LookupNames(_xlpm._countermeasures,Countermeasures!$A:$B))</f>
        <v/>
      </c>
      <c r="AE35" s="20" t="str" cm="1">
        <f t="array" ca="1" aca="1" ref="AE35">IF($E35="","",_xlfn.LET(_xlpm._id,$E35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5" s="20" t="str" cm="1">
        <f t="array" ca="1" aca="1" ref="AF35">IF(OR($A35="",$L35),"",_xlfn.LET(_xlpm._answers,IF($J35,SimpleLookup($A35,Assumptions!$A:$F),SimpleLookup($A35,Countermeasures!$A:$D)),IF(_xlpm._answers="*",IF($J35,SimpleLookup($A35,Assumptions!$A:$C),SimpleLookup($A35,Countermeasures!$A:$C)),"")))</f>
        <v>The customer buying the product can understand the sensing capabilities of the product.</v>
      </c>
      <c r="AG35" s="20" t="str" cm="1">
        <f t="array" ca="1" aca="1" ref="AG35">IF(NOT($L35),"",_xlfn.LET(_xlpm._mappedInMitigation,IFERROR(VLOOKUP($V35,'Attack Steps'!$A:$O,COLUMNS('Attack Steps'!$A:$O),FALSE),""),CreateSearchString(_xlpm._mappedInMitigation)))</f>
        <v/>
      </c>
      <c r="AH35" s="20" t="b">
        <f ca="1">ROW()-ROW($AH$17)=Helper!$B$15</f>
        <v>0</v>
      </c>
      <c r="AI35" s="20" t="str">
        <f t="shared" ca="1" si="6"/>
        <v/>
      </c>
      <c r="AJ35" s="20" cm="1">
        <f t="array" ca="1" aca="1" ref="AJ35">CreateID($AJ$17,$AJ:$AJ,$AI35&lt;&gt;"")</f>
        <v>0</v>
      </c>
    </row>
    <row r="36" spans="1:36" ht="48.75">
      <c r="A36" s="16" t="str">
        <f ca="1">_xlfn.LET(_xlpm._isAssumption,$J36,_xlpm._row,$K36,_xlpm._numActiveAssumptions,Helper!$B$8,_xlpm._numActiveCountermeasures,Helper!$B$9,_xlpm._numAdditionalAssumptions,Helper!$B$10,_xlpm._numAdditionalCountermeasures,Helper!$B$11,IF(_xlpm._isAssumption,IF(_xlpm._row&gt;_xlpm._numActiveAssumptions,$V36&amp;"-A"&amp;$Q36,INDEX(Assumptions!A:A,MATCH(_xlpm._row,Assumptions!$AG:$AG,0))),IF(_xlpm._row&gt;_xlpm._numActiveCountermeasures+_xlpm._numAdditionalCountermeasures,"",IF(_xlpm._row&gt;_xlpm._numActiveCountermeasures,$V36&amp;"-C"&amp;$Q36,INDEX(Countermeasures!$A:$A,MATCH(_xlpm._row,Countermeasures!$AI:$AI,0))))))</f>
        <v>C0</v>
      </c>
      <c r="B36" s="16" t="str" cm="1">
        <f t="array" ca="1" aca="1" ref="B36">IF($A36="","",_xlfn.LET(_xlpm._isAssumption,$J36,_xlpm._isAdditionalElement,$L36,IF(_xlpm._isAdditionalElement,IF(_xlpm._isAssumption,ParseElementsFromComment($U36,Definitions!$AR$4,Definitions!$AS$4,Definitions!$AR$6,$Q36),ParseElementsFromComment($U36,Definitions!$AR$5,Definitions!$AS$5,Definitions!$AR$6,$Q36)),_xlfn.LET(_xlpm._value,IF($A36="","",IF($J36,SimpleLookup($A36,Assumptions!$A:$B),SimpleLookup($A36,Countermeasures!$A:$B))),IF(_xlpm._value="","",_xlpm._value)))))</f>
        <v>CR 7.8 - Control system component inventory</v>
      </c>
      <c r="C36" s="16" t="str" cm="1">
        <f t="array" ca="1" aca="1" ref="C36">IF($A36="","",IF($J36,IFERROR(SimpleLookup($A36,Assumptions!$A:$E),""),Definitions!$AO$4))</f>
        <v>acontis techonlogies GmbH</v>
      </c>
      <c r="D36" s="36" t="str">
        <f t="shared" ca="1" si="2"/>
        <v>═══════════════════════════════════════════════════════════════
Default countermeasure:
––––––––––––––––––––––––––––––––––––––––––––––––––––––––––––––––––––––––––––––––––––
See IEC 62443</v>
      </c>
      <c r="E36" s="13"/>
      <c r="F36" s="59" t="str">
        <f t="shared" ca="1" si="3"/>
        <v>click me</v>
      </c>
      <c r="G36" s="122" t="str" cm="1">
        <f t="array" ca="1" aca="1" ref="G36">_xlfn.LET(_xlpm._val,IFERROR(SimpleLookup($A36,Countermeasures!$A:$R),IFERROR(SimpleLookup($A36,Assumptions!$A:$R),"")),IF(_xlpm._val="","",_xlpm._val))</f>
        <v/>
      </c>
      <c r="H36" s="16" t="str" cm="1">
        <f t="array" ca="1" aca="1" ref="H36">_xlfn.LET(_xlpm._value,IF($A36="","",IFERROR(IF($J36,SimpleLookup($A36,Assumptions!$A:$S),SimpleLookup($A36,Countermeasures!$A:$S)),"")),IF(_xlpm._value="","",_xlpm._value))</f>
        <v/>
      </c>
      <c r="I36" s="10" cm="1">
        <f t="array" ca="1" aca="1" ref="I36">IF(ROW()=ROW($I$17)+1,0,INDEX($I:$I,ROW()-1))+IF($A36="",0,1)</f>
        <v>19</v>
      </c>
      <c r="J36" s="10" t="b">
        <f ca="1">_xlfn.LET(_xlpm._row,ROW()-ROW($K$17),_xlpm._numActiveAssumptions,Helper!$B$8,_xlpm._numAdditionalAssumptions,SUM(Table24['# Elements]),_xlpm._row&lt;=_xlpm._numActiveAssumptions+_xlpm._numAdditionalAssumptions)</f>
        <v>0</v>
      </c>
      <c r="K36" s="21">
        <f ca="1">_xlfn.LET(_xlpm._row,ROW()-ROW($K$17),_xlpm._numActiveAssumptions,Helper!$B$8,_xlpm._numAdditionalAssumptions,Helper!$B$10,_xlpm._isAssumption,$J36,_xlpm._elementID,IF(_xlpm._isAssumption,_xlpm._row,_xlpm._row-_xlpm._numActiveAssumptions-_xlpm._numAdditionalAssumptions),_xlpm._elementID)</f>
        <v>1</v>
      </c>
      <c r="L3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6" s="20" cm="1">
        <f t="array" ca="1" aca="1" ref="M36">IF($L36,IF(ROW()=ROW($M$17)+1,1,INDEX($M:$M,ROW()-1)+IF(INDEX($T:$T,ROW()-1),1,0)),1)</f>
        <v>1</v>
      </c>
      <c r="N36" s="14" t="str" cm="1">
        <f t="array" ca="1" aca="1" ref="N36">IF($L36=TRUE,_xlfn.LET(_xlpm._isAssumption,$J36,_xlpm._indexRange,IF(_xlpm._isAssumption,Table24['# Elements],Table25['# Elements]),_xlpm._lookupRow,$W36,INDEX(_xlpm._indexRange,_xlpm._lookupRow)),"")</f>
        <v/>
      </c>
      <c r="O36" s="20" t="str" cm="1">
        <f t="array" ca="1" aca="1" ref="O36">IF($N36="","",_xlfn.LET(_xlpm._prevRow,ROW()-1,IF(OR(INDEX($N:$N,_xlpm._prevRow)&lt;&gt;$N36,INDEX($M:$M,_xlpm._prevRow)&lt;&gt;$M36),1,INDEX($O:$O,_xlpm._prevRow)+IF(INDEX($S:$S,_xlpm._prevRow),1,0))))</f>
        <v/>
      </c>
      <c r="P36" s="20" t="str" cm="1">
        <f t="array" ca="1" aca="1" ref="P36">IF($O36="","",_xlfn.LET(_xlpm._isAssumption,$J36,_xlpm._sheetRow,$W36,_xlpm._sheetName,$X36,_xlpm._elementIDRange,IF(_xlpm._isAssumption,Table24[Element ID Column],Table25[Element ID Column]),_xlpm._numberOfElementsRange,IF(_xlpm._isAssumption,Table24[Number of Elements Column],Table25[Number of Elements Column]),SimpleLookup($O36,INDIRECT("'"&amp;_xlpm._sheetName&amp;"'!"&amp;INDEX(_xlpm._elementIDRange,_xlpm._sheetRow)&amp;":"&amp;INDEX(_xlpm._numberOfElementsRange,_xlpm._sheetRow)))))</f>
        <v/>
      </c>
      <c r="Q36" s="20" t="str" cm="1">
        <f t="array" ca="1" aca="1" ref="Q36">IF($O36="","",IF(OR(INDEX($O:$O,ROW()-1)&lt;&gt;$O36,INDEX($M:$M,ROW()-1)&lt;&gt;$M36),1,INDEX($Q:$Q,ROW()-1)+1))</f>
        <v/>
      </c>
      <c r="R36" s="20">
        <f t="shared" ca="1" si="4"/>
        <v>0</v>
      </c>
      <c r="S36" s="20" t="str">
        <f t="shared" ca="1" si="5"/>
        <v/>
      </c>
      <c r="T36" s="20" t="b">
        <f ca="1">_xlfn.LET(_xlpm._isAssumption,$J36,_xlpm._numberOfElementsRange,IF(_xlpm._isAssumption,Table24['# Elements],Table25['# Elements]),_xlpm._sheetRow,$W36,IF($L36,AND($S36,$R36=$N36),FALSE))</f>
        <v>0</v>
      </c>
      <c r="U36" s="20" t="str" cm="1">
        <f t="array" ca="1" aca="1" ref="U36">IF($L36,_xlfn.LET(_xlpm._elementID,$O36,_xlpm._isAssumption,$J36,_xlpm._sheetRow,$W36,_xlpm._sheetName,$X36,_xlpm._elementRow,$Y36,_xlpm._resultColumnLetter,IF(_xlpm._isAssumption,INDEX(Table24[Comment Column],_xlpm._sheetRow),INDEX(Table25[Comment Column],_xlpm._sheetRow)),INDEX(INDIRECT("'"&amp;_xlpm._sheetName&amp;"'!"&amp;_xlpm._resultColumnLetter&amp;":"&amp;_xlpm._resultColumnLetter),_xlpm._elementRow)),"")</f>
        <v/>
      </c>
      <c r="V36" s="20" t="str" cm="1">
        <f t="array" ca="1" aca="1" ref="V36">IF($L36,_xlfn.LET(_xlpm._elementID,$O36,_xlpm._isAssumption,$J36,_xlpm._sheetRow,$W36,_xlpm._sheetName,$X36,_xlpm._resultColumnLetter,IF(_xlpm._isAssumption,INDEX(Table24[Sheet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6" s="20" t="str">
        <f ca="1">IF($L36=TRUE,_xlfn.LET(_xlpm._isAssumption,$J36,_xlpm._searchRange,IF(_xlpm._isAssumption,Table24[Task Sheet Shadow ID],Table25[Task Sheet Shadow ID]),MATCH($M36,_xlpm._searchRange,0)),"")</f>
        <v/>
      </c>
      <c r="X36" s="20" t="str" cm="1">
        <f t="array" ca="1" aca="1" ref="X36">IF($L36,_xlfn.LET(_xlpm._isAssumption,$J36,_xlpm._sheetRow,$W36,IF(_xlpm._isAssumption,INDEX(Table24[Sheet Name],_xlpm._sheetRow),INDEX(Table25[Sheet Name],_xlpm._sheetRow))),"")</f>
        <v/>
      </c>
      <c r="Y36" s="20" t="str" cm="1">
        <f t="array" ca="1" aca="1" ref="Y36">IF($L36,_xlfn.LET(_xlpm._elementID,$O36,_xlpm._isAssumption,$J36,_xlpm._sheetRow,$W36,_xlpm._sheetName,$X36,_xlpm._elementIDColumnLetter,IF(_xlpm._isAssumption,INDEX(Table24[Element ID Column],_xlpm._sheetRow),INDEX(Table25[Element ID Column],_xlpm._sheetRow)),MATCH(_xlpm._elementID,INDIRECT("'"&amp;_xlpm._sheetName&amp;"'!"&amp;_xlpm._elementIDColumnLetter&amp;":"&amp;_xlpm._elementIDColumnLetter),0)),"")</f>
        <v/>
      </c>
      <c r="Z36" s="20" t="str" cm="1">
        <f t="array" ca="1" aca="1" ref="Z36">IF($A36="","",_xlfn.LET(_xlpm._isAssumption,$J36,_xlpm._isAdditionalElement,$L36,_xlpm._sheetRow,$W36,_xlpm._sheetName,$X36,_xlpm._columnLetter,INDEX(IF(_xlpm._isAdditionalElement,Table24[Comment Column],Table25[Comment Column]),_xlpm._sheetRow),_xlpm._sheetReference,IF(_xlpm._isAssumption,IF(_xlpm._isAdditionalElement,CELL("address",INDEX(INDIRECT("'"&amp;_xlpm._sheetName&amp;"'!"&amp;_xlpm._columnLetter&amp;":"&amp;_xlpm._columnLetter),$Y36)),CELL("address",INDEX(Assumptions!$A:$A,MATCH($A36,Assumptions!$A:$A,0),1))),IF(_xlpm._isAdditionalElement,CELL("address",INDEX(INDIRECT("'"&amp;_xlpm._sheetName&amp;"'!"&amp;_xlpm._columnLetter&amp;":"&amp;_xlpm._columnLetter),$Y36)),CELL("address",INDEX(Countermeasures!$A:$A,MATCH($A36,Countermeasures!$A:$A,0),1)))),_xlpm._start,FIND("]",_xlpm._sheetReference),"'"&amp;SUBSTITUTE(SUBSTITUTE(RIGHT(_xlpm._sheetReference,LEN(_xlpm._sheetReference)-_xlpm._start),"'",""),"!","'!")))</f>
        <v>'Countermeasures'!$A$3</v>
      </c>
      <c r="AA36" s="20" t="str" cm="1">
        <f t="array" ca="1" aca="1" ref="AA36">IF(NOT($L36),_xlfn.LET(_xlpm._value,IF($A36="","",IF($J36,SimpleLookup($A36,Assumptions!$A:$AK),SimpleLookup($A36,Countermeasures!$A:$AN))),IF(_xlpm._value="","",_xlpm._value)),"")</f>
        <v/>
      </c>
      <c r="AB36" s="20" t="str" cm="1">
        <f t="array" ca="1" aca="1" ref="AB36">LookupNames(InverseLookup($A36,Mitigation!$AD$2,Mitigation!$A$2,1,Helper!$B$5,","),'Attack Steps'!$A:$B)</f>
        <v/>
      </c>
      <c r="AC36" s="20" t="str" cm="1">
        <f t="array" ca="1" aca="1" ref="AC36">IF($L36,_xlfn.LET(_xlpm._in,$A36,_xlpm._lastDashNum,LEN(_xlpm._in)-LEN(SUBSTITUTE(_xlpm._in,"-","")),_xlpm._lastDashPos,FIND(CHAR(1),SUBSTITUTE(_xlpm._in,"-",CHAR(1),_xlpm._lastDashNum)),_xlpm._id,LEFT(_xlpm._in,_xlpm._lastDashPos-1),_xlpm._id&amp;"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6" s="20" t="str" cm="1">
        <f t="array" ca="1" aca="1" ref="AD36">_xlfn.LET(_xlpm._countermeasures,InverseLookup($A36,Countermeasures!$AG$2,Countermeasures!$A$2,1,Helper!$B$4,","),LookupNames(_xlpm._countermeasures,Countermeasures!$A:$B))</f>
        <v/>
      </c>
      <c r="AE36" s="20" t="str" cm="1">
        <f t="array" ca="1" aca="1" ref="AE36">IF($E36="","",_xlfn.LET(_xlpm._id,$E36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6" s="20" t="str" cm="1">
        <f t="array" ca="1" aca="1" ref="AF36">IF(OR($A36="",$L36),"",_xlfn.LET(_xlpm._answers,IF($J36,SimpleLookup($A36,Assumptions!$A:$F),SimpleLookup($A36,Countermeasures!$A:$D)),IF(_xlpm._answers="*",IF($J36,SimpleLookup($A36,Assumptions!$A:$C),SimpleLookup($A36,Countermeasures!$A:$C)),"")))</f>
        <v>See IEC 62443</v>
      </c>
      <c r="AG36" s="20" t="str" cm="1">
        <f t="array" ca="1" aca="1" ref="AG36">IF(NOT($L36),"",_xlfn.LET(_xlpm._mappedInMitigation,IFERROR(VLOOKUP($V36,'Attack Steps'!$A:$O,COLUMNS('Attack Steps'!$A:$O),FALSE),""),CreateSearchString(_xlpm._mappedInMitigation)))</f>
        <v/>
      </c>
      <c r="AH36" s="20" t="b">
        <f ca="1">ROW()-ROW($AH$17)=Helper!$B$15</f>
        <v>0</v>
      </c>
      <c r="AI36" s="20" t="str">
        <f t="shared" ca="1" si="6"/>
        <v/>
      </c>
      <c r="AJ36" s="20" cm="1">
        <f t="array" ca="1" aca="1" ref="AJ36">CreateID($AJ$17,$AJ:$AJ,$AI36&lt;&gt;"")</f>
        <v>0</v>
      </c>
    </row>
    <row r="37" spans="1:36" ht="75">
      <c r="A37" s="16" t="str">
        <f ca="1">_xlfn.LET(_xlpm._isAssumption,$J37,_xlpm._row,$K37,_xlpm._numActiveAssumptions,Helper!$B$8,_xlpm._numActiveCountermeasures,Helper!$B$9,_xlpm._numAdditionalAssumptions,Helper!$B$10,_xlpm._numAdditionalCountermeasures,Helper!$B$11,IF(_xlpm._isAssumption,IF(_xlpm._row&gt;_xlpm._numActiveAssumptions,$V37&amp;"-A"&amp;$Q37,INDEX(Assumptions!A:A,MATCH(_xlpm._row,Assumptions!$AG:$AG,0))),IF(_xlpm._row&gt;_xlpm._numActiveCountermeasures+_xlpm._numAdditionalCountermeasures,"",IF(_xlpm._row&gt;_xlpm._numActiveCountermeasures,$V37&amp;"-C"&amp;$Q37,INDEX(Countermeasures!$A:$A,MATCH(_xlpm._row,Countermeasures!$AI:$AI,0))))))</f>
        <v>C2</v>
      </c>
      <c r="B37" s="16" t="str" cm="1">
        <f t="array" ca="1" aca="1" ref="B37">IF($A37="","",_xlfn.LET(_xlpm._isAssumption,$J37,_xlpm._isAdditionalElement,$L37,IF(_xlpm._isAdditionalElement,IF(_xlpm._isAssumption,ParseElementsFromComment($U37,Definitions!$AR$4,Definitions!$AS$4,Definitions!$AR$6,$Q37),ParseElementsFromComment($U37,Definitions!$AR$5,Definitions!$AS$5,Definitions!$AR$6,$Q37)),_xlfn.LET(_xlpm._value,IF($A37="","",IF($J37,SimpleLookup($A37,Assumptions!$A:$B),SimpleLookup($A37,Countermeasures!$A:$B))),IF(_xlpm._value="","",_xlpm._value)))))</f>
        <v>CCSC 2: Compensating countermeasures</v>
      </c>
      <c r="C37" s="16" t="str" cm="1">
        <f t="array" ca="1" aca="1" ref="C37">IF($A37="","",IF($J37,IFERROR(SimpleLookup($A37,Assumptions!$A:$E),""),Definitions!$AO$4))</f>
        <v>acontis techonlogies GmbH</v>
      </c>
      <c r="D37" s="36" t="str">
        <f t="shared" ca="1" si="2"/>
        <v xml:space="preserve">═══════════════════════════════════════════════════════════════
Comments of related questions / answers:
––––––––––––––––––––––––––––––––––––––––––––––––––––––––––––––––––––––––––––––––––––
QA15 
QA16 </v>
      </c>
      <c r="E37" s="13"/>
      <c r="F37" s="59" t="str">
        <f t="shared" ca="1" si="3"/>
        <v>click me</v>
      </c>
      <c r="G37" s="122" t="str" cm="1">
        <f t="array" ca="1" aca="1" ref="G37">_xlfn.LET(_xlpm._val,IFERROR(SimpleLookup($A37,Countermeasures!$A:$R),IFERROR(SimpleLookup($A37,Assumptions!$A:$R),"")),IF(_xlpm._val="","",_xlpm._val))</f>
        <v/>
      </c>
      <c r="H37" s="16" t="str" cm="1">
        <f t="array" ca="1" aca="1" ref="H37">_xlfn.LET(_xlpm._value,IF($A37="","",IFERROR(IF($J37,SimpleLookup($A37,Assumptions!$A:$S),SimpleLookup($A37,Countermeasures!$A:$S)),"")),IF(_xlpm._value="","",_xlpm._value))</f>
        <v>Note that compensating countermeasures are typically linked to specific assumptions resulting from answers to the questionnaire. These assumptions must be communicated clearly to the party responsible for implementing the compensating countermeasures -- typically the customer.</v>
      </c>
      <c r="I37" s="10" cm="1">
        <f t="array" ca="1" aca="1" ref="I37">IF(ROW()=ROW($I$17)+1,0,INDEX($I:$I,ROW()-1))+IF($A37="",0,1)</f>
        <v>20</v>
      </c>
      <c r="J37" s="10" t="b">
        <f ca="1">_xlfn.LET(_xlpm._row,ROW()-ROW($K$17),_xlpm._numActiveAssumptions,Helper!$B$8,_xlpm._numAdditionalAssumptions,SUM(Table24['# Elements]),_xlpm._row&lt;=_xlpm._numActiveAssumptions+_xlpm._numAdditionalAssumptions)</f>
        <v>0</v>
      </c>
      <c r="K37" s="21">
        <f ca="1">_xlfn.LET(_xlpm._row,ROW()-ROW($K$17),_xlpm._numActiveAssumptions,Helper!$B$8,_xlpm._numAdditionalAssumptions,Helper!$B$10,_xlpm._isAssumption,$J37,_xlpm._elementID,IF(_xlpm._isAssumption,_xlpm._row,_xlpm._row-_xlpm._numActiveAssumptions-_xlpm._numAdditionalAssumptions),_xlpm._elementID)</f>
        <v>2</v>
      </c>
      <c r="L3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7" s="20" cm="1">
        <f t="array" ca="1" aca="1" ref="M37">IF($L37,IF(ROW()=ROW($M$17)+1,1,INDEX($M:$M,ROW()-1)+IF(INDEX($T:$T,ROW()-1),1,0)),1)</f>
        <v>1</v>
      </c>
      <c r="N37" s="14" t="str" cm="1">
        <f t="array" ca="1" aca="1" ref="N37">IF($L37=TRUE,_xlfn.LET(_xlpm._isAssumption,$J37,_xlpm._indexRange,IF(_xlpm._isAssumption,Table24['# Elements],Table25['# Elements]),_xlpm._lookupRow,$W37,INDEX(_xlpm._indexRange,_xlpm._lookupRow)),"")</f>
        <v/>
      </c>
      <c r="O37" s="20" t="str" cm="1">
        <f t="array" ca="1" aca="1" ref="O37">IF($N37="","",_xlfn.LET(_xlpm._prevRow,ROW()-1,IF(OR(INDEX($N:$N,_xlpm._prevRow)&lt;&gt;$N37,INDEX($M:$M,_xlpm._prevRow)&lt;&gt;$M37),1,INDEX($O:$O,_xlpm._prevRow)+IF(INDEX($S:$S,_xlpm._prevRow),1,0))))</f>
        <v/>
      </c>
      <c r="P37" s="20" t="str" cm="1">
        <f t="array" ca="1" aca="1" ref="P37">IF($O37="","",_xlfn.LET(_xlpm._isAssumption,$J37,_xlpm._sheetRow,$W37,_xlpm._sheetName,$X37,_xlpm._elementIDRange,IF(_xlpm._isAssumption,Table24[Element ID Column],Table25[Element ID Column]),_xlpm._numberOfElementsRange,IF(_xlpm._isAssumption,Table24[Number of Elements Column],Table25[Number of Elements Column]),SimpleLookup($O37,INDIRECT("'"&amp;_xlpm._sheetName&amp;"'!"&amp;INDEX(_xlpm._elementIDRange,_xlpm._sheetRow)&amp;":"&amp;INDEX(_xlpm._numberOfElementsRange,_xlpm._sheetRow)))))</f>
        <v/>
      </c>
      <c r="Q37" s="20" t="str" cm="1">
        <f t="array" ca="1" aca="1" ref="Q37">IF($O37="","",IF(OR(INDEX($O:$O,ROW()-1)&lt;&gt;$O37,INDEX($M:$M,ROW()-1)&lt;&gt;$M37),1,INDEX($Q:$Q,ROW()-1)+1))</f>
        <v/>
      </c>
      <c r="R37" s="20">
        <f t="shared" ca="1" si="4"/>
        <v>0</v>
      </c>
      <c r="S37" s="20" t="str">
        <f t="shared" ca="1" si="5"/>
        <v/>
      </c>
      <c r="T37" s="20" t="b">
        <f ca="1">_xlfn.LET(_xlpm._isAssumption,$J37,_xlpm._numberOfElementsRange,IF(_xlpm._isAssumption,Table24['# Elements],Table25['# Elements]),_xlpm._sheetRow,$W37,IF($L37,AND($S37,$R37=$N37),FALSE))</f>
        <v>0</v>
      </c>
      <c r="U37" s="20" t="str" cm="1">
        <f t="array" ca="1" aca="1" ref="U37">IF($L37,_xlfn.LET(_xlpm._elementID,$O37,_xlpm._isAssumption,$J37,_xlpm._sheetRow,$W37,_xlpm._sheetName,$X37,_xlpm._elementRow,$Y37,_xlpm._resultColumnLetter,IF(_xlpm._isAssumption,INDEX(Table24[Comment Column],_xlpm._sheetRow),INDEX(Table25[Comment Column],_xlpm._sheetRow)),INDEX(INDIRECT("'"&amp;_xlpm._sheetName&amp;"'!"&amp;_xlpm._resultColumnLetter&amp;":"&amp;_xlpm._resultColumnLetter),_xlpm._elementRow)),"")</f>
        <v/>
      </c>
      <c r="V37" s="20" t="str" cm="1">
        <f t="array" ca="1" aca="1" ref="V37">IF($L37,_xlfn.LET(_xlpm._elementID,$O37,_xlpm._isAssumption,$J37,_xlpm._sheetRow,$W37,_xlpm._sheetName,$X37,_xlpm._resultColumnLetter,IF(_xlpm._isAssumption,INDEX(Table24[Sheet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7" s="20" t="str">
        <f ca="1">IF($L37=TRUE,_xlfn.LET(_xlpm._isAssumption,$J37,_xlpm._searchRange,IF(_xlpm._isAssumption,Table24[Task Sheet Shadow ID],Table25[Task Sheet Shadow ID]),MATCH($M37,_xlpm._searchRange,0)),"")</f>
        <v/>
      </c>
      <c r="X37" s="20" t="str" cm="1">
        <f t="array" ca="1" aca="1" ref="X37">IF($L37,_xlfn.LET(_xlpm._isAssumption,$J37,_xlpm._sheetRow,$W37,IF(_xlpm._isAssumption,INDEX(Table24[Sheet Name],_xlpm._sheetRow),INDEX(Table25[Sheet Name],_xlpm._sheetRow))),"")</f>
        <v/>
      </c>
      <c r="Y37" s="20" t="str" cm="1">
        <f t="array" ca="1" aca="1" ref="Y37">IF($L37,_xlfn.LET(_xlpm._elementID,$O37,_xlpm._isAssumption,$J37,_xlpm._sheetRow,$W37,_xlpm._sheetName,$X37,_xlpm._elementIDColumnLetter,IF(_xlpm._isAssumption,INDEX(Table24[Element ID Column],_xlpm._sheetRow),INDEX(Table25[Element ID Column],_xlpm._sheetRow)),MATCH(_xlpm._elementID,INDIRECT("'"&amp;_xlpm._sheetName&amp;"'!"&amp;_xlpm._elementIDColumnLetter&amp;":"&amp;_xlpm._elementIDColumnLetter),0)),"")</f>
        <v/>
      </c>
      <c r="Z37" s="20" t="str" cm="1">
        <f t="array" ca="1" aca="1" ref="Z37">IF($A37="","",_xlfn.LET(_xlpm._isAssumption,$J37,_xlpm._isAdditionalElement,$L37,_xlpm._sheetRow,$W37,_xlpm._sheetName,$X37,_xlpm._columnLetter,INDEX(IF(_xlpm._isAdditionalElement,Table24[Comment Column],Table25[Comment Column]),_xlpm._sheetRow),_xlpm._sheetReference,IF(_xlpm._isAssumption,IF(_xlpm._isAdditionalElement,CELL("address",INDEX(INDIRECT("'"&amp;_xlpm._sheetName&amp;"'!"&amp;_xlpm._columnLetter&amp;":"&amp;_xlpm._columnLetter),$Y37)),CELL("address",INDEX(Assumptions!$A:$A,MATCH($A37,Assumptions!$A:$A,0),1))),IF(_xlpm._isAdditionalElement,CELL("address",INDEX(INDIRECT("'"&amp;_xlpm._sheetName&amp;"'!"&amp;_xlpm._columnLetter&amp;":"&amp;_xlpm._columnLetter),$Y37)),CELL("address",INDEX(Countermeasures!$A:$A,MATCH($A37,Countermeasures!$A:$A,0),1)))),_xlpm._start,FIND("]",_xlpm._sheetReference),"'"&amp;SUBSTITUTE(SUBSTITUTE(RIGHT(_xlpm._sheetReference,LEN(_xlpm._sheetReference)-_xlpm._start),"'",""),"!","'!")))</f>
        <v>'Countermeasures'!$A$5</v>
      </c>
      <c r="AA37" s="20" t="str" cm="1">
        <f t="array" ca="1" aca="1" ref="AA37">IF(NOT($L37),_xlfn.LET(_xlpm._value,IF($A37="","",IF($J37,SimpleLookup($A37,Assumptions!$A:$AK),SimpleLookup($A37,Countermeasures!$A:$AN))),IF(_xlpm._value="","",_xlpm._value)),"")</f>
        <v xml:space="preserve">QA15 
QA16 </v>
      </c>
      <c r="AB37" s="20" t="str" cm="1">
        <f t="array" ca="1" aca="1" ref="AB37">LookupNames(InverseLookup($A37,Mitigation!$AD$2,Mitigation!$A$2,1,Helper!$B$5,","),'Attack Steps'!$A:$B)</f>
        <v/>
      </c>
      <c r="AC37" s="20" t="str" cm="1">
        <f t="array" ca="1" aca="1" ref="AC37">IF($L37,_xlfn.LET(_xlpm._in,$A37,_xlpm._lastDashNum,LEN(_xlpm._in)-LEN(SUBSTITUTE(_xlpm._in,"-","")),_xlpm._lastDashPos,FIND(CHAR(1),SUBSTITUTE(_xlpm._in,"-",CHAR(1),_xlpm._lastDashNum)),_xlpm._id,LEFT(_xlpm._in,_xlpm._lastDashPos-1),_xlpm._id&amp;"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7" s="20" t="str" cm="1">
        <f t="array" ca="1" aca="1" ref="AD37">_xlfn.LET(_xlpm._countermeasures,InverseLookup($A37,Countermeasures!$AG$2,Countermeasures!$A$2,1,Helper!$B$4,","),LookupNames(_xlpm._countermeasures,Countermeasures!$A:$B))</f>
        <v/>
      </c>
      <c r="AE37" s="20" t="str" cm="1">
        <f t="array" ca="1" aca="1" ref="AE37">IF($E37="","",_xlfn.LET(_xlpm._id,$E37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7" s="20" t="str" cm="1">
        <f t="array" ca="1" aca="1" ref="AF37">IF(OR($A37="",$L37),"",_xlfn.LET(_xlpm._answers,IF($J37,SimpleLookup($A37,Assumptions!$A:$F),SimpleLookup($A37,Countermeasures!$A:$D)),IF(_xlpm._answers="*",IF($J37,SimpleLookup($A37,Assumptions!$A:$C),SimpleLookup($A37,Countermeasures!$A:$C)),"")))</f>
        <v/>
      </c>
      <c r="AG37" s="20" t="str" cm="1">
        <f t="array" ca="1" aca="1" ref="AG37">IF(NOT($L37),"",_xlfn.LET(_xlpm._mappedInMitigation,IFERROR(VLOOKUP($V37,'Attack Steps'!$A:$O,COLUMNS('Attack Steps'!$A:$O),FALSE),""),CreateSearchString(_xlpm._mappedInMitigation)))</f>
        <v/>
      </c>
      <c r="AH37" s="20" t="b">
        <f ca="1">ROW()-ROW($AH$17)=Helper!$B$15</f>
        <v>0</v>
      </c>
      <c r="AI37" s="20" t="str">
        <f t="shared" ca="1" si="6"/>
        <v/>
      </c>
      <c r="AJ37" s="20" cm="1">
        <f t="array" ca="1" aca="1" ref="AJ37">CreateID($AJ$17,$AJ:$AJ,$AI37&lt;&gt;"")</f>
        <v>0</v>
      </c>
    </row>
    <row r="38" spans="1:36" ht="48.75">
      <c r="A38" s="16" t="str">
        <f ca="1">_xlfn.LET(_xlpm._isAssumption,$J38,_xlpm._row,$K38,_xlpm._numActiveAssumptions,Helper!$B$8,_xlpm._numActiveCountermeasures,Helper!$B$9,_xlpm._numAdditionalAssumptions,Helper!$B$10,_xlpm._numAdditionalCountermeasures,Helper!$B$11,IF(_xlpm._isAssumption,IF(_xlpm._row&gt;_xlpm._numActiveAssumptions,$V38&amp;"-A"&amp;$Q38,INDEX(Assumptions!A:A,MATCH(_xlpm._row,Assumptions!$AG:$AG,0))),IF(_xlpm._row&gt;_xlpm._numActiveCountermeasures+_xlpm._numAdditionalCountermeasures,"",IF(_xlpm._row&gt;_xlpm._numActiveCountermeasures,$V38&amp;"-C"&amp;$Q38,INDEX(Countermeasures!$A:$A,MATCH(_xlpm._row,Countermeasures!$AI:$AI,0))))))</f>
        <v>C7</v>
      </c>
      <c r="B38" s="16" t="str" cm="1">
        <f t="array" ca="1" aca="1" ref="B38">IF($A38="","",_xlfn.LET(_xlpm._isAssumption,$J38,_xlpm._isAdditionalElement,$L38,IF(_xlpm._isAdditionalElement,IF(_xlpm._isAssumption,ParseElementsFromComment($U38,Definitions!$AR$4,Definitions!$AS$4,Definitions!$AR$6,$Q38),ParseElementsFromComment($U38,Definitions!$AR$5,Definitions!$AS$5,Definitions!$AR$6,$Q38)),_xlfn.LET(_xlpm._value,IF($A38="","",IF($J38,SimpleLookup($A38,Assumptions!$A:$B),SimpleLookup($A38,Countermeasures!$A:$B))),IF(_xlpm._value="","",_xlpm._value)))))</f>
        <v>CR 1.12 – System use notification</v>
      </c>
      <c r="C38" s="16" t="str" cm="1">
        <f t="array" ca="1" aca="1" ref="C38">IF($A38="","",IF($J38,IFERROR(SimpleLookup($A38,Assumptions!$A:$E),""),Definitions!$AO$4))</f>
        <v>acontis techonlogies GmbH</v>
      </c>
      <c r="D38" s="36" t="str">
        <f t="shared" ca="1" si="2"/>
        <v xml:space="preserve">═══════════════════════════════════════════════════════════════
Comments of related questions / answers:
––––––––––––––––––––––––––––––––––––––––––––––––––––––––––––––––––––––––––––––––––––
QA8 </v>
      </c>
      <c r="E38" s="13"/>
      <c r="F38" s="59" t="str">
        <f t="shared" ca="1" si="3"/>
        <v>click me</v>
      </c>
      <c r="G38" s="36" t="str" cm="1">
        <f t="array" ca="1" aca="1" ref="G38">_xlfn.LET(_xlpm._val,IFERROR(SimpleLookup($A38,Countermeasures!$A:$R),IFERROR(SimpleLookup($A38,Assumptions!$A:$R),"")),IF(_xlpm._val="","",_xlpm._val))</f>
        <v/>
      </c>
      <c r="H38" s="16" t="str" cm="1">
        <f t="array" ca="1" aca="1" ref="H38">_xlfn.LET(_xlpm._value,IF($A38="","",IFERROR(IF($J38,SimpleLookup($A38,Assumptions!$A:$S),SimpleLookup($A38,Countermeasures!$A:$S)),"")),IF(_xlpm._value="","",_xlpm._value))</f>
        <v/>
      </c>
      <c r="I38" s="10" cm="1">
        <f t="array" ca="1" aca="1" ref="I38">IF(ROW()=ROW($I$17)+1,0,INDEX($I:$I,ROW()-1))+IF($A38="",0,1)</f>
        <v>21</v>
      </c>
      <c r="J38" s="10" t="b">
        <f ca="1">_xlfn.LET(_xlpm._row,ROW()-ROW($K$17),_xlpm._numActiveAssumptions,Helper!$B$8,_xlpm._numAdditionalAssumptions,SUM(Table24['# Elements]),_xlpm._row&lt;=_xlpm._numActiveAssumptions+_xlpm._numAdditionalAssumptions)</f>
        <v>0</v>
      </c>
      <c r="K38" s="21">
        <f ca="1">_xlfn.LET(_xlpm._row,ROW()-ROW($K$17),_xlpm._numActiveAssumptions,Helper!$B$8,_xlpm._numAdditionalAssumptions,Helper!$B$10,_xlpm._isAssumption,$J38,_xlpm._elementID,IF(_xlpm._isAssumption,_xlpm._row,_xlpm._row-_xlpm._numActiveAssumptions-_xlpm._numAdditionalAssumptions),_xlpm._elementID)</f>
        <v>3</v>
      </c>
      <c r="L3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8" s="20" cm="1">
        <f t="array" ca="1" aca="1" ref="M38">IF($L38,IF(ROW()=ROW($M$17)+1,1,INDEX($M:$M,ROW()-1)+IF(INDEX($T:$T,ROW()-1),1,0)),1)</f>
        <v>1</v>
      </c>
      <c r="N38" s="14" t="str" cm="1">
        <f t="array" ca="1" aca="1" ref="N38">IF($L38=TRUE,_xlfn.LET(_xlpm._isAssumption,$J38,_xlpm._indexRange,IF(_xlpm._isAssumption,Table24['# Elements],Table25['# Elements]),_xlpm._lookupRow,$W38,INDEX(_xlpm._indexRange,_xlpm._lookupRow)),"")</f>
        <v/>
      </c>
      <c r="O38" s="20" t="str" cm="1">
        <f t="array" ca="1" aca="1" ref="O38">IF($N38="","",_xlfn.LET(_xlpm._prevRow,ROW()-1,IF(OR(INDEX($N:$N,_xlpm._prevRow)&lt;&gt;$N38,INDEX($M:$M,_xlpm._prevRow)&lt;&gt;$M38),1,INDEX($O:$O,_xlpm._prevRow)+IF(INDEX($S:$S,_xlpm._prevRow),1,0))))</f>
        <v/>
      </c>
      <c r="P38" s="20" t="str" cm="1">
        <f t="array" ca="1" aca="1" ref="P38">IF($O38="","",_xlfn.LET(_xlpm._isAssumption,$J38,_xlpm._sheetRow,$W38,_xlpm._sheetName,$X38,_xlpm._elementIDRange,IF(_xlpm._isAssumption,Table24[Element ID Column],Table25[Element ID Column]),_xlpm._numberOfElementsRange,IF(_xlpm._isAssumption,Table24[Number of Elements Column],Table25[Number of Elements Column]),SimpleLookup($O38,INDIRECT("'"&amp;_xlpm._sheetName&amp;"'!"&amp;INDEX(_xlpm._elementIDRange,_xlpm._sheetRow)&amp;":"&amp;INDEX(_xlpm._numberOfElementsRange,_xlpm._sheetRow)))))</f>
        <v/>
      </c>
      <c r="Q38" s="20" t="str" cm="1">
        <f t="array" ca="1" aca="1" ref="Q38">IF($O38="","",IF(OR(INDEX($O:$O,ROW()-1)&lt;&gt;$O38,INDEX($M:$M,ROW()-1)&lt;&gt;$M38),1,INDEX($Q:$Q,ROW()-1)+1))</f>
        <v/>
      </c>
      <c r="R38" s="20">
        <f t="shared" ca="1" si="4"/>
        <v>0</v>
      </c>
      <c r="S38" s="20" t="str">
        <f t="shared" ca="1" si="5"/>
        <v/>
      </c>
      <c r="T38" s="20" t="b">
        <f ca="1">_xlfn.LET(_xlpm._isAssumption,$J38,_xlpm._numberOfElementsRange,IF(_xlpm._isAssumption,Table24['# Elements],Table25['# Elements]),_xlpm._sheetRow,$W38,IF($L38,AND($S38,$R38=$N38),FALSE))</f>
        <v>0</v>
      </c>
      <c r="U38" s="20" t="str" cm="1">
        <f t="array" ca="1" aca="1" ref="U38">IF($L38,_xlfn.LET(_xlpm._elementID,$O38,_xlpm._isAssumption,$J38,_xlpm._sheetRow,$W38,_xlpm._sheetName,$X38,_xlpm._elementRow,$Y38,_xlpm._resultColumnLetter,IF(_xlpm._isAssumption,INDEX(Table24[Comment Column],_xlpm._sheetRow),INDEX(Table25[Comment Column],_xlpm._sheetRow)),INDEX(INDIRECT("'"&amp;_xlpm._sheetName&amp;"'!"&amp;_xlpm._resultColumnLetter&amp;":"&amp;_xlpm._resultColumnLetter),_xlpm._elementRow)),"")</f>
        <v/>
      </c>
      <c r="V38" s="20" t="str" cm="1">
        <f t="array" ca="1" aca="1" ref="V38">IF($L38,_xlfn.LET(_xlpm._elementID,$O38,_xlpm._isAssumption,$J38,_xlpm._sheetRow,$W38,_xlpm._sheetName,$X38,_xlpm._resultColumnLetter,IF(_xlpm._isAssumption,INDEX(Table24[Sheet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8" s="20" t="str">
        <f ca="1">IF($L38=TRUE,_xlfn.LET(_xlpm._isAssumption,$J38,_xlpm._searchRange,IF(_xlpm._isAssumption,Table24[Task Sheet Shadow ID],Table25[Task Sheet Shadow ID]),MATCH($M38,_xlpm._searchRange,0)),"")</f>
        <v/>
      </c>
      <c r="X38" s="20" t="str" cm="1">
        <f t="array" ca="1" aca="1" ref="X38">IF($L38,_xlfn.LET(_xlpm._isAssumption,$J38,_xlpm._sheetRow,$W38,IF(_xlpm._isAssumption,INDEX(Table24[Sheet Name],_xlpm._sheetRow),INDEX(Table25[Sheet Name],_xlpm._sheetRow))),"")</f>
        <v/>
      </c>
      <c r="Y38" s="20" t="str" cm="1">
        <f t="array" ca="1" aca="1" ref="Y38">IF($L38,_xlfn.LET(_xlpm._elementID,$O38,_xlpm._isAssumption,$J38,_xlpm._sheetRow,$W38,_xlpm._sheetName,$X38,_xlpm._elementIDColumnLetter,IF(_xlpm._isAssumption,INDEX(Table24[Element ID Column],_xlpm._sheetRow),INDEX(Table25[Element ID Column],_xlpm._sheetRow)),MATCH(_xlpm._elementID,INDIRECT("'"&amp;_xlpm._sheetName&amp;"'!"&amp;_xlpm._elementIDColumnLetter&amp;":"&amp;_xlpm._elementIDColumnLetter),0)),"")</f>
        <v/>
      </c>
      <c r="Z38" s="20" t="str" cm="1">
        <f t="array" ca="1" aca="1" ref="Z38">IF($A38="","",_xlfn.LET(_xlpm._isAssumption,$J38,_xlpm._isAdditionalElement,$L38,_xlpm._sheetRow,$W38,_xlpm._sheetName,$X38,_xlpm._columnLetter,INDEX(IF(_xlpm._isAdditionalElement,Table24[Comment Column],Table25[Comment Column]),_xlpm._sheetRow),_xlpm._sheetReference,IF(_xlpm._isAssumption,IF(_xlpm._isAdditionalElement,CELL("address",INDEX(INDIRECT("'"&amp;_xlpm._sheetName&amp;"'!"&amp;_xlpm._columnLetter&amp;":"&amp;_xlpm._columnLetter),$Y38)),CELL("address",INDEX(Assumptions!$A:$A,MATCH($A38,Assumptions!$A:$A,0),1))),IF(_xlpm._isAdditionalElement,CELL("address",INDEX(INDIRECT("'"&amp;_xlpm._sheetName&amp;"'!"&amp;_xlpm._columnLetter&amp;":"&amp;_xlpm._columnLetter),$Y38)),CELL("address",INDEX(Countermeasures!$A:$A,MATCH($A38,Countermeasures!$A:$A,0),1)))),_xlpm._start,FIND("]",_xlpm._sheetReference),"'"&amp;SUBSTITUTE(SUBSTITUTE(RIGHT(_xlpm._sheetReference,LEN(_xlpm._sheetReference)-_xlpm._start),"'",""),"!","'!")))</f>
        <v>'Countermeasures'!$A$10</v>
      </c>
      <c r="AA38" s="20" t="str" cm="1">
        <f t="array" ca="1" aca="1" ref="AA38">IF(NOT($L38),_xlfn.LET(_xlpm._value,IF($A38="","",IF($J38,SimpleLookup($A38,Assumptions!$A:$AK),SimpleLookup($A38,Countermeasures!$A:$AN))),IF(_xlpm._value="","",_xlpm._value)),"")</f>
        <v xml:space="preserve">QA8 </v>
      </c>
      <c r="AB38" s="20" t="str" cm="1">
        <f t="array" ca="1" aca="1" ref="AB38">LookupNames(InverseLookup($A38,Mitigation!$AD$2,Mitigation!$A$2,1,Helper!$B$5,","),'Attack Steps'!$A:$B)</f>
        <v/>
      </c>
      <c r="AC38" s="20" t="str" cm="1">
        <f t="array" ca="1" aca="1" ref="AC38">IF($L38,_xlfn.LET(_xlpm._in,$A38,_xlpm._lastDashNum,LEN(_xlpm._in)-LEN(SUBSTITUTE(_xlpm._in,"-","")),_xlpm._lastDashPos,FIND(CHAR(1),SUBSTITUTE(_xlpm._in,"-",CHAR(1),_xlpm._lastDashNum)),_xlpm._id,LEFT(_xlpm._in,_xlpm._lastDashPos-1),_xlpm._id&amp;"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8" s="20" t="str" cm="1">
        <f t="array" ca="1" aca="1" ref="AD38">_xlfn.LET(_xlpm._countermeasures,InverseLookup($A38,Countermeasures!$AG$2,Countermeasures!$A$2,1,Helper!$B$4,","),LookupNames(_xlpm._countermeasures,Countermeasures!$A:$B))</f>
        <v/>
      </c>
      <c r="AE38" s="20" t="str" cm="1">
        <f t="array" ca="1" aca="1" ref="AE38">IF($E38="","",_xlfn.LET(_xlpm._id,$E38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8" s="20" t="str" cm="1">
        <f t="array" ca="1" aca="1" ref="AF38">IF(OR($A38="",$L38),"",_xlfn.LET(_xlpm._answers,IF($J38,SimpleLookup($A38,Assumptions!$A:$F),SimpleLookup($A38,Countermeasures!$A:$D)),IF(_xlpm._answers="*",IF($J38,SimpleLookup($A38,Assumptions!$A:$C),SimpleLookup($A38,Countermeasures!$A:$C)),"")))</f>
        <v/>
      </c>
      <c r="AG38" s="20" t="str" cm="1">
        <f t="array" ca="1" aca="1" ref="AG38">IF(NOT($L38),"",_xlfn.LET(_xlpm._mappedInMitigation,IFERROR(VLOOKUP($V38,'Attack Steps'!$A:$O,COLUMNS('Attack Steps'!$A:$O),FALSE),""),CreateSearchString(_xlpm._mappedInMitigation)))</f>
        <v/>
      </c>
      <c r="AH38" s="20" t="b">
        <f ca="1">ROW()-ROW($AH$17)=Helper!$B$15</f>
        <v>0</v>
      </c>
      <c r="AI38" s="20" t="str">
        <f t="shared" ca="1" si="6"/>
        <v/>
      </c>
      <c r="AJ38" s="20" cm="1">
        <f t="array" ca="1" aca="1" ref="AJ38">CreateID($AJ$17,$AJ:$AJ,$AI38&lt;&gt;"")</f>
        <v>0</v>
      </c>
    </row>
    <row r="39" spans="1:36" ht="48.75">
      <c r="A39" s="16" t="str">
        <f ca="1">_xlfn.LET(_xlpm._isAssumption,$J39,_xlpm._row,$K39,_xlpm._numActiveAssumptions,Helper!$B$8,_xlpm._numActiveCountermeasures,Helper!$B$9,_xlpm._numAdditionalAssumptions,Helper!$B$10,_xlpm._numAdditionalCountermeasures,Helper!$B$11,IF(_xlpm._isAssumption,IF(_xlpm._row&gt;_xlpm._numActiveAssumptions,$V39&amp;"-A"&amp;$Q39,INDEX(Assumptions!A:A,MATCH(_xlpm._row,Assumptions!$AG:$AG,0))),IF(_xlpm._row&gt;_xlpm._numActiveCountermeasures+_xlpm._numAdditionalCountermeasures,"",IF(_xlpm._row&gt;_xlpm._numActiveCountermeasures,$V39&amp;"-C"&amp;$Q39,INDEX(Countermeasures!$A:$A,MATCH(_xlpm._row,Countermeasures!$AI:$AI,0))))))</f>
        <v>C10</v>
      </c>
      <c r="B39" s="16" t="str" cm="1">
        <f t="array" ca="1" aca="1" ref="B39">IF($A39="","",_xlfn.LET(_xlpm._isAssumption,$J39,_xlpm._isAdditionalElement,$L39,IF(_xlpm._isAdditionalElement,IF(_xlpm._isAssumption,ParseElementsFromComment($U39,Definitions!$AR$4,Definitions!$AS$4,Definitions!$AR$6,$Q39),ParseElementsFromComment($U39,Definitions!$AR$5,Definitions!$AS$5,Definitions!$AR$6,$Q39)),_xlfn.LET(_xlpm._value,IF($A39="","",IF($J39,SimpleLookup($A39,Assumptions!$A:$B),SimpleLookup($A39,Countermeasures!$A:$B))),IF(_xlpm._value="","",_xlpm._value)))))</f>
        <v>CR 2.8 – Auditable events</v>
      </c>
      <c r="C39" s="16" t="str" cm="1">
        <f t="array" ca="1" aca="1" ref="C39">IF($A39="","",IF($J39,IFERROR(SimpleLookup($A39,Assumptions!$A:$E),""),Definitions!$AO$4))</f>
        <v>acontis techonlogies GmbH</v>
      </c>
      <c r="D39" s="36" t="str">
        <f t="shared" ca="1" si="2"/>
        <v xml:space="preserve">═══════════════════════════════════════════════════════════════
Comments of related questions / answers:
––––––––––––––––––––––––––––––––––––––––––––––––––––––––––––––––––––––––––––––––––––
QA2 </v>
      </c>
      <c r="E39" s="13"/>
      <c r="F39" s="59" t="str">
        <f t="shared" ca="1" si="3"/>
        <v>click me</v>
      </c>
      <c r="G39" s="122" t="str" cm="1">
        <f t="array" ca="1" aca="1" ref="G39">_xlfn.LET(_xlpm._val,IFERROR(SimpleLookup($A39,Countermeasures!$A:$R),IFERROR(SimpleLookup($A39,Assumptions!$A:$R),"")),IF(_xlpm._val="","",_xlpm._val))</f>
        <v/>
      </c>
      <c r="H39" s="16" t="str" cm="1">
        <f t="array" ca="1" aca="1" ref="H39">_xlfn.LET(_xlpm._value,IF($A39="","",IFERROR(IF($J39,SimpleLookup($A39,Assumptions!$A:$S),SimpleLookup($A39,Countermeasures!$A:$S)),"")),IF(_xlpm._value="","",_xlpm._value))</f>
        <v/>
      </c>
      <c r="I39" s="10" cm="1">
        <f t="array" ca="1" aca="1" ref="I39">IF(ROW()=ROW($I$17)+1,0,INDEX($I:$I,ROW()-1))+IF($A39="",0,1)</f>
        <v>22</v>
      </c>
      <c r="J39" s="10" t="b">
        <f ca="1">_xlfn.LET(_xlpm._row,ROW()-ROW($K$17),_xlpm._numActiveAssumptions,Helper!$B$8,_xlpm._numAdditionalAssumptions,SUM(Table24['# Elements]),_xlpm._row&lt;=_xlpm._numActiveAssumptions+_xlpm._numAdditionalAssumptions)</f>
        <v>0</v>
      </c>
      <c r="K39" s="21">
        <f ca="1">_xlfn.LET(_xlpm._row,ROW()-ROW($K$17),_xlpm._numActiveAssumptions,Helper!$B$8,_xlpm._numAdditionalAssumptions,Helper!$B$10,_xlpm._isAssumption,$J39,_xlpm._elementID,IF(_xlpm._isAssumption,_xlpm._row,_xlpm._row-_xlpm._numActiveAssumptions-_xlpm._numAdditionalAssumptions),_xlpm._elementID)</f>
        <v>4</v>
      </c>
      <c r="L3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39" s="20" cm="1">
        <f t="array" ca="1" aca="1" ref="M39">IF($L39,IF(ROW()=ROW($M$17)+1,1,INDEX($M:$M,ROW()-1)+IF(INDEX($T:$T,ROW()-1),1,0)),1)</f>
        <v>1</v>
      </c>
      <c r="N39" s="14" t="str" cm="1">
        <f t="array" ca="1" aca="1" ref="N39">IF($L39=TRUE,_xlfn.LET(_xlpm._isAssumption,$J39,_xlpm._indexRange,IF(_xlpm._isAssumption,Table24['# Elements],Table25['# Elements]),_xlpm._lookupRow,$W39,INDEX(_xlpm._indexRange,_xlpm._lookupRow)),"")</f>
        <v/>
      </c>
      <c r="O39" s="20" t="str" cm="1">
        <f t="array" ca="1" aca="1" ref="O39">IF($N39="","",_xlfn.LET(_xlpm._prevRow,ROW()-1,IF(OR(INDEX($N:$N,_xlpm._prevRow)&lt;&gt;$N39,INDEX($M:$M,_xlpm._prevRow)&lt;&gt;$M39),1,INDEX($O:$O,_xlpm._prevRow)+IF(INDEX($S:$S,_xlpm._prevRow),1,0))))</f>
        <v/>
      </c>
      <c r="P39" s="20" t="str" cm="1">
        <f t="array" ca="1" aca="1" ref="P39">IF($O39="","",_xlfn.LET(_xlpm._isAssumption,$J39,_xlpm._sheetRow,$W39,_xlpm._sheetName,$X39,_xlpm._elementIDRange,IF(_xlpm._isAssumption,Table24[Element ID Column],Table25[Element ID Column]),_xlpm._numberOfElementsRange,IF(_xlpm._isAssumption,Table24[Number of Elements Column],Table25[Number of Elements Column]),SimpleLookup($O39,INDIRECT("'"&amp;_xlpm._sheetName&amp;"'!"&amp;INDEX(_xlpm._elementIDRange,_xlpm._sheetRow)&amp;":"&amp;INDEX(_xlpm._numberOfElementsRange,_xlpm._sheetRow)))))</f>
        <v/>
      </c>
      <c r="Q39" s="20" t="str" cm="1">
        <f t="array" ca="1" aca="1" ref="Q39">IF($O39="","",IF(OR(INDEX($O:$O,ROW()-1)&lt;&gt;$O39,INDEX($M:$M,ROW()-1)&lt;&gt;$M39),1,INDEX($Q:$Q,ROW()-1)+1))</f>
        <v/>
      </c>
      <c r="R39" s="20">
        <f t="shared" ca="1" si="4"/>
        <v>0</v>
      </c>
      <c r="S39" s="20" t="str">
        <f t="shared" ca="1" si="5"/>
        <v/>
      </c>
      <c r="T39" s="20" t="b">
        <f ca="1">_xlfn.LET(_xlpm._isAssumption,$J39,_xlpm._numberOfElementsRange,IF(_xlpm._isAssumption,Table24['# Elements],Table25['# Elements]),_xlpm._sheetRow,$W39,IF($L39,AND($S39,$R39=$N39),FALSE))</f>
        <v>0</v>
      </c>
      <c r="U39" s="20" t="str" cm="1">
        <f t="array" ca="1" aca="1" ref="U39">IF($L39,_xlfn.LET(_xlpm._elementID,$O39,_xlpm._isAssumption,$J39,_xlpm._sheetRow,$W39,_xlpm._sheetName,$X39,_xlpm._elementRow,$Y39,_xlpm._resultColumnLetter,IF(_xlpm._isAssumption,INDEX(Table24[Comment Column],_xlpm._sheetRow),INDEX(Table25[Comment Column],_xlpm._sheetRow)),INDEX(INDIRECT("'"&amp;_xlpm._sheetName&amp;"'!"&amp;_xlpm._resultColumnLetter&amp;":"&amp;_xlpm._resultColumnLetter),_xlpm._elementRow)),"")</f>
        <v/>
      </c>
      <c r="V39" s="20" t="str" cm="1">
        <f t="array" ca="1" aca="1" ref="V39">IF($L39,_xlfn.LET(_xlpm._elementID,$O39,_xlpm._isAssumption,$J39,_xlpm._sheetRow,$W39,_xlpm._sheetName,$X39,_xlpm._resultColumnLetter,IF(_xlpm._isAssumption,INDEX(Table24[Sheet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39" s="20" t="str">
        <f ca="1">IF($L39=TRUE,_xlfn.LET(_xlpm._isAssumption,$J39,_xlpm._searchRange,IF(_xlpm._isAssumption,Table24[Task Sheet Shadow ID],Table25[Task Sheet Shadow ID]),MATCH($M39,_xlpm._searchRange,0)),"")</f>
        <v/>
      </c>
      <c r="X39" s="20" t="str" cm="1">
        <f t="array" ca="1" aca="1" ref="X39">IF($L39,_xlfn.LET(_xlpm._isAssumption,$J39,_xlpm._sheetRow,$W39,IF(_xlpm._isAssumption,INDEX(Table24[Sheet Name],_xlpm._sheetRow),INDEX(Table25[Sheet Name],_xlpm._sheetRow))),"")</f>
        <v/>
      </c>
      <c r="Y39" s="20" t="str" cm="1">
        <f t="array" ca="1" aca="1" ref="Y39">IF($L39,_xlfn.LET(_xlpm._elementID,$O39,_xlpm._isAssumption,$J39,_xlpm._sheetRow,$W39,_xlpm._sheetName,$X39,_xlpm._elementIDColumnLetter,IF(_xlpm._isAssumption,INDEX(Table24[Element ID Column],_xlpm._sheetRow),INDEX(Table25[Element ID Column],_xlpm._sheetRow)),MATCH(_xlpm._elementID,INDIRECT("'"&amp;_xlpm._sheetName&amp;"'!"&amp;_xlpm._elementIDColumnLetter&amp;":"&amp;_xlpm._elementIDColumnLetter),0)),"")</f>
        <v/>
      </c>
      <c r="Z39" s="20" t="str" cm="1">
        <f t="array" ca="1" aca="1" ref="Z39">IF($A39="","",_xlfn.LET(_xlpm._isAssumption,$J39,_xlpm._isAdditionalElement,$L39,_xlpm._sheetRow,$W39,_xlpm._sheetName,$X39,_xlpm._columnLetter,INDEX(IF(_xlpm._isAdditionalElement,Table24[Comment Column],Table25[Comment Column]),_xlpm._sheetRow),_xlpm._sheetReference,IF(_xlpm._isAssumption,IF(_xlpm._isAdditionalElement,CELL("address",INDEX(INDIRECT("'"&amp;_xlpm._sheetName&amp;"'!"&amp;_xlpm._columnLetter&amp;":"&amp;_xlpm._columnLetter),$Y39)),CELL("address",INDEX(Assumptions!$A:$A,MATCH($A39,Assumptions!$A:$A,0),1))),IF(_xlpm._isAdditionalElement,CELL("address",INDEX(INDIRECT("'"&amp;_xlpm._sheetName&amp;"'!"&amp;_xlpm._columnLetter&amp;":"&amp;_xlpm._columnLetter),$Y39)),CELL("address",INDEX(Countermeasures!$A:$A,MATCH($A39,Countermeasures!$A:$A,0),1)))),_xlpm._start,FIND("]",_xlpm._sheetReference),"'"&amp;SUBSTITUTE(SUBSTITUTE(RIGHT(_xlpm._sheetReference,LEN(_xlpm._sheetReference)-_xlpm._start),"'",""),"!","'!")))</f>
        <v>'Countermeasures'!$A$13</v>
      </c>
      <c r="AA39" s="20" t="str" cm="1">
        <f t="array" ca="1" aca="1" ref="AA39">IF(NOT($L39),_xlfn.LET(_xlpm._value,IF($A39="","",IF($J39,SimpleLookup($A39,Assumptions!$A:$AK),SimpleLookup($A39,Countermeasures!$A:$AN))),IF(_xlpm._value="","",_xlpm._value)),"")</f>
        <v xml:space="preserve">QA2 </v>
      </c>
      <c r="AB39" s="20" t="str" cm="1">
        <f t="array" ca="1" aca="1" ref="AB39">LookupNames(InverseLookup($A39,Mitigation!$AD$2,Mitigation!$A$2,1,Helper!$B$5,","),'Attack Steps'!$A:$B)</f>
        <v/>
      </c>
      <c r="AC39" s="20" t="str" cm="1">
        <f t="array" ca="1" aca="1" ref="AC39">IF($L39,_xlfn.LET(_xlpm._in,$A39,_xlpm._lastDashNum,LEN(_xlpm._in)-LEN(SUBSTITUTE(_xlpm._in,"-","")),_xlpm._lastDashPos,FIND(CHAR(1),SUBSTITUTE(_xlpm._in,"-",CHAR(1),_xlpm._lastDashNum)),_xlpm._id,LEFT(_xlpm._in,_xlpm._lastDashPos-1),_xlpm._id&amp;"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39" s="20" t="str" cm="1">
        <f t="array" ca="1" aca="1" ref="AD39">_xlfn.LET(_xlpm._countermeasures,InverseLookup($A39,Countermeasures!$AG$2,Countermeasures!$A$2,1,Helper!$B$4,","),LookupNames(_xlpm._countermeasures,Countermeasures!$A:$B))</f>
        <v/>
      </c>
      <c r="AE39" s="20" t="str" cm="1">
        <f t="array" ca="1" aca="1" ref="AE39">IF($E39="","",_xlfn.LET(_xlpm._id,$E39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39" s="20" t="str" cm="1">
        <f t="array" ca="1" aca="1" ref="AF39">IF(OR($A39="",$L39),"",_xlfn.LET(_xlpm._answers,IF($J39,SimpleLookup($A39,Assumptions!$A:$F),SimpleLookup($A39,Countermeasures!$A:$D)),IF(_xlpm._answers="*",IF($J39,SimpleLookup($A39,Assumptions!$A:$C),SimpleLookup($A39,Countermeasures!$A:$C)),"")))</f>
        <v/>
      </c>
      <c r="AG39" s="20" t="str" cm="1">
        <f t="array" ca="1" aca="1" ref="AG39">IF(NOT($L39),"",_xlfn.LET(_xlpm._mappedInMitigation,IFERROR(VLOOKUP($V39,'Attack Steps'!$A:$O,COLUMNS('Attack Steps'!$A:$O),FALSE),""),CreateSearchString(_xlpm._mappedInMitigation)))</f>
        <v/>
      </c>
      <c r="AH39" s="20" t="b">
        <f ca="1">ROW()-ROW($AH$17)=Helper!$B$15</f>
        <v>0</v>
      </c>
      <c r="AI39" s="20" t="str">
        <f t="shared" ca="1" si="6"/>
        <v/>
      </c>
      <c r="AJ39" s="20" cm="1">
        <f t="array" ca="1" aca="1" ref="AJ39">CreateID($AJ$17,$AJ:$AJ,$AI39&lt;&gt;"")</f>
        <v>0</v>
      </c>
    </row>
    <row r="40" spans="1:36" ht="48.75">
      <c r="A40" s="16" t="str">
        <f ca="1">_xlfn.LET(_xlpm._isAssumption,$J40,_xlpm._row,$K40,_xlpm._numActiveAssumptions,Helper!$B$8,_xlpm._numActiveCountermeasures,Helper!$B$9,_xlpm._numAdditionalAssumptions,Helper!$B$10,_xlpm._numAdditionalCountermeasures,Helper!$B$11,IF(_xlpm._isAssumption,IF(_xlpm._row&gt;_xlpm._numActiveAssumptions,$V40&amp;"-A"&amp;$Q40,INDEX(Assumptions!A:A,MATCH(_xlpm._row,Assumptions!$AG:$AG,0))),IF(_xlpm._row&gt;_xlpm._numActiveCountermeasures+_xlpm._numAdditionalCountermeasures,"",IF(_xlpm._row&gt;_xlpm._numActiveCountermeasures,$V40&amp;"-C"&amp;$Q40,INDEX(Countermeasures!$A:$A,MATCH(_xlpm._row,Countermeasures!$AI:$AI,0))))))</f>
        <v>C11</v>
      </c>
      <c r="B40" s="16" t="str" cm="1">
        <f t="array" ca="1" aca="1" ref="B40">IF($A40="","",_xlfn.LET(_xlpm._isAssumption,$J40,_xlpm._isAdditionalElement,$L40,IF(_xlpm._isAdditionalElement,IF(_xlpm._isAssumption,ParseElementsFromComment($U40,Definitions!$AR$4,Definitions!$AS$4,Definitions!$AR$6,$Q40),ParseElementsFromComment($U40,Definitions!$AR$5,Definitions!$AS$5,Definitions!$AR$6,$Q40)),_xlfn.LET(_xlpm._value,IF($A40="","",IF($J40,SimpleLookup($A40,Assumptions!$A:$B),SimpleLookup($A40,Countermeasures!$A:$B))),IF(_xlpm._value="","",_xlpm._value)))))</f>
        <v>CR 2.10 – Response to audit processing failures</v>
      </c>
      <c r="C40" s="16" t="str" cm="1">
        <f t="array" ca="1" aca="1" ref="C40">IF($A40="","",IF($J40,IFERROR(SimpleLookup($A40,Assumptions!$A:$E),""),Definitions!$AO$4))</f>
        <v>acontis techonlogies GmbH</v>
      </c>
      <c r="D40" s="36" t="str">
        <f t="shared" ca="1" si="2"/>
        <v>═══════════════════════════════════════════════════════════════
Dependency of countermeasures:
––––––––––––––––––––––––––––––––––––––––––––––––––––––––––––––––––––––––––––––––––––
C10 CR 2.8 – Auditable events</v>
      </c>
      <c r="E40" s="13"/>
      <c r="F40" s="59" t="str">
        <f t="shared" ca="1" si="3"/>
        <v>click me</v>
      </c>
      <c r="G40" s="122" t="str" cm="1">
        <f t="array" ca="1" aca="1" ref="G40">_xlfn.LET(_xlpm._val,IFERROR(SimpleLookup($A40,Countermeasures!$A:$R),IFERROR(SimpleLookup($A40,Assumptions!$A:$R),"")),IF(_xlpm._val="","",_xlpm._val))</f>
        <v/>
      </c>
      <c r="H40" s="16" t="str" cm="1">
        <f t="array" ca="1" aca="1" ref="H40">_xlfn.LET(_xlpm._value,IF($A40="","",IFERROR(IF($J40,SimpleLookup($A40,Assumptions!$A:$S),SimpleLookup($A40,Countermeasures!$A:$S)),"")),IF(_xlpm._value="","",_xlpm._value))</f>
        <v/>
      </c>
      <c r="I40" s="10" cm="1">
        <f t="array" ca="1" aca="1" ref="I40">IF(ROW()=ROW($I$17)+1,0,INDEX($I:$I,ROW()-1))+IF($A40="",0,1)</f>
        <v>23</v>
      </c>
      <c r="J40" s="10" t="b">
        <f ca="1">_xlfn.LET(_xlpm._row,ROW()-ROW($K$17),_xlpm._numActiveAssumptions,Helper!$B$8,_xlpm._numAdditionalAssumptions,SUM(Table24['# Elements]),_xlpm._row&lt;=_xlpm._numActiveAssumptions+_xlpm._numAdditionalAssumptions)</f>
        <v>0</v>
      </c>
      <c r="K40" s="21">
        <f ca="1">_xlfn.LET(_xlpm._row,ROW()-ROW($K$17),_xlpm._numActiveAssumptions,Helper!$B$8,_xlpm._numAdditionalAssumptions,Helper!$B$10,_xlpm._isAssumption,$J40,_xlpm._elementID,IF(_xlpm._isAssumption,_xlpm._row,_xlpm._row-_xlpm._numActiveAssumptions-_xlpm._numAdditionalAssumptions),_xlpm._elementID)</f>
        <v>5</v>
      </c>
      <c r="L4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0" s="20" cm="1">
        <f t="array" ca="1" aca="1" ref="M40">IF($L40,IF(ROW()=ROW($M$17)+1,1,INDEX($M:$M,ROW()-1)+IF(INDEX($T:$T,ROW()-1),1,0)),1)</f>
        <v>1</v>
      </c>
      <c r="N40" s="14" t="str" cm="1">
        <f t="array" ca="1" aca="1" ref="N40">IF($L40=TRUE,_xlfn.LET(_xlpm._isAssumption,$J40,_xlpm._indexRange,IF(_xlpm._isAssumption,Table24['# Elements],Table25['# Elements]),_xlpm._lookupRow,$W40,INDEX(_xlpm._indexRange,_xlpm._lookupRow)),"")</f>
        <v/>
      </c>
      <c r="O40" s="20" t="str" cm="1">
        <f t="array" ca="1" aca="1" ref="O40">IF($N40="","",_xlfn.LET(_xlpm._prevRow,ROW()-1,IF(OR(INDEX($N:$N,_xlpm._prevRow)&lt;&gt;$N40,INDEX($M:$M,_xlpm._prevRow)&lt;&gt;$M40),1,INDEX($O:$O,_xlpm._prevRow)+IF(INDEX($S:$S,_xlpm._prevRow),1,0))))</f>
        <v/>
      </c>
      <c r="P40" s="20" t="str" cm="1">
        <f t="array" ca="1" aca="1" ref="P40">IF($O40="","",_xlfn.LET(_xlpm._isAssumption,$J40,_xlpm._sheetRow,$W40,_xlpm._sheetName,$X40,_xlpm._elementIDRange,IF(_xlpm._isAssumption,Table24[Element ID Column],Table25[Element ID Column]),_xlpm._numberOfElementsRange,IF(_xlpm._isAssumption,Table24[Number of Elements Column],Table25[Number of Elements Column]),SimpleLookup($O40,INDIRECT("'"&amp;_xlpm._sheetName&amp;"'!"&amp;INDEX(_xlpm._elementIDRange,_xlpm._sheetRow)&amp;":"&amp;INDEX(_xlpm._numberOfElementsRange,_xlpm._sheetRow)))))</f>
        <v/>
      </c>
      <c r="Q40" s="20" t="str" cm="1">
        <f t="array" ca="1" aca="1" ref="Q40">IF($O40="","",IF(OR(INDEX($O:$O,ROW()-1)&lt;&gt;$O40,INDEX($M:$M,ROW()-1)&lt;&gt;$M40),1,INDEX($Q:$Q,ROW()-1)+1))</f>
        <v/>
      </c>
      <c r="R40" s="20">
        <f t="shared" ca="1" si="4"/>
        <v>0</v>
      </c>
      <c r="S40" s="20" t="str">
        <f t="shared" ca="1" si="5"/>
        <v/>
      </c>
      <c r="T40" s="20" t="b">
        <f ca="1">_xlfn.LET(_xlpm._isAssumption,$J40,_xlpm._numberOfElementsRange,IF(_xlpm._isAssumption,Table24['# Elements],Table25['# Elements]),_xlpm._sheetRow,$W40,IF($L40,AND($S40,$R40=$N40),FALSE))</f>
        <v>0</v>
      </c>
      <c r="U40" s="20" t="str" cm="1">
        <f t="array" ca="1" aca="1" ref="U40">IF($L40,_xlfn.LET(_xlpm._elementID,$O40,_xlpm._isAssumption,$J40,_xlpm._sheetRow,$W40,_xlpm._sheetName,$X40,_xlpm._elementRow,$Y40,_xlpm._resultColumnLetter,IF(_xlpm._isAssumption,INDEX(Table24[Comment Column],_xlpm._sheetRow),INDEX(Table25[Comment Column],_xlpm._sheetRow)),INDEX(INDIRECT("'"&amp;_xlpm._sheetName&amp;"'!"&amp;_xlpm._resultColumnLetter&amp;":"&amp;_xlpm._resultColumnLetter),_xlpm._elementRow)),"")</f>
        <v/>
      </c>
      <c r="V40" s="20" t="str" cm="1">
        <f t="array" ca="1" aca="1" ref="V40">IF($L40,_xlfn.LET(_xlpm._elementID,$O40,_xlpm._isAssumption,$J40,_xlpm._sheetRow,$W40,_xlpm._sheetName,$X40,_xlpm._resultColumnLetter,IF(_xlpm._isAssumption,INDEX(Table24[Sheet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0" s="20" t="str">
        <f ca="1">IF($L40=TRUE,_xlfn.LET(_xlpm._isAssumption,$J40,_xlpm._searchRange,IF(_xlpm._isAssumption,Table24[Task Sheet Shadow ID],Table25[Task Sheet Shadow ID]),MATCH($M40,_xlpm._searchRange,0)),"")</f>
        <v/>
      </c>
      <c r="X40" s="20" t="str" cm="1">
        <f t="array" ca="1" aca="1" ref="X40">IF($L40,_xlfn.LET(_xlpm._isAssumption,$J40,_xlpm._sheetRow,$W40,IF(_xlpm._isAssumption,INDEX(Table24[Sheet Name],_xlpm._sheetRow),INDEX(Table25[Sheet Name],_xlpm._sheetRow))),"")</f>
        <v/>
      </c>
      <c r="Y40" s="20" t="str" cm="1">
        <f t="array" ca="1" aca="1" ref="Y40">IF($L40,_xlfn.LET(_xlpm._elementID,$O40,_xlpm._isAssumption,$J40,_xlpm._sheetRow,$W40,_xlpm._sheetName,$X40,_xlpm._elementIDColumnLetter,IF(_xlpm._isAssumption,INDEX(Table24[Element ID Column],_xlpm._sheetRow),INDEX(Table25[Element ID Column],_xlpm._sheetRow)),MATCH(_xlpm._elementID,INDIRECT("'"&amp;_xlpm._sheetName&amp;"'!"&amp;_xlpm._elementIDColumnLetter&amp;":"&amp;_xlpm._elementIDColumnLetter),0)),"")</f>
        <v/>
      </c>
      <c r="Z40" s="20" t="str" cm="1">
        <f t="array" ca="1" aca="1" ref="Z40">IF($A40="","",_xlfn.LET(_xlpm._isAssumption,$J40,_xlpm._isAdditionalElement,$L40,_xlpm._sheetRow,$W40,_xlpm._sheetName,$X40,_xlpm._columnLetter,INDEX(IF(_xlpm._isAdditionalElement,Table24[Comment Column],Table25[Comment Column]),_xlpm._sheetRow),_xlpm._sheetReference,IF(_xlpm._isAssumption,IF(_xlpm._isAdditionalElement,CELL("address",INDEX(INDIRECT("'"&amp;_xlpm._sheetName&amp;"'!"&amp;_xlpm._columnLetter&amp;":"&amp;_xlpm._columnLetter),$Y40)),CELL("address",INDEX(Assumptions!$A:$A,MATCH($A40,Assumptions!$A:$A,0),1))),IF(_xlpm._isAdditionalElement,CELL("address",INDEX(INDIRECT("'"&amp;_xlpm._sheetName&amp;"'!"&amp;_xlpm._columnLetter&amp;":"&amp;_xlpm._columnLetter),$Y40)),CELL("address",INDEX(Countermeasures!$A:$A,MATCH($A40,Countermeasures!$A:$A,0),1)))),_xlpm._start,FIND("]",_xlpm._sheetReference),"'"&amp;SUBSTITUTE(SUBSTITUTE(RIGHT(_xlpm._sheetReference,LEN(_xlpm._sheetReference)-_xlpm._start),"'",""),"!","'!")))</f>
        <v>'Countermeasures'!$A$14</v>
      </c>
      <c r="AA40" s="20" t="str" cm="1">
        <f t="array" ca="1" aca="1" ref="AA40">IF(NOT($L40),_xlfn.LET(_xlpm._value,IF($A40="","",IF($J40,SimpleLookup($A40,Assumptions!$A:$AK),SimpleLookup($A40,Countermeasures!$A:$AN))),IF(_xlpm._value="","",_xlpm._value)),"")</f>
        <v/>
      </c>
      <c r="AB40" s="20" t="str" cm="1">
        <f t="array" ca="1" aca="1" ref="AB40">LookupNames(InverseLookup($A40,Mitigation!$AD$2,Mitigation!$A$2,1,Helper!$B$5,","),'Attack Steps'!$A:$B)</f>
        <v/>
      </c>
      <c r="AC40" s="20" t="str" cm="1">
        <f t="array" ca="1" aca="1" ref="AC40">IF($L40,_xlfn.LET(_xlpm._in,$A40,_xlpm._lastDashNum,LEN(_xlpm._in)-LEN(SUBSTITUTE(_xlpm._in,"-","")),_xlpm._lastDashPos,FIND(CHAR(1),SUBSTITUTE(_xlpm._in,"-",CHAR(1),_xlpm._lastDashNum)),_xlpm._id,LEFT(_xlpm._in,_xlpm._lastDashPos-1),_xlpm._id&amp;"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0" s="20" t="str" cm="1">
        <f t="array" ca="1" aca="1" ref="AD40">_xlfn.LET(_xlpm._countermeasures,InverseLookup($A40,Countermeasures!$AG$2,Countermeasures!$A$2,1,Helper!$B$4,","),LookupNames(_xlpm._countermeasures,Countermeasures!$A:$B))</f>
        <v>C10 CR 2.8 – Auditable events</v>
      </c>
      <c r="AE40" s="20" t="str" cm="1">
        <f t="array" ca="1" aca="1" ref="AE40">IF($E40="","",_xlfn.LET(_xlpm._id,$E40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0" s="20" t="str" cm="1">
        <f t="array" ca="1" aca="1" ref="AF40">IF(OR($A40="",$L40),"",_xlfn.LET(_xlpm._answers,IF($J40,SimpleLookup($A40,Assumptions!$A:$F),SimpleLookup($A40,Countermeasures!$A:$D)),IF(_xlpm._answers="*",IF($J40,SimpleLookup($A40,Assumptions!$A:$C),SimpleLookup($A40,Countermeasures!$A:$C)),"")))</f>
        <v/>
      </c>
      <c r="AG40" s="20" t="str" cm="1">
        <f t="array" ca="1" aca="1" ref="AG40">IF(NOT($L40),"",_xlfn.LET(_xlpm._mappedInMitigation,IFERROR(VLOOKUP($V40,'Attack Steps'!$A:$O,COLUMNS('Attack Steps'!$A:$O),FALSE),""),CreateSearchString(_xlpm._mappedInMitigation)))</f>
        <v/>
      </c>
      <c r="AH40" s="20" t="b">
        <f ca="1">ROW()-ROW($AH$17)=Helper!$B$15</f>
        <v>0</v>
      </c>
      <c r="AI40" s="20" t="str">
        <f t="shared" ca="1" si="6"/>
        <v/>
      </c>
      <c r="AJ40" s="20" cm="1">
        <f t="array" ca="1" aca="1" ref="AJ40">CreateID($AJ$17,$AJ:$AJ,$AI40&lt;&gt;"")</f>
        <v>0</v>
      </c>
    </row>
    <row r="41" spans="1:36" ht="48.75">
      <c r="A41" s="16" t="str">
        <f ca="1">_xlfn.LET(_xlpm._isAssumption,$J41,_xlpm._row,$K41,_xlpm._numActiveAssumptions,Helper!$B$8,_xlpm._numActiveCountermeasures,Helper!$B$9,_xlpm._numAdditionalAssumptions,Helper!$B$10,_xlpm._numAdditionalCountermeasures,Helper!$B$11,IF(_xlpm._isAssumption,IF(_xlpm._row&gt;_xlpm._numActiveAssumptions,$V41&amp;"-A"&amp;$Q41,INDEX(Assumptions!A:A,MATCH(_xlpm._row,Assumptions!$AG:$AG,0))),IF(_xlpm._row&gt;_xlpm._numActiveCountermeasures+_xlpm._numAdditionalCountermeasures,"",IF(_xlpm._row&gt;_xlpm._numActiveCountermeasures,$V41&amp;"-C"&amp;$Q41,INDEX(Countermeasures!$A:$A,MATCH(_xlpm._row,Countermeasures!$AI:$AI,0))))))</f>
        <v>C12</v>
      </c>
      <c r="B41" s="16" t="str" cm="1">
        <f t="array" ca="1" aca="1" ref="B41">IF($A41="","",_xlfn.LET(_xlpm._isAssumption,$J41,_xlpm._isAdditionalElement,$L41,IF(_xlpm._isAdditionalElement,IF(_xlpm._isAssumption,ParseElementsFromComment($U41,Definitions!$AR$4,Definitions!$AS$4,Definitions!$AR$6,$Q41),ParseElementsFromComment($U41,Definitions!$AR$5,Definitions!$AS$5,Definitions!$AR$6,$Q41)),_xlfn.LET(_xlpm._value,IF($A41="","",IF($J41,SimpleLookup($A41,Assumptions!$A:$B),SimpleLookup($A41,Countermeasures!$A:$B))),IF(_xlpm._value="","",_xlpm._value)))))</f>
        <v>CR 2.11 – Timestamps</v>
      </c>
      <c r="C41" s="16" t="str" cm="1">
        <f t="array" ca="1" aca="1" ref="C41">IF($A41="","",IF($J41,IFERROR(SimpleLookup($A41,Assumptions!$A:$E),""),Definitions!$AO$4))</f>
        <v>acontis techonlogies GmbH</v>
      </c>
      <c r="D41" s="36" t="str">
        <f t="shared" ca="1" si="2"/>
        <v>═══════════════════════════════════════════════════════════════
Dependency of countermeasures:
––––––––––––––––––––––––––––––––––––––––––––––––––––––––––––––––––––––––––––––––––––
C10 CR 2.8 – Auditable events</v>
      </c>
      <c r="E41" s="13"/>
      <c r="F41" s="59" t="str">
        <f t="shared" ca="1" si="3"/>
        <v>click me</v>
      </c>
      <c r="G41" s="122" t="str" cm="1">
        <f t="array" ca="1" aca="1" ref="G41">_xlfn.LET(_xlpm._val,IFERROR(SimpleLookup($A41,Countermeasures!$A:$R),IFERROR(SimpleLookup($A41,Assumptions!$A:$R),"")),IF(_xlpm._val="","",_xlpm._val))</f>
        <v/>
      </c>
      <c r="H41" s="16" t="str" cm="1">
        <f t="array" ca="1" aca="1" ref="H41">_xlfn.LET(_xlpm._value,IF($A41="","",IFERROR(IF($J41,SimpleLookup($A41,Assumptions!$A:$S),SimpleLookup($A41,Countermeasures!$A:$S)),"")),IF(_xlpm._value="","",_xlpm._value))</f>
        <v/>
      </c>
      <c r="I41" s="10" cm="1">
        <f t="array" ca="1" aca="1" ref="I41">IF(ROW()=ROW($I$17)+1,0,INDEX($I:$I,ROW()-1))+IF($A41="",0,1)</f>
        <v>24</v>
      </c>
      <c r="J41" s="10" t="b">
        <f ca="1">_xlfn.LET(_xlpm._row,ROW()-ROW($K$17),_xlpm._numActiveAssumptions,Helper!$B$8,_xlpm._numAdditionalAssumptions,SUM(Table24['# Elements]),_xlpm._row&lt;=_xlpm._numActiveAssumptions+_xlpm._numAdditionalAssumptions)</f>
        <v>0</v>
      </c>
      <c r="K41" s="21">
        <f ca="1">_xlfn.LET(_xlpm._row,ROW()-ROW($K$17),_xlpm._numActiveAssumptions,Helper!$B$8,_xlpm._numAdditionalAssumptions,Helper!$B$10,_xlpm._isAssumption,$J41,_xlpm._elementID,IF(_xlpm._isAssumption,_xlpm._row,_xlpm._row-_xlpm._numActiveAssumptions-_xlpm._numAdditionalAssumptions),_xlpm._elementID)</f>
        <v>6</v>
      </c>
      <c r="L4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1" s="20" cm="1">
        <f t="array" ca="1" aca="1" ref="M41">IF($L41,IF(ROW()=ROW($M$17)+1,1,INDEX($M:$M,ROW()-1)+IF(INDEX($T:$T,ROW()-1),1,0)),1)</f>
        <v>1</v>
      </c>
      <c r="N41" s="14" t="str" cm="1">
        <f t="array" ca="1" aca="1" ref="N41">IF($L41=TRUE,_xlfn.LET(_xlpm._isAssumption,$J41,_xlpm._indexRange,IF(_xlpm._isAssumption,Table24['# Elements],Table25['# Elements]),_xlpm._lookupRow,$W41,INDEX(_xlpm._indexRange,_xlpm._lookupRow)),"")</f>
        <v/>
      </c>
      <c r="O41" s="20" t="str" cm="1">
        <f t="array" ca="1" aca="1" ref="O41">IF($N41="","",_xlfn.LET(_xlpm._prevRow,ROW()-1,IF(OR(INDEX($N:$N,_xlpm._prevRow)&lt;&gt;$N41,INDEX($M:$M,_xlpm._prevRow)&lt;&gt;$M41),1,INDEX($O:$O,_xlpm._prevRow)+IF(INDEX($S:$S,_xlpm._prevRow),1,0))))</f>
        <v/>
      </c>
      <c r="P41" s="20" t="str" cm="1">
        <f t="array" ca="1" aca="1" ref="P41">IF($O41="","",_xlfn.LET(_xlpm._isAssumption,$J41,_xlpm._sheetRow,$W41,_xlpm._sheetName,$X41,_xlpm._elementIDRange,IF(_xlpm._isAssumption,Table24[Element ID Column],Table25[Element ID Column]),_xlpm._numberOfElementsRange,IF(_xlpm._isAssumption,Table24[Number of Elements Column],Table25[Number of Elements Column]),SimpleLookup($O41,INDIRECT("'"&amp;_xlpm._sheetName&amp;"'!"&amp;INDEX(_xlpm._elementIDRange,_xlpm._sheetRow)&amp;":"&amp;INDEX(_xlpm._numberOfElementsRange,_xlpm._sheetRow)))))</f>
        <v/>
      </c>
      <c r="Q41" s="20" t="str" cm="1">
        <f t="array" ca="1" aca="1" ref="Q41">IF($O41="","",IF(OR(INDEX($O:$O,ROW()-1)&lt;&gt;$O41,INDEX($M:$M,ROW()-1)&lt;&gt;$M41),1,INDEX($Q:$Q,ROW()-1)+1))</f>
        <v/>
      </c>
      <c r="R41" s="20">
        <f t="shared" ca="1" si="4"/>
        <v>0</v>
      </c>
      <c r="S41" s="20" t="str">
        <f t="shared" ca="1" si="5"/>
        <v/>
      </c>
      <c r="T41" s="20" t="b">
        <f ca="1">_xlfn.LET(_xlpm._isAssumption,$J41,_xlpm._numberOfElementsRange,IF(_xlpm._isAssumption,Table24['# Elements],Table25['# Elements]),_xlpm._sheetRow,$W41,IF($L41,AND($S41,$R41=$N41),FALSE))</f>
        <v>0</v>
      </c>
      <c r="U41" s="20" t="str" cm="1">
        <f t="array" ca="1" aca="1" ref="U41">IF($L41,_xlfn.LET(_xlpm._elementID,$O41,_xlpm._isAssumption,$J41,_xlpm._sheetRow,$W41,_xlpm._sheetName,$X41,_xlpm._elementRow,$Y41,_xlpm._resultColumnLetter,IF(_xlpm._isAssumption,INDEX(Table24[Comment Column],_xlpm._sheetRow),INDEX(Table25[Comment Column],_xlpm._sheetRow)),INDEX(INDIRECT("'"&amp;_xlpm._sheetName&amp;"'!"&amp;_xlpm._resultColumnLetter&amp;":"&amp;_xlpm._resultColumnLetter),_xlpm._elementRow)),"")</f>
        <v/>
      </c>
      <c r="V41" s="20" t="str" cm="1">
        <f t="array" ca="1" aca="1" ref="V41">IF($L41,_xlfn.LET(_xlpm._elementID,$O41,_xlpm._isAssumption,$J41,_xlpm._sheetRow,$W41,_xlpm._sheetName,$X41,_xlpm._resultColumnLetter,IF(_xlpm._isAssumption,INDEX(Table24[Sheet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1" s="20" t="str">
        <f ca="1">IF($L41=TRUE,_xlfn.LET(_xlpm._isAssumption,$J41,_xlpm._searchRange,IF(_xlpm._isAssumption,Table24[Task Sheet Shadow ID],Table25[Task Sheet Shadow ID]),MATCH($M41,_xlpm._searchRange,0)),"")</f>
        <v/>
      </c>
      <c r="X41" s="20" t="str" cm="1">
        <f t="array" ca="1" aca="1" ref="X41">IF($L41,_xlfn.LET(_xlpm._isAssumption,$J41,_xlpm._sheetRow,$W41,IF(_xlpm._isAssumption,INDEX(Table24[Sheet Name],_xlpm._sheetRow),INDEX(Table25[Sheet Name],_xlpm._sheetRow))),"")</f>
        <v/>
      </c>
      <c r="Y41" s="20" t="str" cm="1">
        <f t="array" ca="1" aca="1" ref="Y41">IF($L41,_xlfn.LET(_xlpm._elementID,$O41,_xlpm._isAssumption,$J41,_xlpm._sheetRow,$W41,_xlpm._sheetName,$X41,_xlpm._elementIDColumnLetter,IF(_xlpm._isAssumption,INDEX(Table24[Element ID Column],_xlpm._sheetRow),INDEX(Table25[Element ID Column],_xlpm._sheetRow)),MATCH(_xlpm._elementID,INDIRECT("'"&amp;_xlpm._sheetName&amp;"'!"&amp;_xlpm._elementIDColumnLetter&amp;":"&amp;_xlpm._elementIDColumnLetter),0)),"")</f>
        <v/>
      </c>
      <c r="Z41" s="20" t="str" cm="1">
        <f t="array" ca="1" aca="1" ref="Z41">IF($A41="","",_xlfn.LET(_xlpm._isAssumption,$J41,_xlpm._isAdditionalElement,$L41,_xlpm._sheetRow,$W41,_xlpm._sheetName,$X41,_xlpm._columnLetter,INDEX(IF(_xlpm._isAdditionalElement,Table24[Comment Column],Table25[Comment Column]),_xlpm._sheetRow),_xlpm._sheetReference,IF(_xlpm._isAssumption,IF(_xlpm._isAdditionalElement,CELL("address",INDEX(INDIRECT("'"&amp;_xlpm._sheetName&amp;"'!"&amp;_xlpm._columnLetter&amp;":"&amp;_xlpm._columnLetter),$Y41)),CELL("address",INDEX(Assumptions!$A:$A,MATCH($A41,Assumptions!$A:$A,0),1))),IF(_xlpm._isAdditionalElement,CELL("address",INDEX(INDIRECT("'"&amp;_xlpm._sheetName&amp;"'!"&amp;_xlpm._columnLetter&amp;":"&amp;_xlpm._columnLetter),$Y41)),CELL("address",INDEX(Countermeasures!$A:$A,MATCH($A41,Countermeasures!$A:$A,0),1)))),_xlpm._start,FIND("]",_xlpm._sheetReference),"'"&amp;SUBSTITUTE(SUBSTITUTE(RIGHT(_xlpm._sheetReference,LEN(_xlpm._sheetReference)-_xlpm._start),"'",""),"!","'!")))</f>
        <v>'Countermeasures'!$A$15</v>
      </c>
      <c r="AA41" s="20" t="str" cm="1">
        <f t="array" ca="1" aca="1" ref="AA41">IF(NOT($L41),_xlfn.LET(_xlpm._value,IF($A41="","",IF($J41,SimpleLookup($A41,Assumptions!$A:$AK),SimpleLookup($A41,Countermeasures!$A:$AN))),IF(_xlpm._value="","",_xlpm._value)),"")</f>
        <v/>
      </c>
      <c r="AB41" s="20" t="str" cm="1">
        <f t="array" ca="1" aca="1" ref="AB41">LookupNames(InverseLookup($A41,Mitigation!$AD$2,Mitigation!$A$2,1,Helper!$B$5,","),'Attack Steps'!$A:$B)</f>
        <v/>
      </c>
      <c r="AC41" s="20" t="str" cm="1">
        <f t="array" ca="1" aca="1" ref="AC41">IF($L41,_xlfn.LET(_xlpm._in,$A41,_xlpm._lastDashNum,LEN(_xlpm._in)-LEN(SUBSTITUTE(_xlpm._in,"-","")),_xlpm._lastDashPos,FIND(CHAR(1),SUBSTITUTE(_xlpm._in,"-",CHAR(1),_xlpm._lastDashNum)),_xlpm._id,LEFT(_xlpm._in,_xlpm._lastDashPos-1),_xlpm._id&amp;"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1" s="20" t="str" cm="1">
        <f t="array" ca="1" aca="1" ref="AD41">_xlfn.LET(_xlpm._countermeasures,InverseLookup($A41,Countermeasures!$AG$2,Countermeasures!$A$2,1,Helper!$B$4,","),LookupNames(_xlpm._countermeasures,Countermeasures!$A:$B))</f>
        <v>C10 CR 2.8 – Auditable events</v>
      </c>
      <c r="AE41" s="20" t="str" cm="1">
        <f t="array" ca="1" aca="1" ref="AE41">IF($E41="","",_xlfn.LET(_xlpm._id,$E41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1" s="20" t="str" cm="1">
        <f t="array" ca="1" aca="1" ref="AF41">IF(OR($A41="",$L41),"",_xlfn.LET(_xlpm._answers,IF($J41,SimpleLookup($A41,Assumptions!$A:$F),SimpleLookup($A41,Countermeasures!$A:$D)),IF(_xlpm._answers="*",IF($J41,SimpleLookup($A41,Assumptions!$A:$C),SimpleLookup($A41,Countermeasures!$A:$C)),"")))</f>
        <v/>
      </c>
      <c r="AG41" s="20" t="str" cm="1">
        <f t="array" ca="1" aca="1" ref="AG41">IF(NOT($L41),"",_xlfn.LET(_xlpm._mappedInMitigation,IFERROR(VLOOKUP($V41,'Attack Steps'!$A:$O,COLUMNS('Attack Steps'!$A:$O),FALSE),""),CreateSearchString(_xlpm._mappedInMitigation)))</f>
        <v/>
      </c>
      <c r="AH41" s="20" t="b">
        <f ca="1">ROW()-ROW($AH$17)=Helper!$B$15</f>
        <v>0</v>
      </c>
      <c r="AI41" s="20" t="str">
        <f t="shared" ca="1" si="6"/>
        <v/>
      </c>
      <c r="AJ41" s="20" cm="1">
        <f t="array" ca="1" aca="1" ref="AJ41">CreateID($AJ$17,$AJ:$AJ,$AI41&lt;&gt;"")</f>
        <v>0</v>
      </c>
    </row>
    <row r="42" spans="1:36" ht="48.75">
      <c r="A42" s="16" t="str">
        <f ca="1">_xlfn.LET(_xlpm._isAssumption,$J42,_xlpm._row,$K42,_xlpm._numActiveAssumptions,Helper!$B$8,_xlpm._numActiveCountermeasures,Helper!$B$9,_xlpm._numAdditionalAssumptions,Helper!$B$10,_xlpm._numAdditionalCountermeasures,Helper!$B$11,IF(_xlpm._isAssumption,IF(_xlpm._row&gt;_xlpm._numActiveAssumptions,$V42&amp;"-A"&amp;$Q42,INDEX(Assumptions!A:A,MATCH(_xlpm._row,Assumptions!$AG:$AG,0))),IF(_xlpm._row&gt;_xlpm._numActiveCountermeasures+_xlpm._numAdditionalCountermeasures,"",IF(_xlpm._row&gt;_xlpm._numActiveCountermeasures,$V42&amp;"-C"&amp;$Q42,INDEX(Countermeasures!$A:$A,MATCH(_xlpm._row,Countermeasures!$AI:$AI,0))))))</f>
        <v>C13</v>
      </c>
      <c r="B42" s="16" t="str" cm="1">
        <f t="array" ca="1" aca="1" ref="B42">IF($A42="","",_xlfn.LET(_xlpm._isAssumption,$J42,_xlpm._isAdditionalElement,$L42,IF(_xlpm._isAdditionalElement,IF(_xlpm._isAssumption,ParseElementsFromComment($U42,Definitions!$AR$4,Definitions!$AS$4,Definitions!$AR$6,$Q42),ParseElementsFromComment($U42,Definitions!$AR$5,Definitions!$AS$5,Definitions!$AR$6,$Q42)),_xlfn.LET(_xlpm._value,IF($A42="","",IF($J42,SimpleLookup($A42,Assumptions!$A:$B),SimpleLookup($A42,Countermeasures!$A:$B))),IF(_xlpm._value="","",_xlpm._value)))))</f>
        <v>CR 3.3 – Security functionality verification</v>
      </c>
      <c r="C42" s="16" t="str" cm="1">
        <f t="array" ca="1" aca="1" ref="C42">IF($A42="","",IF($J42,IFERROR(SimpleLookup($A42,Assumptions!$A:$E),""),Definitions!$AO$4))</f>
        <v>acontis techonlogies GmbH</v>
      </c>
      <c r="D42" s="36" t="str">
        <f t="shared" ca="1" si="2"/>
        <v>═══════════════════════════════════════════════════════════════
Default countermeasure:
––––––––––––––––––––––––––––––––––––––––––––––––––––––––––––––––––––––––––––––––––––
See IEC 62443</v>
      </c>
      <c r="E42" s="13"/>
      <c r="F42" s="59" t="str">
        <f t="shared" ca="1" si="3"/>
        <v>click me</v>
      </c>
      <c r="G42" s="122" t="str" cm="1">
        <f t="array" ca="1" aca="1" ref="G42">_xlfn.LET(_xlpm._val,IFERROR(SimpleLookup($A42,Countermeasures!$A:$R),IFERROR(SimpleLookup($A42,Assumptions!$A:$R),"")),IF(_xlpm._val="","",_xlpm._val))</f>
        <v/>
      </c>
      <c r="H42" s="16" t="str" cm="1">
        <f t="array" ca="1" aca="1" ref="H42">_xlfn.LET(_xlpm._value,IF($A42="","",IFERROR(IF($J42,SimpleLookup($A42,Assumptions!$A:$S),SimpleLookup($A42,Countermeasures!$A:$S)),"")),IF(_xlpm._value="","",_xlpm._value))</f>
        <v/>
      </c>
      <c r="I42" s="10" cm="1">
        <f t="array" ca="1" aca="1" ref="I42">IF(ROW()=ROW($I$17)+1,0,INDEX($I:$I,ROW()-1))+IF($A42="",0,1)</f>
        <v>25</v>
      </c>
      <c r="J42" s="10" t="b">
        <f ca="1">_xlfn.LET(_xlpm._row,ROW()-ROW($K$17),_xlpm._numActiveAssumptions,Helper!$B$8,_xlpm._numAdditionalAssumptions,SUM(Table24['# Elements]),_xlpm._row&lt;=_xlpm._numActiveAssumptions+_xlpm._numAdditionalAssumptions)</f>
        <v>0</v>
      </c>
      <c r="K42" s="21">
        <f ca="1">_xlfn.LET(_xlpm._row,ROW()-ROW($K$17),_xlpm._numActiveAssumptions,Helper!$B$8,_xlpm._numAdditionalAssumptions,Helper!$B$10,_xlpm._isAssumption,$J42,_xlpm._elementID,IF(_xlpm._isAssumption,_xlpm._row,_xlpm._row-_xlpm._numActiveAssumptions-_xlpm._numAdditionalAssumptions),_xlpm._elementID)</f>
        <v>7</v>
      </c>
      <c r="L42"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2" s="20" cm="1">
        <f t="array" ca="1" aca="1" ref="M42">IF($L42,IF(ROW()=ROW($M$17)+1,1,INDEX($M:$M,ROW()-1)+IF(INDEX($T:$T,ROW()-1),1,0)),1)</f>
        <v>1</v>
      </c>
      <c r="N42" s="14" t="str" cm="1">
        <f t="array" ca="1" aca="1" ref="N42">IF($L42=TRUE,_xlfn.LET(_xlpm._isAssumption,$J42,_xlpm._indexRange,IF(_xlpm._isAssumption,Table24['# Elements],Table25['# Elements]),_xlpm._lookupRow,$W42,INDEX(_xlpm._indexRange,_xlpm._lookupRow)),"")</f>
        <v/>
      </c>
      <c r="O42" s="20" t="str" cm="1">
        <f t="array" ca="1" aca="1" ref="O42">IF($N42="","",_xlfn.LET(_xlpm._prevRow,ROW()-1,IF(OR(INDEX($N:$N,_xlpm._prevRow)&lt;&gt;$N42,INDEX($M:$M,_xlpm._prevRow)&lt;&gt;$M42),1,INDEX($O:$O,_xlpm._prevRow)+IF(INDEX($S:$S,_xlpm._prevRow),1,0))))</f>
        <v/>
      </c>
      <c r="P42" s="20" t="str" cm="1">
        <f t="array" ca="1" aca="1" ref="P42">IF($O42="","",_xlfn.LET(_xlpm._isAssumption,$J42,_xlpm._sheetRow,$W42,_xlpm._sheetName,$X42,_xlpm._elementIDRange,IF(_xlpm._isAssumption,Table24[Element ID Column],Table25[Element ID Column]),_xlpm._numberOfElementsRange,IF(_xlpm._isAssumption,Table24[Number of Elements Column],Table25[Number of Elements Column]),SimpleLookup($O42,INDIRECT("'"&amp;_xlpm._sheetName&amp;"'!"&amp;INDEX(_xlpm._elementIDRange,_xlpm._sheetRow)&amp;":"&amp;INDEX(_xlpm._numberOfElementsRange,_xlpm._sheetRow)))))</f>
        <v/>
      </c>
      <c r="Q42" s="20" t="str" cm="1">
        <f t="array" ca="1" aca="1" ref="Q42">IF($O42="","",IF(OR(INDEX($O:$O,ROW()-1)&lt;&gt;$O42,INDEX($M:$M,ROW()-1)&lt;&gt;$M42),1,INDEX($Q:$Q,ROW()-1)+1))</f>
        <v/>
      </c>
      <c r="R42" s="20">
        <f t="shared" ca="1" si="4"/>
        <v>0</v>
      </c>
      <c r="S42" s="20" t="str">
        <f t="shared" ca="1" si="5"/>
        <v/>
      </c>
      <c r="T42" s="20" t="b">
        <f ca="1">_xlfn.LET(_xlpm._isAssumption,$J42,_xlpm._numberOfElementsRange,IF(_xlpm._isAssumption,Table24['# Elements],Table25['# Elements]),_xlpm._sheetRow,$W42,IF($L42,AND($S42,$R42=$N42),FALSE))</f>
        <v>0</v>
      </c>
      <c r="U42" s="20" t="str" cm="1">
        <f t="array" ca="1" aca="1" ref="U42">IF($L42,_xlfn.LET(_xlpm._elementID,$O42,_xlpm._isAssumption,$J42,_xlpm._sheetRow,$W42,_xlpm._sheetName,$X42,_xlpm._elementRow,$Y42,_xlpm._resultColumnLetter,IF(_xlpm._isAssumption,INDEX(Table24[Comment Column],_xlpm._sheetRow),INDEX(Table25[Comment Column],_xlpm._sheetRow)),INDEX(INDIRECT("'"&amp;_xlpm._sheetName&amp;"'!"&amp;_xlpm._resultColumnLetter&amp;":"&amp;_xlpm._resultColumnLetter),_xlpm._elementRow)),"")</f>
        <v/>
      </c>
      <c r="V42" s="20" t="str" cm="1">
        <f t="array" ca="1" aca="1" ref="V42">IF($L42,_xlfn.LET(_xlpm._elementID,$O42,_xlpm._isAssumption,$J42,_xlpm._sheetRow,$W42,_xlpm._sheetName,$X42,_xlpm._resultColumnLetter,IF(_xlpm._isAssumption,INDEX(Table24[Sheet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2" s="20" t="str">
        <f ca="1">IF($L42=TRUE,_xlfn.LET(_xlpm._isAssumption,$J42,_xlpm._searchRange,IF(_xlpm._isAssumption,Table24[Task Sheet Shadow ID],Table25[Task Sheet Shadow ID]),MATCH($M42,_xlpm._searchRange,0)),"")</f>
        <v/>
      </c>
      <c r="X42" s="20" t="str" cm="1">
        <f t="array" ca="1" aca="1" ref="X42">IF($L42,_xlfn.LET(_xlpm._isAssumption,$J42,_xlpm._sheetRow,$W42,IF(_xlpm._isAssumption,INDEX(Table24[Sheet Name],_xlpm._sheetRow),INDEX(Table25[Sheet Name],_xlpm._sheetRow))),"")</f>
        <v/>
      </c>
      <c r="Y42" s="20" t="str" cm="1">
        <f t="array" ca="1" aca="1" ref="Y42">IF($L42,_xlfn.LET(_xlpm._elementID,$O42,_xlpm._isAssumption,$J42,_xlpm._sheetRow,$W42,_xlpm._sheetName,$X42,_xlpm._elementIDColumnLetter,IF(_xlpm._isAssumption,INDEX(Table24[Element ID Column],_xlpm._sheetRow),INDEX(Table25[Element ID Column],_xlpm._sheetRow)),MATCH(_xlpm._elementID,INDIRECT("'"&amp;_xlpm._sheetName&amp;"'!"&amp;_xlpm._elementIDColumnLetter&amp;":"&amp;_xlpm._elementIDColumnLetter),0)),"")</f>
        <v/>
      </c>
      <c r="Z42" s="20" t="str" cm="1">
        <f t="array" ca="1" aca="1" ref="Z42">IF($A42="","",_xlfn.LET(_xlpm._isAssumption,$J42,_xlpm._isAdditionalElement,$L42,_xlpm._sheetRow,$W42,_xlpm._sheetName,$X42,_xlpm._columnLetter,INDEX(IF(_xlpm._isAdditionalElement,Table24[Comment Column],Table25[Comment Column]),_xlpm._sheetRow),_xlpm._sheetReference,IF(_xlpm._isAssumption,IF(_xlpm._isAdditionalElement,CELL("address",INDEX(INDIRECT("'"&amp;_xlpm._sheetName&amp;"'!"&amp;_xlpm._columnLetter&amp;":"&amp;_xlpm._columnLetter),$Y42)),CELL("address",INDEX(Assumptions!$A:$A,MATCH($A42,Assumptions!$A:$A,0),1))),IF(_xlpm._isAdditionalElement,CELL("address",INDEX(INDIRECT("'"&amp;_xlpm._sheetName&amp;"'!"&amp;_xlpm._columnLetter&amp;":"&amp;_xlpm._columnLetter),$Y42)),CELL("address",INDEX(Countermeasures!$A:$A,MATCH($A42,Countermeasures!$A:$A,0),1)))),_xlpm._start,FIND("]",_xlpm._sheetReference),"'"&amp;SUBSTITUTE(SUBSTITUTE(RIGHT(_xlpm._sheetReference,LEN(_xlpm._sheetReference)-_xlpm._start),"'",""),"!","'!")))</f>
        <v>'Countermeasures'!$A$16</v>
      </c>
      <c r="AA42" s="20" t="str" cm="1">
        <f t="array" ca="1" aca="1" ref="AA42">IF(NOT($L42),_xlfn.LET(_xlpm._value,IF($A42="","",IF($J42,SimpleLookup($A42,Assumptions!$A:$AK),SimpleLookup($A42,Countermeasures!$A:$AN))),IF(_xlpm._value="","",_xlpm._value)),"")</f>
        <v/>
      </c>
      <c r="AB42" s="20" t="str" cm="1">
        <f t="array" ca="1" aca="1" ref="AB42">LookupNames(InverseLookup($A42,Mitigation!$AD$2,Mitigation!$A$2,1,Helper!$B$5,","),'Attack Steps'!$A:$B)</f>
        <v/>
      </c>
      <c r="AC42" s="20" t="str" cm="1">
        <f t="array" ca="1" aca="1" ref="AC42">IF($L42,_xlfn.LET(_xlpm._in,$A42,_xlpm._lastDashNum,LEN(_xlpm._in)-LEN(SUBSTITUTE(_xlpm._in,"-","")),_xlpm._lastDashPos,FIND(CHAR(1),SUBSTITUTE(_xlpm._in,"-",CHAR(1),_xlpm._lastDashNum)),_xlpm._id,LEFT(_xlpm._in,_xlpm._lastDashPos-1),_xlpm._id&amp;"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2" s="20" t="str" cm="1">
        <f t="array" ca="1" aca="1" ref="AD42">_xlfn.LET(_xlpm._countermeasures,InverseLookup($A42,Countermeasures!$AG$2,Countermeasures!$A$2,1,Helper!$B$4,","),LookupNames(_xlpm._countermeasures,Countermeasures!$A:$B))</f>
        <v/>
      </c>
      <c r="AE42" s="20" t="str" cm="1">
        <f t="array" ca="1" aca="1" ref="AE42">IF($E42="","",_xlfn.LET(_xlpm._id,$E42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2" s="20" t="str" cm="1">
        <f t="array" ca="1" aca="1" ref="AF42">IF(OR($A42="",$L42),"",_xlfn.LET(_xlpm._answers,IF($J42,SimpleLookup($A42,Assumptions!$A:$F),SimpleLookup($A42,Countermeasures!$A:$D)),IF(_xlpm._answers="*",IF($J42,SimpleLookup($A42,Assumptions!$A:$C),SimpleLookup($A42,Countermeasures!$A:$C)),"")))</f>
        <v>See IEC 62443</v>
      </c>
      <c r="AG42" s="20" t="str" cm="1">
        <f t="array" ca="1" aca="1" ref="AG42">IF(NOT($L42),"",_xlfn.LET(_xlpm._mappedInMitigation,IFERROR(VLOOKUP($V42,'Attack Steps'!$A:$O,COLUMNS('Attack Steps'!$A:$O),FALSE),""),CreateSearchString(_xlpm._mappedInMitigation)))</f>
        <v/>
      </c>
      <c r="AH42" s="20" t="b">
        <f ca="1">ROW()-ROW($AH$17)=Helper!$B$15</f>
        <v>0</v>
      </c>
      <c r="AI42" s="20" t="str">
        <f t="shared" ca="1" si="6"/>
        <v/>
      </c>
      <c r="AJ42" s="20" cm="1">
        <f t="array" ca="1" aca="1" ref="AJ42">CreateID($AJ$17,$AJ:$AJ,$AI42&lt;&gt;"")</f>
        <v>0</v>
      </c>
    </row>
    <row r="43" spans="1:36" ht="48.75">
      <c r="A43" s="16" t="str">
        <f ca="1">_xlfn.LET(_xlpm._isAssumption,$J43,_xlpm._row,$K43,_xlpm._numActiveAssumptions,Helper!$B$8,_xlpm._numActiveCountermeasures,Helper!$B$9,_xlpm._numAdditionalAssumptions,Helper!$B$10,_xlpm._numAdditionalCountermeasures,Helper!$B$11,IF(_xlpm._isAssumption,IF(_xlpm._row&gt;_xlpm._numActiveAssumptions,$V43&amp;"-A"&amp;$Q43,INDEX(Assumptions!A:A,MATCH(_xlpm._row,Assumptions!$AG:$AG,0))),IF(_xlpm._row&gt;_xlpm._numActiveCountermeasures+_xlpm._numAdditionalCountermeasures,"",IF(_xlpm._row&gt;_xlpm._numActiveCountermeasures,$V43&amp;"-C"&amp;$Q43,INDEX(Countermeasures!$A:$A,MATCH(_xlpm._row,Countermeasures!$AI:$AI,0))))))</f>
        <v>C14</v>
      </c>
      <c r="B43" s="16" t="str" cm="1">
        <f t="array" ca="1" aca="1" ref="B43">IF($A43="","",_xlfn.LET(_xlpm._isAssumption,$J43,_xlpm._isAdditionalElement,$L43,IF(_xlpm._isAdditionalElement,IF(_xlpm._isAssumption,ParseElementsFromComment($U43,Definitions!$AR$4,Definitions!$AS$4,Definitions!$AR$6,$Q43),ParseElementsFromComment($U43,Definitions!$AR$5,Definitions!$AS$5,Definitions!$AR$6,$Q43)),_xlfn.LET(_xlpm._value,IF($A43="","",IF($J43,SimpleLookup($A43,Assumptions!$A:$B),SimpleLookup($A43,Countermeasures!$A:$B))),IF(_xlpm._value="","",_xlpm._value)))))</f>
        <v>CR 3.4 – Software and information integrity</v>
      </c>
      <c r="C43" s="16" t="str" cm="1">
        <f t="array" ca="1" aca="1" ref="C43">IF($A43="","",IF($J43,IFERROR(SimpleLookup($A43,Assumptions!$A:$E),""),Definitions!$AO$4))</f>
        <v>acontis techonlogies GmbH</v>
      </c>
      <c r="D43" s="36" t="str">
        <f t="shared" ca="1" si="2"/>
        <v xml:space="preserve">═══════════════════════════════════════════════════════════════
Comments of related questions / answers:
––––––––––––––––––––––––––––––––––––––––––––––––––––––––––––––––––––––––––––––––––––
QA2 </v>
      </c>
      <c r="E43" s="13"/>
      <c r="F43" s="59" t="str">
        <f t="shared" ca="1" si="3"/>
        <v>click me</v>
      </c>
      <c r="G43" s="122" t="str" cm="1">
        <f t="array" ca="1" aca="1" ref="G43">_xlfn.LET(_xlpm._val,IFERROR(SimpleLookup($A43,Countermeasures!$A:$R),IFERROR(SimpleLookup($A43,Assumptions!$A:$R),"")),IF(_xlpm._val="","",_xlpm._val))</f>
        <v/>
      </c>
      <c r="H43" s="16" t="str" cm="1">
        <f t="array" ca="1" aca="1" ref="H43">_xlfn.LET(_xlpm._value,IF($A43="","",IFERROR(IF($J43,SimpleLookup($A43,Assumptions!$A:$S),SimpleLookup($A43,Countermeasures!$A:$S)),"")),IF(_xlpm._value="","",_xlpm._value))</f>
        <v/>
      </c>
      <c r="I43" s="10" cm="1">
        <f t="array" ca="1" aca="1" ref="I43">IF(ROW()=ROW($I$17)+1,0,INDEX($I:$I,ROW()-1))+IF($A43="",0,1)</f>
        <v>26</v>
      </c>
      <c r="J43" s="10" t="b">
        <f ca="1">_xlfn.LET(_xlpm._row,ROW()-ROW($K$17),_xlpm._numActiveAssumptions,Helper!$B$8,_xlpm._numAdditionalAssumptions,SUM(Table24['# Elements]),_xlpm._row&lt;=_xlpm._numActiveAssumptions+_xlpm._numAdditionalAssumptions)</f>
        <v>0</v>
      </c>
      <c r="K43" s="21">
        <f ca="1">_xlfn.LET(_xlpm._row,ROW()-ROW($K$17),_xlpm._numActiveAssumptions,Helper!$B$8,_xlpm._numAdditionalAssumptions,Helper!$B$10,_xlpm._isAssumption,$J43,_xlpm._elementID,IF(_xlpm._isAssumption,_xlpm._row,_xlpm._row-_xlpm._numActiveAssumptions-_xlpm._numAdditionalAssumptions),_xlpm._elementID)</f>
        <v>8</v>
      </c>
      <c r="L43"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3" s="20" cm="1">
        <f t="array" ca="1" aca="1" ref="M43">IF($L43,IF(ROW()=ROW($M$17)+1,1,INDEX($M:$M,ROW()-1)+IF(INDEX($T:$T,ROW()-1),1,0)),1)</f>
        <v>1</v>
      </c>
      <c r="N43" s="14" t="str" cm="1">
        <f t="array" ca="1" aca="1" ref="N43">IF($L43=TRUE,_xlfn.LET(_xlpm._isAssumption,$J43,_xlpm._indexRange,IF(_xlpm._isAssumption,Table24['# Elements],Table25['# Elements]),_xlpm._lookupRow,$W43,INDEX(_xlpm._indexRange,_xlpm._lookupRow)),"")</f>
        <v/>
      </c>
      <c r="O43" s="20" t="str" cm="1">
        <f t="array" ca="1" aca="1" ref="O43">IF($N43="","",_xlfn.LET(_xlpm._prevRow,ROW()-1,IF(OR(INDEX($N:$N,_xlpm._prevRow)&lt;&gt;$N43,INDEX($M:$M,_xlpm._prevRow)&lt;&gt;$M43),1,INDEX($O:$O,_xlpm._prevRow)+IF(INDEX($S:$S,_xlpm._prevRow),1,0))))</f>
        <v/>
      </c>
      <c r="P43" s="20" t="str" cm="1">
        <f t="array" ca="1" aca="1" ref="P43">IF($O43="","",_xlfn.LET(_xlpm._isAssumption,$J43,_xlpm._sheetRow,$W43,_xlpm._sheetName,$X43,_xlpm._elementIDRange,IF(_xlpm._isAssumption,Table24[Element ID Column],Table25[Element ID Column]),_xlpm._numberOfElementsRange,IF(_xlpm._isAssumption,Table24[Number of Elements Column],Table25[Number of Elements Column]),SimpleLookup($O43,INDIRECT("'"&amp;_xlpm._sheetName&amp;"'!"&amp;INDEX(_xlpm._elementIDRange,_xlpm._sheetRow)&amp;":"&amp;INDEX(_xlpm._numberOfElementsRange,_xlpm._sheetRow)))))</f>
        <v/>
      </c>
      <c r="Q43" s="20" t="str" cm="1">
        <f t="array" ca="1" aca="1" ref="Q43">IF($O43="","",IF(OR(INDEX($O:$O,ROW()-1)&lt;&gt;$O43,INDEX($M:$M,ROW()-1)&lt;&gt;$M43),1,INDEX($Q:$Q,ROW()-1)+1))</f>
        <v/>
      </c>
      <c r="R43" s="20">
        <f t="shared" ca="1" si="4"/>
        <v>0</v>
      </c>
      <c r="S43" s="20" t="str">
        <f t="shared" ca="1" si="5"/>
        <v/>
      </c>
      <c r="T43" s="20" t="b">
        <f ca="1">_xlfn.LET(_xlpm._isAssumption,$J43,_xlpm._numberOfElementsRange,IF(_xlpm._isAssumption,Table24['# Elements],Table25['# Elements]),_xlpm._sheetRow,$W43,IF($L43,AND($S43,$R43=$N43),FALSE))</f>
        <v>0</v>
      </c>
      <c r="U43" s="20" t="str" cm="1">
        <f t="array" ca="1" aca="1" ref="U43">IF($L43,_xlfn.LET(_xlpm._elementID,$O43,_xlpm._isAssumption,$J43,_xlpm._sheetRow,$W43,_xlpm._sheetName,$X43,_xlpm._elementRow,$Y43,_xlpm._resultColumnLetter,IF(_xlpm._isAssumption,INDEX(Table24[Comment Column],_xlpm._sheetRow),INDEX(Table25[Comment Column],_xlpm._sheetRow)),INDEX(INDIRECT("'"&amp;_xlpm._sheetName&amp;"'!"&amp;_xlpm._resultColumnLetter&amp;":"&amp;_xlpm._resultColumnLetter),_xlpm._elementRow)),"")</f>
        <v/>
      </c>
      <c r="V43" s="20" t="str" cm="1">
        <f t="array" ca="1" aca="1" ref="V43">IF($L43,_xlfn.LET(_xlpm._elementID,$O43,_xlpm._isAssumption,$J43,_xlpm._sheetRow,$W43,_xlpm._sheetName,$X43,_xlpm._resultColumnLetter,IF(_xlpm._isAssumption,INDEX(Table24[Sheet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3" s="20" t="str">
        <f ca="1">IF($L43=TRUE,_xlfn.LET(_xlpm._isAssumption,$J43,_xlpm._searchRange,IF(_xlpm._isAssumption,Table24[Task Sheet Shadow ID],Table25[Task Sheet Shadow ID]),MATCH($M43,_xlpm._searchRange,0)),"")</f>
        <v/>
      </c>
      <c r="X43" s="20" t="str" cm="1">
        <f t="array" ca="1" aca="1" ref="X43">IF($L43,_xlfn.LET(_xlpm._isAssumption,$J43,_xlpm._sheetRow,$W43,IF(_xlpm._isAssumption,INDEX(Table24[Sheet Name],_xlpm._sheetRow),INDEX(Table25[Sheet Name],_xlpm._sheetRow))),"")</f>
        <v/>
      </c>
      <c r="Y43" s="20" t="str" cm="1">
        <f t="array" ca="1" aca="1" ref="Y43">IF($L43,_xlfn.LET(_xlpm._elementID,$O43,_xlpm._isAssumption,$J43,_xlpm._sheetRow,$W43,_xlpm._sheetName,$X43,_xlpm._elementIDColumnLetter,IF(_xlpm._isAssumption,INDEX(Table24[Element ID Column],_xlpm._sheetRow),INDEX(Table25[Element ID Column],_xlpm._sheetRow)),MATCH(_xlpm._elementID,INDIRECT("'"&amp;_xlpm._sheetName&amp;"'!"&amp;_xlpm._elementIDColumnLetter&amp;":"&amp;_xlpm._elementIDColumnLetter),0)),"")</f>
        <v/>
      </c>
      <c r="Z43" s="20" t="str" cm="1">
        <f t="array" ca="1" aca="1" ref="Z43">IF($A43="","",_xlfn.LET(_xlpm._isAssumption,$J43,_xlpm._isAdditionalElement,$L43,_xlpm._sheetRow,$W43,_xlpm._sheetName,$X43,_xlpm._columnLetter,INDEX(IF(_xlpm._isAdditionalElement,Table24[Comment Column],Table25[Comment Column]),_xlpm._sheetRow),_xlpm._sheetReference,IF(_xlpm._isAssumption,IF(_xlpm._isAdditionalElement,CELL("address",INDEX(INDIRECT("'"&amp;_xlpm._sheetName&amp;"'!"&amp;_xlpm._columnLetter&amp;":"&amp;_xlpm._columnLetter),$Y43)),CELL("address",INDEX(Assumptions!$A:$A,MATCH($A43,Assumptions!$A:$A,0),1))),IF(_xlpm._isAdditionalElement,CELL("address",INDEX(INDIRECT("'"&amp;_xlpm._sheetName&amp;"'!"&amp;_xlpm._columnLetter&amp;":"&amp;_xlpm._columnLetter),$Y43)),CELL("address",INDEX(Countermeasures!$A:$A,MATCH($A43,Countermeasures!$A:$A,0),1)))),_xlpm._start,FIND("]",_xlpm._sheetReference),"'"&amp;SUBSTITUTE(SUBSTITUTE(RIGHT(_xlpm._sheetReference,LEN(_xlpm._sheetReference)-_xlpm._start),"'",""),"!","'!")))</f>
        <v>'Countermeasures'!$A$17</v>
      </c>
      <c r="AA43" s="20" t="str" cm="1">
        <f t="array" ca="1" aca="1" ref="AA43">IF(NOT($L43),_xlfn.LET(_xlpm._value,IF($A43="","",IF($J43,SimpleLookup($A43,Assumptions!$A:$AK),SimpleLookup($A43,Countermeasures!$A:$AN))),IF(_xlpm._value="","",_xlpm._value)),"")</f>
        <v xml:space="preserve">QA2 </v>
      </c>
      <c r="AB43" s="20" t="str" cm="1">
        <f t="array" ca="1" aca="1" ref="AB43">LookupNames(InverseLookup($A43,Mitigation!$AD$2,Mitigation!$A$2,1,Helper!$B$5,","),'Attack Steps'!$A:$B)</f>
        <v/>
      </c>
      <c r="AC43" s="20" t="str" cm="1">
        <f t="array" ca="1" aca="1" ref="AC43">IF($L43,_xlfn.LET(_xlpm._in,$A43,_xlpm._lastDashNum,LEN(_xlpm._in)-LEN(SUBSTITUTE(_xlpm._in,"-","")),_xlpm._lastDashPos,FIND(CHAR(1),SUBSTITUTE(_xlpm._in,"-",CHAR(1),_xlpm._lastDashNum)),_xlpm._id,LEFT(_xlpm._in,_xlpm._lastDashPos-1),_xlpm._id&amp;"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3" s="20" t="str" cm="1">
        <f t="array" ca="1" aca="1" ref="AD43">_xlfn.LET(_xlpm._countermeasures,InverseLookup($A43,Countermeasures!$AG$2,Countermeasures!$A$2,1,Helper!$B$4,","),LookupNames(_xlpm._countermeasures,Countermeasures!$A:$B))</f>
        <v/>
      </c>
      <c r="AE43" s="20" t="str" cm="1">
        <f t="array" ca="1" aca="1" ref="AE43">IF($E43="","",_xlfn.LET(_xlpm._id,$E43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3" s="20" t="str" cm="1">
        <f t="array" ca="1" aca="1" ref="AF43">IF(OR($A43="",$L43),"",_xlfn.LET(_xlpm._answers,IF($J43,SimpleLookup($A43,Assumptions!$A:$F),SimpleLookup($A43,Countermeasures!$A:$D)),IF(_xlpm._answers="*",IF($J43,SimpleLookup($A43,Assumptions!$A:$C),SimpleLookup($A43,Countermeasures!$A:$C)),"")))</f>
        <v/>
      </c>
      <c r="AG43" s="20" t="str" cm="1">
        <f t="array" ca="1" aca="1" ref="AG43">IF(NOT($L43),"",_xlfn.LET(_xlpm._mappedInMitigation,IFERROR(VLOOKUP($V43,'Attack Steps'!$A:$O,COLUMNS('Attack Steps'!$A:$O),FALSE),""),CreateSearchString(_xlpm._mappedInMitigation)))</f>
        <v/>
      </c>
      <c r="AH43" s="20" t="b">
        <f ca="1">ROW()-ROW($AH$17)=Helper!$B$15</f>
        <v>0</v>
      </c>
      <c r="AI43" s="20" t="str">
        <f t="shared" ca="1" si="6"/>
        <v/>
      </c>
      <c r="AJ43" s="20" cm="1">
        <f t="array" ca="1" aca="1" ref="AJ43">CreateID($AJ$17,$AJ:$AJ,$AI43&lt;&gt;"")</f>
        <v>0</v>
      </c>
    </row>
    <row r="44" spans="1:36" ht="90">
      <c r="A44" s="16" t="str">
        <f ca="1">_xlfn.LET(_xlpm._isAssumption,$J44,_xlpm._row,$K44,_xlpm._numActiveAssumptions,Helper!$B$8,_xlpm._numActiveCountermeasures,Helper!$B$9,_xlpm._numAdditionalAssumptions,Helper!$B$10,_xlpm._numAdditionalCountermeasures,Helper!$B$11,IF(_xlpm._isAssumption,IF(_xlpm._row&gt;_xlpm._numActiveAssumptions,$V44&amp;"-A"&amp;$Q44,INDEX(Assumptions!A:A,MATCH(_xlpm._row,Assumptions!$AG:$AG,0))),IF(_xlpm._row&gt;_xlpm._numActiveCountermeasures+_xlpm._numAdditionalCountermeasures,"",IF(_xlpm._row&gt;_xlpm._numActiveCountermeasures,$V44&amp;"-C"&amp;$Q44,INDEX(Countermeasures!$A:$A,MATCH(_xlpm._row,Countermeasures!$AI:$AI,0))))))</f>
        <v>C15</v>
      </c>
      <c r="B44" s="16" t="str" cm="1">
        <f t="array" ca="1" aca="1" ref="B44">IF($A44="","",_xlfn.LET(_xlpm._isAssumption,$J44,_xlpm._isAdditionalElement,$L44,IF(_xlpm._isAdditionalElement,IF(_xlpm._isAssumption,ParseElementsFromComment($U44,Definitions!$AR$4,Definitions!$AS$4,Definitions!$AR$6,$Q44),ParseElementsFromComment($U44,Definitions!$AR$5,Definitions!$AS$5,Definitions!$AR$6,$Q44)),_xlfn.LET(_xlpm._value,IF($A44="","",IF($J44,SimpleLookup($A44,Assumptions!$A:$B),SimpleLookup($A44,Countermeasures!$A:$B))),IF(_xlpm._value="","",_xlpm._value)))))</f>
        <v>CR 3.5 – Input validation</v>
      </c>
      <c r="C44" s="16" t="str" cm="1">
        <f t="array" ca="1" aca="1" ref="C44">IF($A44="","",IF($J44,IFERROR(SimpleLookup($A44,Assumptions!$A:$E),""),Definitions!$AO$4))</f>
        <v>acontis techonlogies GmbH</v>
      </c>
      <c r="D44" s="36" t="str">
        <f t="shared" ca="1" si="2"/>
        <v>═══════════════════════════════════════════════════════════════
Default countermeasure:
––––––––––––––––––––––––––––––––––––––––––––––––––––––––––––––––––––––––––––––––––––
See IEC 62443</v>
      </c>
      <c r="E44" s="13"/>
      <c r="F44" s="59" t="str">
        <f t="shared" ca="1" si="3"/>
        <v>click me</v>
      </c>
      <c r="G44" s="122" t="str" cm="1">
        <f t="array" ca="1" aca="1" ref="G44">_xlfn.LET(_xlpm._val,IFERROR(SimpleLookup($A44,Countermeasures!$A:$R),IFERROR(SimpleLookup($A44,Assumptions!$A:$R),"")),IF(_xlpm._val="","",_xlpm._val))</f>
        <v/>
      </c>
      <c r="H44" s="16" t="str" cm="1">
        <f t="array" ca="1" aca="1" ref="H44">_xlfn.LET(_xlpm._value,IF($A44="","",IFERROR(IF($J44,SimpleLookup($A44,Assumptions!$A:$S),SimpleLookup($A44,Countermeasures!$A:$S)),"")),IF(_xlpm._value="","",_xlpm._value))</f>
        <v xml:space="preserve"> &lt;= one week: The attacker needs a few days to find inputs that circumvent the input validation
Expert: The attacker needs to understand that input validation is operational and how to circumvent it
Sensitive: The attacker needs to understand how the product validates its inputs</v>
      </c>
      <c r="I44" s="10" cm="1">
        <f t="array" ca="1" aca="1" ref="I44">IF(ROW()=ROW($I$17)+1,0,INDEX($I:$I,ROW()-1))+IF($A44="",0,1)</f>
        <v>27</v>
      </c>
      <c r="J44" s="10" t="b">
        <f ca="1">_xlfn.LET(_xlpm._row,ROW()-ROW($K$17),_xlpm._numActiveAssumptions,Helper!$B$8,_xlpm._numAdditionalAssumptions,SUM(Table24['# Elements]),_xlpm._row&lt;=_xlpm._numActiveAssumptions+_xlpm._numAdditionalAssumptions)</f>
        <v>0</v>
      </c>
      <c r="K44" s="21">
        <f ca="1">_xlfn.LET(_xlpm._row,ROW()-ROW($K$17),_xlpm._numActiveAssumptions,Helper!$B$8,_xlpm._numAdditionalAssumptions,Helper!$B$10,_xlpm._isAssumption,$J44,_xlpm._elementID,IF(_xlpm._isAssumption,_xlpm._row,_xlpm._row-_xlpm._numActiveAssumptions-_xlpm._numAdditionalAssumptions),_xlpm._elementID)</f>
        <v>9</v>
      </c>
      <c r="L44"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4" s="20" cm="1">
        <f t="array" ca="1" aca="1" ref="M44">IF($L44,IF(ROW()=ROW($M$17)+1,1,INDEX($M:$M,ROW()-1)+IF(INDEX($T:$T,ROW()-1),1,0)),1)</f>
        <v>1</v>
      </c>
      <c r="N44" s="14" t="str" cm="1">
        <f t="array" ca="1" aca="1" ref="N44">IF($L44=TRUE,_xlfn.LET(_xlpm._isAssumption,$J44,_xlpm._indexRange,IF(_xlpm._isAssumption,Table24['# Elements],Table25['# Elements]),_xlpm._lookupRow,$W44,INDEX(_xlpm._indexRange,_xlpm._lookupRow)),"")</f>
        <v/>
      </c>
      <c r="O44" s="20" t="str" cm="1">
        <f t="array" ca="1" aca="1" ref="O44">IF($N44="","",_xlfn.LET(_xlpm._prevRow,ROW()-1,IF(OR(INDEX($N:$N,_xlpm._prevRow)&lt;&gt;$N44,INDEX($M:$M,_xlpm._prevRow)&lt;&gt;$M44),1,INDEX($O:$O,_xlpm._prevRow)+IF(INDEX($S:$S,_xlpm._prevRow),1,0))))</f>
        <v/>
      </c>
      <c r="P44" s="20" t="str" cm="1">
        <f t="array" ca="1" aca="1" ref="P44">IF($O44="","",_xlfn.LET(_xlpm._isAssumption,$J44,_xlpm._sheetRow,$W44,_xlpm._sheetName,$X44,_xlpm._elementIDRange,IF(_xlpm._isAssumption,Table24[Element ID Column],Table25[Element ID Column]),_xlpm._numberOfElementsRange,IF(_xlpm._isAssumption,Table24[Number of Elements Column],Table25[Number of Elements Column]),SimpleLookup($O44,INDIRECT("'"&amp;_xlpm._sheetName&amp;"'!"&amp;INDEX(_xlpm._elementIDRange,_xlpm._sheetRow)&amp;":"&amp;INDEX(_xlpm._numberOfElementsRange,_xlpm._sheetRow)))))</f>
        <v/>
      </c>
      <c r="Q44" s="20" t="str" cm="1">
        <f t="array" ca="1" aca="1" ref="Q44">IF($O44="","",IF(OR(INDEX($O:$O,ROW()-1)&lt;&gt;$O44,INDEX($M:$M,ROW()-1)&lt;&gt;$M44),1,INDEX($Q:$Q,ROW()-1)+1))</f>
        <v/>
      </c>
      <c r="R44" s="20">
        <f t="shared" ca="1" si="4"/>
        <v>0</v>
      </c>
      <c r="S44" s="20" t="str">
        <f t="shared" ca="1" si="5"/>
        <v/>
      </c>
      <c r="T44" s="20" t="b">
        <f ca="1">_xlfn.LET(_xlpm._isAssumption,$J44,_xlpm._numberOfElementsRange,IF(_xlpm._isAssumption,Table24['# Elements],Table25['# Elements]),_xlpm._sheetRow,$W44,IF($L44,AND($S44,$R44=$N44),FALSE))</f>
        <v>0</v>
      </c>
      <c r="U44" s="20" t="str" cm="1">
        <f t="array" ca="1" aca="1" ref="U44">IF($L44,_xlfn.LET(_xlpm._elementID,$O44,_xlpm._isAssumption,$J44,_xlpm._sheetRow,$W44,_xlpm._sheetName,$X44,_xlpm._elementRow,$Y44,_xlpm._resultColumnLetter,IF(_xlpm._isAssumption,INDEX(Table24[Comment Column],_xlpm._sheetRow),INDEX(Table25[Comment Column],_xlpm._sheetRow)),INDEX(INDIRECT("'"&amp;_xlpm._sheetName&amp;"'!"&amp;_xlpm._resultColumnLetter&amp;":"&amp;_xlpm._resultColumnLetter),_xlpm._elementRow)),"")</f>
        <v/>
      </c>
      <c r="V44" s="20" t="str" cm="1">
        <f t="array" ca="1" aca="1" ref="V44">IF($L44,_xlfn.LET(_xlpm._elementID,$O44,_xlpm._isAssumption,$J44,_xlpm._sheetRow,$W44,_xlpm._sheetName,$X44,_xlpm._resultColumnLetter,IF(_xlpm._isAssumption,INDEX(Table24[Sheet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4" s="20" t="str">
        <f ca="1">IF($L44=TRUE,_xlfn.LET(_xlpm._isAssumption,$J44,_xlpm._searchRange,IF(_xlpm._isAssumption,Table24[Task Sheet Shadow ID],Table25[Task Sheet Shadow ID]),MATCH($M44,_xlpm._searchRange,0)),"")</f>
        <v/>
      </c>
      <c r="X44" s="20" t="str" cm="1">
        <f t="array" ca="1" aca="1" ref="X44">IF($L44,_xlfn.LET(_xlpm._isAssumption,$J44,_xlpm._sheetRow,$W44,IF(_xlpm._isAssumption,INDEX(Table24[Sheet Name],_xlpm._sheetRow),INDEX(Table25[Sheet Name],_xlpm._sheetRow))),"")</f>
        <v/>
      </c>
      <c r="Y44" s="20" t="str" cm="1">
        <f t="array" ca="1" aca="1" ref="Y44">IF($L44,_xlfn.LET(_xlpm._elementID,$O44,_xlpm._isAssumption,$J44,_xlpm._sheetRow,$W44,_xlpm._sheetName,$X44,_xlpm._elementIDColumnLetter,IF(_xlpm._isAssumption,INDEX(Table24[Element ID Column],_xlpm._sheetRow),INDEX(Table25[Element ID Column],_xlpm._sheetRow)),MATCH(_xlpm._elementID,INDIRECT("'"&amp;_xlpm._sheetName&amp;"'!"&amp;_xlpm._elementIDColumnLetter&amp;":"&amp;_xlpm._elementIDColumnLetter),0)),"")</f>
        <v/>
      </c>
      <c r="Z44" s="20" t="str" cm="1">
        <f t="array" ca="1" aca="1" ref="Z44">IF($A44="","",_xlfn.LET(_xlpm._isAssumption,$J44,_xlpm._isAdditionalElement,$L44,_xlpm._sheetRow,$W44,_xlpm._sheetName,$X44,_xlpm._columnLetter,INDEX(IF(_xlpm._isAdditionalElement,Table24[Comment Column],Table25[Comment Column]),_xlpm._sheetRow),_xlpm._sheetReference,IF(_xlpm._isAssumption,IF(_xlpm._isAdditionalElement,CELL("address",INDEX(INDIRECT("'"&amp;_xlpm._sheetName&amp;"'!"&amp;_xlpm._columnLetter&amp;":"&amp;_xlpm._columnLetter),$Y44)),CELL("address",INDEX(Assumptions!$A:$A,MATCH($A44,Assumptions!$A:$A,0),1))),IF(_xlpm._isAdditionalElement,CELL("address",INDEX(INDIRECT("'"&amp;_xlpm._sheetName&amp;"'!"&amp;_xlpm._columnLetter&amp;":"&amp;_xlpm._columnLetter),$Y44)),CELL("address",INDEX(Countermeasures!$A:$A,MATCH($A44,Countermeasures!$A:$A,0),1)))),_xlpm._start,FIND("]",_xlpm._sheetReference),"'"&amp;SUBSTITUTE(SUBSTITUTE(RIGHT(_xlpm._sheetReference,LEN(_xlpm._sheetReference)-_xlpm._start),"'",""),"!","'!")))</f>
        <v>'Countermeasures'!$A$18</v>
      </c>
      <c r="AA44" s="20" t="str" cm="1">
        <f t="array" ca="1" aca="1" ref="AA44">IF(NOT($L44),_xlfn.LET(_xlpm._value,IF($A44="","",IF($J44,SimpleLookup($A44,Assumptions!$A:$AK),SimpleLookup($A44,Countermeasures!$A:$AN))),IF(_xlpm._value="","",_xlpm._value)),"")</f>
        <v/>
      </c>
      <c r="AB44" s="20" t="str" cm="1">
        <f t="array" ca="1" aca="1" ref="AB44">LookupNames(InverseLookup($A44,Mitigation!$AD$2,Mitigation!$A$2,1,Helper!$B$5,","),'Attack Steps'!$A:$B)</f>
        <v/>
      </c>
      <c r="AC44" s="20" t="str" cm="1">
        <f t="array" ca="1" aca="1" ref="AC44">IF($L44,_xlfn.LET(_xlpm._in,$A44,_xlpm._lastDashNum,LEN(_xlpm._in)-LEN(SUBSTITUTE(_xlpm._in,"-","")),_xlpm._lastDashPos,FIND(CHAR(1),SUBSTITUTE(_xlpm._in,"-",CHAR(1),_xlpm._lastDashNum)),_xlpm._id,LEFT(_xlpm._in,_xlpm._lastDashPos-1),_xlpm._id&amp;"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4" s="20" t="str" cm="1">
        <f t="array" ca="1" aca="1" ref="AD44">_xlfn.LET(_xlpm._countermeasures,InverseLookup($A44,Countermeasures!$AG$2,Countermeasures!$A$2,1,Helper!$B$4,","),LookupNames(_xlpm._countermeasures,Countermeasures!$A:$B))</f>
        <v/>
      </c>
      <c r="AE44" s="20" t="str" cm="1">
        <f t="array" ca="1" aca="1" ref="AE44">IF($E44="","",_xlfn.LET(_xlpm._id,$E44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4" s="20" t="str" cm="1">
        <f t="array" ca="1" aca="1" ref="AF44">IF(OR($A44="",$L44),"",_xlfn.LET(_xlpm._answers,IF($J44,SimpleLookup($A44,Assumptions!$A:$F),SimpleLookup($A44,Countermeasures!$A:$D)),IF(_xlpm._answers="*",IF($J44,SimpleLookup($A44,Assumptions!$A:$C),SimpleLookup($A44,Countermeasures!$A:$C)),"")))</f>
        <v>See IEC 62443</v>
      </c>
      <c r="AG44" s="20" t="str" cm="1">
        <f t="array" ca="1" aca="1" ref="AG44">IF(NOT($L44),"",_xlfn.LET(_xlpm._mappedInMitigation,IFERROR(VLOOKUP($V44,'Attack Steps'!$A:$O,COLUMNS('Attack Steps'!$A:$O),FALSE),""),CreateSearchString(_xlpm._mappedInMitigation)))</f>
        <v/>
      </c>
      <c r="AH44" s="20" t="b">
        <f ca="1">ROW()-ROW($AH$17)=Helper!$B$15</f>
        <v>0</v>
      </c>
      <c r="AI44" s="20" t="str">
        <f t="shared" ca="1" si="6"/>
        <v/>
      </c>
      <c r="AJ44" s="20" cm="1">
        <f t="array" ca="1" aca="1" ref="AJ44">CreateID($AJ$17,$AJ:$AJ,$AI44&lt;&gt;"")</f>
        <v>0</v>
      </c>
    </row>
    <row r="45" spans="1:36" ht="84.75">
      <c r="A45" s="16" t="str">
        <f ca="1">_xlfn.LET(_xlpm._isAssumption,$J45,_xlpm._row,$K45,_xlpm._numActiveAssumptions,Helper!$B$8,_xlpm._numActiveCountermeasures,Helper!$B$9,_xlpm._numAdditionalAssumptions,Helper!$B$10,_xlpm._numAdditionalCountermeasures,Helper!$B$11,IF(_xlpm._isAssumption,IF(_xlpm._row&gt;_xlpm._numActiveAssumptions,$V45&amp;"-A"&amp;$Q45,INDEX(Assumptions!A:A,MATCH(_xlpm._row,Assumptions!$AG:$AG,0))),IF(_xlpm._row&gt;_xlpm._numActiveCountermeasures+_xlpm._numAdditionalCountermeasures,"",IF(_xlpm._row&gt;_xlpm._numActiveCountermeasures,$V45&amp;"-C"&amp;$Q45,INDEX(Countermeasures!$A:$A,MATCH(_xlpm._row,Countermeasures!$AI:$AI,0))))))</f>
        <v>C16</v>
      </c>
      <c r="B45" s="16" t="str" cm="1">
        <f t="array" ca="1" aca="1" ref="B45">IF($A45="","",_xlfn.LET(_xlpm._isAssumption,$J45,_xlpm._isAdditionalElement,$L45,IF(_xlpm._isAdditionalElement,IF(_xlpm._isAssumption,ParseElementsFromComment($U45,Definitions!$AR$4,Definitions!$AS$4,Definitions!$AR$6,$Q45),ParseElementsFromComment($U45,Definitions!$AR$5,Definitions!$AS$5,Definitions!$AR$6,$Q45)),_xlfn.LET(_xlpm._value,IF($A45="","",IF($J45,SimpleLookup($A45,Assumptions!$A:$B),SimpleLookup($A45,Countermeasures!$A:$B))),IF(_xlpm._value="","",_xlpm._value)))))</f>
        <v>CR 3.6 – Deterministic output</v>
      </c>
      <c r="C45" s="16" t="str" cm="1">
        <f t="array" ca="1" aca="1" ref="C45">IF($A45="","",IF($J45,IFERROR(SimpleLookup($A45,Assumptions!$A:$E),""),Definitions!$AO$4))</f>
        <v>acontis techonlogies GmbH</v>
      </c>
      <c r="D45" s="36" t="str">
        <f t="shared" ca="1" si="2"/>
        <v>═══════════════════════════════════════════════════════════════
Comments of related questions / answers:
––––––––––––––––––––––––––––––––––––––––––––––––––––––––––––––––––––––––––––––––––––
QI7 EC-Master can be used in all conceivable systems, from large industrial plants (e.g. nuclear power stations) to defence systems, medical equipment and consumer devices.
QI14 see QI7</v>
      </c>
      <c r="E45" s="13"/>
      <c r="F45" s="59" t="str">
        <f t="shared" ca="1" si="3"/>
        <v>click me</v>
      </c>
      <c r="G45" s="122" t="str" cm="1">
        <f t="array" ca="1" aca="1" ref="G45">_xlfn.LET(_xlpm._val,IFERROR(SimpleLookup($A45,Countermeasures!$A:$R),IFERROR(SimpleLookup($A45,Assumptions!$A:$R),"")),IF(_xlpm._val="","",_xlpm._val))</f>
        <v/>
      </c>
      <c r="H45" s="16" t="str" cm="1">
        <f t="array" ca="1" aca="1" ref="H45">_xlfn.LET(_xlpm._value,IF($A45="","",IFERROR(IF($J45,SimpleLookup($A45,Assumptions!$A:$S),SimpleLookup($A45,Countermeasures!$A:$S)),"")),IF(_xlpm._value="","",_xlpm._value))</f>
        <v/>
      </c>
      <c r="I45" s="10" cm="1">
        <f t="array" ca="1" aca="1" ref="I45">IF(ROW()=ROW($I$17)+1,0,INDEX($I:$I,ROW()-1))+IF($A45="",0,1)</f>
        <v>28</v>
      </c>
      <c r="J45" s="10" t="b">
        <f ca="1">_xlfn.LET(_xlpm._row,ROW()-ROW($K$17),_xlpm._numActiveAssumptions,Helper!$B$8,_xlpm._numAdditionalAssumptions,SUM(Table24['# Elements]),_xlpm._row&lt;=_xlpm._numActiveAssumptions+_xlpm._numAdditionalAssumptions)</f>
        <v>0</v>
      </c>
      <c r="K45" s="21">
        <f ca="1">_xlfn.LET(_xlpm._row,ROW()-ROW($K$17),_xlpm._numActiveAssumptions,Helper!$B$8,_xlpm._numAdditionalAssumptions,Helper!$B$10,_xlpm._isAssumption,$J45,_xlpm._elementID,IF(_xlpm._isAssumption,_xlpm._row,_xlpm._row-_xlpm._numActiveAssumptions-_xlpm._numAdditionalAssumptions),_xlpm._elementID)</f>
        <v>10</v>
      </c>
      <c r="L4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5" s="20" cm="1">
        <f t="array" ca="1" aca="1" ref="M45">IF($L45,IF(ROW()=ROW($M$17)+1,1,INDEX($M:$M,ROW()-1)+IF(INDEX($T:$T,ROW()-1),1,0)),1)</f>
        <v>1</v>
      </c>
      <c r="N45" s="14" t="str" cm="1">
        <f t="array" ca="1" aca="1" ref="N45">IF($L45=TRUE,_xlfn.LET(_xlpm._isAssumption,$J45,_xlpm._indexRange,IF(_xlpm._isAssumption,Table24['# Elements],Table25['# Elements]),_xlpm._lookupRow,$W45,INDEX(_xlpm._indexRange,_xlpm._lookupRow)),"")</f>
        <v/>
      </c>
      <c r="O45" s="20" t="str" cm="1">
        <f t="array" ca="1" aca="1" ref="O45">IF($N45="","",_xlfn.LET(_xlpm._prevRow,ROW()-1,IF(OR(INDEX($N:$N,_xlpm._prevRow)&lt;&gt;$N45,INDEX($M:$M,_xlpm._prevRow)&lt;&gt;$M45),1,INDEX($O:$O,_xlpm._prevRow)+IF(INDEX($S:$S,_xlpm._prevRow),1,0))))</f>
        <v/>
      </c>
      <c r="P45" s="20" t="str" cm="1">
        <f t="array" ca="1" aca="1" ref="P45">IF($O45="","",_xlfn.LET(_xlpm._isAssumption,$J45,_xlpm._sheetRow,$W45,_xlpm._sheetName,$X45,_xlpm._elementIDRange,IF(_xlpm._isAssumption,Table24[Element ID Column],Table25[Element ID Column]),_xlpm._numberOfElementsRange,IF(_xlpm._isAssumption,Table24[Number of Elements Column],Table25[Number of Elements Column]),SimpleLookup($O45,INDIRECT("'"&amp;_xlpm._sheetName&amp;"'!"&amp;INDEX(_xlpm._elementIDRange,_xlpm._sheetRow)&amp;":"&amp;INDEX(_xlpm._numberOfElementsRange,_xlpm._sheetRow)))))</f>
        <v/>
      </c>
      <c r="Q45" s="20" t="str" cm="1">
        <f t="array" ca="1" aca="1" ref="Q45">IF($O45="","",IF(OR(INDEX($O:$O,ROW()-1)&lt;&gt;$O45,INDEX($M:$M,ROW()-1)&lt;&gt;$M45),1,INDEX($Q:$Q,ROW()-1)+1))</f>
        <v/>
      </c>
      <c r="R45" s="20">
        <f t="shared" ca="1" si="4"/>
        <v>0</v>
      </c>
      <c r="S45" s="20" t="str">
        <f t="shared" ca="1" si="5"/>
        <v/>
      </c>
      <c r="T45" s="20" t="b">
        <f ca="1">_xlfn.LET(_xlpm._isAssumption,$J45,_xlpm._numberOfElementsRange,IF(_xlpm._isAssumption,Table24['# Elements],Table25['# Elements]),_xlpm._sheetRow,$W45,IF($L45,AND($S45,$R45=$N45),FALSE))</f>
        <v>0</v>
      </c>
      <c r="U45" s="20" t="str" cm="1">
        <f t="array" ca="1" aca="1" ref="U45">IF($L45,_xlfn.LET(_xlpm._elementID,$O45,_xlpm._isAssumption,$J45,_xlpm._sheetRow,$W45,_xlpm._sheetName,$X45,_xlpm._elementRow,$Y45,_xlpm._resultColumnLetter,IF(_xlpm._isAssumption,INDEX(Table24[Comment Column],_xlpm._sheetRow),INDEX(Table25[Comment Column],_xlpm._sheetRow)),INDEX(INDIRECT("'"&amp;_xlpm._sheetName&amp;"'!"&amp;_xlpm._resultColumnLetter&amp;":"&amp;_xlpm._resultColumnLetter),_xlpm._elementRow)),"")</f>
        <v/>
      </c>
      <c r="V45" s="20" t="str" cm="1">
        <f t="array" ca="1" aca="1" ref="V45">IF($L45,_xlfn.LET(_xlpm._elementID,$O45,_xlpm._isAssumption,$J45,_xlpm._sheetRow,$W45,_xlpm._sheetName,$X45,_xlpm._resultColumnLetter,IF(_xlpm._isAssumption,INDEX(Table24[Sheet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5" s="20" t="str">
        <f ca="1">IF($L45=TRUE,_xlfn.LET(_xlpm._isAssumption,$J45,_xlpm._searchRange,IF(_xlpm._isAssumption,Table24[Task Sheet Shadow ID],Table25[Task Sheet Shadow ID]),MATCH($M45,_xlpm._searchRange,0)),"")</f>
        <v/>
      </c>
      <c r="X45" s="20" t="str" cm="1">
        <f t="array" ca="1" aca="1" ref="X45">IF($L45,_xlfn.LET(_xlpm._isAssumption,$J45,_xlpm._sheetRow,$W45,IF(_xlpm._isAssumption,INDEX(Table24[Sheet Name],_xlpm._sheetRow),INDEX(Table25[Sheet Name],_xlpm._sheetRow))),"")</f>
        <v/>
      </c>
      <c r="Y45" s="20" t="str" cm="1">
        <f t="array" ca="1" aca="1" ref="Y45">IF($L45,_xlfn.LET(_xlpm._elementID,$O45,_xlpm._isAssumption,$J45,_xlpm._sheetRow,$W45,_xlpm._sheetName,$X45,_xlpm._elementIDColumnLetter,IF(_xlpm._isAssumption,INDEX(Table24[Element ID Column],_xlpm._sheetRow),INDEX(Table25[Element ID Column],_xlpm._sheetRow)),MATCH(_xlpm._elementID,INDIRECT("'"&amp;_xlpm._sheetName&amp;"'!"&amp;_xlpm._elementIDColumnLetter&amp;":"&amp;_xlpm._elementIDColumnLetter),0)),"")</f>
        <v/>
      </c>
      <c r="Z45" s="20" t="str" cm="1">
        <f t="array" ca="1" aca="1" ref="Z45">IF($A45="","",_xlfn.LET(_xlpm._isAssumption,$J45,_xlpm._isAdditionalElement,$L45,_xlpm._sheetRow,$W45,_xlpm._sheetName,$X45,_xlpm._columnLetter,INDEX(IF(_xlpm._isAdditionalElement,Table24[Comment Column],Table25[Comment Column]),_xlpm._sheetRow),_xlpm._sheetReference,IF(_xlpm._isAssumption,IF(_xlpm._isAdditionalElement,CELL("address",INDEX(INDIRECT("'"&amp;_xlpm._sheetName&amp;"'!"&amp;_xlpm._columnLetter&amp;":"&amp;_xlpm._columnLetter),$Y45)),CELL("address",INDEX(Assumptions!$A:$A,MATCH($A45,Assumptions!$A:$A,0),1))),IF(_xlpm._isAdditionalElement,CELL("address",INDEX(INDIRECT("'"&amp;_xlpm._sheetName&amp;"'!"&amp;_xlpm._columnLetter&amp;":"&amp;_xlpm._columnLetter),$Y45)),CELL("address",INDEX(Countermeasures!$A:$A,MATCH($A45,Countermeasures!$A:$A,0),1)))),_xlpm._start,FIND("]",_xlpm._sheetReference),"'"&amp;SUBSTITUTE(SUBSTITUTE(RIGHT(_xlpm._sheetReference,LEN(_xlpm._sheetReference)-_xlpm._start),"'",""),"!","'!")))</f>
        <v>'Countermeasures'!$A$19</v>
      </c>
      <c r="AA45" s="20" t="str" cm="1">
        <f t="array" ca="1" aca="1" ref="AA45">IF(NOT($L45),_xlfn.LET(_xlpm._value,IF($A45="","",IF($J45,SimpleLookup($A45,Assumptions!$A:$AK),SimpleLookup($A45,Countermeasures!$A:$AN))),IF(_xlpm._value="","",_xlpm._value)),"")</f>
        <v>QI7 EC-Master can be used in all conceivable systems, from large industrial plants (e.g. nuclear power stations) to defence systems, medical equipment and consumer devices.
QI14 see QI7</v>
      </c>
      <c r="AB45" s="20" t="str" cm="1">
        <f t="array" ca="1" aca="1" ref="AB45">LookupNames(InverseLookup($A45,Mitigation!$AD$2,Mitigation!$A$2,1,Helper!$B$5,","),'Attack Steps'!$A:$B)</f>
        <v/>
      </c>
      <c r="AC45" s="20" t="str" cm="1">
        <f t="array" ca="1" aca="1" ref="AC45">IF($L45,_xlfn.LET(_xlpm._in,$A45,_xlpm._lastDashNum,LEN(_xlpm._in)-LEN(SUBSTITUTE(_xlpm._in,"-","")),_xlpm._lastDashPos,FIND(CHAR(1),SUBSTITUTE(_xlpm._in,"-",CHAR(1),_xlpm._lastDashNum)),_xlpm._id,LEFT(_xlpm._in,_xlpm._lastDashPos-1),_xlpm._id&amp;"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5" s="20" t="str" cm="1">
        <f t="array" ca="1" aca="1" ref="AD45">_xlfn.LET(_xlpm._countermeasures,InverseLookup($A45,Countermeasures!$AG$2,Countermeasures!$A$2,1,Helper!$B$4,","),LookupNames(_xlpm._countermeasures,Countermeasures!$A:$B))</f>
        <v/>
      </c>
      <c r="AE45" s="20" t="str" cm="1">
        <f t="array" ca="1" aca="1" ref="AE45">IF($E45="","",_xlfn.LET(_xlpm._id,$E45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5" s="20" t="str" cm="1">
        <f t="array" ca="1" aca="1" ref="AF45">IF(OR($A45="",$L45),"",_xlfn.LET(_xlpm._answers,IF($J45,SimpleLookup($A45,Assumptions!$A:$F),SimpleLookup($A45,Countermeasures!$A:$D)),IF(_xlpm._answers="*",IF($J45,SimpleLookup($A45,Assumptions!$A:$C),SimpleLookup($A45,Countermeasures!$A:$C)),"")))</f>
        <v/>
      </c>
      <c r="AG45" s="20" t="str" cm="1">
        <f t="array" ca="1" aca="1" ref="AG45">IF(NOT($L45),"",_xlfn.LET(_xlpm._mappedInMitigation,IFERROR(VLOOKUP($V45,'Attack Steps'!$A:$O,COLUMNS('Attack Steps'!$A:$O),FALSE),""),CreateSearchString(_xlpm._mappedInMitigation)))</f>
        <v/>
      </c>
      <c r="AH45" s="20" t="b">
        <f ca="1">ROW()-ROW($AH$17)=Helper!$B$15</f>
        <v>0</v>
      </c>
      <c r="AI45" s="20" t="str">
        <f t="shared" ca="1" si="6"/>
        <v/>
      </c>
      <c r="AJ45" s="20" cm="1">
        <f t="array" ca="1" aca="1" ref="AJ45">CreateID($AJ$17,$AJ:$AJ,$AI45&lt;&gt;"")</f>
        <v>0</v>
      </c>
    </row>
    <row r="46" spans="1:36" ht="48.75">
      <c r="A46" s="16" t="str">
        <f ca="1">_xlfn.LET(_xlpm._isAssumption,$J46,_xlpm._row,$K46,_xlpm._numActiveAssumptions,Helper!$B$8,_xlpm._numActiveCountermeasures,Helper!$B$9,_xlpm._numAdditionalAssumptions,Helper!$B$10,_xlpm._numAdditionalCountermeasures,Helper!$B$11,IF(_xlpm._isAssumption,IF(_xlpm._row&gt;_xlpm._numActiveAssumptions,$V46&amp;"-A"&amp;$Q46,INDEX(Assumptions!A:A,MATCH(_xlpm._row,Assumptions!$AG:$AG,0))),IF(_xlpm._row&gt;_xlpm._numActiveCountermeasures+_xlpm._numAdditionalCountermeasures,"",IF(_xlpm._row&gt;_xlpm._numActiveCountermeasures,$V46&amp;"-C"&amp;$Q46,INDEX(Countermeasures!$A:$A,MATCH(_xlpm._row,Countermeasures!$AI:$AI,0))))))</f>
        <v>C19</v>
      </c>
      <c r="B46" s="16" t="str" cm="1">
        <f t="array" ca="1" aca="1" ref="B46">IF($A46="","",_xlfn.LET(_xlpm._isAssumption,$J46,_xlpm._isAdditionalElement,$L46,IF(_xlpm._isAdditionalElement,IF(_xlpm._isAssumption,ParseElementsFromComment($U46,Definitions!$AR$4,Definitions!$AS$4,Definitions!$AR$6,$Q46),ParseElementsFromComment($U46,Definitions!$AR$5,Definitions!$AS$5,Definitions!$AR$6,$Q46)),_xlfn.LET(_xlpm._value,IF($A46="","",IF($J46,SimpleLookup($A46,Assumptions!$A:$B),SimpleLookup($A46,Countermeasures!$A:$B))),IF(_xlpm._value="","",_xlpm._value)))))</f>
        <v>CR 5.1 – Network segmentation</v>
      </c>
      <c r="C46" s="16" t="str" cm="1">
        <f t="array" ca="1" aca="1" ref="C46">IF($A46="","",IF($J46,IFERROR(SimpleLookup($A46,Assumptions!$A:$E),""),Definitions!$AO$4))</f>
        <v>acontis techonlogies GmbH</v>
      </c>
      <c r="D46" s="36" t="str">
        <f t="shared" ca="1" si="2"/>
        <v>═══════════════════════════════════════════════════════════════
Comments of related questions / answers:
––––––––––––––––––––––––––––––––––––––––––––––––––––––––––––––––––––––––––––––––––––
QA9 RAS, Layer 2 switch, EtherCAT</v>
      </c>
      <c r="E46" s="13"/>
      <c r="F46" s="59" t="str">
        <f t="shared" ca="1" si="3"/>
        <v>click me</v>
      </c>
      <c r="G46" s="122" t="str" cm="1">
        <f t="array" ca="1" aca="1" ref="G46">_xlfn.LET(_xlpm._val,IFERROR(SimpleLookup($A46,Countermeasures!$A:$R),IFERROR(SimpleLookup($A46,Assumptions!$A:$R),"")),IF(_xlpm._val="","",_xlpm._val))</f>
        <v/>
      </c>
      <c r="H46" s="16" t="str" cm="1">
        <f t="array" ca="1" aca="1" ref="H46">_xlfn.LET(_xlpm._value,IF($A46="","",IFERROR(IF($J46,SimpleLookup($A46,Assumptions!$A:$S),SimpleLookup($A46,Countermeasures!$A:$S)),"")),IF(_xlpm._value="","",_xlpm._value))</f>
        <v/>
      </c>
      <c r="I46" s="10" cm="1">
        <f t="array" ca="1" aca="1" ref="I46">IF(ROW()=ROW($I$17)+1,0,INDEX($I:$I,ROW()-1))+IF($A46="",0,1)</f>
        <v>29</v>
      </c>
      <c r="J46" s="10" t="b">
        <f ca="1">_xlfn.LET(_xlpm._row,ROW()-ROW($K$17),_xlpm._numActiveAssumptions,Helper!$B$8,_xlpm._numAdditionalAssumptions,SUM(Table24['# Elements]),_xlpm._row&lt;=_xlpm._numActiveAssumptions+_xlpm._numAdditionalAssumptions)</f>
        <v>0</v>
      </c>
      <c r="K46" s="21">
        <f ca="1">_xlfn.LET(_xlpm._row,ROW()-ROW($K$17),_xlpm._numActiveAssumptions,Helper!$B$8,_xlpm._numAdditionalAssumptions,Helper!$B$10,_xlpm._isAssumption,$J46,_xlpm._elementID,IF(_xlpm._isAssumption,_xlpm._row,_xlpm._row-_xlpm._numActiveAssumptions-_xlpm._numAdditionalAssumptions),_xlpm._elementID)</f>
        <v>11</v>
      </c>
      <c r="L4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6" s="20" cm="1">
        <f t="array" ca="1" aca="1" ref="M46">IF($L46,IF(ROW()=ROW($M$17)+1,1,INDEX($M:$M,ROW()-1)+IF(INDEX($T:$T,ROW()-1),1,0)),1)</f>
        <v>1</v>
      </c>
      <c r="N46" s="14" t="str" cm="1">
        <f t="array" ca="1" aca="1" ref="N46">IF($L46=TRUE,_xlfn.LET(_xlpm._isAssumption,$J46,_xlpm._indexRange,IF(_xlpm._isAssumption,Table24['# Elements],Table25['# Elements]),_xlpm._lookupRow,$W46,INDEX(_xlpm._indexRange,_xlpm._lookupRow)),"")</f>
        <v/>
      </c>
      <c r="O46" s="20" t="str" cm="1">
        <f t="array" ca="1" aca="1" ref="O46">IF($N46="","",_xlfn.LET(_xlpm._prevRow,ROW()-1,IF(OR(INDEX($N:$N,_xlpm._prevRow)&lt;&gt;$N46,INDEX($M:$M,_xlpm._prevRow)&lt;&gt;$M46),1,INDEX($O:$O,_xlpm._prevRow)+IF(INDEX($S:$S,_xlpm._prevRow),1,0))))</f>
        <v/>
      </c>
      <c r="P46" s="20" t="str" cm="1">
        <f t="array" ca="1" aca="1" ref="P46">IF($O46="","",_xlfn.LET(_xlpm._isAssumption,$J46,_xlpm._sheetRow,$W46,_xlpm._sheetName,$X46,_xlpm._elementIDRange,IF(_xlpm._isAssumption,Table24[Element ID Column],Table25[Element ID Column]),_xlpm._numberOfElementsRange,IF(_xlpm._isAssumption,Table24[Number of Elements Column],Table25[Number of Elements Column]),SimpleLookup($O46,INDIRECT("'"&amp;_xlpm._sheetName&amp;"'!"&amp;INDEX(_xlpm._elementIDRange,_xlpm._sheetRow)&amp;":"&amp;INDEX(_xlpm._numberOfElementsRange,_xlpm._sheetRow)))))</f>
        <v/>
      </c>
      <c r="Q46" s="20" t="str" cm="1">
        <f t="array" ca="1" aca="1" ref="Q46">IF($O46="","",IF(OR(INDEX($O:$O,ROW()-1)&lt;&gt;$O46,INDEX($M:$M,ROW()-1)&lt;&gt;$M46),1,INDEX($Q:$Q,ROW()-1)+1))</f>
        <v/>
      </c>
      <c r="R46" s="20">
        <f t="shared" ca="1" si="4"/>
        <v>0</v>
      </c>
      <c r="S46" s="20" t="str">
        <f t="shared" ca="1" si="5"/>
        <v/>
      </c>
      <c r="T46" s="20" t="b">
        <f ca="1">_xlfn.LET(_xlpm._isAssumption,$J46,_xlpm._numberOfElementsRange,IF(_xlpm._isAssumption,Table24['# Elements],Table25['# Elements]),_xlpm._sheetRow,$W46,IF($L46,AND($S46,$R46=$N46),FALSE))</f>
        <v>0</v>
      </c>
      <c r="U46" s="20" t="str" cm="1">
        <f t="array" ca="1" aca="1" ref="U46">IF($L46,_xlfn.LET(_xlpm._elementID,$O46,_xlpm._isAssumption,$J46,_xlpm._sheetRow,$W46,_xlpm._sheetName,$X46,_xlpm._elementRow,$Y46,_xlpm._resultColumnLetter,IF(_xlpm._isAssumption,INDEX(Table24[Comment Column],_xlpm._sheetRow),INDEX(Table25[Comment Column],_xlpm._sheetRow)),INDEX(INDIRECT("'"&amp;_xlpm._sheetName&amp;"'!"&amp;_xlpm._resultColumnLetter&amp;":"&amp;_xlpm._resultColumnLetter),_xlpm._elementRow)),"")</f>
        <v/>
      </c>
      <c r="V46" s="20" t="str" cm="1">
        <f t="array" ca="1" aca="1" ref="V46">IF($L46,_xlfn.LET(_xlpm._elementID,$O46,_xlpm._isAssumption,$J46,_xlpm._sheetRow,$W46,_xlpm._sheetName,$X46,_xlpm._resultColumnLetter,IF(_xlpm._isAssumption,INDEX(Table24[Sheet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6" s="20" t="str">
        <f ca="1">IF($L46=TRUE,_xlfn.LET(_xlpm._isAssumption,$J46,_xlpm._searchRange,IF(_xlpm._isAssumption,Table24[Task Sheet Shadow ID],Table25[Task Sheet Shadow ID]),MATCH($M46,_xlpm._searchRange,0)),"")</f>
        <v/>
      </c>
      <c r="X46" s="20" t="str" cm="1">
        <f t="array" ca="1" aca="1" ref="X46">IF($L46,_xlfn.LET(_xlpm._isAssumption,$J46,_xlpm._sheetRow,$W46,IF(_xlpm._isAssumption,INDEX(Table24[Sheet Name],_xlpm._sheetRow),INDEX(Table25[Sheet Name],_xlpm._sheetRow))),"")</f>
        <v/>
      </c>
      <c r="Y46" s="20" t="str" cm="1">
        <f t="array" ca="1" aca="1" ref="Y46">IF($L46,_xlfn.LET(_xlpm._elementID,$O46,_xlpm._isAssumption,$J46,_xlpm._sheetRow,$W46,_xlpm._sheetName,$X46,_xlpm._elementIDColumnLetter,IF(_xlpm._isAssumption,INDEX(Table24[Element ID Column],_xlpm._sheetRow),INDEX(Table25[Element ID Column],_xlpm._sheetRow)),MATCH(_xlpm._elementID,INDIRECT("'"&amp;_xlpm._sheetName&amp;"'!"&amp;_xlpm._elementIDColumnLetter&amp;":"&amp;_xlpm._elementIDColumnLetter),0)),"")</f>
        <v/>
      </c>
      <c r="Z46" s="20" t="str" cm="1">
        <f t="array" ca="1" aca="1" ref="Z46">IF($A46="","",_xlfn.LET(_xlpm._isAssumption,$J46,_xlpm._isAdditionalElement,$L46,_xlpm._sheetRow,$W46,_xlpm._sheetName,$X46,_xlpm._columnLetter,INDEX(IF(_xlpm._isAdditionalElement,Table24[Comment Column],Table25[Comment Column]),_xlpm._sheetRow),_xlpm._sheetReference,IF(_xlpm._isAssumption,IF(_xlpm._isAdditionalElement,CELL("address",INDEX(INDIRECT("'"&amp;_xlpm._sheetName&amp;"'!"&amp;_xlpm._columnLetter&amp;":"&amp;_xlpm._columnLetter),$Y46)),CELL("address",INDEX(Assumptions!$A:$A,MATCH($A46,Assumptions!$A:$A,0),1))),IF(_xlpm._isAdditionalElement,CELL("address",INDEX(INDIRECT("'"&amp;_xlpm._sheetName&amp;"'!"&amp;_xlpm._columnLetter&amp;":"&amp;_xlpm._columnLetter),$Y46)),CELL("address",INDEX(Countermeasures!$A:$A,MATCH($A46,Countermeasures!$A:$A,0),1)))),_xlpm._start,FIND("]",_xlpm._sheetReference),"'"&amp;SUBSTITUTE(SUBSTITUTE(RIGHT(_xlpm._sheetReference,LEN(_xlpm._sheetReference)-_xlpm._start),"'",""),"!","'!")))</f>
        <v>'Countermeasures'!$A$22</v>
      </c>
      <c r="AA46" s="20" t="str" cm="1">
        <f t="array" ca="1" aca="1" ref="AA46">IF(NOT($L46),_xlfn.LET(_xlpm._value,IF($A46="","",IF($J46,SimpleLookup($A46,Assumptions!$A:$AK),SimpleLookup($A46,Countermeasures!$A:$AN))),IF(_xlpm._value="","",_xlpm._value)),"")</f>
        <v>QA9 RAS, Layer 2 switch, EtherCAT</v>
      </c>
      <c r="AB46" s="20" t="str" cm="1">
        <f t="array" ca="1" aca="1" ref="AB46">LookupNames(InverseLookup($A46,Mitigation!$AD$2,Mitigation!$A$2,1,Helper!$B$5,","),'Attack Steps'!$A:$B)</f>
        <v/>
      </c>
      <c r="AC46" s="20" t="str" cm="1">
        <f t="array" ca="1" aca="1" ref="AC46">IF($L46,_xlfn.LET(_xlpm._in,$A46,_xlpm._lastDashNum,LEN(_xlpm._in)-LEN(SUBSTITUTE(_xlpm._in,"-","")),_xlpm._lastDashPos,FIND(CHAR(1),SUBSTITUTE(_xlpm._in,"-",CHAR(1),_xlpm._lastDashNum)),_xlpm._id,LEFT(_xlpm._in,_xlpm._lastDashPos-1),_xlpm._id&amp;"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6" s="20" t="str" cm="1">
        <f t="array" ca="1" aca="1" ref="AD46">_xlfn.LET(_xlpm._countermeasures,InverseLookup($A46,Countermeasures!$AG$2,Countermeasures!$A$2,1,Helper!$B$4,","),LookupNames(_xlpm._countermeasures,Countermeasures!$A:$B))</f>
        <v/>
      </c>
      <c r="AE46" s="20" t="str" cm="1">
        <f t="array" ca="1" aca="1" ref="AE46">IF($E46="","",_xlfn.LET(_xlpm._id,$E46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6" s="20" t="str" cm="1">
        <f t="array" ca="1" aca="1" ref="AF46">IF(OR($A46="",$L46),"",_xlfn.LET(_xlpm._answers,IF($J46,SimpleLookup($A46,Assumptions!$A:$F),SimpleLookup($A46,Countermeasures!$A:$D)),IF(_xlpm._answers="*",IF($J46,SimpleLookup($A46,Assumptions!$A:$C),SimpleLookup($A46,Countermeasures!$A:$C)),"")))</f>
        <v/>
      </c>
      <c r="AG46" s="20" t="str" cm="1">
        <f t="array" ca="1" aca="1" ref="AG46">IF(NOT($L46),"",_xlfn.LET(_xlpm._mappedInMitigation,IFERROR(VLOOKUP($V46,'Attack Steps'!$A:$O,COLUMNS('Attack Steps'!$A:$O),FALSE),""),CreateSearchString(_xlpm._mappedInMitigation)))</f>
        <v/>
      </c>
      <c r="AH46" s="20" t="b">
        <f ca="1">ROW()-ROW($AH$17)=Helper!$B$15</f>
        <v>0</v>
      </c>
      <c r="AI46" s="20" t="str">
        <f t="shared" ca="1" si="6"/>
        <v/>
      </c>
      <c r="AJ46" s="20" cm="1">
        <f t="array" ca="1" aca="1" ref="AJ46">CreateID($AJ$17,$AJ:$AJ,$AI46&lt;&gt;"")</f>
        <v>0</v>
      </c>
    </row>
    <row r="47" spans="1:36" ht="48.75">
      <c r="A47" s="16" t="str">
        <f ca="1">_xlfn.LET(_xlpm._isAssumption,$J47,_xlpm._row,$K47,_xlpm._numActiveAssumptions,Helper!$B$8,_xlpm._numActiveCountermeasures,Helper!$B$9,_xlpm._numAdditionalAssumptions,Helper!$B$10,_xlpm._numAdditionalCountermeasures,Helper!$B$11,IF(_xlpm._isAssumption,IF(_xlpm._row&gt;_xlpm._numActiveAssumptions,$V47&amp;"-A"&amp;$Q47,INDEX(Assumptions!A:A,MATCH(_xlpm._row,Assumptions!$AG:$AG,0))),IF(_xlpm._row&gt;_xlpm._numActiveCountermeasures+_xlpm._numAdditionalCountermeasures,"",IF(_xlpm._row&gt;_xlpm._numActiveCountermeasures,$V47&amp;"-C"&amp;$Q47,INDEX(Countermeasures!$A:$A,MATCH(_xlpm._row,Countermeasures!$AI:$AI,0))))))</f>
        <v>C23</v>
      </c>
      <c r="B47" s="16" t="str" cm="1">
        <f t="array" ca="1" aca="1" ref="B47">IF($A47="","",_xlfn.LET(_xlpm._isAssumption,$J47,_xlpm._isAdditionalElement,$L47,IF(_xlpm._isAdditionalElement,IF(_xlpm._isAssumption,ParseElementsFromComment($U47,Definitions!$AR$4,Definitions!$AS$4,Definitions!$AR$6,$Q47),ParseElementsFromComment($U47,Definitions!$AR$5,Definitions!$AS$5,Definitions!$AR$6,$Q47)),_xlfn.LET(_xlpm._value,IF($A47="","",IF($J47,SimpleLookup($A47,Assumptions!$A:$B),SimpleLookup($A47,Countermeasures!$A:$B))),IF(_xlpm._value="","",_xlpm._value)))))</f>
        <v>CR 7.6 – Network and security configuration settings</v>
      </c>
      <c r="C47" s="16" t="str" cm="1">
        <f t="array" ca="1" aca="1" ref="C47">IF($A47="","",IF($J47,IFERROR(SimpleLookup($A47,Assumptions!$A:$E),""),Definitions!$AO$4))</f>
        <v>acontis techonlogies GmbH</v>
      </c>
      <c r="D47" s="36" t="str">
        <f t="shared" ca="1" si="2"/>
        <v xml:space="preserve">═══════════════════════════════════════════════════════════════
Comments of related questions / answers:
––––––––––––––––––––––––––––––––––––––––––––––––––––––––––––––––––––––––––––––––––––
QA8 </v>
      </c>
      <c r="E47" s="13"/>
      <c r="F47" s="59" t="str">
        <f t="shared" ca="1" si="3"/>
        <v>click me</v>
      </c>
      <c r="G47" s="122" t="str" cm="1">
        <f t="array" ca="1" aca="1" ref="G47">_xlfn.LET(_xlpm._val,IFERROR(SimpleLookup($A47,Countermeasures!$A:$R),IFERROR(SimpleLookup($A47,Assumptions!$A:$R),"")),IF(_xlpm._val="","",_xlpm._val))</f>
        <v/>
      </c>
      <c r="H47" s="16" t="str" cm="1">
        <f t="array" ca="1" aca="1" ref="H47">_xlfn.LET(_xlpm._value,IF($A47="","",IFERROR(IF($J47,SimpleLookup($A47,Assumptions!$A:$S),SimpleLookup($A47,Countermeasures!$A:$S)),"")),IF(_xlpm._value="","",_xlpm._value))</f>
        <v/>
      </c>
      <c r="I47" s="10" cm="1">
        <f t="array" ca="1" aca="1" ref="I47">IF(ROW()=ROW($I$17)+1,0,INDEX($I:$I,ROW()-1))+IF($A47="",0,1)</f>
        <v>30</v>
      </c>
      <c r="J47" s="10" t="b">
        <f ca="1">_xlfn.LET(_xlpm._row,ROW()-ROW($K$17),_xlpm._numActiveAssumptions,Helper!$B$8,_xlpm._numAdditionalAssumptions,SUM(Table24['# Elements]),_xlpm._row&lt;=_xlpm._numActiveAssumptions+_xlpm._numAdditionalAssumptions)</f>
        <v>0</v>
      </c>
      <c r="K47" s="21">
        <f ca="1">_xlfn.LET(_xlpm._row,ROW()-ROW($K$17),_xlpm._numActiveAssumptions,Helper!$B$8,_xlpm._numAdditionalAssumptions,Helper!$B$10,_xlpm._isAssumption,$J47,_xlpm._elementID,IF(_xlpm._isAssumption,_xlpm._row,_xlpm._row-_xlpm._numActiveAssumptions-_xlpm._numAdditionalAssumptions),_xlpm._elementID)</f>
        <v>12</v>
      </c>
      <c r="L4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7" s="20" cm="1">
        <f t="array" ca="1" aca="1" ref="M47">IF($L47,IF(ROW()=ROW($M$17)+1,1,INDEX($M:$M,ROW()-1)+IF(INDEX($T:$T,ROW()-1),1,0)),1)</f>
        <v>1</v>
      </c>
      <c r="N47" s="14" t="str" cm="1">
        <f t="array" ca="1" aca="1" ref="N47">IF($L47=TRUE,_xlfn.LET(_xlpm._isAssumption,$J47,_xlpm._indexRange,IF(_xlpm._isAssumption,Table24['# Elements],Table25['# Elements]),_xlpm._lookupRow,$W47,INDEX(_xlpm._indexRange,_xlpm._lookupRow)),"")</f>
        <v/>
      </c>
      <c r="O47" s="20" t="str" cm="1">
        <f t="array" ca="1" aca="1" ref="O47">IF($N47="","",_xlfn.LET(_xlpm._prevRow,ROW()-1,IF(OR(INDEX($N:$N,_xlpm._prevRow)&lt;&gt;$N47,INDEX($M:$M,_xlpm._prevRow)&lt;&gt;$M47),1,INDEX($O:$O,_xlpm._prevRow)+IF(INDEX($S:$S,_xlpm._prevRow),1,0))))</f>
        <v/>
      </c>
      <c r="P47" s="20" t="str" cm="1">
        <f t="array" ca="1" aca="1" ref="P47">IF($O47="","",_xlfn.LET(_xlpm._isAssumption,$J47,_xlpm._sheetRow,$W47,_xlpm._sheetName,$X47,_xlpm._elementIDRange,IF(_xlpm._isAssumption,Table24[Element ID Column],Table25[Element ID Column]),_xlpm._numberOfElementsRange,IF(_xlpm._isAssumption,Table24[Number of Elements Column],Table25[Number of Elements Column]),SimpleLookup($O47,INDIRECT("'"&amp;_xlpm._sheetName&amp;"'!"&amp;INDEX(_xlpm._elementIDRange,_xlpm._sheetRow)&amp;":"&amp;INDEX(_xlpm._numberOfElementsRange,_xlpm._sheetRow)))))</f>
        <v/>
      </c>
      <c r="Q47" s="20" t="str" cm="1">
        <f t="array" ca="1" aca="1" ref="Q47">IF($O47="","",IF(OR(INDEX($O:$O,ROW()-1)&lt;&gt;$O47,INDEX($M:$M,ROW()-1)&lt;&gt;$M47),1,INDEX($Q:$Q,ROW()-1)+1))</f>
        <v/>
      </c>
      <c r="R47" s="20">
        <f t="shared" ca="1" si="4"/>
        <v>0</v>
      </c>
      <c r="S47" s="20" t="str">
        <f t="shared" ca="1" si="5"/>
        <v/>
      </c>
      <c r="T47" s="20" t="b">
        <f ca="1">_xlfn.LET(_xlpm._isAssumption,$J47,_xlpm._numberOfElementsRange,IF(_xlpm._isAssumption,Table24['# Elements],Table25['# Elements]),_xlpm._sheetRow,$W47,IF($L47,AND($S47,$R47=$N47),FALSE))</f>
        <v>0</v>
      </c>
      <c r="U47" s="20" t="str" cm="1">
        <f t="array" ca="1" aca="1" ref="U47">IF($L47,_xlfn.LET(_xlpm._elementID,$O47,_xlpm._isAssumption,$J47,_xlpm._sheetRow,$W47,_xlpm._sheetName,$X47,_xlpm._elementRow,$Y47,_xlpm._resultColumnLetter,IF(_xlpm._isAssumption,INDEX(Table24[Comment Column],_xlpm._sheetRow),INDEX(Table25[Comment Column],_xlpm._sheetRow)),INDEX(INDIRECT("'"&amp;_xlpm._sheetName&amp;"'!"&amp;_xlpm._resultColumnLetter&amp;":"&amp;_xlpm._resultColumnLetter),_xlpm._elementRow)),"")</f>
        <v/>
      </c>
      <c r="V47" s="20" t="str" cm="1">
        <f t="array" ca="1" aca="1" ref="V47">IF($L47,_xlfn.LET(_xlpm._elementID,$O47,_xlpm._isAssumption,$J47,_xlpm._sheetRow,$W47,_xlpm._sheetName,$X47,_xlpm._resultColumnLetter,IF(_xlpm._isAssumption,INDEX(Table24[Sheet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7" s="20" t="str">
        <f ca="1">IF($L47=TRUE,_xlfn.LET(_xlpm._isAssumption,$J47,_xlpm._searchRange,IF(_xlpm._isAssumption,Table24[Task Sheet Shadow ID],Table25[Task Sheet Shadow ID]),MATCH($M47,_xlpm._searchRange,0)),"")</f>
        <v/>
      </c>
      <c r="X47" s="20" t="str" cm="1">
        <f t="array" ca="1" aca="1" ref="X47">IF($L47,_xlfn.LET(_xlpm._isAssumption,$J47,_xlpm._sheetRow,$W47,IF(_xlpm._isAssumption,INDEX(Table24[Sheet Name],_xlpm._sheetRow),INDEX(Table25[Sheet Name],_xlpm._sheetRow))),"")</f>
        <v/>
      </c>
      <c r="Y47" s="20" t="str" cm="1">
        <f t="array" ca="1" aca="1" ref="Y47">IF($L47,_xlfn.LET(_xlpm._elementID,$O47,_xlpm._isAssumption,$J47,_xlpm._sheetRow,$W47,_xlpm._sheetName,$X47,_xlpm._elementIDColumnLetter,IF(_xlpm._isAssumption,INDEX(Table24[Element ID Column],_xlpm._sheetRow),INDEX(Table25[Element ID Column],_xlpm._sheetRow)),MATCH(_xlpm._elementID,INDIRECT("'"&amp;_xlpm._sheetName&amp;"'!"&amp;_xlpm._elementIDColumnLetter&amp;":"&amp;_xlpm._elementIDColumnLetter),0)),"")</f>
        <v/>
      </c>
      <c r="Z47" s="20" t="str" cm="1">
        <f t="array" ca="1" aca="1" ref="Z47">IF($A47="","",_xlfn.LET(_xlpm._isAssumption,$J47,_xlpm._isAdditionalElement,$L47,_xlpm._sheetRow,$W47,_xlpm._sheetName,$X47,_xlpm._columnLetter,INDEX(IF(_xlpm._isAdditionalElement,Table24[Comment Column],Table25[Comment Column]),_xlpm._sheetRow),_xlpm._sheetReference,IF(_xlpm._isAssumption,IF(_xlpm._isAdditionalElement,CELL("address",INDEX(INDIRECT("'"&amp;_xlpm._sheetName&amp;"'!"&amp;_xlpm._columnLetter&amp;":"&amp;_xlpm._columnLetter),$Y47)),CELL("address",INDEX(Assumptions!$A:$A,MATCH($A47,Assumptions!$A:$A,0),1))),IF(_xlpm._isAdditionalElement,CELL("address",INDEX(INDIRECT("'"&amp;_xlpm._sheetName&amp;"'!"&amp;_xlpm._columnLetter&amp;":"&amp;_xlpm._columnLetter),$Y47)),CELL("address",INDEX(Countermeasures!$A:$A,MATCH($A47,Countermeasures!$A:$A,0),1)))),_xlpm._start,FIND("]",_xlpm._sheetReference),"'"&amp;SUBSTITUTE(SUBSTITUTE(RIGHT(_xlpm._sheetReference,LEN(_xlpm._sheetReference)-_xlpm._start),"'",""),"!","'!")))</f>
        <v>'Countermeasures'!$A$26</v>
      </c>
      <c r="AA47" s="20" t="str" cm="1">
        <f t="array" ca="1" aca="1" ref="AA47">IF(NOT($L47),_xlfn.LET(_xlpm._value,IF($A47="","",IF($J47,SimpleLookup($A47,Assumptions!$A:$AK),SimpleLookup($A47,Countermeasures!$A:$AN))),IF(_xlpm._value="","",_xlpm._value)),"")</f>
        <v xml:space="preserve">QA8 </v>
      </c>
      <c r="AB47" s="20" t="str" cm="1">
        <f t="array" ca="1" aca="1" ref="AB47">LookupNames(InverseLookup($A47,Mitigation!$AD$2,Mitigation!$A$2,1,Helper!$B$5,","),'Attack Steps'!$A:$B)</f>
        <v/>
      </c>
      <c r="AC47" s="20" t="str" cm="1">
        <f t="array" ca="1" aca="1" ref="AC47">IF($L47,_xlfn.LET(_xlpm._in,$A47,_xlpm._lastDashNum,LEN(_xlpm._in)-LEN(SUBSTITUTE(_xlpm._in,"-","")),_xlpm._lastDashPos,FIND(CHAR(1),SUBSTITUTE(_xlpm._in,"-",CHAR(1),_xlpm._lastDashNum)),_xlpm._id,LEFT(_xlpm._in,_xlpm._lastDashPos-1),_xlpm._id&amp;"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7" s="20" t="str" cm="1">
        <f t="array" ca="1" aca="1" ref="AD47">_xlfn.LET(_xlpm._countermeasures,InverseLookup($A47,Countermeasures!$AG$2,Countermeasures!$A$2,1,Helper!$B$4,","),LookupNames(_xlpm._countermeasures,Countermeasures!$A:$B))</f>
        <v/>
      </c>
      <c r="AE47" s="20" t="str" cm="1">
        <f t="array" ca="1" aca="1" ref="AE47">IF($E47="","",_xlfn.LET(_xlpm._id,$E47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7" s="20" t="str" cm="1">
        <f t="array" ca="1" aca="1" ref="AF47">IF(OR($A47="",$L47),"",_xlfn.LET(_xlpm._answers,IF($J47,SimpleLookup($A47,Assumptions!$A:$F),SimpleLookup($A47,Countermeasures!$A:$D)),IF(_xlpm._answers="*",IF($J47,SimpleLookup($A47,Assumptions!$A:$C),SimpleLookup($A47,Countermeasures!$A:$C)),"")))</f>
        <v/>
      </c>
      <c r="AG47" s="20" t="str" cm="1">
        <f t="array" ca="1" aca="1" ref="AG47">IF(NOT($L47),"",_xlfn.LET(_xlpm._mappedInMitigation,IFERROR(VLOOKUP($V47,'Attack Steps'!$A:$O,COLUMNS('Attack Steps'!$A:$O),FALSE),""),CreateSearchString(_xlpm._mappedInMitigation)))</f>
        <v/>
      </c>
      <c r="AH47" s="20" t="b">
        <f ca="1">ROW()-ROW($AH$17)=Helper!$B$15</f>
        <v>0</v>
      </c>
      <c r="AI47" s="20" t="str">
        <f t="shared" ca="1" si="6"/>
        <v/>
      </c>
      <c r="AJ47" s="20" cm="1">
        <f t="array" ca="1" aca="1" ref="AJ47">CreateID($AJ$17,$AJ:$AJ,$AI47&lt;&gt;"")</f>
        <v>0</v>
      </c>
    </row>
    <row r="48" spans="1:36" ht="48.75">
      <c r="A48" s="16" t="str">
        <f ca="1">_xlfn.LET(_xlpm._isAssumption,$J48,_xlpm._row,$K48,_xlpm._numActiveAssumptions,Helper!$B$8,_xlpm._numActiveCountermeasures,Helper!$B$9,_xlpm._numAdditionalAssumptions,Helper!$B$10,_xlpm._numAdditionalCountermeasures,Helper!$B$11,IF(_xlpm._isAssumption,IF(_xlpm._row&gt;_xlpm._numActiveAssumptions,$V48&amp;"-A"&amp;$Q48,INDEX(Assumptions!A:A,MATCH(_xlpm._row,Assumptions!$AG:$AG,0))),IF(_xlpm._row&gt;_xlpm._numActiveCountermeasures+_xlpm._numAdditionalCountermeasures,"",IF(_xlpm._row&gt;_xlpm._numActiveCountermeasures,$V48&amp;"-C"&amp;$Q48,INDEX(Countermeasures!$A:$A,MATCH(_xlpm._row,Countermeasures!$AI:$AI,0))))))</f>
        <v>C24</v>
      </c>
      <c r="B48" s="16" t="str" cm="1">
        <f t="array" ca="1" aca="1" ref="B48">IF($A48="","",_xlfn.LET(_xlpm._isAssumption,$J48,_xlpm._isAdditionalElement,$L48,IF(_xlpm._isAdditionalElement,IF(_xlpm._isAssumption,ParseElementsFromComment($U48,Definitions!$AR$4,Definitions!$AS$4,Definitions!$AR$6,$Q48),ParseElementsFromComment($U48,Definitions!$AR$5,Definitions!$AS$5,Definitions!$AR$6,$Q48)),_xlfn.LET(_xlpm._value,IF($A48="","",IF($J48,SimpleLookup($A48,Assumptions!$A:$B),SimpleLookup($A48,Countermeasures!$A:$B))),IF(_xlpm._value="","",_xlpm._value)))))</f>
        <v>CR 7.7 – Least functionality</v>
      </c>
      <c r="C48" s="16" t="str" cm="1">
        <f t="array" ca="1" aca="1" ref="C48">IF($A48="","",IF($J48,IFERROR(SimpleLookup($A48,Assumptions!$A:$E),""),Definitions!$AO$4))</f>
        <v>acontis techonlogies GmbH</v>
      </c>
      <c r="D48" s="36" t="str">
        <f t="shared" ca="1" si="2"/>
        <v>═══════════════════════════════════════════════════════════════
Default countermeasure:
––––––––––––––––––––––––––––––––––––––––––––––––––––––––––––––––––––––––––––––––––––
See IEC 62443</v>
      </c>
      <c r="E48" s="13"/>
      <c r="F48" s="59" t="str">
        <f t="shared" ca="1" si="3"/>
        <v>click me</v>
      </c>
      <c r="G48" s="122" t="str" cm="1">
        <f t="array" ca="1" aca="1" ref="G48">_xlfn.LET(_xlpm._val,IFERROR(SimpleLookup($A48,Countermeasures!$A:$R),IFERROR(SimpleLookup($A48,Assumptions!$A:$R),"")),IF(_xlpm._val="","",_xlpm._val))</f>
        <v/>
      </c>
      <c r="H48" s="16" t="str" cm="1">
        <f t="array" ca="1" aca="1" ref="H48">_xlfn.LET(_xlpm._value,IF($A48="","",IFERROR(IF($J48,SimpleLookup($A48,Assumptions!$A:$S),SimpleLookup($A48,Countermeasures!$A:$S)),"")),IF(_xlpm._value="","",_xlpm._value))</f>
        <v/>
      </c>
      <c r="I48" s="10" cm="1">
        <f t="array" ca="1" aca="1" ref="I48">IF(ROW()=ROW($I$17)+1,0,INDEX($I:$I,ROW()-1))+IF($A48="",0,1)</f>
        <v>31</v>
      </c>
      <c r="J48" s="10" t="b">
        <f ca="1">_xlfn.LET(_xlpm._row,ROW()-ROW($K$17),_xlpm._numActiveAssumptions,Helper!$B$8,_xlpm._numAdditionalAssumptions,SUM(Table24['# Elements]),_xlpm._row&lt;=_xlpm._numActiveAssumptions+_xlpm._numAdditionalAssumptions)</f>
        <v>0</v>
      </c>
      <c r="K48" s="21">
        <f ca="1">_xlfn.LET(_xlpm._row,ROW()-ROW($K$17),_xlpm._numActiveAssumptions,Helper!$B$8,_xlpm._numAdditionalAssumptions,Helper!$B$10,_xlpm._isAssumption,$J48,_xlpm._elementID,IF(_xlpm._isAssumption,_xlpm._row,_xlpm._row-_xlpm._numActiveAssumptions-_xlpm._numAdditionalAssumptions),_xlpm._elementID)</f>
        <v>13</v>
      </c>
      <c r="L4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8" s="20" cm="1">
        <f t="array" ca="1" aca="1" ref="M48">IF($L48,IF(ROW()=ROW($M$17)+1,1,INDEX($M:$M,ROW()-1)+IF(INDEX($T:$T,ROW()-1),1,0)),1)</f>
        <v>1</v>
      </c>
      <c r="N48" s="14" t="str" cm="1">
        <f t="array" ca="1" aca="1" ref="N48">IF($L48=TRUE,_xlfn.LET(_xlpm._isAssumption,$J48,_xlpm._indexRange,IF(_xlpm._isAssumption,Table24['# Elements],Table25['# Elements]),_xlpm._lookupRow,$W48,INDEX(_xlpm._indexRange,_xlpm._lookupRow)),"")</f>
        <v/>
      </c>
      <c r="O48" s="20" t="str" cm="1">
        <f t="array" ca="1" aca="1" ref="O48">IF($N48="","",_xlfn.LET(_xlpm._prevRow,ROW()-1,IF(OR(INDEX($N:$N,_xlpm._prevRow)&lt;&gt;$N48,INDEX($M:$M,_xlpm._prevRow)&lt;&gt;$M48),1,INDEX($O:$O,_xlpm._prevRow)+IF(INDEX($S:$S,_xlpm._prevRow),1,0))))</f>
        <v/>
      </c>
      <c r="P48" s="20" t="str" cm="1">
        <f t="array" ca="1" aca="1" ref="P48">IF($O48="","",_xlfn.LET(_xlpm._isAssumption,$J48,_xlpm._sheetRow,$W48,_xlpm._sheetName,$X48,_xlpm._elementIDRange,IF(_xlpm._isAssumption,Table24[Element ID Column],Table25[Element ID Column]),_xlpm._numberOfElementsRange,IF(_xlpm._isAssumption,Table24[Number of Elements Column],Table25[Number of Elements Column]),SimpleLookup($O48,INDIRECT("'"&amp;_xlpm._sheetName&amp;"'!"&amp;INDEX(_xlpm._elementIDRange,_xlpm._sheetRow)&amp;":"&amp;INDEX(_xlpm._numberOfElementsRange,_xlpm._sheetRow)))))</f>
        <v/>
      </c>
      <c r="Q48" s="20" t="str" cm="1">
        <f t="array" ca="1" aca="1" ref="Q48">IF($O48="","",IF(OR(INDEX($O:$O,ROW()-1)&lt;&gt;$O48,INDEX($M:$M,ROW()-1)&lt;&gt;$M48),1,INDEX($Q:$Q,ROW()-1)+1))</f>
        <v/>
      </c>
      <c r="R48" s="20">
        <f t="shared" ca="1" si="4"/>
        <v>0</v>
      </c>
      <c r="S48" s="20" t="str">
        <f t="shared" ca="1" si="5"/>
        <v/>
      </c>
      <c r="T48" s="20" t="b">
        <f ca="1">_xlfn.LET(_xlpm._isAssumption,$J48,_xlpm._numberOfElementsRange,IF(_xlpm._isAssumption,Table24['# Elements],Table25['# Elements]),_xlpm._sheetRow,$W48,IF($L48,AND($S48,$R48=$N48),FALSE))</f>
        <v>0</v>
      </c>
      <c r="U48" s="20" t="str" cm="1">
        <f t="array" ca="1" aca="1" ref="U48">IF($L48,_xlfn.LET(_xlpm._elementID,$O48,_xlpm._isAssumption,$J48,_xlpm._sheetRow,$W48,_xlpm._sheetName,$X48,_xlpm._elementRow,$Y48,_xlpm._resultColumnLetter,IF(_xlpm._isAssumption,INDEX(Table24[Comment Column],_xlpm._sheetRow),INDEX(Table25[Comment Column],_xlpm._sheetRow)),INDEX(INDIRECT("'"&amp;_xlpm._sheetName&amp;"'!"&amp;_xlpm._resultColumnLetter&amp;":"&amp;_xlpm._resultColumnLetter),_xlpm._elementRow)),"")</f>
        <v/>
      </c>
      <c r="V48" s="20" t="str" cm="1">
        <f t="array" ca="1" aca="1" ref="V48">IF($L48,_xlfn.LET(_xlpm._elementID,$O48,_xlpm._isAssumption,$J48,_xlpm._sheetRow,$W48,_xlpm._sheetName,$X48,_xlpm._resultColumnLetter,IF(_xlpm._isAssumption,INDEX(Table24[Sheet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8" s="20" t="str">
        <f ca="1">IF($L48=TRUE,_xlfn.LET(_xlpm._isAssumption,$J48,_xlpm._searchRange,IF(_xlpm._isAssumption,Table24[Task Sheet Shadow ID],Table25[Task Sheet Shadow ID]),MATCH($M48,_xlpm._searchRange,0)),"")</f>
        <v/>
      </c>
      <c r="X48" s="20" t="str" cm="1">
        <f t="array" ca="1" aca="1" ref="X48">IF($L48,_xlfn.LET(_xlpm._isAssumption,$J48,_xlpm._sheetRow,$W48,IF(_xlpm._isAssumption,INDEX(Table24[Sheet Name],_xlpm._sheetRow),INDEX(Table25[Sheet Name],_xlpm._sheetRow))),"")</f>
        <v/>
      </c>
      <c r="Y48" s="20" t="str" cm="1">
        <f t="array" ca="1" aca="1" ref="Y48">IF($L48,_xlfn.LET(_xlpm._elementID,$O48,_xlpm._isAssumption,$J48,_xlpm._sheetRow,$W48,_xlpm._sheetName,$X48,_xlpm._elementIDColumnLetter,IF(_xlpm._isAssumption,INDEX(Table24[Element ID Column],_xlpm._sheetRow),INDEX(Table25[Element ID Column],_xlpm._sheetRow)),MATCH(_xlpm._elementID,INDIRECT("'"&amp;_xlpm._sheetName&amp;"'!"&amp;_xlpm._elementIDColumnLetter&amp;":"&amp;_xlpm._elementIDColumnLetter),0)),"")</f>
        <v/>
      </c>
      <c r="Z48" s="20" t="str" cm="1">
        <f t="array" ca="1" aca="1" ref="Z48">IF($A48="","",_xlfn.LET(_xlpm._isAssumption,$J48,_xlpm._isAdditionalElement,$L48,_xlpm._sheetRow,$W48,_xlpm._sheetName,$X48,_xlpm._columnLetter,INDEX(IF(_xlpm._isAdditionalElement,Table24[Comment Column],Table25[Comment Column]),_xlpm._sheetRow),_xlpm._sheetReference,IF(_xlpm._isAssumption,IF(_xlpm._isAdditionalElement,CELL("address",INDEX(INDIRECT("'"&amp;_xlpm._sheetName&amp;"'!"&amp;_xlpm._columnLetter&amp;":"&amp;_xlpm._columnLetter),$Y48)),CELL("address",INDEX(Assumptions!$A:$A,MATCH($A48,Assumptions!$A:$A,0),1))),IF(_xlpm._isAdditionalElement,CELL("address",INDEX(INDIRECT("'"&amp;_xlpm._sheetName&amp;"'!"&amp;_xlpm._columnLetter&amp;":"&amp;_xlpm._columnLetter),$Y48)),CELL("address",INDEX(Countermeasures!$A:$A,MATCH($A48,Countermeasures!$A:$A,0),1)))),_xlpm._start,FIND("]",_xlpm._sheetReference),"'"&amp;SUBSTITUTE(SUBSTITUTE(RIGHT(_xlpm._sheetReference,LEN(_xlpm._sheetReference)-_xlpm._start),"'",""),"!","'!")))</f>
        <v>'Countermeasures'!$A$27</v>
      </c>
      <c r="AA48" s="20" t="str" cm="1">
        <f t="array" ca="1" aca="1" ref="AA48">IF(NOT($L48),_xlfn.LET(_xlpm._value,IF($A48="","",IF($J48,SimpleLookup($A48,Assumptions!$A:$AK),SimpleLookup($A48,Countermeasures!$A:$AN))),IF(_xlpm._value="","",_xlpm._value)),"")</f>
        <v/>
      </c>
      <c r="AB48" s="20" t="str" cm="1">
        <f t="array" ca="1" aca="1" ref="AB48">LookupNames(InverseLookup($A48,Mitigation!$AD$2,Mitigation!$A$2,1,Helper!$B$5,","),'Attack Steps'!$A:$B)</f>
        <v/>
      </c>
      <c r="AC48" s="20" t="str" cm="1">
        <f t="array" ca="1" aca="1" ref="AC48">IF($L48,_xlfn.LET(_xlpm._in,$A48,_xlpm._lastDashNum,LEN(_xlpm._in)-LEN(SUBSTITUTE(_xlpm._in,"-","")),_xlpm._lastDashPos,FIND(CHAR(1),SUBSTITUTE(_xlpm._in,"-",CHAR(1),_xlpm._lastDashNum)),_xlpm._id,LEFT(_xlpm._in,_xlpm._lastDashPos-1),_xlpm._id&amp;"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8" s="20" t="str" cm="1">
        <f t="array" ca="1" aca="1" ref="AD48">_xlfn.LET(_xlpm._countermeasures,InverseLookup($A48,Countermeasures!$AG$2,Countermeasures!$A$2,1,Helper!$B$4,","),LookupNames(_xlpm._countermeasures,Countermeasures!$A:$B))</f>
        <v/>
      </c>
      <c r="AE48" s="20" t="str" cm="1">
        <f t="array" ca="1" aca="1" ref="AE48">IF($E48="","",_xlfn.LET(_xlpm._id,$E48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8" s="20" t="str" cm="1">
        <f t="array" ca="1" aca="1" ref="AF48">IF(OR($A48="",$L48),"",_xlfn.LET(_xlpm._answers,IF($J48,SimpleLookup($A48,Assumptions!$A:$F),SimpleLookup($A48,Countermeasures!$A:$D)),IF(_xlpm._answers="*",IF($J48,SimpleLookup($A48,Assumptions!$A:$C),SimpleLookup($A48,Countermeasures!$A:$C)),"")))</f>
        <v>See IEC 62443</v>
      </c>
      <c r="AG48" s="20" t="str" cm="1">
        <f t="array" ca="1" aca="1" ref="AG48">IF(NOT($L48),"",_xlfn.LET(_xlpm._mappedInMitigation,IFERROR(VLOOKUP($V48,'Attack Steps'!$A:$O,COLUMNS('Attack Steps'!$A:$O),FALSE),""),CreateSearchString(_xlpm._mappedInMitigation)))</f>
        <v/>
      </c>
      <c r="AH48" s="20" t="b">
        <f ca="1">ROW()-ROW($AH$17)=Helper!$B$15</f>
        <v>0</v>
      </c>
      <c r="AI48" s="20" t="str">
        <f t="shared" ca="1" si="6"/>
        <v/>
      </c>
      <c r="AJ48" s="20" cm="1">
        <f t="array" ca="1" aca="1" ref="AJ48">CreateID($AJ$17,$AJ:$AJ,$AI48&lt;&gt;"")</f>
        <v>0</v>
      </c>
    </row>
    <row r="49" spans="1:36" ht="48.75">
      <c r="A49" s="16" t="str">
        <f ca="1">_xlfn.LET(_xlpm._isAssumption,$J49,_xlpm._row,$K49,_xlpm._numActiveAssumptions,Helper!$B$8,_xlpm._numActiveCountermeasures,Helper!$B$9,_xlpm._numAdditionalAssumptions,Helper!$B$10,_xlpm._numAdditionalCountermeasures,Helper!$B$11,IF(_xlpm._isAssumption,IF(_xlpm._row&gt;_xlpm._numActiveAssumptions,$V49&amp;"-A"&amp;$Q49,INDEX(Assumptions!A:A,MATCH(_xlpm._row,Assumptions!$AG:$AG,0))),IF(_xlpm._row&gt;_xlpm._numActiveCountermeasures+_xlpm._numAdditionalCountermeasures,"",IF(_xlpm._row&gt;_xlpm._numActiveCountermeasures,$V49&amp;"-C"&amp;$Q49,INDEX(Countermeasures!$A:$A,MATCH(_xlpm._row,Countermeasures!$AI:$AI,0))))))</f>
        <v>C33</v>
      </c>
      <c r="B49" s="16" t="str" cm="1">
        <f t="array" ca="1" aca="1" ref="B49">IF($A49="","",_xlfn.LET(_xlpm._isAssumption,$J49,_xlpm._isAdditionalElement,$L49,IF(_xlpm._isAdditionalElement,IF(_xlpm._isAssumption,ParseElementsFromComment($U49,Definitions!$AR$4,Definitions!$AS$4,Definitions!$AR$6,$Q49),ParseElementsFromComment($U49,Definitions!$AR$5,Definitions!$AS$5,Definitions!$AR$6,$Q49)),_xlfn.LET(_xlpm._value,IF($A49="","",IF($J49,SimpleLookup($A49,Assumptions!$A:$B),SimpleLookup($A49,Countermeasures!$A:$B))),IF(_xlpm._value="","",_xlpm._value)))))</f>
        <v>SCR 1.1 - Processed personal data</v>
      </c>
      <c r="C49" s="16" t="str" cm="1">
        <f t="array" ca="1" aca="1" ref="C49">IF($A49="","",IF($J49,IFERROR(SimpleLookup($A49,Assumptions!$A:$E),""),Definitions!$AO$4))</f>
        <v>acontis techonlogies GmbH</v>
      </c>
      <c r="D49" s="36" t="str">
        <f t="shared" ca="1" si="2"/>
        <v>═══════════════════════════════════════════════════════════════
Default countermeasure:
––––––––––––––––––––––––––––––––––––––––––––––––––––––––––––––––––––––––––––––––––––
See ETSI EN 303 645 V2.1.1 (2020-06), Provision 6-1, 6-2, and 6-3</v>
      </c>
      <c r="E49" s="13"/>
      <c r="F49" s="59" t="str">
        <f t="shared" ca="1" si="3"/>
        <v>click me</v>
      </c>
      <c r="G49" s="122" t="str" cm="1">
        <f t="array" ca="1" aca="1" ref="G49">_xlfn.LET(_xlpm._val,IFERROR(SimpleLookup($A49,Countermeasures!$A:$R),IFERROR(SimpleLookup($A49,Assumptions!$A:$R),"")),IF(_xlpm._val="","",_xlpm._val))</f>
        <v/>
      </c>
      <c r="H49" s="16" t="str" cm="1">
        <f t="array" ca="1" aca="1" ref="H49">_xlfn.LET(_xlpm._value,IF($A49="","",IFERROR(IF($J49,SimpleLookup($A49,Assumptions!$A:$S),SimpleLookup($A49,Countermeasures!$A:$S)),"")),IF(_xlpm._value="","",_xlpm._value))</f>
        <v/>
      </c>
      <c r="I49" s="10" cm="1">
        <f t="array" ca="1" aca="1" ref="I49">IF(ROW()=ROW($I$17)+1,0,INDEX($I:$I,ROW()-1))+IF($A49="",0,1)</f>
        <v>32</v>
      </c>
      <c r="J49" s="10" t="b">
        <f ca="1">_xlfn.LET(_xlpm._row,ROW()-ROW($K$17),_xlpm._numActiveAssumptions,Helper!$B$8,_xlpm._numAdditionalAssumptions,SUM(Table24['# Elements]),_xlpm._row&lt;=_xlpm._numActiveAssumptions+_xlpm._numAdditionalAssumptions)</f>
        <v>0</v>
      </c>
      <c r="K49" s="21">
        <f ca="1">_xlfn.LET(_xlpm._row,ROW()-ROW($K$17),_xlpm._numActiveAssumptions,Helper!$B$8,_xlpm._numAdditionalAssumptions,Helper!$B$10,_xlpm._isAssumption,$J49,_xlpm._elementID,IF(_xlpm._isAssumption,_xlpm._row,_xlpm._row-_xlpm._numActiveAssumptions-_xlpm._numAdditionalAssumptions),_xlpm._elementID)</f>
        <v>14</v>
      </c>
      <c r="L4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49" s="20" cm="1">
        <f t="array" ca="1" aca="1" ref="M49">IF($L49,IF(ROW()=ROW($M$17)+1,1,INDEX($M:$M,ROW()-1)+IF(INDEX($T:$T,ROW()-1),1,0)),1)</f>
        <v>1</v>
      </c>
      <c r="N49" s="14" t="str" cm="1">
        <f t="array" ca="1" aca="1" ref="N49">IF($L49=TRUE,_xlfn.LET(_xlpm._isAssumption,$J49,_xlpm._indexRange,IF(_xlpm._isAssumption,Table24['# Elements],Table25['# Elements]),_xlpm._lookupRow,$W49,INDEX(_xlpm._indexRange,_xlpm._lookupRow)),"")</f>
        <v/>
      </c>
      <c r="O49" s="20" t="str" cm="1">
        <f t="array" ca="1" aca="1" ref="O49">IF($N49="","",_xlfn.LET(_xlpm._prevRow,ROW()-1,IF(OR(INDEX($N:$N,_xlpm._prevRow)&lt;&gt;$N49,INDEX($M:$M,_xlpm._prevRow)&lt;&gt;$M49),1,INDEX($O:$O,_xlpm._prevRow)+IF(INDEX($S:$S,_xlpm._prevRow),1,0))))</f>
        <v/>
      </c>
      <c r="P49" s="20" t="str" cm="1">
        <f t="array" ca="1" aca="1" ref="P49">IF($O49="","",_xlfn.LET(_xlpm._isAssumption,$J49,_xlpm._sheetRow,$W49,_xlpm._sheetName,$X49,_xlpm._elementIDRange,IF(_xlpm._isAssumption,Table24[Element ID Column],Table25[Element ID Column]),_xlpm._numberOfElementsRange,IF(_xlpm._isAssumption,Table24[Number of Elements Column],Table25[Number of Elements Column]),SimpleLookup($O49,INDIRECT("'"&amp;_xlpm._sheetName&amp;"'!"&amp;INDEX(_xlpm._elementIDRange,_xlpm._sheetRow)&amp;":"&amp;INDEX(_xlpm._numberOfElementsRange,_xlpm._sheetRow)))))</f>
        <v/>
      </c>
      <c r="Q49" s="20" t="str" cm="1">
        <f t="array" ca="1" aca="1" ref="Q49">IF($O49="","",IF(OR(INDEX($O:$O,ROW()-1)&lt;&gt;$O49,INDEX($M:$M,ROW()-1)&lt;&gt;$M49),1,INDEX($Q:$Q,ROW()-1)+1))</f>
        <v/>
      </c>
      <c r="R49" s="20">
        <f t="shared" ca="1" si="4"/>
        <v>0</v>
      </c>
      <c r="S49" s="20" t="str">
        <f t="shared" ca="1" si="5"/>
        <v/>
      </c>
      <c r="T49" s="20" t="b">
        <f ca="1">_xlfn.LET(_xlpm._isAssumption,$J49,_xlpm._numberOfElementsRange,IF(_xlpm._isAssumption,Table24['# Elements],Table25['# Elements]),_xlpm._sheetRow,$W49,IF($L49,AND($S49,$R49=$N49),FALSE))</f>
        <v>0</v>
      </c>
      <c r="U49" s="20" t="str" cm="1">
        <f t="array" ca="1" aca="1" ref="U49">IF($L49,_xlfn.LET(_xlpm._elementID,$O49,_xlpm._isAssumption,$J49,_xlpm._sheetRow,$W49,_xlpm._sheetName,$X49,_xlpm._elementRow,$Y49,_xlpm._resultColumnLetter,IF(_xlpm._isAssumption,INDEX(Table24[Comment Column],_xlpm._sheetRow),INDEX(Table25[Comment Column],_xlpm._sheetRow)),INDEX(INDIRECT("'"&amp;_xlpm._sheetName&amp;"'!"&amp;_xlpm._resultColumnLetter&amp;":"&amp;_xlpm._resultColumnLetter),_xlpm._elementRow)),"")</f>
        <v/>
      </c>
      <c r="V49" s="20" t="str" cm="1">
        <f t="array" ca="1" aca="1" ref="V49">IF($L49,_xlfn.LET(_xlpm._elementID,$O49,_xlpm._isAssumption,$J49,_xlpm._sheetRow,$W49,_xlpm._sheetName,$X49,_xlpm._resultColumnLetter,IF(_xlpm._isAssumption,INDEX(Table24[Sheet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49" s="20" t="str">
        <f ca="1">IF($L49=TRUE,_xlfn.LET(_xlpm._isAssumption,$J49,_xlpm._searchRange,IF(_xlpm._isAssumption,Table24[Task Sheet Shadow ID],Table25[Task Sheet Shadow ID]),MATCH($M49,_xlpm._searchRange,0)),"")</f>
        <v/>
      </c>
      <c r="X49" s="20" t="str" cm="1">
        <f t="array" ca="1" aca="1" ref="X49">IF($L49,_xlfn.LET(_xlpm._isAssumption,$J49,_xlpm._sheetRow,$W49,IF(_xlpm._isAssumption,INDEX(Table24[Sheet Name],_xlpm._sheetRow),INDEX(Table25[Sheet Name],_xlpm._sheetRow))),"")</f>
        <v/>
      </c>
      <c r="Y49" s="20" t="str" cm="1">
        <f t="array" ca="1" aca="1" ref="Y49">IF($L49,_xlfn.LET(_xlpm._elementID,$O49,_xlpm._isAssumption,$J49,_xlpm._sheetRow,$W49,_xlpm._sheetName,$X49,_xlpm._elementIDColumnLetter,IF(_xlpm._isAssumption,INDEX(Table24[Element ID Column],_xlpm._sheetRow),INDEX(Table25[Element ID Column],_xlpm._sheetRow)),MATCH(_xlpm._elementID,INDIRECT("'"&amp;_xlpm._sheetName&amp;"'!"&amp;_xlpm._elementIDColumnLetter&amp;":"&amp;_xlpm._elementIDColumnLetter),0)),"")</f>
        <v/>
      </c>
      <c r="Z49" s="20" t="str" cm="1">
        <f t="array" ca="1" aca="1" ref="Z49">IF($A49="","",_xlfn.LET(_xlpm._isAssumption,$J49,_xlpm._isAdditionalElement,$L49,_xlpm._sheetRow,$W49,_xlpm._sheetName,$X49,_xlpm._columnLetter,INDEX(IF(_xlpm._isAdditionalElement,Table24[Comment Column],Table25[Comment Column]),_xlpm._sheetRow),_xlpm._sheetReference,IF(_xlpm._isAssumption,IF(_xlpm._isAdditionalElement,CELL("address",INDEX(INDIRECT("'"&amp;_xlpm._sheetName&amp;"'!"&amp;_xlpm._columnLetter&amp;":"&amp;_xlpm._columnLetter),$Y49)),CELL("address",INDEX(Assumptions!$A:$A,MATCH($A49,Assumptions!$A:$A,0),1))),IF(_xlpm._isAdditionalElement,CELL("address",INDEX(INDIRECT("'"&amp;_xlpm._sheetName&amp;"'!"&amp;_xlpm._columnLetter&amp;":"&amp;_xlpm._columnLetter),$Y49)),CELL("address",INDEX(Countermeasures!$A:$A,MATCH($A49,Countermeasures!$A:$A,0),1)))),_xlpm._start,FIND("]",_xlpm._sheetReference),"'"&amp;SUBSTITUTE(SUBSTITUTE(RIGHT(_xlpm._sheetReference,LEN(_xlpm._sheetReference)-_xlpm._start),"'",""),"!","'!")))</f>
        <v>'Countermeasures'!$A$37</v>
      </c>
      <c r="AA49" s="20" t="str" cm="1">
        <f t="array" ca="1" aca="1" ref="AA49">IF(NOT($L49),_xlfn.LET(_xlpm._value,IF($A49="","",IF($J49,SimpleLookup($A49,Assumptions!$A:$AK),SimpleLookup($A49,Countermeasures!$A:$AN))),IF(_xlpm._value="","",_xlpm._value)),"")</f>
        <v/>
      </c>
      <c r="AB49" s="20" t="str" cm="1">
        <f t="array" ca="1" aca="1" ref="AB49">LookupNames(InverseLookup($A49,Mitigation!$AD$2,Mitigation!$A$2,1,Helper!$B$5,","),'Attack Steps'!$A:$B)</f>
        <v/>
      </c>
      <c r="AC49" s="20" t="str" cm="1">
        <f t="array" ca="1" aca="1" ref="AC49">IF($L49,_xlfn.LET(_xlpm._in,$A49,_xlpm._lastDashNum,LEN(_xlpm._in)-LEN(SUBSTITUTE(_xlpm._in,"-","")),_xlpm._lastDashPos,FIND(CHAR(1),SUBSTITUTE(_xlpm._in,"-",CHAR(1),_xlpm._lastDashNum)),_xlpm._id,LEFT(_xlpm._in,_xlpm._lastDashPos-1),_xlpm._id&amp;"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49" s="20" t="str" cm="1">
        <f t="array" ca="1" aca="1" ref="AD49">_xlfn.LET(_xlpm._countermeasures,InverseLookup($A49,Countermeasures!$AG$2,Countermeasures!$A$2,1,Helper!$B$4,","),LookupNames(_xlpm._countermeasures,Countermeasures!$A:$B))</f>
        <v/>
      </c>
      <c r="AE49" s="20" t="str" cm="1">
        <f t="array" ca="1" aca="1" ref="AE49">IF($E49="","",_xlfn.LET(_xlpm._id,$E49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49" s="20" t="str" cm="1">
        <f t="array" ca="1" aca="1" ref="AF49">IF(OR($A49="",$L49),"",_xlfn.LET(_xlpm._answers,IF($J49,SimpleLookup($A49,Assumptions!$A:$F),SimpleLookup($A49,Countermeasures!$A:$D)),IF(_xlpm._answers="*",IF($J49,SimpleLookup($A49,Assumptions!$A:$C),SimpleLookup($A49,Countermeasures!$A:$C)),"")))</f>
        <v>See ETSI EN 303 645 V2.1.1 (2020-06), Provision 6-1, 6-2, and 6-3</v>
      </c>
      <c r="AG49" s="20" t="str" cm="1">
        <f t="array" ca="1" aca="1" ref="AG49">IF(NOT($L49),"",_xlfn.LET(_xlpm._mappedInMitigation,IFERROR(VLOOKUP($V49,'Attack Steps'!$A:$O,COLUMNS('Attack Steps'!$A:$O),FALSE),""),CreateSearchString(_xlpm._mappedInMitigation)))</f>
        <v/>
      </c>
      <c r="AH49" s="20" t="b">
        <f ca="1">ROW()-ROW($AH$17)=Helper!$B$15</f>
        <v>0</v>
      </c>
      <c r="AI49" s="20" t="str">
        <f t="shared" ca="1" si="6"/>
        <v/>
      </c>
      <c r="AJ49" s="20" cm="1">
        <f t="array" ca="1" aca="1" ref="AJ49">CreateID($AJ$17,$AJ:$AJ,$AI49&lt;&gt;"")</f>
        <v>0</v>
      </c>
    </row>
    <row r="50" spans="1:36" ht="48.75">
      <c r="A50" s="16" t="str">
        <f ca="1">_xlfn.LET(_xlpm._isAssumption,$J50,_xlpm._row,$K50,_xlpm._numActiveAssumptions,Helper!$B$8,_xlpm._numActiveCountermeasures,Helper!$B$9,_xlpm._numAdditionalAssumptions,Helper!$B$10,_xlpm._numAdditionalCountermeasures,Helper!$B$11,IF(_xlpm._isAssumption,IF(_xlpm._row&gt;_xlpm._numActiveAssumptions,$V50&amp;"-A"&amp;$Q50,INDEX(Assumptions!A:A,MATCH(_xlpm._row,Assumptions!$AG:$AG,0))),IF(_xlpm._row&gt;_xlpm._numActiveCountermeasures+_xlpm._numAdditionalCountermeasures,"",IF(_xlpm._row&gt;_xlpm._numActiveCountermeasures,$V50&amp;"-C"&amp;$Q50,INDEX(Countermeasures!$A:$A,MATCH(_xlpm._row,Countermeasures!$AI:$AI,0))))))</f>
        <v>C34</v>
      </c>
      <c r="B50" s="16" t="str" cm="1">
        <f t="array" ca="1" aca="1" ref="B50">IF($A50="","",_xlfn.LET(_xlpm._isAssumption,$J50,_xlpm._isAdditionalElement,$L50,IF(_xlpm._isAdditionalElement,IF(_xlpm._isAssumption,ParseElementsFromComment($U50,Definitions!$AR$4,Definitions!$AS$4,Definitions!$AR$6,$Q50),ParseElementsFromComment($U50,Definitions!$AR$5,Definitions!$AS$5,Definitions!$AR$6,$Q50)),_xlfn.LET(_xlpm._value,IF($A50="","",IF($J50,SimpleLookup($A50,Assumptions!$A:$B),SimpleLookup($A50,Countermeasures!$A:$B))),IF(_xlpm._value="","",_xlpm._value)))))</f>
        <v>SCR 1.2 - Telemetry data</v>
      </c>
      <c r="C50" s="16" t="str" cm="1">
        <f t="array" ca="1" aca="1" ref="C50">IF($A50="","",IF($J50,IFERROR(SimpleLookup($A50,Assumptions!$A:$E),""),Definitions!$AO$4))</f>
        <v>acontis techonlogies GmbH</v>
      </c>
      <c r="D50" s="36" t="str">
        <f ca="1" t="shared" si="7" ref="D50:D81">_xlfn.LET(_xlpm._dividerTop,REPT(_xlfn.UNICHAR(9552),63)&amp;CHAR(10),_xlpm._dividerHeader,CHAR(10)&amp;REPT(CHAR(150),84)&amp;CHAR(10),_xlpm._relatedQuestions,IF($AA50="","",_xlpm._dividerTop&amp;"Comments of related questions / answers:"&amp;_xlpm._dividerHeader&amp;$AA50),_xlpm._assignedToAttackSteps,IF($AB50="","",_xlpm._dividerTop&amp;"Assigned to attack steps:"&amp;_xlpm._dividerHeader&amp;$AB50),_xlpm._definedInContextOfElement,IF($AC50="","",_xlpm._dividerTop&amp;"Defined in the context of:"&amp;_xlpm._dividerHeader&amp;$AC50),_xlpm._dependantCountermeasures,IF($AD50="","",_xlpm._dividerTop&amp;"Dependency of countermeasures:"&amp;_xlpm._dividerHeader&amp;$AD50),_xlpm._defaultElementText,IF($AF50="","",_xlpm._dividerTop&amp;"Default "&amp;IF($J50,"assumption","countermeasure")&amp;":"&amp;_xlpm._dividerHeader&amp;$AF50),_xlpm._relatedQuestions&amp;IF(AND(_xlpm._relatedQuestions&lt;&gt;"",_xlpm._assignedToAttackSteps&lt;&gt;""),CHAR(10),"")&amp;_xlpm._assignedToAttackSteps&amp;IF(AND(OR(_xlpm._relatedQuestions&lt;&gt;"",_xlpm._assignedToAttackSteps&lt;&gt;""),_xlpm._definedInContextOfElement&lt;&gt;""),CHAR(10),"")&amp;_xlpm._definedInContextOfElement&amp;IF(AND(OR(_xlpm._relatedQuestions&lt;&gt;"",_xlpm._assignedToAttackSteps&lt;&gt;"",_xlpm._definedInContextOfElement&lt;&gt;""),_xlpm._dependantCountermeasures&lt;&gt;""),CHAR(10),"")&amp;_xlpm._dependantCountermeasures&amp;IF(AND(OR(_xlpm._relatedQuestions&lt;&gt;"",_xlpm._assignedToAttackSteps&lt;&gt;"",_xlpm._definedInContextOfElement&lt;&gt;"",_xlpm._dependantCountermeasures&lt;&gt;""),_xlpm._defaultElementText&lt;&gt;""),CHAR(10),"")&amp;_xlpm._defaultElementText)</f>
        <v>═══════════════════════════════════════════════════════════════
Default countermeasure:
––––––––––––––––––––––––––––––––––––––––––––––––––––––––––––––––––––––––––––––––––––
See ETSI EN 303 645 V2.1.1 (2020-06), Provision 6-4, and 6-5</v>
      </c>
      <c r="E50" s="13"/>
      <c r="F50" s="59" t="str">
        <f ca="1" t="shared" si="8" ref="F50:F81">IF(AND($E50&lt;&gt;"",$AE50=""),"Error: Unknown ID: "&amp;$E50,IF($A50="","",HYPERLINK("#"&amp;IF($AE50="",$Z50,$AE50),"click me")))</f>
        <v>click me</v>
      </c>
      <c r="G50" s="122" t="str" cm="1">
        <f t="array" ca="1" aca="1" ref="G50">_xlfn.LET(_xlpm._val,IFERROR(SimpleLookup($A50,Countermeasures!$A:$R),IFERROR(SimpleLookup($A50,Assumptions!$A:$R),"")),IF(_xlpm._val="","",_xlpm._val))</f>
        <v/>
      </c>
      <c r="H50" s="16" t="str" cm="1">
        <f t="array" ca="1" aca="1" ref="H50">_xlfn.LET(_xlpm._value,IF($A50="","",IFERROR(IF($J50,SimpleLookup($A50,Assumptions!$A:$S),SimpleLookup($A50,Countermeasures!$A:$S)),"")),IF(_xlpm._value="","",_xlpm._value))</f>
        <v/>
      </c>
      <c r="I50" s="10" cm="1">
        <f t="array" ca="1" aca="1" ref="I50">IF(ROW()=ROW($I$17)+1,0,INDEX($I:$I,ROW()-1))+IF($A50="",0,1)</f>
        <v>33</v>
      </c>
      <c r="J50" s="10" t="b">
        <f ca="1">_xlfn.LET(_xlpm._row,ROW()-ROW($K$17),_xlpm._numActiveAssumptions,Helper!$B$8,_xlpm._numAdditionalAssumptions,SUM(Table24['# Elements]),_xlpm._row&lt;=_xlpm._numActiveAssumptions+_xlpm._numAdditionalAssumptions)</f>
        <v>0</v>
      </c>
      <c r="K50" s="21">
        <f ca="1">_xlfn.LET(_xlpm._row,ROW()-ROW($K$17),_xlpm._numActiveAssumptions,Helper!$B$8,_xlpm._numAdditionalAssumptions,Helper!$B$10,_xlpm._isAssumption,$J50,_xlpm._elementID,IF(_xlpm._isAssumption,_xlpm._row,_xlpm._row-_xlpm._numActiveAssumptions-_xlpm._numAdditionalAssumptions),_xlpm._elementID)</f>
        <v>15</v>
      </c>
      <c r="L5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0" s="20" cm="1">
        <f t="array" ca="1" aca="1" ref="M50">IF($L50,IF(ROW()=ROW($M$17)+1,1,INDEX($M:$M,ROW()-1)+IF(INDEX($T:$T,ROW()-1),1,0)),1)</f>
        <v>1</v>
      </c>
      <c r="N50" s="14" t="str" cm="1">
        <f t="array" ca="1" aca="1" ref="N50">IF($L50=TRUE,_xlfn.LET(_xlpm._isAssumption,$J50,_xlpm._indexRange,IF(_xlpm._isAssumption,Table24['# Elements],Table25['# Elements]),_xlpm._lookupRow,$W50,INDEX(_xlpm._indexRange,_xlpm._lookupRow)),"")</f>
        <v/>
      </c>
      <c r="O50" s="20" t="str" cm="1">
        <f t="array" ca="1" aca="1" ref="O50">IF($N50="","",_xlfn.LET(_xlpm._prevRow,ROW()-1,IF(OR(INDEX($N:$N,_xlpm._prevRow)&lt;&gt;$N50,INDEX($M:$M,_xlpm._prevRow)&lt;&gt;$M50),1,INDEX($O:$O,_xlpm._prevRow)+IF(INDEX($S:$S,_xlpm._prevRow),1,0))))</f>
        <v/>
      </c>
      <c r="P50" s="20" t="str" cm="1">
        <f t="array" ca="1" aca="1" ref="P50">IF($O50="","",_xlfn.LET(_xlpm._isAssumption,$J50,_xlpm._sheetRow,$W50,_xlpm._sheetName,$X50,_xlpm._elementIDRange,IF(_xlpm._isAssumption,Table24[Element ID Column],Table25[Element ID Column]),_xlpm._numberOfElementsRange,IF(_xlpm._isAssumption,Table24[Number of Elements Column],Table25[Number of Elements Column]),SimpleLookup($O50,INDIRECT("'"&amp;_xlpm._sheetName&amp;"'!"&amp;INDEX(_xlpm._elementIDRange,_xlpm._sheetRow)&amp;":"&amp;INDEX(_xlpm._numberOfElementsRange,_xlpm._sheetRow)))))</f>
        <v/>
      </c>
      <c r="Q50" s="20" t="str" cm="1">
        <f t="array" ca="1" aca="1" ref="Q50">IF($O50="","",IF(OR(INDEX($O:$O,ROW()-1)&lt;&gt;$O50,INDEX($M:$M,ROW()-1)&lt;&gt;$M50),1,INDEX($Q:$Q,ROW()-1)+1))</f>
        <v/>
      </c>
      <c r="R50" s="20">
        <f ca="1" t="shared" si="9" ref="R50:R81">COUNTIFS(OFFSET($L$17,1,0,ROW()-ROW($L$17),1),TRUE,OFFSET($M$17,1,0,ROW()-ROW($M$17),1),$M50,OFFSET($J$17,1,0,ROW()-ROW($J$17),1),$J50)</f>
        <v>0</v>
      </c>
      <c r="S50" s="20" t="str">
        <f ca="1" t="shared" si="10" ref="S50:S81">IF($L50,$P50=$Q50,"")</f>
        <v/>
      </c>
      <c r="T50" s="20" t="b">
        <f ca="1">_xlfn.LET(_xlpm._isAssumption,$J50,_xlpm._numberOfElementsRange,IF(_xlpm._isAssumption,Table24['# Elements],Table25['# Elements]),_xlpm._sheetRow,$W50,IF($L50,AND($S50,$R50=$N50),FALSE))</f>
        <v>0</v>
      </c>
      <c r="U50" s="20" t="str" cm="1">
        <f t="array" ca="1" aca="1" ref="U50">IF($L50,_xlfn.LET(_xlpm._elementID,$O50,_xlpm._isAssumption,$J50,_xlpm._sheetRow,$W50,_xlpm._sheetName,$X50,_xlpm._elementRow,$Y50,_xlpm._resultColumnLetter,IF(_xlpm._isAssumption,INDEX(Table24[Comment Column],_xlpm._sheetRow),INDEX(Table25[Comment Column],_xlpm._sheetRow)),INDEX(INDIRECT("'"&amp;_xlpm._sheetName&amp;"'!"&amp;_xlpm._resultColumnLetter&amp;":"&amp;_xlpm._resultColumnLetter),_xlpm._elementRow)),"")</f>
        <v/>
      </c>
      <c r="V50" s="20" t="str" cm="1">
        <f t="array" ca="1" aca="1" ref="V50">IF($L50,_xlfn.LET(_xlpm._elementID,$O50,_xlpm._isAssumption,$J50,_xlpm._sheetRow,$W50,_xlpm._sheetName,$X50,_xlpm._resultColumnLetter,IF(_xlpm._isAssumption,INDEX(Table24[Sheet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0" s="20" t="str">
        <f ca="1">IF($L50=TRUE,_xlfn.LET(_xlpm._isAssumption,$J50,_xlpm._searchRange,IF(_xlpm._isAssumption,Table24[Task Sheet Shadow ID],Table25[Task Sheet Shadow ID]),MATCH($M50,_xlpm._searchRange,0)),"")</f>
        <v/>
      </c>
      <c r="X50" s="20" t="str" cm="1">
        <f t="array" ca="1" aca="1" ref="X50">IF($L50,_xlfn.LET(_xlpm._isAssumption,$J50,_xlpm._sheetRow,$W50,IF(_xlpm._isAssumption,INDEX(Table24[Sheet Name],_xlpm._sheetRow),INDEX(Table25[Sheet Name],_xlpm._sheetRow))),"")</f>
        <v/>
      </c>
      <c r="Y50" s="20" t="str" cm="1">
        <f t="array" ca="1" aca="1" ref="Y50">IF($L50,_xlfn.LET(_xlpm._elementID,$O50,_xlpm._isAssumption,$J50,_xlpm._sheetRow,$W50,_xlpm._sheetName,$X50,_xlpm._elementIDColumnLetter,IF(_xlpm._isAssumption,INDEX(Table24[Element ID Column],_xlpm._sheetRow),INDEX(Table25[Element ID Column],_xlpm._sheetRow)),MATCH(_xlpm._elementID,INDIRECT("'"&amp;_xlpm._sheetName&amp;"'!"&amp;_xlpm._elementIDColumnLetter&amp;":"&amp;_xlpm._elementIDColumnLetter),0)),"")</f>
        <v/>
      </c>
      <c r="Z50" s="20" t="str" cm="1">
        <f t="array" ca="1" aca="1" ref="Z50">IF($A50="","",_xlfn.LET(_xlpm._isAssumption,$J50,_xlpm._isAdditionalElement,$L50,_xlpm._sheetRow,$W50,_xlpm._sheetName,$X50,_xlpm._columnLetter,INDEX(IF(_xlpm._isAdditionalElement,Table24[Comment Column],Table25[Comment Column]),_xlpm._sheetRow),_xlpm._sheetReference,IF(_xlpm._isAssumption,IF(_xlpm._isAdditionalElement,CELL("address",INDEX(INDIRECT("'"&amp;_xlpm._sheetName&amp;"'!"&amp;_xlpm._columnLetter&amp;":"&amp;_xlpm._columnLetter),$Y50)),CELL("address",INDEX(Assumptions!$A:$A,MATCH($A50,Assumptions!$A:$A,0),1))),IF(_xlpm._isAdditionalElement,CELL("address",INDEX(INDIRECT("'"&amp;_xlpm._sheetName&amp;"'!"&amp;_xlpm._columnLetter&amp;":"&amp;_xlpm._columnLetter),$Y50)),CELL("address",INDEX(Countermeasures!$A:$A,MATCH($A50,Countermeasures!$A:$A,0),1)))),_xlpm._start,FIND("]",_xlpm._sheetReference),"'"&amp;SUBSTITUTE(SUBSTITUTE(RIGHT(_xlpm._sheetReference,LEN(_xlpm._sheetReference)-_xlpm._start),"'",""),"!","'!")))</f>
        <v>'Countermeasures'!$A$38</v>
      </c>
      <c r="AA50" s="20" t="str" cm="1">
        <f t="array" ca="1" aca="1" ref="AA50">IF(NOT($L50),_xlfn.LET(_xlpm._value,IF($A50="","",IF($J50,SimpleLookup($A50,Assumptions!$A:$AK),SimpleLookup($A50,Countermeasures!$A:$AN))),IF(_xlpm._value="","",_xlpm._value)),"")</f>
        <v/>
      </c>
      <c r="AB50" s="20" t="str" cm="1">
        <f t="array" ca="1" aca="1" ref="AB50">LookupNames(InverseLookup($A50,Mitigation!$AD$2,Mitigation!$A$2,1,Helper!$B$5,","),'Attack Steps'!$A:$B)</f>
        <v/>
      </c>
      <c r="AC50" s="20" t="str" cm="1">
        <f t="array" ca="1" aca="1" ref="AC50">IF($L50,_xlfn.LET(_xlpm._in,$A50,_xlpm._lastDashNum,LEN(_xlpm._in)-LEN(SUBSTITUTE(_xlpm._in,"-","")),_xlpm._lastDashPos,FIND(CHAR(1),SUBSTITUTE(_xlpm._in,"-",CHAR(1),_xlpm._lastDashNum)),_xlpm._id,LEFT(_xlpm._in,_xlpm._lastDashPos-1),_xlpm._id&amp;"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0" s="20" t="str" cm="1">
        <f t="array" ca="1" aca="1" ref="AD50">_xlfn.LET(_xlpm._countermeasures,InverseLookup($A50,Countermeasures!$AG$2,Countermeasures!$A$2,1,Helper!$B$4,","),LookupNames(_xlpm._countermeasures,Countermeasures!$A:$B))</f>
        <v/>
      </c>
      <c r="AE50" s="20" t="str" cm="1">
        <f t="array" ca="1" aca="1" ref="AE50">IF($E50="","",_xlfn.LET(_xlpm._id,$E50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0" s="20" t="str" cm="1">
        <f t="array" ca="1" aca="1" ref="AF50">IF(OR($A50="",$L50),"",_xlfn.LET(_xlpm._answers,IF($J50,SimpleLookup($A50,Assumptions!$A:$F),SimpleLookup($A50,Countermeasures!$A:$D)),IF(_xlpm._answers="*",IF($J50,SimpleLookup($A50,Assumptions!$A:$C),SimpleLookup($A50,Countermeasures!$A:$C)),"")))</f>
        <v>See ETSI EN 303 645 V2.1.1 (2020-06), Provision 6-4, and 6-5</v>
      </c>
      <c r="AG50" s="20" t="str" cm="1">
        <f t="array" ca="1" aca="1" ref="AG50">IF(NOT($L50),"",_xlfn.LET(_xlpm._mappedInMitigation,IFERROR(VLOOKUP($V50,'Attack Steps'!$A:$O,COLUMNS('Attack Steps'!$A:$O),FALSE),""),CreateSearchString(_xlpm._mappedInMitigation)))</f>
        <v/>
      </c>
      <c r="AH50" s="20" t="b">
        <f ca="1">ROW()-ROW($AH$17)=Helper!$B$15</f>
        <v>0</v>
      </c>
      <c r="AI50" s="20" t="str">
        <f ca="1" t="shared" si="11" ref="AI50:AI81">IF(IFERROR(MATCH(TRUE,$AH:$AH,0)&gt;0,FALSE),"",IF(OFFSET($AH50,1,0)="","Please enlarge the table!",""))</f>
        <v/>
      </c>
      <c r="AJ50" s="20" cm="1">
        <f t="array" ca="1" aca="1" ref="AJ50">CreateID($AJ$17,$AJ:$AJ,$AI50&lt;&gt;"")</f>
        <v>0</v>
      </c>
    </row>
    <row r="51" spans="1:36" ht="60">
      <c r="A51" s="16" t="str">
        <f ca="1">_xlfn.LET(_xlpm._isAssumption,$J51,_xlpm._row,$K51,_xlpm._numActiveAssumptions,Helper!$B$8,_xlpm._numActiveCountermeasures,Helper!$B$9,_xlpm._numAdditionalAssumptions,Helper!$B$10,_xlpm._numAdditionalCountermeasures,Helper!$B$11,IF(_xlpm._isAssumption,IF(_xlpm._row&gt;_xlpm._numActiveAssumptions,$V51&amp;"-A"&amp;$Q51,INDEX(Assumptions!A:A,MATCH(_xlpm._row,Assumptions!$AG:$AG,0))),IF(_xlpm._row&gt;_xlpm._numActiveCountermeasures+_xlpm._numAdditionalCountermeasures,"",IF(_xlpm._row&gt;_xlpm._numActiveCountermeasures,$V51&amp;"-C"&amp;$Q51,INDEX(Countermeasures!$A:$A,MATCH(_xlpm._row,Countermeasures!$AI:$AI,0))))))</f>
        <v>CM23</v>
      </c>
      <c r="B51" s="16" t="str" cm="1">
        <f t="array" ca="1" aca="1" ref="B51">IF($A51="","",_xlfn.LET(_xlpm._isAssumption,$J51,_xlpm._isAdditionalElement,$L51,IF(_xlpm._isAdditionalElement,IF(_xlpm._isAssumption,ParseElementsFromComment($U51,Definitions!$AR$4,Definitions!$AS$4,Definitions!$AR$6,$Q51),ParseElementsFromComment($U51,Definitions!$AR$5,Definitions!$AS$5,Definitions!$AR$6,$Q51)),_xlfn.LET(_xlpm._value,IF($A51="","",IF($J51,SimpleLookup($A51,Assumptions!$A:$B),SimpleLookup($A51,Countermeasures!$A:$B))),IF(_xlpm._value="","",_xlpm._value)))))</f>
        <v>Hardware exchange</v>
      </c>
      <c r="C51" s="16" t="str" cm="1">
        <f t="array" ca="1" aca="1" ref="C51">IF($A51="","",IF($J51,IFERROR(SimpleLookup($A51,Assumptions!$A:$E),""),Definitions!$AO$4))</f>
        <v>acontis techonlogies GmbH</v>
      </c>
      <c r="D51" s="36" t="str">
        <f t="shared" ca="1" si="7"/>
        <v xml:space="preserve">═══════════════════════════════════════════════════════════════
Comments of related questions / answers:
––––––––––––––––––––––––––––––––––––––––––––––––––––––––––––––––––––––––––––––––––––
QA11b </v>
      </c>
      <c r="E51" s="13"/>
      <c r="F51" s="59" t="str">
        <f t="shared" ca="1" si="8"/>
        <v>click me</v>
      </c>
      <c r="G51" s="122" t="str" cm="1">
        <f t="array" ca="1" aca="1" ref="G51">_xlfn.LET(_xlpm._val,IFERROR(SimpleLookup($A51,Countermeasures!$A:$R),IFERROR(SimpleLookup($A51,Assumptions!$A:$R),"")),IF(_xlpm._val="","",_xlpm._val))</f>
        <v/>
      </c>
      <c r="H51" s="16" t="str" cm="1">
        <f t="array" ca="1" aca="1" ref="H51">_xlfn.LET(_xlpm._value,IF($A51="","",IFERROR(IF($J51,SimpleLookup($A51,Assumptions!$A:$S),SimpleLookup($A51,Countermeasures!$A:$S)),"")),IF(_xlpm._value="","",_xlpm._value))</f>
        <v>AS40 specifically targets systems that do not receive updates. Consequently, this countermeasure removes the Window of Opportunity for AS40, but does not prevent reliably against vulnerabilities in general.</v>
      </c>
      <c r="I51" s="10" cm="1">
        <f t="array" ca="1" aca="1" ref="I51">IF(ROW()=ROW($I$17)+1,0,INDEX($I:$I,ROW()-1))+IF($A51="",0,1)</f>
        <v>34</v>
      </c>
      <c r="J51" s="10" t="b">
        <f ca="1">_xlfn.LET(_xlpm._row,ROW()-ROW($K$17),_xlpm._numActiveAssumptions,Helper!$B$8,_xlpm._numAdditionalAssumptions,SUM(Table24['# Elements]),_xlpm._row&lt;=_xlpm._numActiveAssumptions+_xlpm._numAdditionalAssumptions)</f>
        <v>0</v>
      </c>
      <c r="K51" s="21">
        <f ca="1">_xlfn.LET(_xlpm._row,ROW()-ROW($K$17),_xlpm._numActiveAssumptions,Helper!$B$8,_xlpm._numAdditionalAssumptions,Helper!$B$10,_xlpm._isAssumption,$J51,_xlpm._elementID,IF(_xlpm._isAssumption,_xlpm._row,_xlpm._row-_xlpm._numActiveAssumptions-_xlpm._numAdditionalAssumptions),_xlpm._elementID)</f>
        <v>16</v>
      </c>
      <c r="L5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1" s="20" cm="1">
        <f t="array" ca="1" aca="1" ref="M51">IF($L51,IF(ROW()=ROW($M$17)+1,1,INDEX($M:$M,ROW()-1)+IF(INDEX($T:$T,ROW()-1),1,0)),1)</f>
        <v>1</v>
      </c>
      <c r="N51" s="14" t="str" cm="1">
        <f t="array" ca="1" aca="1" ref="N51">IF($L51=TRUE,_xlfn.LET(_xlpm._isAssumption,$J51,_xlpm._indexRange,IF(_xlpm._isAssumption,Table24['# Elements],Table25['# Elements]),_xlpm._lookupRow,$W51,INDEX(_xlpm._indexRange,_xlpm._lookupRow)),"")</f>
        <v/>
      </c>
      <c r="O51" s="20" t="str" cm="1">
        <f t="array" ca="1" aca="1" ref="O51">IF($N51="","",_xlfn.LET(_xlpm._prevRow,ROW()-1,IF(OR(INDEX($N:$N,_xlpm._prevRow)&lt;&gt;$N51,INDEX($M:$M,_xlpm._prevRow)&lt;&gt;$M51),1,INDEX($O:$O,_xlpm._prevRow)+IF(INDEX($S:$S,_xlpm._prevRow),1,0))))</f>
        <v/>
      </c>
      <c r="P51" s="20" t="str" cm="1">
        <f t="array" ca="1" aca="1" ref="P51">IF($O51="","",_xlfn.LET(_xlpm._isAssumption,$J51,_xlpm._sheetRow,$W51,_xlpm._sheetName,$X51,_xlpm._elementIDRange,IF(_xlpm._isAssumption,Table24[Element ID Column],Table25[Element ID Column]),_xlpm._numberOfElementsRange,IF(_xlpm._isAssumption,Table24[Number of Elements Column],Table25[Number of Elements Column]),SimpleLookup($O51,INDIRECT("'"&amp;_xlpm._sheetName&amp;"'!"&amp;INDEX(_xlpm._elementIDRange,_xlpm._sheetRow)&amp;":"&amp;INDEX(_xlpm._numberOfElementsRange,_xlpm._sheetRow)))))</f>
        <v/>
      </c>
      <c r="Q51" s="20" t="str" cm="1">
        <f t="array" ca="1" aca="1" ref="Q51">IF($O51="","",IF(OR(INDEX($O:$O,ROW()-1)&lt;&gt;$O51,INDEX($M:$M,ROW()-1)&lt;&gt;$M51),1,INDEX($Q:$Q,ROW()-1)+1))</f>
        <v/>
      </c>
      <c r="R51" s="20">
        <f t="shared" ca="1" si="9"/>
        <v>0</v>
      </c>
      <c r="S51" s="20" t="str">
        <f t="shared" ca="1" si="10"/>
        <v/>
      </c>
      <c r="T51" s="20" t="b">
        <f ca="1">_xlfn.LET(_xlpm._isAssumption,$J51,_xlpm._numberOfElementsRange,IF(_xlpm._isAssumption,Table24['# Elements],Table25['# Elements]),_xlpm._sheetRow,$W51,IF($L51,AND($S51,$R51=$N51),FALSE))</f>
        <v>0</v>
      </c>
      <c r="U51" s="20" t="str" cm="1">
        <f t="array" ca="1" aca="1" ref="U51">IF($L51,_xlfn.LET(_xlpm._elementID,$O51,_xlpm._isAssumption,$J51,_xlpm._sheetRow,$W51,_xlpm._sheetName,$X51,_xlpm._elementRow,$Y51,_xlpm._resultColumnLetter,IF(_xlpm._isAssumption,INDEX(Table24[Comment Column],_xlpm._sheetRow),INDEX(Table25[Comment Column],_xlpm._sheetRow)),INDEX(INDIRECT("'"&amp;_xlpm._sheetName&amp;"'!"&amp;_xlpm._resultColumnLetter&amp;":"&amp;_xlpm._resultColumnLetter),_xlpm._elementRow)),"")</f>
        <v/>
      </c>
      <c r="V51" s="20" t="str" cm="1">
        <f t="array" ca="1" aca="1" ref="V51">IF($L51,_xlfn.LET(_xlpm._elementID,$O51,_xlpm._isAssumption,$J51,_xlpm._sheetRow,$W51,_xlpm._sheetName,$X51,_xlpm._resultColumnLetter,IF(_xlpm._isAssumption,INDEX(Table24[Sheet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1" s="20" t="str">
        <f ca="1">IF($L51=TRUE,_xlfn.LET(_xlpm._isAssumption,$J51,_xlpm._searchRange,IF(_xlpm._isAssumption,Table24[Task Sheet Shadow ID],Table25[Task Sheet Shadow ID]),MATCH($M51,_xlpm._searchRange,0)),"")</f>
        <v/>
      </c>
      <c r="X51" s="20" t="str" cm="1">
        <f t="array" ca="1" aca="1" ref="X51">IF($L51,_xlfn.LET(_xlpm._isAssumption,$J51,_xlpm._sheetRow,$W51,IF(_xlpm._isAssumption,INDEX(Table24[Sheet Name],_xlpm._sheetRow),INDEX(Table25[Sheet Name],_xlpm._sheetRow))),"")</f>
        <v/>
      </c>
      <c r="Y51" s="20" t="str" cm="1">
        <f t="array" ca="1" aca="1" ref="Y51">IF($L51,_xlfn.LET(_xlpm._elementID,$O51,_xlpm._isAssumption,$J51,_xlpm._sheetRow,$W51,_xlpm._sheetName,$X51,_xlpm._elementIDColumnLetter,IF(_xlpm._isAssumption,INDEX(Table24[Element ID Column],_xlpm._sheetRow),INDEX(Table25[Element ID Column],_xlpm._sheetRow)),MATCH(_xlpm._elementID,INDIRECT("'"&amp;_xlpm._sheetName&amp;"'!"&amp;_xlpm._elementIDColumnLetter&amp;":"&amp;_xlpm._elementIDColumnLetter),0)),"")</f>
        <v/>
      </c>
      <c r="Z51" s="20" t="str" cm="1">
        <f t="array" ca="1" aca="1" ref="Z51">IF($A51="","",_xlfn.LET(_xlpm._isAssumption,$J51,_xlpm._isAdditionalElement,$L51,_xlpm._sheetRow,$W51,_xlpm._sheetName,$X51,_xlpm._columnLetter,INDEX(IF(_xlpm._isAdditionalElement,Table24[Comment Column],Table25[Comment Column]),_xlpm._sheetRow),_xlpm._sheetReference,IF(_xlpm._isAssumption,IF(_xlpm._isAdditionalElement,CELL("address",INDEX(INDIRECT("'"&amp;_xlpm._sheetName&amp;"'!"&amp;_xlpm._columnLetter&amp;":"&amp;_xlpm._columnLetter),$Y51)),CELL("address",INDEX(Assumptions!$A:$A,MATCH($A51,Assumptions!$A:$A,0),1))),IF(_xlpm._isAdditionalElement,CELL("address",INDEX(INDIRECT("'"&amp;_xlpm._sheetName&amp;"'!"&amp;_xlpm._columnLetter&amp;":"&amp;_xlpm._columnLetter),$Y51)),CELL("address",INDEX(Countermeasures!$A:$A,MATCH($A51,Countermeasures!$A:$A,0),1)))),_xlpm._start,FIND("]",_xlpm._sheetReference),"'"&amp;SUBSTITUTE(SUBSTITUTE(RIGHT(_xlpm._sheetReference,LEN(_xlpm._sheetReference)-_xlpm._start),"'",""),"!","'!")))</f>
        <v>'Countermeasures'!$A$61</v>
      </c>
      <c r="AA51" s="20" t="str" cm="1">
        <f t="array" ca="1" aca="1" ref="AA51">IF(NOT($L51),_xlfn.LET(_xlpm._value,IF($A51="","",IF($J51,SimpleLookup($A51,Assumptions!$A:$AK),SimpleLookup($A51,Countermeasures!$A:$AN))),IF(_xlpm._value="","",_xlpm._value)),"")</f>
        <v xml:space="preserve">QA11b </v>
      </c>
      <c r="AB51" s="20" t="str" cm="1">
        <f t="array" ca="1" aca="1" ref="AB51">LookupNames(InverseLookup($A51,Mitigation!$AD$2,Mitigation!$A$2,1,Helper!$B$5,","),'Attack Steps'!$A:$B)</f>
        <v/>
      </c>
      <c r="AC51" s="20" t="str" cm="1">
        <f t="array" ca="1" aca="1" ref="AC51">IF($L51,_xlfn.LET(_xlpm._in,$A51,_xlpm._lastDashNum,LEN(_xlpm._in)-LEN(SUBSTITUTE(_xlpm._in,"-","")),_xlpm._lastDashPos,FIND(CHAR(1),SUBSTITUTE(_xlpm._in,"-",CHAR(1),_xlpm._lastDashNum)),_xlpm._id,LEFT(_xlpm._in,_xlpm._lastDashPos-1),_xlpm._id&amp;"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1" s="20" t="str" cm="1">
        <f t="array" ca="1" aca="1" ref="AD51">_xlfn.LET(_xlpm._countermeasures,InverseLookup($A51,Countermeasures!$AG$2,Countermeasures!$A$2,1,Helper!$B$4,","),LookupNames(_xlpm._countermeasures,Countermeasures!$A:$B))</f>
        <v/>
      </c>
      <c r="AE51" s="20" t="str" cm="1">
        <f t="array" ca="1" aca="1" ref="AE51">IF($E51="","",_xlfn.LET(_xlpm._id,$E51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1" s="20" t="str" cm="1">
        <f t="array" ca="1" aca="1" ref="AF51">IF(OR($A51="",$L51),"",_xlfn.LET(_xlpm._answers,IF($J51,SimpleLookup($A51,Assumptions!$A:$F),SimpleLookup($A51,Countermeasures!$A:$D)),IF(_xlpm._answers="*",IF($J51,SimpleLookup($A51,Assumptions!$A:$C),SimpleLookup($A51,Countermeasures!$A:$C)),"")))</f>
        <v/>
      </c>
      <c r="AG51" s="20" t="str" cm="1">
        <f t="array" ca="1" aca="1" ref="AG51">IF(NOT($L51),"",_xlfn.LET(_xlpm._mappedInMitigation,IFERROR(VLOOKUP($V51,'Attack Steps'!$A:$O,COLUMNS('Attack Steps'!$A:$O),FALSE),""),CreateSearchString(_xlpm._mappedInMitigation)))</f>
        <v/>
      </c>
      <c r="AH51" s="20" t="b">
        <f ca="1">ROW()-ROW($AH$17)=Helper!$B$15</f>
        <v>1</v>
      </c>
      <c r="AI51" s="20" t="str">
        <f t="shared" ca="1" si="11"/>
        <v/>
      </c>
      <c r="AJ51" s="20" cm="1">
        <f t="array" ca="1" aca="1" ref="AJ51">CreateID($AJ$17,$AJ:$AJ,$AI51&lt;&gt;"")</f>
        <v>0</v>
      </c>
    </row>
    <row r="52" spans="1:36" ht="15">
      <c r="A52" s="16" t="str">
        <f ca="1">_xlfn.LET(_xlpm._isAssumption,$J52,_xlpm._row,$K52,_xlpm._numActiveAssumptions,Helper!$B$8,_xlpm._numActiveCountermeasures,Helper!$B$9,_xlpm._numAdditionalAssumptions,Helper!$B$10,_xlpm._numAdditionalCountermeasures,Helper!$B$11,IF(_xlpm._isAssumption,IF(_xlpm._row&gt;_xlpm._numActiveAssumptions,$V52&amp;"-A"&amp;$Q52,INDEX(Assumptions!A:A,MATCH(_xlpm._row,Assumptions!$AG:$AG,0))),IF(_xlpm._row&gt;_xlpm._numActiveCountermeasures+_xlpm._numAdditionalCountermeasures,"",IF(_xlpm._row&gt;_xlpm._numActiveCountermeasures,$V52&amp;"-C"&amp;$Q52,INDEX(Countermeasures!$A:$A,MATCH(_xlpm._row,Countermeasures!$AI:$AI,0))))))</f>
        <v/>
      </c>
      <c r="B52" s="16" t="str" cm="1">
        <f t="array" ca="1" aca="1" ref="B52">IF($A52="","",_xlfn.LET(_xlpm._isAssumption,$J52,_xlpm._isAdditionalElement,$L52,IF(_xlpm._isAdditionalElement,IF(_xlpm._isAssumption,ParseElementsFromComment($U52,Definitions!$AR$4,Definitions!$AS$4,Definitions!$AR$6,$Q52),ParseElementsFromComment($U52,Definitions!$AR$5,Definitions!$AS$5,Definitions!$AR$6,$Q52)),_xlfn.LET(_xlpm._value,IF($A52="","",IF($J52,SimpleLookup($A52,Assumptions!$A:$B),SimpleLookup($A52,Countermeasures!$A:$B))),IF(_xlpm._value="","",_xlpm._value)))))</f>
        <v/>
      </c>
      <c r="C52" s="16" t="str" cm="1">
        <f t="array" ca="1" aca="1" ref="C52">IF($A52="","",IF($J52,IFERROR(SimpleLookup($A52,Assumptions!$A:$E),""),Definitions!$AO$4))</f>
        <v/>
      </c>
      <c r="D52" s="36" t="str">
        <f t="shared" ca="1" si="7"/>
        <v/>
      </c>
      <c r="E52" s="13"/>
      <c r="F52" s="59" t="str">
        <f t="shared" ca="1" si="8"/>
        <v/>
      </c>
      <c r="G52" s="122" t="str" cm="1">
        <f t="array" ca="1" aca="1" ref="G52">_xlfn.LET(_xlpm._val,IFERROR(SimpleLookup($A52,Countermeasures!$A:$R),IFERROR(SimpleLookup($A52,Assumptions!$A:$R),"")),IF(_xlpm._val="","",_xlpm._val))</f>
        <v/>
      </c>
      <c r="H52" s="16" t="str" cm="1">
        <f t="array" ca="1" aca="1" ref="H52">_xlfn.LET(_xlpm._value,IF($A52="","",IFERROR(IF($J52,SimpleLookup($A52,Assumptions!$A:$S),SimpleLookup($A52,Countermeasures!$A:$S)),"")),IF(_xlpm._value="","",_xlpm._value))</f>
        <v/>
      </c>
      <c r="I52" s="10" cm="1">
        <f t="array" ca="1" aca="1" ref="I52">IF(ROW()=ROW($I$17)+1,0,INDEX($I:$I,ROW()-1))+IF($A52="",0,1)</f>
        <v>34</v>
      </c>
      <c r="J52" s="10" t="b">
        <f ca="1">_xlfn.LET(_xlpm._row,ROW()-ROW($K$17),_xlpm._numActiveAssumptions,Helper!$B$8,_xlpm._numAdditionalAssumptions,SUM(Table24['# Elements]),_xlpm._row&lt;=_xlpm._numActiveAssumptions+_xlpm._numAdditionalAssumptions)</f>
        <v>0</v>
      </c>
      <c r="K52" s="21">
        <f ca="1">_xlfn.LET(_xlpm._row,ROW()-ROW($K$17),_xlpm._numActiveAssumptions,Helper!$B$8,_xlpm._numAdditionalAssumptions,Helper!$B$10,_xlpm._isAssumption,$J52,_xlpm._elementID,IF(_xlpm._isAssumption,_xlpm._row,_xlpm._row-_xlpm._numActiveAssumptions-_xlpm._numAdditionalAssumptions),_xlpm._elementID)</f>
        <v>17</v>
      </c>
      <c r="L52"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2" s="20" cm="1">
        <f t="array" ca="1" aca="1" ref="M52">IF($L52,IF(ROW()=ROW($M$17)+1,1,INDEX($M:$M,ROW()-1)+IF(INDEX($T:$T,ROW()-1),1,0)),1)</f>
        <v>1</v>
      </c>
      <c r="N52" s="14" t="str" cm="1">
        <f t="array" ca="1" aca="1" ref="N52">IF($L52=TRUE,_xlfn.LET(_xlpm._isAssumption,$J52,_xlpm._indexRange,IF(_xlpm._isAssumption,Table24['# Elements],Table25['# Elements]),_xlpm._lookupRow,$W52,INDEX(_xlpm._indexRange,_xlpm._lookupRow)),"")</f>
        <v/>
      </c>
      <c r="O52" s="20" t="str" cm="1">
        <f t="array" ca="1" aca="1" ref="O52">IF($N52="","",_xlfn.LET(_xlpm._prevRow,ROW()-1,IF(OR(INDEX($N:$N,_xlpm._prevRow)&lt;&gt;$N52,INDEX($M:$M,_xlpm._prevRow)&lt;&gt;$M52),1,INDEX($O:$O,_xlpm._prevRow)+IF(INDEX($S:$S,_xlpm._prevRow),1,0))))</f>
        <v/>
      </c>
      <c r="P52" s="20" t="str" cm="1">
        <f t="array" ca="1" aca="1" ref="P52">IF($O52="","",_xlfn.LET(_xlpm._isAssumption,$J52,_xlpm._sheetRow,$W52,_xlpm._sheetName,$X52,_xlpm._elementIDRange,IF(_xlpm._isAssumption,Table24[Element ID Column],Table25[Element ID Column]),_xlpm._numberOfElementsRange,IF(_xlpm._isAssumption,Table24[Number of Elements Column],Table25[Number of Elements Column]),SimpleLookup($O52,INDIRECT("'"&amp;_xlpm._sheetName&amp;"'!"&amp;INDEX(_xlpm._elementIDRange,_xlpm._sheetRow)&amp;":"&amp;INDEX(_xlpm._numberOfElementsRange,_xlpm._sheetRow)))))</f>
        <v/>
      </c>
      <c r="Q52" s="20" t="str" cm="1">
        <f t="array" ca="1" aca="1" ref="Q52">IF($O52="","",IF(OR(INDEX($O:$O,ROW()-1)&lt;&gt;$O52,INDEX($M:$M,ROW()-1)&lt;&gt;$M52),1,INDEX($Q:$Q,ROW()-1)+1))</f>
        <v/>
      </c>
      <c r="R52" s="20">
        <f t="shared" ca="1" si="9"/>
        <v>0</v>
      </c>
      <c r="S52" s="20" t="str">
        <f t="shared" ca="1" si="10"/>
        <v/>
      </c>
      <c r="T52" s="20" t="b">
        <f ca="1">_xlfn.LET(_xlpm._isAssumption,$J52,_xlpm._numberOfElementsRange,IF(_xlpm._isAssumption,Table24['# Elements],Table25['# Elements]),_xlpm._sheetRow,$W52,IF($L52,AND($S52,$R52=$N52),FALSE))</f>
        <v>0</v>
      </c>
      <c r="U52" s="20" t="str" cm="1">
        <f t="array" ca="1" aca="1" ref="U52">IF($L52,_xlfn.LET(_xlpm._elementID,$O52,_xlpm._isAssumption,$J52,_xlpm._sheetRow,$W52,_xlpm._sheetName,$X52,_xlpm._elementRow,$Y52,_xlpm._resultColumnLetter,IF(_xlpm._isAssumption,INDEX(Table24[Comment Column],_xlpm._sheetRow),INDEX(Table25[Comment Column],_xlpm._sheetRow)),INDEX(INDIRECT("'"&amp;_xlpm._sheetName&amp;"'!"&amp;_xlpm._resultColumnLetter&amp;":"&amp;_xlpm._resultColumnLetter),_xlpm._elementRow)),"")</f>
        <v/>
      </c>
      <c r="V52" s="20" t="str" cm="1">
        <f t="array" ca="1" aca="1" ref="V52">IF($L52,_xlfn.LET(_xlpm._elementID,$O52,_xlpm._isAssumption,$J52,_xlpm._sheetRow,$W52,_xlpm._sheetName,$X52,_xlpm._resultColumnLetter,IF(_xlpm._isAssumption,INDEX(Table24[Sheet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2" s="20" t="str">
        <f ca="1">IF($L52=TRUE,_xlfn.LET(_xlpm._isAssumption,$J52,_xlpm._searchRange,IF(_xlpm._isAssumption,Table24[Task Sheet Shadow ID],Table25[Task Sheet Shadow ID]),MATCH($M52,_xlpm._searchRange,0)),"")</f>
        <v/>
      </c>
      <c r="X52" s="20" t="str" cm="1">
        <f t="array" ca="1" aca="1" ref="X52">IF($L52,_xlfn.LET(_xlpm._isAssumption,$J52,_xlpm._sheetRow,$W52,IF(_xlpm._isAssumption,INDEX(Table24[Sheet Name],_xlpm._sheetRow),INDEX(Table25[Sheet Name],_xlpm._sheetRow))),"")</f>
        <v/>
      </c>
      <c r="Y52" s="20" t="str" cm="1">
        <f t="array" ca="1" aca="1" ref="Y52">IF($L52,_xlfn.LET(_xlpm._elementID,$O52,_xlpm._isAssumption,$J52,_xlpm._sheetRow,$W52,_xlpm._sheetName,$X52,_xlpm._elementIDColumnLetter,IF(_xlpm._isAssumption,INDEX(Table24[Element ID Column],_xlpm._sheetRow),INDEX(Table25[Element ID Column],_xlpm._sheetRow)),MATCH(_xlpm._elementID,INDIRECT("'"&amp;_xlpm._sheetName&amp;"'!"&amp;_xlpm._elementIDColumnLetter&amp;":"&amp;_xlpm._elementIDColumnLetter),0)),"")</f>
        <v/>
      </c>
      <c r="Z52" s="20" t="str" cm="1">
        <f t="array" ca="1" aca="1" ref="Z52">IF($A52="","",_xlfn.LET(_xlpm._isAssumption,$J52,_xlpm._isAdditionalElement,$L52,_xlpm._sheetRow,$W52,_xlpm._sheetName,$X52,_xlpm._columnLetter,INDEX(IF(_xlpm._isAdditionalElement,Table24[Comment Column],Table25[Comment Column]),_xlpm._sheetRow),_xlpm._sheetReference,IF(_xlpm._isAssumption,IF(_xlpm._isAdditionalElement,CELL("address",INDEX(INDIRECT("'"&amp;_xlpm._sheetName&amp;"'!"&amp;_xlpm._columnLetter&amp;":"&amp;_xlpm._columnLetter),$Y52)),CELL("address",INDEX(Assumptions!$A:$A,MATCH($A52,Assumptions!$A:$A,0),1))),IF(_xlpm._isAdditionalElement,CELL("address",INDEX(INDIRECT("'"&amp;_xlpm._sheetName&amp;"'!"&amp;_xlpm._columnLetter&amp;":"&amp;_xlpm._columnLetter),$Y52)),CELL("address",INDEX(Countermeasures!$A:$A,MATCH($A52,Countermeasures!$A:$A,0),1)))),_xlpm._start,FIND("]",_xlpm._sheetReference),"'"&amp;SUBSTITUTE(SUBSTITUTE(RIGHT(_xlpm._sheetReference,LEN(_xlpm._sheetReference)-_xlpm._start),"'",""),"!","'!")))</f>
        <v/>
      </c>
      <c r="AA52" s="20" t="str" cm="1">
        <f t="array" ca="1" aca="1" ref="AA52">IF(NOT($L52),_xlfn.LET(_xlpm._value,IF($A52="","",IF($J52,SimpleLookup($A52,Assumptions!$A:$AK),SimpleLookup($A52,Countermeasures!$A:$AN))),IF(_xlpm._value="","",_xlpm._value)),"")</f>
        <v/>
      </c>
      <c r="AB52" s="20" t="str" cm="1">
        <f t="array" ca="1" aca="1" ref="AB52">LookupNames(InverseLookup($A52,Mitigation!$AD$2,Mitigation!$A$2,1,Helper!$B$5,","),'Attack Steps'!$A:$B)</f>
        <v/>
      </c>
      <c r="AC52" s="20" t="str" cm="1">
        <f t="array" ca="1" aca="1" ref="AC52">IF($L52,_xlfn.LET(_xlpm._in,$A52,_xlpm._lastDashNum,LEN(_xlpm._in)-LEN(SUBSTITUTE(_xlpm._in,"-","")),_xlpm._lastDashPos,FIND(CHAR(1),SUBSTITUTE(_xlpm._in,"-",CHAR(1),_xlpm._lastDashNum)),_xlpm._id,LEFT(_xlpm._in,_xlpm._lastDashPos-1),_xlpm._id&amp;"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2" s="20" t="str" cm="1">
        <f t="array" ca="1" aca="1" ref="AD52">_xlfn.LET(_xlpm._countermeasures,InverseLookup($A52,Countermeasures!$AG$2,Countermeasures!$A$2,1,Helper!$B$4,","),LookupNames(_xlpm._countermeasures,Countermeasures!$A:$B))</f>
        <v/>
      </c>
      <c r="AE52" s="20" t="str" cm="1">
        <f t="array" ca="1" aca="1" ref="AE52">IF($E52="","",_xlfn.LET(_xlpm._id,$E52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2" s="20" t="str" cm="1">
        <f t="array" ca="1" aca="1" ref="AF52">IF(OR($A52="",$L52),"",_xlfn.LET(_xlpm._answers,IF($J52,SimpleLookup($A52,Assumptions!$A:$F),SimpleLookup($A52,Countermeasures!$A:$D)),IF(_xlpm._answers="*",IF($J52,SimpleLookup($A52,Assumptions!$A:$C),SimpleLookup($A52,Countermeasures!$A:$C)),"")))</f>
        <v/>
      </c>
      <c r="AG52" s="20" t="str" cm="1">
        <f t="array" ca="1" aca="1" ref="AG52">IF(NOT($L52),"",_xlfn.LET(_xlpm._mappedInMitigation,IFERROR(VLOOKUP($V52,'Attack Steps'!$A:$O,COLUMNS('Attack Steps'!$A:$O),FALSE),""),CreateSearchString(_xlpm._mappedInMitigation)))</f>
        <v/>
      </c>
      <c r="AH52" s="20" t="b">
        <f ca="1">ROW()-ROW($AH$17)=Helper!$B$15</f>
        <v>0</v>
      </c>
      <c r="AI52" s="20" t="str">
        <f t="shared" ca="1" si="11"/>
        <v/>
      </c>
      <c r="AJ52" s="20" cm="1">
        <f t="array" ca="1" aca="1" ref="AJ52">CreateID($AJ$17,$AJ:$AJ,$AI52&lt;&gt;"")</f>
        <v>0</v>
      </c>
    </row>
    <row r="53" spans="1:36" ht="15">
      <c r="A53" s="16" t="str">
        <f ca="1">_xlfn.LET(_xlpm._isAssumption,$J53,_xlpm._row,$K53,_xlpm._numActiveAssumptions,Helper!$B$8,_xlpm._numActiveCountermeasures,Helper!$B$9,_xlpm._numAdditionalAssumptions,Helper!$B$10,_xlpm._numAdditionalCountermeasures,Helper!$B$11,IF(_xlpm._isAssumption,IF(_xlpm._row&gt;_xlpm._numActiveAssumptions,$V53&amp;"-A"&amp;$Q53,INDEX(Assumptions!A:A,MATCH(_xlpm._row,Assumptions!$AG:$AG,0))),IF(_xlpm._row&gt;_xlpm._numActiveCountermeasures+_xlpm._numAdditionalCountermeasures,"",IF(_xlpm._row&gt;_xlpm._numActiveCountermeasures,$V53&amp;"-C"&amp;$Q53,INDEX(Countermeasures!$A:$A,MATCH(_xlpm._row,Countermeasures!$AI:$AI,0))))))</f>
        <v/>
      </c>
      <c r="B53" s="16" t="str" cm="1">
        <f t="array" ca="1" aca="1" ref="B53">IF($A53="","",_xlfn.LET(_xlpm._isAssumption,$J53,_xlpm._isAdditionalElement,$L53,IF(_xlpm._isAdditionalElement,IF(_xlpm._isAssumption,ParseElementsFromComment($U53,Definitions!$AR$4,Definitions!$AS$4,Definitions!$AR$6,$Q53),ParseElementsFromComment($U53,Definitions!$AR$5,Definitions!$AS$5,Definitions!$AR$6,$Q53)),_xlfn.LET(_xlpm._value,IF($A53="","",IF($J53,SimpleLookup($A53,Assumptions!$A:$B),SimpleLookup($A53,Countermeasures!$A:$B))),IF(_xlpm._value="","",_xlpm._value)))))</f>
        <v/>
      </c>
      <c r="C53" s="16" t="str" cm="1">
        <f t="array" ca="1" aca="1" ref="C53">IF($A53="","",IF($J53,IFERROR(SimpleLookup($A53,Assumptions!$A:$E),""),Definitions!$AO$4))</f>
        <v/>
      </c>
      <c r="D53" s="36" t="str">
        <f t="shared" ca="1" si="7"/>
        <v/>
      </c>
      <c r="E53" s="13"/>
      <c r="F53" s="59" t="str">
        <f t="shared" ca="1" si="8"/>
        <v/>
      </c>
      <c r="G53" s="122" t="str" cm="1">
        <f t="array" ca="1" aca="1" ref="G53">_xlfn.LET(_xlpm._val,IFERROR(SimpleLookup($A53,Countermeasures!$A:$R),IFERROR(SimpleLookup($A53,Assumptions!$A:$R),"")),IF(_xlpm._val="","",_xlpm._val))</f>
        <v/>
      </c>
      <c r="H53" s="16" t="str" cm="1">
        <f t="array" ca="1" aca="1" ref="H53">_xlfn.LET(_xlpm._value,IF($A53="","",IFERROR(IF($J53,SimpleLookup($A53,Assumptions!$A:$S),SimpleLookup($A53,Countermeasures!$A:$S)),"")),IF(_xlpm._value="","",_xlpm._value))</f>
        <v/>
      </c>
      <c r="I53" s="10" cm="1">
        <f t="array" ca="1" aca="1" ref="I53">IF(ROW()=ROW($I$17)+1,0,INDEX($I:$I,ROW()-1))+IF($A53="",0,1)</f>
        <v>34</v>
      </c>
      <c r="J53" s="10" t="b">
        <f ca="1">_xlfn.LET(_xlpm._row,ROW()-ROW($K$17),_xlpm._numActiveAssumptions,Helper!$B$8,_xlpm._numAdditionalAssumptions,SUM(Table24['# Elements]),_xlpm._row&lt;=_xlpm._numActiveAssumptions+_xlpm._numAdditionalAssumptions)</f>
        <v>0</v>
      </c>
      <c r="K53" s="21">
        <f ca="1">_xlfn.LET(_xlpm._row,ROW()-ROW($K$17),_xlpm._numActiveAssumptions,Helper!$B$8,_xlpm._numAdditionalAssumptions,Helper!$B$10,_xlpm._isAssumption,$J53,_xlpm._elementID,IF(_xlpm._isAssumption,_xlpm._row,_xlpm._row-_xlpm._numActiveAssumptions-_xlpm._numAdditionalAssumptions),_xlpm._elementID)</f>
        <v>18</v>
      </c>
      <c r="L53"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3" s="20" cm="1">
        <f t="array" ca="1" aca="1" ref="M53">IF($L53,IF(ROW()=ROW($M$17)+1,1,INDEX($M:$M,ROW()-1)+IF(INDEX($T:$T,ROW()-1),1,0)),1)</f>
        <v>1</v>
      </c>
      <c r="N53" s="14" t="str" cm="1">
        <f t="array" ca="1" aca="1" ref="N53">IF($L53=TRUE,_xlfn.LET(_xlpm._isAssumption,$J53,_xlpm._indexRange,IF(_xlpm._isAssumption,Table24['# Elements],Table25['# Elements]),_xlpm._lookupRow,$W53,INDEX(_xlpm._indexRange,_xlpm._lookupRow)),"")</f>
        <v/>
      </c>
      <c r="O53" s="20" t="str" cm="1">
        <f t="array" ca="1" aca="1" ref="O53">IF($N53="","",_xlfn.LET(_xlpm._prevRow,ROW()-1,IF(OR(INDEX($N:$N,_xlpm._prevRow)&lt;&gt;$N53,INDEX($M:$M,_xlpm._prevRow)&lt;&gt;$M53),1,INDEX($O:$O,_xlpm._prevRow)+IF(INDEX($S:$S,_xlpm._prevRow),1,0))))</f>
        <v/>
      </c>
      <c r="P53" s="20" t="str" cm="1">
        <f t="array" ca="1" aca="1" ref="P53">IF($O53="","",_xlfn.LET(_xlpm._isAssumption,$J53,_xlpm._sheetRow,$W53,_xlpm._sheetName,$X53,_xlpm._elementIDRange,IF(_xlpm._isAssumption,Table24[Element ID Column],Table25[Element ID Column]),_xlpm._numberOfElementsRange,IF(_xlpm._isAssumption,Table24[Number of Elements Column],Table25[Number of Elements Column]),SimpleLookup($O53,INDIRECT("'"&amp;_xlpm._sheetName&amp;"'!"&amp;INDEX(_xlpm._elementIDRange,_xlpm._sheetRow)&amp;":"&amp;INDEX(_xlpm._numberOfElementsRange,_xlpm._sheetRow)))))</f>
        <v/>
      </c>
      <c r="Q53" s="20" t="str" cm="1">
        <f t="array" ca="1" aca="1" ref="Q53">IF($O53="","",IF(OR(INDEX($O:$O,ROW()-1)&lt;&gt;$O53,INDEX($M:$M,ROW()-1)&lt;&gt;$M53),1,INDEX($Q:$Q,ROW()-1)+1))</f>
        <v/>
      </c>
      <c r="R53" s="20">
        <f t="shared" ca="1" si="9"/>
        <v>0</v>
      </c>
      <c r="S53" s="20" t="str">
        <f t="shared" ca="1" si="10"/>
        <v/>
      </c>
      <c r="T53" s="20" t="b">
        <f ca="1">_xlfn.LET(_xlpm._isAssumption,$J53,_xlpm._numberOfElementsRange,IF(_xlpm._isAssumption,Table24['# Elements],Table25['# Elements]),_xlpm._sheetRow,$W53,IF($L53,AND($S53,$R53=$N53),FALSE))</f>
        <v>0</v>
      </c>
      <c r="U53" s="20" t="str" cm="1">
        <f t="array" ca="1" aca="1" ref="U53">IF($L53,_xlfn.LET(_xlpm._elementID,$O53,_xlpm._isAssumption,$J53,_xlpm._sheetRow,$W53,_xlpm._sheetName,$X53,_xlpm._elementRow,$Y53,_xlpm._resultColumnLetter,IF(_xlpm._isAssumption,INDEX(Table24[Comment Column],_xlpm._sheetRow),INDEX(Table25[Comment Column],_xlpm._sheetRow)),INDEX(INDIRECT("'"&amp;_xlpm._sheetName&amp;"'!"&amp;_xlpm._resultColumnLetter&amp;":"&amp;_xlpm._resultColumnLetter),_xlpm._elementRow)),"")</f>
        <v/>
      </c>
      <c r="V53" s="20" t="str" cm="1">
        <f t="array" ca="1" aca="1" ref="V53">IF($L53,_xlfn.LET(_xlpm._elementID,$O53,_xlpm._isAssumption,$J53,_xlpm._sheetRow,$W53,_xlpm._sheetName,$X53,_xlpm._resultColumnLetter,IF(_xlpm._isAssumption,INDEX(Table24[Sheet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3" s="20" t="str">
        <f ca="1">IF($L53=TRUE,_xlfn.LET(_xlpm._isAssumption,$J53,_xlpm._searchRange,IF(_xlpm._isAssumption,Table24[Task Sheet Shadow ID],Table25[Task Sheet Shadow ID]),MATCH($M53,_xlpm._searchRange,0)),"")</f>
        <v/>
      </c>
      <c r="X53" s="20" t="str" cm="1">
        <f t="array" ca="1" aca="1" ref="X53">IF($L53,_xlfn.LET(_xlpm._isAssumption,$J53,_xlpm._sheetRow,$W53,IF(_xlpm._isAssumption,INDEX(Table24[Sheet Name],_xlpm._sheetRow),INDEX(Table25[Sheet Name],_xlpm._sheetRow))),"")</f>
        <v/>
      </c>
      <c r="Y53" s="20" t="str" cm="1">
        <f t="array" ca="1" aca="1" ref="Y53">IF($L53,_xlfn.LET(_xlpm._elementID,$O53,_xlpm._isAssumption,$J53,_xlpm._sheetRow,$W53,_xlpm._sheetName,$X53,_xlpm._elementIDColumnLetter,IF(_xlpm._isAssumption,INDEX(Table24[Element ID Column],_xlpm._sheetRow),INDEX(Table25[Element ID Column],_xlpm._sheetRow)),MATCH(_xlpm._elementID,INDIRECT("'"&amp;_xlpm._sheetName&amp;"'!"&amp;_xlpm._elementIDColumnLetter&amp;":"&amp;_xlpm._elementIDColumnLetter),0)),"")</f>
        <v/>
      </c>
      <c r="Z53" s="20" t="str" cm="1">
        <f t="array" ca="1" aca="1" ref="Z53">IF($A53="","",_xlfn.LET(_xlpm._isAssumption,$J53,_xlpm._isAdditionalElement,$L53,_xlpm._sheetRow,$W53,_xlpm._sheetName,$X53,_xlpm._columnLetter,INDEX(IF(_xlpm._isAdditionalElement,Table24[Comment Column],Table25[Comment Column]),_xlpm._sheetRow),_xlpm._sheetReference,IF(_xlpm._isAssumption,IF(_xlpm._isAdditionalElement,CELL("address",INDEX(INDIRECT("'"&amp;_xlpm._sheetName&amp;"'!"&amp;_xlpm._columnLetter&amp;":"&amp;_xlpm._columnLetter),$Y53)),CELL("address",INDEX(Assumptions!$A:$A,MATCH($A53,Assumptions!$A:$A,0),1))),IF(_xlpm._isAdditionalElement,CELL("address",INDEX(INDIRECT("'"&amp;_xlpm._sheetName&amp;"'!"&amp;_xlpm._columnLetter&amp;":"&amp;_xlpm._columnLetter),$Y53)),CELL("address",INDEX(Countermeasures!$A:$A,MATCH($A53,Countermeasures!$A:$A,0),1)))),_xlpm._start,FIND("]",_xlpm._sheetReference),"'"&amp;SUBSTITUTE(SUBSTITUTE(RIGHT(_xlpm._sheetReference,LEN(_xlpm._sheetReference)-_xlpm._start),"'",""),"!","'!")))</f>
        <v/>
      </c>
      <c r="AA53" s="20" t="str" cm="1">
        <f t="array" ca="1" aca="1" ref="AA53">IF(NOT($L53),_xlfn.LET(_xlpm._value,IF($A53="","",IF($J53,SimpleLookup($A53,Assumptions!$A:$AK),SimpleLookup($A53,Countermeasures!$A:$AN))),IF(_xlpm._value="","",_xlpm._value)),"")</f>
        <v/>
      </c>
      <c r="AB53" s="20" t="str" cm="1">
        <f t="array" ca="1" aca="1" ref="AB53">LookupNames(InverseLookup($A53,Mitigation!$AD$2,Mitigation!$A$2,1,Helper!$B$5,","),'Attack Steps'!$A:$B)</f>
        <v/>
      </c>
      <c r="AC53" s="20" t="str" cm="1">
        <f t="array" ca="1" aca="1" ref="AC53">IF($L53,_xlfn.LET(_xlpm._in,$A53,_xlpm._lastDashNum,LEN(_xlpm._in)-LEN(SUBSTITUTE(_xlpm._in,"-","")),_xlpm._lastDashPos,FIND(CHAR(1),SUBSTITUTE(_xlpm._in,"-",CHAR(1),_xlpm._lastDashNum)),_xlpm._id,LEFT(_xlpm._in,_xlpm._lastDashPos-1),_xlpm._id&amp;"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3" s="20" t="str" cm="1">
        <f t="array" ca="1" aca="1" ref="AD53">_xlfn.LET(_xlpm._countermeasures,InverseLookup($A53,Countermeasures!$AG$2,Countermeasures!$A$2,1,Helper!$B$4,","),LookupNames(_xlpm._countermeasures,Countermeasures!$A:$B))</f>
        <v/>
      </c>
      <c r="AE53" s="20" t="str" cm="1">
        <f t="array" ca="1" aca="1" ref="AE53">IF($E53="","",_xlfn.LET(_xlpm._id,$E53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3" s="20" t="str" cm="1">
        <f t="array" ca="1" aca="1" ref="AF53">IF(OR($A53="",$L53),"",_xlfn.LET(_xlpm._answers,IF($J53,SimpleLookup($A53,Assumptions!$A:$F),SimpleLookup($A53,Countermeasures!$A:$D)),IF(_xlpm._answers="*",IF($J53,SimpleLookup($A53,Assumptions!$A:$C),SimpleLookup($A53,Countermeasures!$A:$C)),"")))</f>
        <v/>
      </c>
      <c r="AG53" s="20" t="str" cm="1">
        <f t="array" ca="1" aca="1" ref="AG53">IF(NOT($L53),"",_xlfn.LET(_xlpm._mappedInMitigation,IFERROR(VLOOKUP($V53,'Attack Steps'!$A:$O,COLUMNS('Attack Steps'!$A:$O),FALSE),""),CreateSearchString(_xlpm._mappedInMitigation)))</f>
        <v/>
      </c>
      <c r="AH53" s="20" t="b">
        <f ca="1">ROW()-ROW($AH$17)=Helper!$B$15</f>
        <v>0</v>
      </c>
      <c r="AI53" s="20" t="str">
        <f t="shared" ca="1" si="11"/>
        <v/>
      </c>
      <c r="AJ53" s="20" cm="1">
        <f t="array" ca="1" aca="1" ref="AJ53">CreateID($AJ$17,$AJ:$AJ,$AI53&lt;&gt;"")</f>
        <v>0</v>
      </c>
    </row>
    <row r="54" spans="1:36" ht="15">
      <c r="A54" s="16" t="str">
        <f ca="1">_xlfn.LET(_xlpm._isAssumption,$J54,_xlpm._row,$K54,_xlpm._numActiveAssumptions,Helper!$B$8,_xlpm._numActiveCountermeasures,Helper!$B$9,_xlpm._numAdditionalAssumptions,Helper!$B$10,_xlpm._numAdditionalCountermeasures,Helper!$B$11,IF(_xlpm._isAssumption,IF(_xlpm._row&gt;_xlpm._numActiveAssumptions,$V54&amp;"-A"&amp;$Q54,INDEX(Assumptions!A:A,MATCH(_xlpm._row,Assumptions!$AG:$AG,0))),IF(_xlpm._row&gt;_xlpm._numActiveCountermeasures+_xlpm._numAdditionalCountermeasures,"",IF(_xlpm._row&gt;_xlpm._numActiveCountermeasures,$V54&amp;"-C"&amp;$Q54,INDEX(Countermeasures!$A:$A,MATCH(_xlpm._row,Countermeasures!$AI:$AI,0))))))</f>
        <v/>
      </c>
      <c r="B54" s="16" t="str" cm="1">
        <f t="array" ca="1" aca="1" ref="B54">IF($A54="","",_xlfn.LET(_xlpm._isAssumption,$J54,_xlpm._isAdditionalElement,$L54,IF(_xlpm._isAdditionalElement,IF(_xlpm._isAssumption,ParseElementsFromComment($U54,Definitions!$AR$4,Definitions!$AS$4,Definitions!$AR$6,$Q54),ParseElementsFromComment($U54,Definitions!$AR$5,Definitions!$AS$5,Definitions!$AR$6,$Q54)),_xlfn.LET(_xlpm._value,IF($A54="","",IF($J54,SimpleLookup($A54,Assumptions!$A:$B),SimpleLookup($A54,Countermeasures!$A:$B))),IF(_xlpm._value="","",_xlpm._value)))))</f>
        <v/>
      </c>
      <c r="C54" s="16" t="str" cm="1">
        <f t="array" ca="1" aca="1" ref="C54">IF($A54="","",IF($J54,IFERROR(SimpleLookup($A54,Assumptions!$A:$E),""),Definitions!$AO$4))</f>
        <v/>
      </c>
      <c r="D54" s="36" t="str">
        <f t="shared" ca="1" si="7"/>
        <v/>
      </c>
      <c r="E54" s="13"/>
      <c r="F54" s="59" t="str">
        <f t="shared" ca="1" si="8"/>
        <v/>
      </c>
      <c r="G54" s="122" t="str" cm="1">
        <f t="array" ca="1" aca="1" ref="G54">_xlfn.LET(_xlpm._val,IFERROR(SimpleLookup($A54,Countermeasures!$A:$R),IFERROR(SimpleLookup($A54,Assumptions!$A:$R),"")),IF(_xlpm._val="","",_xlpm._val))</f>
        <v/>
      </c>
      <c r="H54" s="16" t="str" cm="1">
        <f t="array" ca="1" aca="1" ref="H54">_xlfn.LET(_xlpm._value,IF($A54="","",IFERROR(IF($J54,SimpleLookup($A54,Assumptions!$A:$S),SimpleLookup($A54,Countermeasures!$A:$S)),"")),IF(_xlpm._value="","",_xlpm._value))</f>
        <v/>
      </c>
      <c r="I54" s="10" cm="1">
        <f t="array" ca="1" aca="1" ref="I54">IF(ROW()=ROW($I$17)+1,0,INDEX($I:$I,ROW()-1))+IF($A54="",0,1)</f>
        <v>34</v>
      </c>
      <c r="J54" s="10" t="b">
        <f ca="1">_xlfn.LET(_xlpm._row,ROW()-ROW($K$17),_xlpm._numActiveAssumptions,Helper!$B$8,_xlpm._numAdditionalAssumptions,SUM(Table24['# Elements]),_xlpm._row&lt;=_xlpm._numActiveAssumptions+_xlpm._numAdditionalAssumptions)</f>
        <v>0</v>
      </c>
      <c r="K54" s="21">
        <f ca="1">_xlfn.LET(_xlpm._row,ROW()-ROW($K$17),_xlpm._numActiveAssumptions,Helper!$B$8,_xlpm._numAdditionalAssumptions,Helper!$B$10,_xlpm._isAssumption,$J54,_xlpm._elementID,IF(_xlpm._isAssumption,_xlpm._row,_xlpm._row-_xlpm._numActiveAssumptions-_xlpm._numAdditionalAssumptions),_xlpm._elementID)</f>
        <v>19</v>
      </c>
      <c r="L54"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4" s="20" cm="1">
        <f t="array" ca="1" aca="1" ref="M54">IF($L54,IF(ROW()=ROW($M$17)+1,1,INDEX($M:$M,ROW()-1)+IF(INDEX($T:$T,ROW()-1),1,0)),1)</f>
        <v>1</v>
      </c>
      <c r="N54" s="14" t="str" cm="1">
        <f t="array" ca="1" aca="1" ref="N54">IF($L54=TRUE,_xlfn.LET(_xlpm._isAssumption,$J54,_xlpm._indexRange,IF(_xlpm._isAssumption,Table24['# Elements],Table25['# Elements]),_xlpm._lookupRow,$W54,INDEX(_xlpm._indexRange,_xlpm._lookupRow)),"")</f>
        <v/>
      </c>
      <c r="O54" s="20" t="str" cm="1">
        <f t="array" ca="1" aca="1" ref="O54">IF($N54="","",_xlfn.LET(_xlpm._prevRow,ROW()-1,IF(OR(INDEX($N:$N,_xlpm._prevRow)&lt;&gt;$N54,INDEX($M:$M,_xlpm._prevRow)&lt;&gt;$M54),1,INDEX($O:$O,_xlpm._prevRow)+IF(INDEX($S:$S,_xlpm._prevRow),1,0))))</f>
        <v/>
      </c>
      <c r="P54" s="20" t="str" cm="1">
        <f t="array" ca="1" aca="1" ref="P54">IF($O54="","",_xlfn.LET(_xlpm._isAssumption,$J54,_xlpm._sheetRow,$W54,_xlpm._sheetName,$X54,_xlpm._elementIDRange,IF(_xlpm._isAssumption,Table24[Element ID Column],Table25[Element ID Column]),_xlpm._numberOfElementsRange,IF(_xlpm._isAssumption,Table24[Number of Elements Column],Table25[Number of Elements Column]),SimpleLookup($O54,INDIRECT("'"&amp;_xlpm._sheetName&amp;"'!"&amp;INDEX(_xlpm._elementIDRange,_xlpm._sheetRow)&amp;":"&amp;INDEX(_xlpm._numberOfElementsRange,_xlpm._sheetRow)))))</f>
        <v/>
      </c>
      <c r="Q54" s="20" t="str" cm="1">
        <f t="array" ca="1" aca="1" ref="Q54">IF($O54="","",IF(OR(INDEX($O:$O,ROW()-1)&lt;&gt;$O54,INDEX($M:$M,ROW()-1)&lt;&gt;$M54),1,INDEX($Q:$Q,ROW()-1)+1))</f>
        <v/>
      </c>
      <c r="R54" s="20">
        <f t="shared" ca="1" si="9"/>
        <v>0</v>
      </c>
      <c r="S54" s="20" t="str">
        <f t="shared" ca="1" si="10"/>
        <v/>
      </c>
      <c r="T54" s="20" t="b">
        <f ca="1">_xlfn.LET(_xlpm._isAssumption,$J54,_xlpm._numberOfElementsRange,IF(_xlpm._isAssumption,Table24['# Elements],Table25['# Elements]),_xlpm._sheetRow,$W54,IF($L54,AND($S54,$R54=$N54),FALSE))</f>
        <v>0</v>
      </c>
      <c r="U54" s="20" t="str" cm="1">
        <f t="array" ca="1" aca="1" ref="U54">IF($L54,_xlfn.LET(_xlpm._elementID,$O54,_xlpm._isAssumption,$J54,_xlpm._sheetRow,$W54,_xlpm._sheetName,$X54,_xlpm._elementRow,$Y54,_xlpm._resultColumnLetter,IF(_xlpm._isAssumption,INDEX(Table24[Comment Column],_xlpm._sheetRow),INDEX(Table25[Comment Column],_xlpm._sheetRow)),INDEX(INDIRECT("'"&amp;_xlpm._sheetName&amp;"'!"&amp;_xlpm._resultColumnLetter&amp;":"&amp;_xlpm._resultColumnLetter),_xlpm._elementRow)),"")</f>
        <v/>
      </c>
      <c r="V54" s="20" t="str" cm="1">
        <f t="array" ca="1" aca="1" ref="V54">IF($L54,_xlfn.LET(_xlpm._elementID,$O54,_xlpm._isAssumption,$J54,_xlpm._sheetRow,$W54,_xlpm._sheetName,$X54,_xlpm._resultColumnLetter,IF(_xlpm._isAssumption,INDEX(Table24[Sheet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4" s="20" t="str">
        <f ca="1">IF($L54=TRUE,_xlfn.LET(_xlpm._isAssumption,$J54,_xlpm._searchRange,IF(_xlpm._isAssumption,Table24[Task Sheet Shadow ID],Table25[Task Sheet Shadow ID]),MATCH($M54,_xlpm._searchRange,0)),"")</f>
        <v/>
      </c>
      <c r="X54" s="20" t="str" cm="1">
        <f t="array" ca="1" aca="1" ref="X54">IF($L54,_xlfn.LET(_xlpm._isAssumption,$J54,_xlpm._sheetRow,$W54,IF(_xlpm._isAssumption,INDEX(Table24[Sheet Name],_xlpm._sheetRow),INDEX(Table25[Sheet Name],_xlpm._sheetRow))),"")</f>
        <v/>
      </c>
      <c r="Y54" s="20" t="str" cm="1">
        <f t="array" ca="1" aca="1" ref="Y54">IF($L54,_xlfn.LET(_xlpm._elementID,$O54,_xlpm._isAssumption,$J54,_xlpm._sheetRow,$W54,_xlpm._sheetName,$X54,_xlpm._elementIDColumnLetter,IF(_xlpm._isAssumption,INDEX(Table24[Element ID Column],_xlpm._sheetRow),INDEX(Table25[Element ID Column],_xlpm._sheetRow)),MATCH(_xlpm._elementID,INDIRECT("'"&amp;_xlpm._sheetName&amp;"'!"&amp;_xlpm._elementIDColumnLetter&amp;":"&amp;_xlpm._elementIDColumnLetter),0)),"")</f>
        <v/>
      </c>
      <c r="Z54" s="20" t="str" cm="1">
        <f t="array" ca="1" aca="1" ref="Z54">IF($A54="","",_xlfn.LET(_xlpm._isAssumption,$J54,_xlpm._isAdditionalElement,$L54,_xlpm._sheetRow,$W54,_xlpm._sheetName,$X54,_xlpm._columnLetter,INDEX(IF(_xlpm._isAdditionalElement,Table24[Comment Column],Table25[Comment Column]),_xlpm._sheetRow),_xlpm._sheetReference,IF(_xlpm._isAssumption,IF(_xlpm._isAdditionalElement,CELL("address",INDEX(INDIRECT("'"&amp;_xlpm._sheetName&amp;"'!"&amp;_xlpm._columnLetter&amp;":"&amp;_xlpm._columnLetter),$Y54)),CELL("address",INDEX(Assumptions!$A:$A,MATCH($A54,Assumptions!$A:$A,0),1))),IF(_xlpm._isAdditionalElement,CELL("address",INDEX(INDIRECT("'"&amp;_xlpm._sheetName&amp;"'!"&amp;_xlpm._columnLetter&amp;":"&amp;_xlpm._columnLetter),$Y54)),CELL("address",INDEX(Countermeasures!$A:$A,MATCH($A54,Countermeasures!$A:$A,0),1)))),_xlpm._start,FIND("]",_xlpm._sheetReference),"'"&amp;SUBSTITUTE(SUBSTITUTE(RIGHT(_xlpm._sheetReference,LEN(_xlpm._sheetReference)-_xlpm._start),"'",""),"!","'!")))</f>
        <v/>
      </c>
      <c r="AA54" s="20" t="str" cm="1">
        <f t="array" ca="1" aca="1" ref="AA54">IF(NOT($L54),_xlfn.LET(_xlpm._value,IF($A54="","",IF($J54,SimpleLookup($A54,Assumptions!$A:$AK),SimpleLookup($A54,Countermeasures!$A:$AN))),IF(_xlpm._value="","",_xlpm._value)),"")</f>
        <v/>
      </c>
      <c r="AB54" s="20" t="str" cm="1">
        <f t="array" ca="1" aca="1" ref="AB54">LookupNames(InverseLookup($A54,Mitigation!$AD$2,Mitigation!$A$2,1,Helper!$B$5,","),'Attack Steps'!$A:$B)</f>
        <v/>
      </c>
      <c r="AC54" s="20" t="str" cm="1">
        <f t="array" ca="1" aca="1" ref="AC54">IF($L54,_xlfn.LET(_xlpm._in,$A54,_xlpm._lastDashNum,LEN(_xlpm._in)-LEN(SUBSTITUTE(_xlpm._in,"-","")),_xlpm._lastDashPos,FIND(CHAR(1),SUBSTITUTE(_xlpm._in,"-",CHAR(1),_xlpm._lastDashNum)),_xlpm._id,LEFT(_xlpm._in,_xlpm._lastDashPos-1),_xlpm._id&amp;"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4" s="20" t="str" cm="1">
        <f t="array" ca="1" aca="1" ref="AD54">_xlfn.LET(_xlpm._countermeasures,InverseLookup($A54,Countermeasures!$AG$2,Countermeasures!$A$2,1,Helper!$B$4,","),LookupNames(_xlpm._countermeasures,Countermeasures!$A:$B))</f>
        <v/>
      </c>
      <c r="AE54" s="20" t="str" cm="1">
        <f t="array" ca="1" aca="1" ref="AE54">IF($E54="","",_xlfn.LET(_xlpm._id,$E54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4" s="20" t="str" cm="1">
        <f t="array" ca="1" aca="1" ref="AF54">IF(OR($A54="",$L54),"",_xlfn.LET(_xlpm._answers,IF($J54,SimpleLookup($A54,Assumptions!$A:$F),SimpleLookup($A54,Countermeasures!$A:$D)),IF(_xlpm._answers="*",IF($J54,SimpleLookup($A54,Assumptions!$A:$C),SimpleLookup($A54,Countermeasures!$A:$C)),"")))</f>
        <v/>
      </c>
      <c r="AG54" s="20" t="str" cm="1">
        <f t="array" ca="1" aca="1" ref="AG54">IF(NOT($L54),"",_xlfn.LET(_xlpm._mappedInMitigation,IFERROR(VLOOKUP($V54,'Attack Steps'!$A:$O,COLUMNS('Attack Steps'!$A:$O),FALSE),""),CreateSearchString(_xlpm._mappedInMitigation)))</f>
        <v/>
      </c>
      <c r="AH54" s="20" t="b">
        <f ca="1">ROW()-ROW($AH$17)=Helper!$B$15</f>
        <v>0</v>
      </c>
      <c r="AI54" s="20" t="str">
        <f t="shared" ca="1" si="11"/>
        <v/>
      </c>
      <c r="AJ54" s="20" cm="1">
        <f t="array" ca="1" aca="1" ref="AJ54">CreateID($AJ$17,$AJ:$AJ,$AI54&lt;&gt;"")</f>
        <v>0</v>
      </c>
    </row>
    <row r="55" spans="1:36" ht="15">
      <c r="A55" s="16" t="str">
        <f ca="1">_xlfn.LET(_xlpm._isAssumption,$J55,_xlpm._row,$K55,_xlpm._numActiveAssumptions,Helper!$B$8,_xlpm._numActiveCountermeasures,Helper!$B$9,_xlpm._numAdditionalAssumptions,Helper!$B$10,_xlpm._numAdditionalCountermeasures,Helper!$B$11,IF(_xlpm._isAssumption,IF(_xlpm._row&gt;_xlpm._numActiveAssumptions,$V55&amp;"-A"&amp;$Q55,INDEX(Assumptions!A:A,MATCH(_xlpm._row,Assumptions!$AG:$AG,0))),IF(_xlpm._row&gt;_xlpm._numActiveCountermeasures+_xlpm._numAdditionalCountermeasures,"",IF(_xlpm._row&gt;_xlpm._numActiveCountermeasures,$V55&amp;"-C"&amp;$Q55,INDEX(Countermeasures!$A:$A,MATCH(_xlpm._row,Countermeasures!$AI:$AI,0))))))</f>
        <v/>
      </c>
      <c r="B55" s="16" t="str" cm="1">
        <f t="array" ca="1" aca="1" ref="B55">IF($A55="","",_xlfn.LET(_xlpm._isAssumption,$J55,_xlpm._isAdditionalElement,$L55,IF(_xlpm._isAdditionalElement,IF(_xlpm._isAssumption,ParseElementsFromComment($U55,Definitions!$AR$4,Definitions!$AS$4,Definitions!$AR$6,$Q55),ParseElementsFromComment($U55,Definitions!$AR$5,Definitions!$AS$5,Definitions!$AR$6,$Q55)),_xlfn.LET(_xlpm._value,IF($A55="","",IF($J55,SimpleLookup($A55,Assumptions!$A:$B),SimpleLookup($A55,Countermeasures!$A:$B))),IF(_xlpm._value="","",_xlpm._value)))))</f>
        <v/>
      </c>
      <c r="C55" s="16" t="str" cm="1">
        <f t="array" ca="1" aca="1" ref="C55">IF($A55="","",IF($J55,IFERROR(SimpleLookup($A55,Assumptions!$A:$E),""),Definitions!$AO$4))</f>
        <v/>
      </c>
      <c r="D55" s="36" t="str">
        <f t="shared" ca="1" si="7"/>
        <v/>
      </c>
      <c r="E55" s="13"/>
      <c r="F55" s="59" t="str">
        <f t="shared" ca="1" si="8"/>
        <v/>
      </c>
      <c r="G55" s="122" t="str" cm="1">
        <f t="array" ca="1" aca="1" ref="G55">_xlfn.LET(_xlpm._val,IFERROR(SimpleLookup($A55,Countermeasures!$A:$R),IFERROR(SimpleLookup($A55,Assumptions!$A:$R),"")),IF(_xlpm._val="","",_xlpm._val))</f>
        <v/>
      </c>
      <c r="H55" s="16" t="str" cm="1">
        <f t="array" ca="1" aca="1" ref="H55">_xlfn.LET(_xlpm._value,IF($A55="","",IFERROR(IF($J55,SimpleLookup($A55,Assumptions!$A:$S),SimpleLookup($A55,Countermeasures!$A:$S)),"")),IF(_xlpm._value="","",_xlpm._value))</f>
        <v/>
      </c>
      <c r="I55" s="10" cm="1">
        <f t="array" ca="1" aca="1" ref="I55">IF(ROW()=ROW($I$17)+1,0,INDEX($I:$I,ROW()-1))+IF($A55="",0,1)</f>
        <v>34</v>
      </c>
      <c r="J55" s="10" t="b">
        <f ca="1">_xlfn.LET(_xlpm._row,ROW()-ROW($K$17),_xlpm._numActiveAssumptions,Helper!$B$8,_xlpm._numAdditionalAssumptions,SUM(Table24['# Elements]),_xlpm._row&lt;=_xlpm._numActiveAssumptions+_xlpm._numAdditionalAssumptions)</f>
        <v>0</v>
      </c>
      <c r="K55" s="21">
        <f ca="1">_xlfn.LET(_xlpm._row,ROW()-ROW($K$17),_xlpm._numActiveAssumptions,Helper!$B$8,_xlpm._numAdditionalAssumptions,Helper!$B$10,_xlpm._isAssumption,$J55,_xlpm._elementID,IF(_xlpm._isAssumption,_xlpm._row,_xlpm._row-_xlpm._numActiveAssumptions-_xlpm._numAdditionalAssumptions),_xlpm._elementID)</f>
        <v>20</v>
      </c>
      <c r="L5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5" s="20" cm="1">
        <f t="array" ca="1" aca="1" ref="M55">IF($L55,IF(ROW()=ROW($M$17)+1,1,INDEX($M:$M,ROW()-1)+IF(INDEX($T:$T,ROW()-1),1,0)),1)</f>
        <v>1</v>
      </c>
      <c r="N55" s="14" t="str" cm="1">
        <f t="array" ca="1" aca="1" ref="N55">IF($L55=TRUE,_xlfn.LET(_xlpm._isAssumption,$J55,_xlpm._indexRange,IF(_xlpm._isAssumption,Table24['# Elements],Table25['# Elements]),_xlpm._lookupRow,$W55,INDEX(_xlpm._indexRange,_xlpm._lookupRow)),"")</f>
        <v/>
      </c>
      <c r="O55" s="20" t="str" cm="1">
        <f t="array" ca="1" aca="1" ref="O55">IF($N55="","",_xlfn.LET(_xlpm._prevRow,ROW()-1,IF(OR(INDEX($N:$N,_xlpm._prevRow)&lt;&gt;$N55,INDEX($M:$M,_xlpm._prevRow)&lt;&gt;$M55),1,INDEX($O:$O,_xlpm._prevRow)+IF(INDEX($S:$S,_xlpm._prevRow),1,0))))</f>
        <v/>
      </c>
      <c r="P55" s="20" t="str" cm="1">
        <f t="array" ca="1" aca="1" ref="P55">IF($O55="","",_xlfn.LET(_xlpm._isAssumption,$J55,_xlpm._sheetRow,$W55,_xlpm._sheetName,$X55,_xlpm._elementIDRange,IF(_xlpm._isAssumption,Table24[Element ID Column],Table25[Element ID Column]),_xlpm._numberOfElementsRange,IF(_xlpm._isAssumption,Table24[Number of Elements Column],Table25[Number of Elements Column]),SimpleLookup($O55,INDIRECT("'"&amp;_xlpm._sheetName&amp;"'!"&amp;INDEX(_xlpm._elementIDRange,_xlpm._sheetRow)&amp;":"&amp;INDEX(_xlpm._numberOfElementsRange,_xlpm._sheetRow)))))</f>
        <v/>
      </c>
      <c r="Q55" s="20" t="str" cm="1">
        <f t="array" ca="1" aca="1" ref="Q55">IF($O55="","",IF(OR(INDEX($O:$O,ROW()-1)&lt;&gt;$O55,INDEX($M:$M,ROW()-1)&lt;&gt;$M55),1,INDEX($Q:$Q,ROW()-1)+1))</f>
        <v/>
      </c>
      <c r="R55" s="20">
        <f t="shared" ca="1" si="9"/>
        <v>0</v>
      </c>
      <c r="S55" s="20" t="str">
        <f t="shared" ca="1" si="10"/>
        <v/>
      </c>
      <c r="T55" s="20" t="b">
        <f ca="1">_xlfn.LET(_xlpm._isAssumption,$J55,_xlpm._numberOfElementsRange,IF(_xlpm._isAssumption,Table24['# Elements],Table25['# Elements]),_xlpm._sheetRow,$W55,IF($L55,AND($S55,$R55=$N55),FALSE))</f>
        <v>0</v>
      </c>
      <c r="U55" s="20" t="str" cm="1">
        <f t="array" ca="1" aca="1" ref="U55">IF($L55,_xlfn.LET(_xlpm._elementID,$O55,_xlpm._isAssumption,$J55,_xlpm._sheetRow,$W55,_xlpm._sheetName,$X55,_xlpm._elementRow,$Y55,_xlpm._resultColumnLetter,IF(_xlpm._isAssumption,INDEX(Table24[Comment Column],_xlpm._sheetRow),INDEX(Table25[Comment Column],_xlpm._sheetRow)),INDEX(INDIRECT("'"&amp;_xlpm._sheetName&amp;"'!"&amp;_xlpm._resultColumnLetter&amp;":"&amp;_xlpm._resultColumnLetter),_xlpm._elementRow)),"")</f>
        <v/>
      </c>
      <c r="V55" s="20" t="str" cm="1">
        <f t="array" ca="1" aca="1" ref="V55">IF($L55,_xlfn.LET(_xlpm._elementID,$O55,_xlpm._isAssumption,$J55,_xlpm._sheetRow,$W55,_xlpm._sheetName,$X55,_xlpm._resultColumnLetter,IF(_xlpm._isAssumption,INDEX(Table24[Sheet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5" s="20" t="str">
        <f ca="1">IF($L55=TRUE,_xlfn.LET(_xlpm._isAssumption,$J55,_xlpm._searchRange,IF(_xlpm._isAssumption,Table24[Task Sheet Shadow ID],Table25[Task Sheet Shadow ID]),MATCH($M55,_xlpm._searchRange,0)),"")</f>
        <v/>
      </c>
      <c r="X55" s="20" t="str" cm="1">
        <f t="array" ca="1" aca="1" ref="X55">IF($L55,_xlfn.LET(_xlpm._isAssumption,$J55,_xlpm._sheetRow,$W55,IF(_xlpm._isAssumption,INDEX(Table24[Sheet Name],_xlpm._sheetRow),INDEX(Table25[Sheet Name],_xlpm._sheetRow))),"")</f>
        <v/>
      </c>
      <c r="Y55" s="20" t="str" cm="1">
        <f t="array" ca="1" aca="1" ref="Y55">IF($L55,_xlfn.LET(_xlpm._elementID,$O55,_xlpm._isAssumption,$J55,_xlpm._sheetRow,$W55,_xlpm._sheetName,$X55,_xlpm._elementIDColumnLetter,IF(_xlpm._isAssumption,INDEX(Table24[Element ID Column],_xlpm._sheetRow),INDEX(Table25[Element ID Column],_xlpm._sheetRow)),MATCH(_xlpm._elementID,INDIRECT("'"&amp;_xlpm._sheetName&amp;"'!"&amp;_xlpm._elementIDColumnLetter&amp;":"&amp;_xlpm._elementIDColumnLetter),0)),"")</f>
        <v/>
      </c>
      <c r="Z55" s="20" t="str" cm="1">
        <f t="array" ca="1" aca="1" ref="Z55">IF($A55="","",_xlfn.LET(_xlpm._isAssumption,$J55,_xlpm._isAdditionalElement,$L55,_xlpm._sheetRow,$W55,_xlpm._sheetName,$X55,_xlpm._columnLetter,INDEX(IF(_xlpm._isAdditionalElement,Table24[Comment Column],Table25[Comment Column]),_xlpm._sheetRow),_xlpm._sheetReference,IF(_xlpm._isAssumption,IF(_xlpm._isAdditionalElement,CELL("address",INDEX(INDIRECT("'"&amp;_xlpm._sheetName&amp;"'!"&amp;_xlpm._columnLetter&amp;":"&amp;_xlpm._columnLetter),$Y55)),CELL("address",INDEX(Assumptions!$A:$A,MATCH($A55,Assumptions!$A:$A,0),1))),IF(_xlpm._isAdditionalElement,CELL("address",INDEX(INDIRECT("'"&amp;_xlpm._sheetName&amp;"'!"&amp;_xlpm._columnLetter&amp;":"&amp;_xlpm._columnLetter),$Y55)),CELL("address",INDEX(Countermeasures!$A:$A,MATCH($A55,Countermeasures!$A:$A,0),1)))),_xlpm._start,FIND("]",_xlpm._sheetReference),"'"&amp;SUBSTITUTE(SUBSTITUTE(RIGHT(_xlpm._sheetReference,LEN(_xlpm._sheetReference)-_xlpm._start),"'",""),"!","'!")))</f>
        <v/>
      </c>
      <c r="AA55" s="20" t="str" cm="1">
        <f t="array" ca="1" aca="1" ref="AA55">IF(NOT($L55),_xlfn.LET(_xlpm._value,IF($A55="","",IF($J55,SimpleLookup($A55,Assumptions!$A:$AK),SimpleLookup($A55,Countermeasures!$A:$AN))),IF(_xlpm._value="","",_xlpm._value)),"")</f>
        <v/>
      </c>
      <c r="AB55" s="20" t="str" cm="1">
        <f t="array" ca="1" aca="1" ref="AB55">LookupNames(InverseLookup($A55,Mitigation!$AD$2,Mitigation!$A$2,1,Helper!$B$5,","),'Attack Steps'!$A:$B)</f>
        <v/>
      </c>
      <c r="AC55" s="20" t="str" cm="1">
        <f t="array" ca="1" aca="1" ref="AC55">IF($L55,_xlfn.LET(_xlpm._in,$A55,_xlpm._lastDashNum,LEN(_xlpm._in)-LEN(SUBSTITUTE(_xlpm._in,"-","")),_xlpm._lastDashPos,FIND(CHAR(1),SUBSTITUTE(_xlpm._in,"-",CHAR(1),_xlpm._lastDashNum)),_xlpm._id,LEFT(_xlpm._in,_xlpm._lastDashPos-1),_xlpm._id&amp;"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5" s="20" t="str" cm="1">
        <f t="array" ca="1" aca="1" ref="AD55">_xlfn.LET(_xlpm._countermeasures,InverseLookup($A55,Countermeasures!$AG$2,Countermeasures!$A$2,1,Helper!$B$4,","),LookupNames(_xlpm._countermeasures,Countermeasures!$A:$B))</f>
        <v/>
      </c>
      <c r="AE55" s="20" t="str" cm="1">
        <f t="array" ca="1" aca="1" ref="AE55">IF($E55="","",_xlfn.LET(_xlpm._id,$E55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5" s="20" t="str" cm="1">
        <f t="array" ca="1" aca="1" ref="AF55">IF(OR($A55="",$L55),"",_xlfn.LET(_xlpm._answers,IF($J55,SimpleLookup($A55,Assumptions!$A:$F),SimpleLookup($A55,Countermeasures!$A:$D)),IF(_xlpm._answers="*",IF($J55,SimpleLookup($A55,Assumptions!$A:$C),SimpleLookup($A55,Countermeasures!$A:$C)),"")))</f>
        <v/>
      </c>
      <c r="AG55" s="20" t="str" cm="1">
        <f t="array" ca="1" aca="1" ref="AG55">IF(NOT($L55),"",_xlfn.LET(_xlpm._mappedInMitigation,IFERROR(VLOOKUP($V55,'Attack Steps'!$A:$O,COLUMNS('Attack Steps'!$A:$O),FALSE),""),CreateSearchString(_xlpm._mappedInMitigation)))</f>
        <v/>
      </c>
      <c r="AH55" s="20" t="b">
        <f ca="1">ROW()-ROW($AH$17)=Helper!$B$15</f>
        <v>0</v>
      </c>
      <c r="AI55" s="20" t="str">
        <f t="shared" ca="1" si="11"/>
        <v/>
      </c>
      <c r="AJ55" s="20" cm="1">
        <f t="array" ca="1" aca="1" ref="AJ55">CreateID($AJ$17,$AJ:$AJ,$AI55&lt;&gt;"")</f>
        <v>0</v>
      </c>
    </row>
    <row r="56" spans="1:36" ht="15">
      <c r="A56" s="16" t="str">
        <f ca="1">_xlfn.LET(_xlpm._isAssumption,$J56,_xlpm._row,$K56,_xlpm._numActiveAssumptions,Helper!$B$8,_xlpm._numActiveCountermeasures,Helper!$B$9,_xlpm._numAdditionalAssumptions,Helper!$B$10,_xlpm._numAdditionalCountermeasures,Helper!$B$11,IF(_xlpm._isAssumption,IF(_xlpm._row&gt;_xlpm._numActiveAssumptions,$V56&amp;"-A"&amp;$Q56,INDEX(Assumptions!A:A,MATCH(_xlpm._row,Assumptions!$AG:$AG,0))),IF(_xlpm._row&gt;_xlpm._numActiveCountermeasures+_xlpm._numAdditionalCountermeasures,"",IF(_xlpm._row&gt;_xlpm._numActiveCountermeasures,$V56&amp;"-C"&amp;$Q56,INDEX(Countermeasures!$A:$A,MATCH(_xlpm._row,Countermeasures!$AI:$AI,0))))))</f>
        <v/>
      </c>
      <c r="B56" s="33" t="str" cm="1">
        <f t="array" ca="1" aca="1" ref="B56">IF($A56="","",_xlfn.LET(_xlpm._isAssumption,$J56,_xlpm._isAdditionalElement,$L56,IF(_xlpm._isAdditionalElement,IF(_xlpm._isAssumption,ParseElementsFromComment($U56,Definitions!$AR$4,Definitions!$AS$4,Definitions!$AR$6,$Q56),ParseElementsFromComment($U56,Definitions!$AR$5,Definitions!$AS$5,Definitions!$AR$6,$Q56)),_xlfn.LET(_xlpm._value,IF($A56="","",IF($J56,SimpleLookup($A56,Assumptions!$A:$B),SimpleLookup($A56,Countermeasures!$A:$B))),IF(_xlpm._value="","",_xlpm._value)))))</f>
        <v/>
      </c>
      <c r="C56" s="33" t="str" cm="1">
        <f t="array" ca="1" aca="1" ref="C56">IF($A56="","",IF($J56,IFERROR(SimpleLookup($A56,Assumptions!$A:$E),""),Definitions!$AO$4))</f>
        <v/>
      </c>
      <c r="D56" s="37" t="str">
        <f t="shared" ca="1" si="7"/>
        <v/>
      </c>
      <c r="E56" s="23"/>
      <c r="F56" s="59" t="str">
        <f t="shared" ca="1" si="8"/>
        <v/>
      </c>
      <c r="G56" s="122" t="str" cm="1">
        <f t="array" ca="1" aca="1" ref="G56">_xlfn.LET(_xlpm._val,IFERROR(SimpleLookup($A56,Countermeasures!$A:$R),IFERROR(SimpleLookup($A56,Assumptions!$A:$R),"")),IF(_xlpm._val="","",_xlpm._val))</f>
        <v/>
      </c>
      <c r="H56" s="33" t="str" cm="1">
        <f t="array" ca="1" aca="1" ref="H56">_xlfn.LET(_xlpm._value,IF($A56="","",IFERROR(IF($J56,SimpleLookup($A56,Assumptions!$A:$S),SimpleLookup($A56,Countermeasures!$A:$S)),"")),IF(_xlpm._value="","",_xlpm._value))</f>
        <v/>
      </c>
      <c r="I56" s="10" cm="1">
        <f t="array" ca="1" aca="1" ref="I56">IF(ROW()=ROW($I$17)+1,0,INDEX($I:$I,ROW()-1))+IF($A56="",0,1)</f>
        <v>34</v>
      </c>
      <c r="J56" s="21" t="b">
        <f ca="1">_xlfn.LET(_xlpm._row,ROW()-ROW($K$17),_xlpm._numActiveAssumptions,Helper!$B$8,_xlpm._numAdditionalAssumptions,SUM(Table24['# Elements]),_xlpm._row&lt;=_xlpm._numActiveAssumptions+_xlpm._numAdditionalAssumptions)</f>
        <v>0</v>
      </c>
      <c r="K56" s="21">
        <f ca="1">_xlfn.LET(_xlpm._row,ROW()-ROW($K$17),_xlpm._numActiveAssumptions,Helper!$B$8,_xlpm._numAdditionalAssumptions,Helper!$B$10,_xlpm._isAssumption,$J56,_xlpm._elementID,IF(_xlpm._isAssumption,_xlpm._row,_xlpm._row-_xlpm._numActiveAssumptions-_xlpm._numAdditionalAssumptions),_xlpm._elementID)</f>
        <v>21</v>
      </c>
      <c r="L5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6" s="20" cm="1">
        <f t="array" ca="1" aca="1" ref="M56">IF($L56,IF(ROW()=ROW($M$17)+1,1,INDEX($M:$M,ROW()-1)+IF(INDEX($T:$T,ROW()-1),1,0)),1)</f>
        <v>1</v>
      </c>
      <c r="N56" s="20" t="str" cm="1">
        <f t="array" ca="1" aca="1" ref="N56">IF($L56=TRUE,_xlfn.LET(_xlpm._isAssumption,$J56,_xlpm._indexRange,IF(_xlpm._isAssumption,Table24['# Elements],Table25['# Elements]),_xlpm._lookupRow,$W56,INDEX(_xlpm._indexRange,_xlpm._lookupRow)),"")</f>
        <v/>
      </c>
      <c r="O56" s="20" t="str" cm="1">
        <f t="array" ca="1" aca="1" ref="O56">IF($N56="","",_xlfn.LET(_xlpm._prevRow,ROW()-1,IF(OR(INDEX($N:$N,_xlpm._prevRow)&lt;&gt;$N56,INDEX($M:$M,_xlpm._prevRow)&lt;&gt;$M56),1,INDEX($O:$O,_xlpm._prevRow)+IF(INDEX($S:$S,_xlpm._prevRow),1,0))))</f>
        <v/>
      </c>
      <c r="P56" s="20" t="str" cm="1">
        <f t="array" ca="1" aca="1" ref="P56">IF($O56="","",_xlfn.LET(_xlpm._isAssumption,$J56,_xlpm._sheetRow,$W56,_xlpm._sheetName,$X56,_xlpm._elementIDRange,IF(_xlpm._isAssumption,Table24[Element ID Column],Table25[Element ID Column]),_xlpm._numberOfElementsRange,IF(_xlpm._isAssumption,Table24[Number of Elements Column],Table25[Number of Elements Column]),SimpleLookup($O56,INDIRECT("'"&amp;_xlpm._sheetName&amp;"'!"&amp;INDEX(_xlpm._elementIDRange,_xlpm._sheetRow)&amp;":"&amp;INDEX(_xlpm._numberOfElementsRange,_xlpm._sheetRow)))))</f>
        <v/>
      </c>
      <c r="Q56" s="20" t="str" cm="1">
        <f t="array" ca="1" aca="1" ref="Q56">IF($O56="","",IF(OR(INDEX($O:$O,ROW()-1)&lt;&gt;$O56,INDEX($M:$M,ROW()-1)&lt;&gt;$M56),1,INDEX($Q:$Q,ROW()-1)+1))</f>
        <v/>
      </c>
      <c r="R56" s="20">
        <f t="shared" ca="1" si="9"/>
        <v>0</v>
      </c>
      <c r="S56" s="20" t="str">
        <f t="shared" ca="1" si="10"/>
        <v/>
      </c>
      <c r="T56" s="20" t="b">
        <f ca="1">_xlfn.LET(_xlpm._isAssumption,$J56,_xlpm._numberOfElementsRange,IF(_xlpm._isAssumption,Table24['# Elements],Table25['# Elements]),_xlpm._sheetRow,$W56,IF($L56,AND($S56,$R56=$N56),FALSE))</f>
        <v>0</v>
      </c>
      <c r="U56" s="20" t="str" cm="1">
        <f t="array" ca="1" aca="1" ref="U56">IF($L56,_xlfn.LET(_xlpm._elementID,$O56,_xlpm._isAssumption,$J56,_xlpm._sheetRow,$W56,_xlpm._sheetName,$X56,_xlpm._elementRow,$Y56,_xlpm._resultColumnLetter,IF(_xlpm._isAssumption,INDEX(Table24[Comment Column],_xlpm._sheetRow),INDEX(Table25[Comment Column],_xlpm._sheetRow)),INDEX(INDIRECT("'"&amp;_xlpm._sheetName&amp;"'!"&amp;_xlpm._resultColumnLetter&amp;":"&amp;_xlpm._resultColumnLetter),_xlpm._elementRow)),"")</f>
        <v/>
      </c>
      <c r="V56" s="20" t="str" cm="1">
        <f t="array" ca="1" aca="1" ref="V56">IF($L56,_xlfn.LET(_xlpm._elementID,$O56,_xlpm._isAssumption,$J56,_xlpm._sheetRow,$W56,_xlpm._sheetName,$X56,_xlpm._resultColumnLetter,IF(_xlpm._isAssumption,INDEX(Table24[Sheet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6" s="20" t="str">
        <f ca="1">IF($L56=TRUE,_xlfn.LET(_xlpm._isAssumption,$J56,_xlpm._searchRange,IF(_xlpm._isAssumption,Table24[Task Sheet Shadow ID],Table25[Task Sheet Shadow ID]),MATCH($M56,_xlpm._searchRange,0)),"")</f>
        <v/>
      </c>
      <c r="X56" s="20" t="str" cm="1">
        <f t="array" ca="1" aca="1" ref="X56">IF($L56,_xlfn.LET(_xlpm._isAssumption,$J56,_xlpm._sheetRow,$W56,IF(_xlpm._isAssumption,INDEX(Table24[Sheet Name],_xlpm._sheetRow),INDEX(Table25[Sheet Name],_xlpm._sheetRow))),"")</f>
        <v/>
      </c>
      <c r="Y56" s="20" t="str" cm="1">
        <f t="array" ca="1" aca="1" ref="Y56">IF($L56,_xlfn.LET(_xlpm._elementID,$O56,_xlpm._isAssumption,$J56,_xlpm._sheetRow,$W56,_xlpm._sheetName,$X56,_xlpm._elementIDColumnLetter,IF(_xlpm._isAssumption,INDEX(Table24[Element ID Column],_xlpm._sheetRow),INDEX(Table25[Element ID Column],_xlpm._sheetRow)),MATCH(_xlpm._elementID,INDIRECT("'"&amp;_xlpm._sheetName&amp;"'!"&amp;_xlpm._elementIDColumnLetter&amp;":"&amp;_xlpm._elementIDColumnLetter),0)),"")</f>
        <v/>
      </c>
      <c r="Z56" s="20" t="str" cm="1">
        <f t="array" ca="1" aca="1" ref="Z56">IF($A56="","",_xlfn.LET(_xlpm._isAssumption,$J56,_xlpm._isAdditionalElement,$L56,_xlpm._sheetRow,$W56,_xlpm._sheetName,$X56,_xlpm._columnLetter,INDEX(IF(_xlpm._isAdditionalElement,Table24[Comment Column],Table25[Comment Column]),_xlpm._sheetRow),_xlpm._sheetReference,IF(_xlpm._isAssumption,IF(_xlpm._isAdditionalElement,CELL("address",INDEX(INDIRECT("'"&amp;_xlpm._sheetName&amp;"'!"&amp;_xlpm._columnLetter&amp;":"&amp;_xlpm._columnLetter),$Y56)),CELL("address",INDEX(Assumptions!$A:$A,MATCH($A56,Assumptions!$A:$A,0),1))),IF(_xlpm._isAdditionalElement,CELL("address",INDEX(INDIRECT("'"&amp;_xlpm._sheetName&amp;"'!"&amp;_xlpm._columnLetter&amp;":"&amp;_xlpm._columnLetter),$Y56)),CELL("address",INDEX(Countermeasures!$A:$A,MATCH($A56,Countermeasures!$A:$A,0),1)))),_xlpm._start,FIND("]",_xlpm._sheetReference),"'"&amp;SUBSTITUTE(SUBSTITUTE(RIGHT(_xlpm._sheetReference,LEN(_xlpm._sheetReference)-_xlpm._start),"'",""),"!","'!")))</f>
        <v/>
      </c>
      <c r="AA56" s="20" t="str" cm="1">
        <f t="array" ca="1" aca="1" ref="AA56">IF(NOT($L56),_xlfn.LET(_xlpm._value,IF($A56="","",IF($J56,SimpleLookup($A56,Assumptions!$A:$AK),SimpleLookup($A56,Countermeasures!$A:$AN))),IF(_xlpm._value="","",_xlpm._value)),"")</f>
        <v/>
      </c>
      <c r="AB56" s="20" t="str" cm="1">
        <f t="array" ca="1" aca="1" ref="AB56">LookupNames(InverseLookup($A56,Mitigation!$AD$2,Mitigation!$A$2,1,Helper!$B$5,","),'Attack Steps'!$A:$B)</f>
        <v/>
      </c>
      <c r="AC56" s="20" t="str" cm="1">
        <f t="array" ca="1" aca="1" ref="AC56">IF($L56,_xlfn.LET(_xlpm._in,$A56,_xlpm._lastDashNum,LEN(_xlpm._in)-LEN(SUBSTITUTE(_xlpm._in,"-","")),_xlpm._lastDashPos,FIND(CHAR(1),SUBSTITUTE(_xlpm._in,"-",CHAR(1),_xlpm._lastDashNum)),_xlpm._id,LEFT(_xlpm._in,_xlpm._lastDashPos-1),_xlpm._id&amp;"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6" s="20" t="str" cm="1">
        <f t="array" ca="1" aca="1" ref="AD56">_xlfn.LET(_xlpm._countermeasures,InverseLookup($A56,Countermeasures!$AG$2,Countermeasures!$A$2,1,Helper!$B$4,","),LookupNames(_xlpm._countermeasures,Countermeasures!$A:$B))</f>
        <v/>
      </c>
      <c r="AE56" s="20" t="str" cm="1">
        <f t="array" ca="1" aca="1" ref="AE56">IF($E56="","",_xlfn.LET(_xlpm._id,$E56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6" s="20" t="str" cm="1">
        <f t="array" ca="1" aca="1" ref="AF56">IF(OR($A56="",$L56),"",_xlfn.LET(_xlpm._answers,IF($J56,SimpleLookup($A56,Assumptions!$A:$F),SimpleLookup($A56,Countermeasures!$A:$D)),IF(_xlpm._answers="*",IF($J56,SimpleLookup($A56,Assumptions!$A:$C),SimpleLookup($A56,Countermeasures!$A:$C)),"")))</f>
        <v/>
      </c>
      <c r="AG56" s="20" t="str" cm="1">
        <f t="array" ca="1" aca="1" ref="AG56">IF(NOT($L56),"",_xlfn.LET(_xlpm._mappedInMitigation,IFERROR(VLOOKUP($V56,'Attack Steps'!$A:$O,COLUMNS('Attack Steps'!$A:$O),FALSE),""),CreateSearchString(_xlpm._mappedInMitigation)))</f>
        <v/>
      </c>
      <c r="AH56" s="20" t="b">
        <f ca="1">ROW()-ROW($AH$17)=Helper!$B$15</f>
        <v>0</v>
      </c>
      <c r="AI56" s="20" t="str">
        <f t="shared" ca="1" si="11"/>
        <v/>
      </c>
      <c r="AJ56" s="20" cm="1">
        <f t="array" ca="1" aca="1" ref="AJ56">CreateID($AJ$17,$AJ:$AJ,$AI56&lt;&gt;"")</f>
        <v>0</v>
      </c>
    </row>
    <row r="57" spans="1:36" ht="15">
      <c r="A57" s="16" t="str">
        <f ca="1">_xlfn.LET(_xlpm._isAssumption,$J57,_xlpm._row,$K57,_xlpm._numActiveAssumptions,Helper!$B$8,_xlpm._numActiveCountermeasures,Helper!$B$9,_xlpm._numAdditionalAssumptions,Helper!$B$10,_xlpm._numAdditionalCountermeasures,Helper!$B$11,IF(_xlpm._isAssumption,IF(_xlpm._row&gt;_xlpm._numActiveAssumptions,$V57&amp;"-A"&amp;$Q57,INDEX(Assumptions!A:A,MATCH(_xlpm._row,Assumptions!$AG:$AG,0))),IF(_xlpm._row&gt;_xlpm._numActiveCountermeasures+_xlpm._numAdditionalCountermeasures,"",IF(_xlpm._row&gt;_xlpm._numActiveCountermeasures,$V57&amp;"-C"&amp;$Q57,INDEX(Countermeasures!$A:$A,MATCH(_xlpm._row,Countermeasures!$AI:$AI,0))))))</f>
        <v/>
      </c>
      <c r="B57" s="33" t="str" cm="1">
        <f t="array" ca="1" aca="1" ref="B57">IF($A57="","",_xlfn.LET(_xlpm._isAssumption,$J57,_xlpm._isAdditionalElement,$L57,IF(_xlpm._isAdditionalElement,IF(_xlpm._isAssumption,ParseElementsFromComment($U57,Definitions!$AR$4,Definitions!$AS$4,Definitions!$AR$6,$Q57),ParseElementsFromComment($U57,Definitions!$AR$5,Definitions!$AS$5,Definitions!$AR$6,$Q57)),_xlfn.LET(_xlpm._value,IF($A57="","",IF($J57,SimpleLookup($A57,Assumptions!$A:$B),SimpleLookup($A57,Countermeasures!$A:$B))),IF(_xlpm._value="","",_xlpm._value)))))</f>
        <v/>
      </c>
      <c r="C57" s="33" t="str" cm="1">
        <f t="array" ca="1" aca="1" ref="C57">IF($A57="","",IF($J57,IFERROR(SimpleLookup($A57,Assumptions!$A:$E),""),Definitions!$AO$4))</f>
        <v/>
      </c>
      <c r="D57" s="37" t="str">
        <f t="shared" ca="1" si="7"/>
        <v/>
      </c>
      <c r="E57" s="23"/>
      <c r="F57" s="59" t="str">
        <f t="shared" ca="1" si="8"/>
        <v/>
      </c>
      <c r="G57" s="122" t="str" cm="1">
        <f t="array" ca="1" aca="1" ref="G57">_xlfn.LET(_xlpm._val,IFERROR(SimpleLookup($A57,Countermeasures!$A:$R),IFERROR(SimpleLookup($A57,Assumptions!$A:$R),"")),IF(_xlpm._val="","",_xlpm._val))</f>
        <v/>
      </c>
      <c r="H57" s="33" t="str" cm="1">
        <f t="array" ca="1" aca="1" ref="H57">_xlfn.LET(_xlpm._value,IF($A57="","",IFERROR(IF($J57,SimpleLookup($A57,Assumptions!$A:$S),SimpleLookup($A57,Countermeasures!$A:$S)),"")),IF(_xlpm._value="","",_xlpm._value))</f>
        <v/>
      </c>
      <c r="I57" s="10" cm="1">
        <f t="array" ca="1" aca="1" ref="I57">IF(ROW()=ROW($I$17)+1,0,INDEX($I:$I,ROW()-1))+IF($A57="",0,1)</f>
        <v>34</v>
      </c>
      <c r="J57" s="21" t="b">
        <f ca="1">_xlfn.LET(_xlpm._row,ROW()-ROW($K$17),_xlpm._numActiveAssumptions,Helper!$B$8,_xlpm._numAdditionalAssumptions,SUM(Table24['# Elements]),_xlpm._row&lt;=_xlpm._numActiveAssumptions+_xlpm._numAdditionalAssumptions)</f>
        <v>0</v>
      </c>
      <c r="K57" s="21">
        <f ca="1">_xlfn.LET(_xlpm._row,ROW()-ROW($K$17),_xlpm._numActiveAssumptions,Helper!$B$8,_xlpm._numAdditionalAssumptions,Helper!$B$10,_xlpm._isAssumption,$J57,_xlpm._elementID,IF(_xlpm._isAssumption,_xlpm._row,_xlpm._row-_xlpm._numActiveAssumptions-_xlpm._numAdditionalAssumptions),_xlpm._elementID)</f>
        <v>22</v>
      </c>
      <c r="L5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7" s="20" cm="1">
        <f t="array" ca="1" aca="1" ref="M57">IF($L57,IF(ROW()=ROW($M$17)+1,1,INDEX($M:$M,ROW()-1)+IF(INDEX($T:$T,ROW()-1),1,0)),1)</f>
        <v>1</v>
      </c>
      <c r="N57" s="20" t="str" cm="1">
        <f t="array" ca="1" aca="1" ref="N57">IF($L57=TRUE,_xlfn.LET(_xlpm._isAssumption,$J57,_xlpm._indexRange,IF(_xlpm._isAssumption,Table24['# Elements],Table25['# Elements]),_xlpm._lookupRow,$W57,INDEX(_xlpm._indexRange,_xlpm._lookupRow)),"")</f>
        <v/>
      </c>
      <c r="O57" s="20" t="str" cm="1">
        <f t="array" ca="1" aca="1" ref="O57">IF($N57="","",_xlfn.LET(_xlpm._prevRow,ROW()-1,IF(OR(INDEX($N:$N,_xlpm._prevRow)&lt;&gt;$N57,INDEX($M:$M,_xlpm._prevRow)&lt;&gt;$M57),1,INDEX($O:$O,_xlpm._prevRow)+IF(INDEX($S:$S,_xlpm._prevRow),1,0))))</f>
        <v/>
      </c>
      <c r="P57" s="20" t="str" cm="1">
        <f t="array" ca="1" aca="1" ref="P57">IF($O57="","",_xlfn.LET(_xlpm._isAssumption,$J57,_xlpm._sheetRow,$W57,_xlpm._sheetName,$X57,_xlpm._elementIDRange,IF(_xlpm._isAssumption,Table24[Element ID Column],Table25[Element ID Column]),_xlpm._numberOfElementsRange,IF(_xlpm._isAssumption,Table24[Number of Elements Column],Table25[Number of Elements Column]),SimpleLookup($O57,INDIRECT("'"&amp;_xlpm._sheetName&amp;"'!"&amp;INDEX(_xlpm._elementIDRange,_xlpm._sheetRow)&amp;":"&amp;INDEX(_xlpm._numberOfElementsRange,_xlpm._sheetRow)))))</f>
        <v/>
      </c>
      <c r="Q57" s="20" t="str" cm="1">
        <f t="array" ca="1" aca="1" ref="Q57">IF($O57="","",IF(OR(INDEX($O:$O,ROW()-1)&lt;&gt;$O57,INDEX($M:$M,ROW()-1)&lt;&gt;$M57),1,INDEX($Q:$Q,ROW()-1)+1))</f>
        <v/>
      </c>
      <c r="R57" s="20">
        <f t="shared" ca="1" si="9"/>
        <v>0</v>
      </c>
      <c r="S57" s="20" t="str">
        <f t="shared" ca="1" si="10"/>
        <v/>
      </c>
      <c r="T57" s="20" t="b">
        <f ca="1">_xlfn.LET(_xlpm._isAssumption,$J57,_xlpm._numberOfElementsRange,IF(_xlpm._isAssumption,Table24['# Elements],Table25['# Elements]),_xlpm._sheetRow,$W57,IF($L57,AND($S57,$R57=$N57),FALSE))</f>
        <v>0</v>
      </c>
      <c r="U57" s="20" t="str" cm="1">
        <f t="array" ca="1" aca="1" ref="U57">IF($L57,_xlfn.LET(_xlpm._elementID,$O57,_xlpm._isAssumption,$J57,_xlpm._sheetRow,$W57,_xlpm._sheetName,$X57,_xlpm._elementRow,$Y57,_xlpm._resultColumnLetter,IF(_xlpm._isAssumption,INDEX(Table24[Comment Column],_xlpm._sheetRow),INDEX(Table25[Comment Column],_xlpm._sheetRow)),INDEX(INDIRECT("'"&amp;_xlpm._sheetName&amp;"'!"&amp;_xlpm._resultColumnLetter&amp;":"&amp;_xlpm._resultColumnLetter),_xlpm._elementRow)),"")</f>
        <v/>
      </c>
      <c r="V57" s="20" t="str" cm="1">
        <f t="array" ca="1" aca="1" ref="V57">IF($L57,_xlfn.LET(_xlpm._elementID,$O57,_xlpm._isAssumption,$J57,_xlpm._sheetRow,$W57,_xlpm._sheetName,$X57,_xlpm._resultColumnLetter,IF(_xlpm._isAssumption,INDEX(Table24[Sheet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7" s="20" t="str">
        <f ca="1">IF($L57=TRUE,_xlfn.LET(_xlpm._isAssumption,$J57,_xlpm._searchRange,IF(_xlpm._isAssumption,Table24[Task Sheet Shadow ID],Table25[Task Sheet Shadow ID]),MATCH($M57,_xlpm._searchRange,0)),"")</f>
        <v/>
      </c>
      <c r="X57" s="20" t="str" cm="1">
        <f t="array" ca="1" aca="1" ref="X57">IF($L57,_xlfn.LET(_xlpm._isAssumption,$J57,_xlpm._sheetRow,$W57,IF(_xlpm._isAssumption,INDEX(Table24[Sheet Name],_xlpm._sheetRow),INDEX(Table25[Sheet Name],_xlpm._sheetRow))),"")</f>
        <v/>
      </c>
      <c r="Y57" s="20" t="str" cm="1">
        <f t="array" ca="1" aca="1" ref="Y57">IF($L57,_xlfn.LET(_xlpm._elementID,$O57,_xlpm._isAssumption,$J57,_xlpm._sheetRow,$W57,_xlpm._sheetName,$X57,_xlpm._elementIDColumnLetter,IF(_xlpm._isAssumption,INDEX(Table24[Element ID Column],_xlpm._sheetRow),INDEX(Table25[Element ID Column],_xlpm._sheetRow)),MATCH(_xlpm._elementID,INDIRECT("'"&amp;_xlpm._sheetName&amp;"'!"&amp;_xlpm._elementIDColumnLetter&amp;":"&amp;_xlpm._elementIDColumnLetter),0)),"")</f>
        <v/>
      </c>
      <c r="Z57" s="20" t="str" cm="1">
        <f t="array" ca="1" aca="1" ref="Z57">IF($A57="","",_xlfn.LET(_xlpm._isAssumption,$J57,_xlpm._isAdditionalElement,$L57,_xlpm._sheetRow,$W57,_xlpm._sheetName,$X57,_xlpm._columnLetter,INDEX(IF(_xlpm._isAdditionalElement,Table24[Comment Column],Table25[Comment Column]),_xlpm._sheetRow),_xlpm._sheetReference,IF(_xlpm._isAssumption,IF(_xlpm._isAdditionalElement,CELL("address",INDEX(INDIRECT("'"&amp;_xlpm._sheetName&amp;"'!"&amp;_xlpm._columnLetter&amp;":"&amp;_xlpm._columnLetter),$Y57)),CELL("address",INDEX(Assumptions!$A:$A,MATCH($A57,Assumptions!$A:$A,0),1))),IF(_xlpm._isAdditionalElement,CELL("address",INDEX(INDIRECT("'"&amp;_xlpm._sheetName&amp;"'!"&amp;_xlpm._columnLetter&amp;":"&amp;_xlpm._columnLetter),$Y57)),CELL("address",INDEX(Countermeasures!$A:$A,MATCH($A57,Countermeasures!$A:$A,0),1)))),_xlpm._start,FIND("]",_xlpm._sheetReference),"'"&amp;SUBSTITUTE(SUBSTITUTE(RIGHT(_xlpm._sheetReference,LEN(_xlpm._sheetReference)-_xlpm._start),"'",""),"!","'!")))</f>
        <v/>
      </c>
      <c r="AA57" s="20" t="str" cm="1">
        <f t="array" ca="1" aca="1" ref="AA57">IF(NOT($L57),_xlfn.LET(_xlpm._value,IF($A57="","",IF($J57,SimpleLookup($A57,Assumptions!$A:$AK),SimpleLookup($A57,Countermeasures!$A:$AN))),IF(_xlpm._value="","",_xlpm._value)),"")</f>
        <v/>
      </c>
      <c r="AB57" s="20" t="str" cm="1">
        <f t="array" ca="1" aca="1" ref="AB57">LookupNames(InverseLookup($A57,Mitigation!$AD$2,Mitigation!$A$2,1,Helper!$B$5,","),'Attack Steps'!$A:$B)</f>
        <v/>
      </c>
      <c r="AC57" s="20" t="str" cm="1">
        <f t="array" ca="1" aca="1" ref="AC57">IF($L57,_xlfn.LET(_xlpm._in,$A57,_xlpm._lastDashNum,LEN(_xlpm._in)-LEN(SUBSTITUTE(_xlpm._in,"-","")),_xlpm._lastDashPos,FIND(CHAR(1),SUBSTITUTE(_xlpm._in,"-",CHAR(1),_xlpm._lastDashNum)),_xlpm._id,LEFT(_xlpm._in,_xlpm._lastDashPos-1),_xlpm._id&amp;"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7" s="20" t="str" cm="1">
        <f t="array" ca="1" aca="1" ref="AD57">_xlfn.LET(_xlpm._countermeasures,InverseLookup($A57,Countermeasures!$AG$2,Countermeasures!$A$2,1,Helper!$B$4,","),LookupNames(_xlpm._countermeasures,Countermeasures!$A:$B))</f>
        <v/>
      </c>
      <c r="AE57" s="20" t="str" cm="1">
        <f t="array" ca="1" aca="1" ref="AE57">IF($E57="","",_xlfn.LET(_xlpm._id,$E57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7" s="20" t="str" cm="1">
        <f t="array" ca="1" aca="1" ref="AF57">IF(OR($A57="",$L57),"",_xlfn.LET(_xlpm._answers,IF($J57,SimpleLookup($A57,Assumptions!$A:$F),SimpleLookup($A57,Countermeasures!$A:$D)),IF(_xlpm._answers="*",IF($J57,SimpleLookup($A57,Assumptions!$A:$C),SimpleLookup($A57,Countermeasures!$A:$C)),"")))</f>
        <v/>
      </c>
      <c r="AG57" s="20" t="str" cm="1">
        <f t="array" ca="1" aca="1" ref="AG57">IF(NOT($L57),"",_xlfn.LET(_xlpm._mappedInMitigation,IFERROR(VLOOKUP($V57,'Attack Steps'!$A:$O,COLUMNS('Attack Steps'!$A:$O),FALSE),""),CreateSearchString(_xlpm._mappedInMitigation)))</f>
        <v/>
      </c>
      <c r="AH57" s="20" t="b">
        <f ca="1">ROW()-ROW($AH$17)=Helper!$B$15</f>
        <v>0</v>
      </c>
      <c r="AI57" s="20" t="str">
        <f t="shared" ca="1" si="11"/>
        <v/>
      </c>
      <c r="AJ57" s="20" cm="1">
        <f t="array" ca="1" aca="1" ref="AJ57">CreateID($AJ$17,$AJ:$AJ,$AI57&lt;&gt;"")</f>
        <v>0</v>
      </c>
    </row>
    <row r="58" spans="1:36" ht="15">
      <c r="A58" s="16" t="str">
        <f ca="1">_xlfn.LET(_xlpm._isAssumption,$J58,_xlpm._row,$K58,_xlpm._numActiveAssumptions,Helper!$B$8,_xlpm._numActiveCountermeasures,Helper!$B$9,_xlpm._numAdditionalAssumptions,Helper!$B$10,_xlpm._numAdditionalCountermeasures,Helper!$B$11,IF(_xlpm._isAssumption,IF(_xlpm._row&gt;_xlpm._numActiveAssumptions,$V58&amp;"-A"&amp;$Q58,INDEX(Assumptions!A:A,MATCH(_xlpm._row,Assumptions!$AG:$AG,0))),IF(_xlpm._row&gt;_xlpm._numActiveCountermeasures+_xlpm._numAdditionalCountermeasures,"",IF(_xlpm._row&gt;_xlpm._numActiveCountermeasures,$V58&amp;"-C"&amp;$Q58,INDEX(Countermeasures!$A:$A,MATCH(_xlpm._row,Countermeasures!$AI:$AI,0))))))</f>
        <v/>
      </c>
      <c r="B58" s="33" t="str" cm="1">
        <f t="array" ca="1" aca="1" ref="B58">IF($A58="","",_xlfn.LET(_xlpm._isAssumption,$J58,_xlpm._isAdditionalElement,$L58,IF(_xlpm._isAdditionalElement,IF(_xlpm._isAssumption,ParseElementsFromComment($U58,Definitions!$AR$4,Definitions!$AS$4,Definitions!$AR$6,$Q58),ParseElementsFromComment($U58,Definitions!$AR$5,Definitions!$AS$5,Definitions!$AR$6,$Q58)),_xlfn.LET(_xlpm._value,IF($A58="","",IF($J58,SimpleLookup($A58,Assumptions!$A:$B),SimpleLookup($A58,Countermeasures!$A:$B))),IF(_xlpm._value="","",_xlpm._value)))))</f>
        <v/>
      </c>
      <c r="C58" s="33" t="str" cm="1">
        <f t="array" ca="1" aca="1" ref="C58">IF($A58="","",IF($J58,IFERROR(SimpleLookup($A58,Assumptions!$A:$E),""),Definitions!$AO$4))</f>
        <v/>
      </c>
      <c r="D58" s="37" t="str">
        <f t="shared" ca="1" si="7"/>
        <v/>
      </c>
      <c r="E58" s="23"/>
      <c r="F58" s="59" t="str">
        <f t="shared" ca="1" si="8"/>
        <v/>
      </c>
      <c r="G58" s="122" t="str" cm="1">
        <f t="array" ca="1" aca="1" ref="G58">_xlfn.LET(_xlpm._val,IFERROR(SimpleLookup($A58,Countermeasures!$A:$R),IFERROR(SimpleLookup($A58,Assumptions!$A:$R),"")),IF(_xlpm._val="","",_xlpm._val))</f>
        <v/>
      </c>
      <c r="H58" s="33" t="str" cm="1">
        <f t="array" ca="1" aca="1" ref="H58">_xlfn.LET(_xlpm._value,IF($A58="","",IFERROR(IF($J58,SimpleLookup($A58,Assumptions!$A:$S),SimpleLookup($A58,Countermeasures!$A:$S)),"")),IF(_xlpm._value="","",_xlpm._value))</f>
        <v/>
      </c>
      <c r="I58" s="10" cm="1">
        <f t="array" ca="1" aca="1" ref="I58">IF(ROW()=ROW($I$17)+1,0,INDEX($I:$I,ROW()-1))+IF($A58="",0,1)</f>
        <v>34</v>
      </c>
      <c r="J58" s="21" t="b">
        <f ca="1">_xlfn.LET(_xlpm._row,ROW()-ROW($K$17),_xlpm._numActiveAssumptions,Helper!$B$8,_xlpm._numAdditionalAssumptions,SUM(Table24['# Elements]),_xlpm._row&lt;=_xlpm._numActiveAssumptions+_xlpm._numAdditionalAssumptions)</f>
        <v>0</v>
      </c>
      <c r="K58" s="21">
        <f ca="1">_xlfn.LET(_xlpm._row,ROW()-ROW($K$17),_xlpm._numActiveAssumptions,Helper!$B$8,_xlpm._numAdditionalAssumptions,Helper!$B$10,_xlpm._isAssumption,$J58,_xlpm._elementID,IF(_xlpm._isAssumption,_xlpm._row,_xlpm._row-_xlpm._numActiveAssumptions-_xlpm._numAdditionalAssumptions),_xlpm._elementID)</f>
        <v>23</v>
      </c>
      <c r="L5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8" s="20" cm="1">
        <f t="array" ca="1" aca="1" ref="M58">IF($L58,IF(ROW()=ROW($M$17)+1,1,INDEX($M:$M,ROW()-1)+IF(INDEX($T:$T,ROW()-1),1,0)),1)</f>
        <v>1</v>
      </c>
      <c r="N58" s="20" t="str" cm="1">
        <f t="array" ca="1" aca="1" ref="N58">IF($L58=TRUE,_xlfn.LET(_xlpm._isAssumption,$J58,_xlpm._indexRange,IF(_xlpm._isAssumption,Table24['# Elements],Table25['# Elements]),_xlpm._lookupRow,$W58,INDEX(_xlpm._indexRange,_xlpm._lookupRow)),"")</f>
        <v/>
      </c>
      <c r="O58" s="20" t="str" cm="1">
        <f t="array" ca="1" aca="1" ref="O58">IF($N58="","",_xlfn.LET(_xlpm._prevRow,ROW()-1,IF(OR(INDEX($N:$N,_xlpm._prevRow)&lt;&gt;$N58,INDEX($M:$M,_xlpm._prevRow)&lt;&gt;$M58),1,INDEX($O:$O,_xlpm._prevRow)+IF(INDEX($S:$S,_xlpm._prevRow),1,0))))</f>
        <v/>
      </c>
      <c r="P58" s="20" t="str" cm="1">
        <f t="array" ca="1" aca="1" ref="P58">IF($O58="","",_xlfn.LET(_xlpm._isAssumption,$J58,_xlpm._sheetRow,$W58,_xlpm._sheetName,$X58,_xlpm._elementIDRange,IF(_xlpm._isAssumption,Table24[Element ID Column],Table25[Element ID Column]),_xlpm._numberOfElementsRange,IF(_xlpm._isAssumption,Table24[Number of Elements Column],Table25[Number of Elements Column]),SimpleLookup($O58,INDIRECT("'"&amp;_xlpm._sheetName&amp;"'!"&amp;INDEX(_xlpm._elementIDRange,_xlpm._sheetRow)&amp;":"&amp;INDEX(_xlpm._numberOfElementsRange,_xlpm._sheetRow)))))</f>
        <v/>
      </c>
      <c r="Q58" s="20" t="str" cm="1">
        <f t="array" ca="1" aca="1" ref="Q58">IF($O58="","",IF(OR(INDEX($O:$O,ROW()-1)&lt;&gt;$O58,INDEX($M:$M,ROW()-1)&lt;&gt;$M58),1,INDEX($Q:$Q,ROW()-1)+1))</f>
        <v/>
      </c>
      <c r="R58" s="20">
        <f t="shared" ca="1" si="9"/>
        <v>0</v>
      </c>
      <c r="S58" s="20" t="str">
        <f t="shared" ca="1" si="10"/>
        <v/>
      </c>
      <c r="T58" s="20" t="b">
        <f ca="1">_xlfn.LET(_xlpm._isAssumption,$J58,_xlpm._numberOfElementsRange,IF(_xlpm._isAssumption,Table24['# Elements],Table25['# Elements]),_xlpm._sheetRow,$W58,IF($L58,AND($S58,$R58=$N58),FALSE))</f>
        <v>0</v>
      </c>
      <c r="U58" s="20" t="str" cm="1">
        <f t="array" ca="1" aca="1" ref="U58">IF($L58,_xlfn.LET(_xlpm._elementID,$O58,_xlpm._isAssumption,$J58,_xlpm._sheetRow,$W58,_xlpm._sheetName,$X58,_xlpm._elementRow,$Y58,_xlpm._resultColumnLetter,IF(_xlpm._isAssumption,INDEX(Table24[Comment Column],_xlpm._sheetRow),INDEX(Table25[Comment Column],_xlpm._sheetRow)),INDEX(INDIRECT("'"&amp;_xlpm._sheetName&amp;"'!"&amp;_xlpm._resultColumnLetter&amp;":"&amp;_xlpm._resultColumnLetter),_xlpm._elementRow)),"")</f>
        <v/>
      </c>
      <c r="V58" s="20" t="str" cm="1">
        <f t="array" ca="1" aca="1" ref="V58">IF($L58,_xlfn.LET(_xlpm._elementID,$O58,_xlpm._isAssumption,$J58,_xlpm._sheetRow,$W58,_xlpm._sheetName,$X58,_xlpm._resultColumnLetter,IF(_xlpm._isAssumption,INDEX(Table24[Sheet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8" s="20" t="str">
        <f ca="1">IF($L58=TRUE,_xlfn.LET(_xlpm._isAssumption,$J58,_xlpm._searchRange,IF(_xlpm._isAssumption,Table24[Task Sheet Shadow ID],Table25[Task Sheet Shadow ID]),MATCH($M58,_xlpm._searchRange,0)),"")</f>
        <v/>
      </c>
      <c r="X58" s="20" t="str" cm="1">
        <f t="array" ca="1" aca="1" ref="X58">IF($L58,_xlfn.LET(_xlpm._isAssumption,$J58,_xlpm._sheetRow,$W58,IF(_xlpm._isAssumption,INDEX(Table24[Sheet Name],_xlpm._sheetRow),INDEX(Table25[Sheet Name],_xlpm._sheetRow))),"")</f>
        <v/>
      </c>
      <c r="Y58" s="20" t="str" cm="1">
        <f t="array" ca="1" aca="1" ref="Y58">IF($L58,_xlfn.LET(_xlpm._elementID,$O58,_xlpm._isAssumption,$J58,_xlpm._sheetRow,$W58,_xlpm._sheetName,$X58,_xlpm._elementIDColumnLetter,IF(_xlpm._isAssumption,INDEX(Table24[Element ID Column],_xlpm._sheetRow),INDEX(Table25[Element ID Column],_xlpm._sheetRow)),MATCH(_xlpm._elementID,INDIRECT("'"&amp;_xlpm._sheetName&amp;"'!"&amp;_xlpm._elementIDColumnLetter&amp;":"&amp;_xlpm._elementIDColumnLetter),0)),"")</f>
        <v/>
      </c>
      <c r="Z58" s="20" t="str" cm="1">
        <f t="array" ca="1" aca="1" ref="Z58">IF($A58="","",_xlfn.LET(_xlpm._isAssumption,$J58,_xlpm._isAdditionalElement,$L58,_xlpm._sheetRow,$W58,_xlpm._sheetName,$X58,_xlpm._columnLetter,INDEX(IF(_xlpm._isAdditionalElement,Table24[Comment Column],Table25[Comment Column]),_xlpm._sheetRow),_xlpm._sheetReference,IF(_xlpm._isAssumption,IF(_xlpm._isAdditionalElement,CELL("address",INDEX(INDIRECT("'"&amp;_xlpm._sheetName&amp;"'!"&amp;_xlpm._columnLetter&amp;":"&amp;_xlpm._columnLetter),$Y58)),CELL("address",INDEX(Assumptions!$A:$A,MATCH($A58,Assumptions!$A:$A,0),1))),IF(_xlpm._isAdditionalElement,CELL("address",INDEX(INDIRECT("'"&amp;_xlpm._sheetName&amp;"'!"&amp;_xlpm._columnLetter&amp;":"&amp;_xlpm._columnLetter),$Y58)),CELL("address",INDEX(Countermeasures!$A:$A,MATCH($A58,Countermeasures!$A:$A,0),1)))),_xlpm._start,FIND("]",_xlpm._sheetReference),"'"&amp;SUBSTITUTE(SUBSTITUTE(RIGHT(_xlpm._sheetReference,LEN(_xlpm._sheetReference)-_xlpm._start),"'",""),"!","'!")))</f>
        <v/>
      </c>
      <c r="AA58" s="20" t="str" cm="1">
        <f t="array" ca="1" aca="1" ref="AA58">IF(NOT($L58),_xlfn.LET(_xlpm._value,IF($A58="","",IF($J58,SimpleLookup($A58,Assumptions!$A:$AK),SimpleLookup($A58,Countermeasures!$A:$AN))),IF(_xlpm._value="","",_xlpm._value)),"")</f>
        <v/>
      </c>
      <c r="AB58" s="20" t="str" cm="1">
        <f t="array" ca="1" aca="1" ref="AB58">LookupNames(InverseLookup($A58,Mitigation!$AD$2,Mitigation!$A$2,1,Helper!$B$5,","),'Attack Steps'!$A:$B)</f>
        <v/>
      </c>
      <c r="AC58" s="20" t="str" cm="1">
        <f t="array" ca="1" aca="1" ref="AC58">IF($L58,_xlfn.LET(_xlpm._in,$A58,_xlpm._lastDashNum,LEN(_xlpm._in)-LEN(SUBSTITUTE(_xlpm._in,"-","")),_xlpm._lastDashPos,FIND(CHAR(1),SUBSTITUTE(_xlpm._in,"-",CHAR(1),_xlpm._lastDashNum)),_xlpm._id,LEFT(_xlpm._in,_xlpm._lastDashPos-1),_xlpm._id&amp;"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8" s="20" t="str" cm="1">
        <f t="array" ca="1" aca="1" ref="AD58">_xlfn.LET(_xlpm._countermeasures,InverseLookup($A58,Countermeasures!$AG$2,Countermeasures!$A$2,1,Helper!$B$4,","),LookupNames(_xlpm._countermeasures,Countermeasures!$A:$B))</f>
        <v/>
      </c>
      <c r="AE58" s="20" t="str" cm="1">
        <f t="array" ca="1" aca="1" ref="AE58">IF($E58="","",_xlfn.LET(_xlpm._id,$E58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8" s="20" t="str" cm="1">
        <f t="array" ca="1" aca="1" ref="AF58">IF(OR($A58="",$L58),"",_xlfn.LET(_xlpm._answers,IF($J58,SimpleLookup($A58,Assumptions!$A:$F),SimpleLookup($A58,Countermeasures!$A:$D)),IF(_xlpm._answers="*",IF($J58,SimpleLookup($A58,Assumptions!$A:$C),SimpleLookup($A58,Countermeasures!$A:$C)),"")))</f>
        <v/>
      </c>
      <c r="AG58" s="20" t="str" cm="1">
        <f t="array" ca="1" aca="1" ref="AG58">IF(NOT($L58),"",_xlfn.LET(_xlpm._mappedInMitigation,IFERROR(VLOOKUP($V58,'Attack Steps'!$A:$O,COLUMNS('Attack Steps'!$A:$O),FALSE),""),CreateSearchString(_xlpm._mappedInMitigation)))</f>
        <v/>
      </c>
      <c r="AH58" s="20" t="b">
        <f ca="1">ROW()-ROW($AH$17)=Helper!$B$15</f>
        <v>0</v>
      </c>
      <c r="AI58" s="20" t="str">
        <f t="shared" ca="1" si="11"/>
        <v/>
      </c>
      <c r="AJ58" s="20" cm="1">
        <f t="array" ca="1" aca="1" ref="AJ58">CreateID($AJ$17,$AJ:$AJ,$AI58&lt;&gt;"")</f>
        <v>0</v>
      </c>
    </row>
    <row r="59" spans="1:36" ht="15">
      <c r="A59" s="16" t="str">
        <f ca="1">_xlfn.LET(_xlpm._isAssumption,$J59,_xlpm._row,$K59,_xlpm._numActiveAssumptions,Helper!$B$8,_xlpm._numActiveCountermeasures,Helper!$B$9,_xlpm._numAdditionalAssumptions,Helper!$B$10,_xlpm._numAdditionalCountermeasures,Helper!$B$11,IF(_xlpm._isAssumption,IF(_xlpm._row&gt;_xlpm._numActiveAssumptions,$V59&amp;"-A"&amp;$Q59,INDEX(Assumptions!A:A,MATCH(_xlpm._row,Assumptions!$AG:$AG,0))),IF(_xlpm._row&gt;_xlpm._numActiveCountermeasures+_xlpm._numAdditionalCountermeasures,"",IF(_xlpm._row&gt;_xlpm._numActiveCountermeasures,$V59&amp;"-C"&amp;$Q59,INDEX(Countermeasures!$A:$A,MATCH(_xlpm._row,Countermeasures!$AI:$AI,0))))))</f>
        <v/>
      </c>
      <c r="B59" s="33" t="str" cm="1">
        <f t="array" ca="1" aca="1" ref="B59">IF($A59="","",_xlfn.LET(_xlpm._isAssumption,$J59,_xlpm._isAdditionalElement,$L59,IF(_xlpm._isAdditionalElement,IF(_xlpm._isAssumption,ParseElementsFromComment($U59,Definitions!$AR$4,Definitions!$AS$4,Definitions!$AR$6,$Q59),ParseElementsFromComment($U59,Definitions!$AR$5,Definitions!$AS$5,Definitions!$AR$6,$Q59)),_xlfn.LET(_xlpm._value,IF($A59="","",IF($J59,SimpleLookup($A59,Assumptions!$A:$B),SimpleLookup($A59,Countermeasures!$A:$B))),IF(_xlpm._value="","",_xlpm._value)))))</f>
        <v/>
      </c>
      <c r="C59" s="33" t="str" cm="1">
        <f t="array" ca="1" aca="1" ref="C59">IF($A59="","",IF($J59,IFERROR(SimpleLookup($A59,Assumptions!$A:$E),""),Definitions!$AO$4))</f>
        <v/>
      </c>
      <c r="D59" s="37" t="str">
        <f t="shared" ca="1" si="7"/>
        <v/>
      </c>
      <c r="E59" s="23"/>
      <c r="F59" s="59" t="str">
        <f t="shared" ca="1" si="8"/>
        <v/>
      </c>
      <c r="G59" s="122" t="str" cm="1">
        <f t="array" ca="1" aca="1" ref="G59">_xlfn.LET(_xlpm._val,IFERROR(SimpleLookup($A59,Countermeasures!$A:$R),IFERROR(SimpleLookup($A59,Assumptions!$A:$R),"")),IF(_xlpm._val="","",_xlpm._val))</f>
        <v/>
      </c>
      <c r="H59" s="33" t="str" cm="1">
        <f t="array" ca="1" aca="1" ref="H59">_xlfn.LET(_xlpm._value,IF($A59="","",IFERROR(IF($J59,SimpleLookup($A59,Assumptions!$A:$S),SimpleLookup($A59,Countermeasures!$A:$S)),"")),IF(_xlpm._value="","",_xlpm._value))</f>
        <v/>
      </c>
      <c r="I59" s="10" cm="1">
        <f t="array" ca="1" aca="1" ref="I59">IF(ROW()=ROW($I$17)+1,0,INDEX($I:$I,ROW()-1))+IF($A59="",0,1)</f>
        <v>34</v>
      </c>
      <c r="J59" s="21" t="b">
        <f ca="1">_xlfn.LET(_xlpm._row,ROW()-ROW($K$17),_xlpm._numActiveAssumptions,Helper!$B$8,_xlpm._numAdditionalAssumptions,SUM(Table24['# Elements]),_xlpm._row&lt;=_xlpm._numActiveAssumptions+_xlpm._numAdditionalAssumptions)</f>
        <v>0</v>
      </c>
      <c r="K59" s="21">
        <f ca="1">_xlfn.LET(_xlpm._row,ROW()-ROW($K$17),_xlpm._numActiveAssumptions,Helper!$B$8,_xlpm._numAdditionalAssumptions,Helper!$B$10,_xlpm._isAssumption,$J59,_xlpm._elementID,IF(_xlpm._isAssumption,_xlpm._row,_xlpm._row-_xlpm._numActiveAssumptions-_xlpm._numAdditionalAssumptions),_xlpm._elementID)</f>
        <v>24</v>
      </c>
      <c r="L5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59" s="20" cm="1">
        <f t="array" ca="1" aca="1" ref="M59">IF($L59,IF(ROW()=ROW($M$17)+1,1,INDEX($M:$M,ROW()-1)+IF(INDEX($T:$T,ROW()-1),1,0)),1)</f>
        <v>1</v>
      </c>
      <c r="N59" s="20" t="str" cm="1">
        <f t="array" ca="1" aca="1" ref="N59">IF($L59=TRUE,_xlfn.LET(_xlpm._isAssumption,$J59,_xlpm._indexRange,IF(_xlpm._isAssumption,Table24['# Elements],Table25['# Elements]),_xlpm._lookupRow,$W59,INDEX(_xlpm._indexRange,_xlpm._lookupRow)),"")</f>
        <v/>
      </c>
      <c r="O59" s="20" t="str" cm="1">
        <f t="array" ca="1" aca="1" ref="O59">IF($N59="","",_xlfn.LET(_xlpm._prevRow,ROW()-1,IF(OR(INDEX($N:$N,_xlpm._prevRow)&lt;&gt;$N59,INDEX($M:$M,_xlpm._prevRow)&lt;&gt;$M59),1,INDEX($O:$O,_xlpm._prevRow)+IF(INDEX($S:$S,_xlpm._prevRow),1,0))))</f>
        <v/>
      </c>
      <c r="P59" s="20" t="str" cm="1">
        <f t="array" ca="1" aca="1" ref="P59">IF($O59="","",_xlfn.LET(_xlpm._isAssumption,$J59,_xlpm._sheetRow,$W59,_xlpm._sheetName,$X59,_xlpm._elementIDRange,IF(_xlpm._isAssumption,Table24[Element ID Column],Table25[Element ID Column]),_xlpm._numberOfElementsRange,IF(_xlpm._isAssumption,Table24[Number of Elements Column],Table25[Number of Elements Column]),SimpleLookup($O59,INDIRECT("'"&amp;_xlpm._sheetName&amp;"'!"&amp;INDEX(_xlpm._elementIDRange,_xlpm._sheetRow)&amp;":"&amp;INDEX(_xlpm._numberOfElementsRange,_xlpm._sheetRow)))))</f>
        <v/>
      </c>
      <c r="Q59" s="20" t="str" cm="1">
        <f t="array" ca="1" aca="1" ref="Q59">IF($O59="","",IF(OR(INDEX($O:$O,ROW()-1)&lt;&gt;$O59,INDEX($M:$M,ROW()-1)&lt;&gt;$M59),1,INDEX($Q:$Q,ROW()-1)+1))</f>
        <v/>
      </c>
      <c r="R59" s="20">
        <f t="shared" ca="1" si="9"/>
        <v>0</v>
      </c>
      <c r="S59" s="20" t="str">
        <f t="shared" ca="1" si="10"/>
        <v/>
      </c>
      <c r="T59" s="20" t="b">
        <f ca="1">_xlfn.LET(_xlpm._isAssumption,$J59,_xlpm._numberOfElementsRange,IF(_xlpm._isAssumption,Table24['# Elements],Table25['# Elements]),_xlpm._sheetRow,$W59,IF($L59,AND($S59,$R59=$N59),FALSE))</f>
        <v>0</v>
      </c>
      <c r="U59" s="20" t="str" cm="1">
        <f t="array" ca="1" aca="1" ref="U59">IF($L59,_xlfn.LET(_xlpm._elementID,$O59,_xlpm._isAssumption,$J59,_xlpm._sheetRow,$W59,_xlpm._sheetName,$X59,_xlpm._elementRow,$Y59,_xlpm._resultColumnLetter,IF(_xlpm._isAssumption,INDEX(Table24[Comment Column],_xlpm._sheetRow),INDEX(Table25[Comment Column],_xlpm._sheetRow)),INDEX(INDIRECT("'"&amp;_xlpm._sheetName&amp;"'!"&amp;_xlpm._resultColumnLetter&amp;":"&amp;_xlpm._resultColumnLetter),_xlpm._elementRow)),"")</f>
        <v/>
      </c>
      <c r="V59" s="20" t="str" cm="1">
        <f t="array" ca="1" aca="1" ref="V59">IF($L59,_xlfn.LET(_xlpm._elementID,$O59,_xlpm._isAssumption,$J59,_xlpm._sheetRow,$W59,_xlpm._sheetName,$X59,_xlpm._resultColumnLetter,IF(_xlpm._isAssumption,INDEX(Table24[Sheet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59" s="20" t="str">
        <f ca="1">IF($L59=TRUE,_xlfn.LET(_xlpm._isAssumption,$J59,_xlpm._searchRange,IF(_xlpm._isAssumption,Table24[Task Sheet Shadow ID],Table25[Task Sheet Shadow ID]),MATCH($M59,_xlpm._searchRange,0)),"")</f>
        <v/>
      </c>
      <c r="X59" s="20" t="str" cm="1">
        <f t="array" ca="1" aca="1" ref="X59">IF($L59,_xlfn.LET(_xlpm._isAssumption,$J59,_xlpm._sheetRow,$W59,IF(_xlpm._isAssumption,INDEX(Table24[Sheet Name],_xlpm._sheetRow),INDEX(Table25[Sheet Name],_xlpm._sheetRow))),"")</f>
        <v/>
      </c>
      <c r="Y59" s="20" t="str" cm="1">
        <f t="array" ca="1" aca="1" ref="Y59">IF($L59,_xlfn.LET(_xlpm._elementID,$O59,_xlpm._isAssumption,$J59,_xlpm._sheetRow,$W59,_xlpm._sheetName,$X59,_xlpm._elementIDColumnLetter,IF(_xlpm._isAssumption,INDEX(Table24[Element ID Column],_xlpm._sheetRow),INDEX(Table25[Element ID Column],_xlpm._sheetRow)),MATCH(_xlpm._elementID,INDIRECT("'"&amp;_xlpm._sheetName&amp;"'!"&amp;_xlpm._elementIDColumnLetter&amp;":"&amp;_xlpm._elementIDColumnLetter),0)),"")</f>
        <v/>
      </c>
      <c r="Z59" s="20" t="str" cm="1">
        <f t="array" ca="1" aca="1" ref="Z59">IF($A59="","",_xlfn.LET(_xlpm._isAssumption,$J59,_xlpm._isAdditionalElement,$L59,_xlpm._sheetRow,$W59,_xlpm._sheetName,$X59,_xlpm._columnLetter,INDEX(IF(_xlpm._isAdditionalElement,Table24[Comment Column],Table25[Comment Column]),_xlpm._sheetRow),_xlpm._sheetReference,IF(_xlpm._isAssumption,IF(_xlpm._isAdditionalElement,CELL("address",INDEX(INDIRECT("'"&amp;_xlpm._sheetName&amp;"'!"&amp;_xlpm._columnLetter&amp;":"&amp;_xlpm._columnLetter),$Y59)),CELL("address",INDEX(Assumptions!$A:$A,MATCH($A59,Assumptions!$A:$A,0),1))),IF(_xlpm._isAdditionalElement,CELL("address",INDEX(INDIRECT("'"&amp;_xlpm._sheetName&amp;"'!"&amp;_xlpm._columnLetter&amp;":"&amp;_xlpm._columnLetter),$Y59)),CELL("address",INDEX(Countermeasures!$A:$A,MATCH($A59,Countermeasures!$A:$A,0),1)))),_xlpm._start,FIND("]",_xlpm._sheetReference),"'"&amp;SUBSTITUTE(SUBSTITUTE(RIGHT(_xlpm._sheetReference,LEN(_xlpm._sheetReference)-_xlpm._start),"'",""),"!","'!")))</f>
        <v/>
      </c>
      <c r="AA59" s="20" t="str" cm="1">
        <f t="array" ca="1" aca="1" ref="AA59">IF(NOT($L59),_xlfn.LET(_xlpm._value,IF($A59="","",IF($J59,SimpleLookup($A59,Assumptions!$A:$AK),SimpleLookup($A59,Countermeasures!$A:$AN))),IF(_xlpm._value="","",_xlpm._value)),"")</f>
        <v/>
      </c>
      <c r="AB59" s="20" t="str" cm="1">
        <f t="array" ca="1" aca="1" ref="AB59">LookupNames(InverseLookup($A59,Mitigation!$AD$2,Mitigation!$A$2,1,Helper!$B$5,","),'Attack Steps'!$A:$B)</f>
        <v/>
      </c>
      <c r="AC59" s="20" t="str" cm="1">
        <f t="array" ca="1" aca="1" ref="AC59">IF($L59,_xlfn.LET(_xlpm._in,$A59,_xlpm._lastDashNum,LEN(_xlpm._in)-LEN(SUBSTITUTE(_xlpm._in,"-","")),_xlpm._lastDashPos,FIND(CHAR(1),SUBSTITUTE(_xlpm._in,"-",CHAR(1),_xlpm._lastDashNum)),_xlpm._id,LEFT(_xlpm._in,_xlpm._lastDashPos-1),_xlpm._id&amp;"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59" s="20" t="str" cm="1">
        <f t="array" ca="1" aca="1" ref="AD59">_xlfn.LET(_xlpm._countermeasures,InverseLookup($A59,Countermeasures!$AG$2,Countermeasures!$A$2,1,Helper!$B$4,","),LookupNames(_xlpm._countermeasures,Countermeasures!$A:$B))</f>
        <v/>
      </c>
      <c r="AE59" s="20" t="str" cm="1">
        <f t="array" ca="1" aca="1" ref="AE59">IF($E59="","",_xlfn.LET(_xlpm._id,$E59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59" s="20" t="str" cm="1">
        <f t="array" ca="1" aca="1" ref="AF59">IF(OR($A59="",$L59),"",_xlfn.LET(_xlpm._answers,IF($J59,SimpleLookup($A59,Assumptions!$A:$F),SimpleLookup($A59,Countermeasures!$A:$D)),IF(_xlpm._answers="*",IF($J59,SimpleLookup($A59,Assumptions!$A:$C),SimpleLookup($A59,Countermeasures!$A:$C)),"")))</f>
        <v/>
      </c>
      <c r="AG59" s="20" t="str" cm="1">
        <f t="array" ca="1" aca="1" ref="AG59">IF(NOT($L59),"",_xlfn.LET(_xlpm._mappedInMitigation,IFERROR(VLOOKUP($V59,'Attack Steps'!$A:$O,COLUMNS('Attack Steps'!$A:$O),FALSE),""),CreateSearchString(_xlpm._mappedInMitigation)))</f>
        <v/>
      </c>
      <c r="AH59" s="20" t="b">
        <f ca="1">ROW()-ROW($AH$17)=Helper!$B$15</f>
        <v>0</v>
      </c>
      <c r="AI59" s="20" t="str">
        <f t="shared" ca="1" si="11"/>
        <v/>
      </c>
      <c r="AJ59" s="20" cm="1">
        <f t="array" ca="1" aca="1" ref="AJ59">CreateID($AJ$17,$AJ:$AJ,$AI59&lt;&gt;"")</f>
        <v>0</v>
      </c>
    </row>
    <row r="60" spans="1:36" ht="15">
      <c r="A60" s="16" t="str">
        <f ca="1">_xlfn.LET(_xlpm._isAssumption,$J60,_xlpm._row,$K60,_xlpm._numActiveAssumptions,Helper!$B$8,_xlpm._numActiveCountermeasures,Helper!$B$9,_xlpm._numAdditionalAssumptions,Helper!$B$10,_xlpm._numAdditionalCountermeasures,Helper!$B$11,IF(_xlpm._isAssumption,IF(_xlpm._row&gt;_xlpm._numActiveAssumptions,$V60&amp;"-A"&amp;$Q60,INDEX(Assumptions!A:A,MATCH(_xlpm._row,Assumptions!$AG:$AG,0))),IF(_xlpm._row&gt;_xlpm._numActiveCountermeasures+_xlpm._numAdditionalCountermeasures,"",IF(_xlpm._row&gt;_xlpm._numActiveCountermeasures,$V60&amp;"-C"&amp;$Q60,INDEX(Countermeasures!$A:$A,MATCH(_xlpm._row,Countermeasures!$AI:$AI,0))))))</f>
        <v/>
      </c>
      <c r="B60" s="33" t="str" cm="1">
        <f t="array" ca="1" aca="1" ref="B60">IF($A60="","",_xlfn.LET(_xlpm._isAssumption,$J60,_xlpm._isAdditionalElement,$L60,IF(_xlpm._isAdditionalElement,IF(_xlpm._isAssumption,ParseElementsFromComment($U60,Definitions!$AR$4,Definitions!$AS$4,Definitions!$AR$6,$Q60),ParseElementsFromComment($U60,Definitions!$AR$5,Definitions!$AS$5,Definitions!$AR$6,$Q60)),_xlfn.LET(_xlpm._value,IF($A60="","",IF($J60,SimpleLookup($A60,Assumptions!$A:$B),SimpleLookup($A60,Countermeasures!$A:$B))),IF(_xlpm._value="","",_xlpm._value)))))</f>
        <v/>
      </c>
      <c r="C60" s="33" t="str" cm="1">
        <f t="array" ca="1" aca="1" ref="C60">IF($A60="","",IF($J60,IFERROR(SimpleLookup($A60,Assumptions!$A:$E),""),Definitions!$AO$4))</f>
        <v/>
      </c>
      <c r="D60" s="37" t="str">
        <f t="shared" ca="1" si="7"/>
        <v/>
      </c>
      <c r="E60" s="23"/>
      <c r="F60" s="59" t="str">
        <f t="shared" ca="1" si="8"/>
        <v/>
      </c>
      <c r="G60" s="122" t="str" cm="1">
        <f t="array" ca="1" aca="1" ref="G60">_xlfn.LET(_xlpm._val,IFERROR(SimpleLookup($A60,Countermeasures!$A:$R),IFERROR(SimpleLookup($A60,Assumptions!$A:$R),"")),IF(_xlpm._val="","",_xlpm._val))</f>
        <v/>
      </c>
      <c r="H60" s="33" t="str" cm="1">
        <f t="array" ca="1" aca="1" ref="H60">_xlfn.LET(_xlpm._value,IF($A60="","",IFERROR(IF($J60,SimpleLookup($A60,Assumptions!$A:$S),SimpleLookup($A60,Countermeasures!$A:$S)),"")),IF(_xlpm._value="","",_xlpm._value))</f>
        <v/>
      </c>
      <c r="I60" s="10" cm="1">
        <f t="array" ca="1" aca="1" ref="I60">IF(ROW()=ROW($I$17)+1,0,INDEX($I:$I,ROW()-1))+IF($A60="",0,1)</f>
        <v>34</v>
      </c>
      <c r="J60" s="21" t="b">
        <f ca="1">_xlfn.LET(_xlpm._row,ROW()-ROW($K$17),_xlpm._numActiveAssumptions,Helper!$B$8,_xlpm._numAdditionalAssumptions,SUM(Table24['# Elements]),_xlpm._row&lt;=_xlpm._numActiveAssumptions+_xlpm._numAdditionalAssumptions)</f>
        <v>0</v>
      </c>
      <c r="K60" s="21">
        <f ca="1">_xlfn.LET(_xlpm._row,ROW()-ROW($K$17),_xlpm._numActiveAssumptions,Helper!$B$8,_xlpm._numAdditionalAssumptions,Helper!$B$10,_xlpm._isAssumption,$J60,_xlpm._elementID,IF(_xlpm._isAssumption,_xlpm._row,_xlpm._row-_xlpm._numActiveAssumptions-_xlpm._numAdditionalAssumptions),_xlpm._elementID)</f>
        <v>25</v>
      </c>
      <c r="L6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0" s="20" cm="1">
        <f t="array" ca="1" aca="1" ref="M60">IF($L60,IF(ROW()=ROW($M$17)+1,1,INDEX($M:$M,ROW()-1)+IF(INDEX($T:$T,ROW()-1),1,0)),1)</f>
        <v>1</v>
      </c>
      <c r="N60" s="20" t="str" cm="1">
        <f t="array" ca="1" aca="1" ref="N60">IF($L60=TRUE,_xlfn.LET(_xlpm._isAssumption,$J60,_xlpm._indexRange,IF(_xlpm._isAssumption,Table24['# Elements],Table25['# Elements]),_xlpm._lookupRow,$W60,INDEX(_xlpm._indexRange,_xlpm._lookupRow)),"")</f>
        <v/>
      </c>
      <c r="O60" s="20" t="str" cm="1">
        <f t="array" ca="1" aca="1" ref="O60">IF($N60="","",_xlfn.LET(_xlpm._prevRow,ROW()-1,IF(OR(INDEX($N:$N,_xlpm._prevRow)&lt;&gt;$N60,INDEX($M:$M,_xlpm._prevRow)&lt;&gt;$M60),1,INDEX($O:$O,_xlpm._prevRow)+IF(INDEX($S:$S,_xlpm._prevRow),1,0))))</f>
        <v/>
      </c>
      <c r="P60" s="20" t="str" cm="1">
        <f t="array" ca="1" aca="1" ref="P60">IF($O60="","",_xlfn.LET(_xlpm._isAssumption,$J60,_xlpm._sheetRow,$W60,_xlpm._sheetName,$X60,_xlpm._elementIDRange,IF(_xlpm._isAssumption,Table24[Element ID Column],Table25[Element ID Column]),_xlpm._numberOfElementsRange,IF(_xlpm._isAssumption,Table24[Number of Elements Column],Table25[Number of Elements Column]),SimpleLookup($O60,INDIRECT("'"&amp;_xlpm._sheetName&amp;"'!"&amp;INDEX(_xlpm._elementIDRange,_xlpm._sheetRow)&amp;":"&amp;INDEX(_xlpm._numberOfElementsRange,_xlpm._sheetRow)))))</f>
        <v/>
      </c>
      <c r="Q60" s="20" t="str" cm="1">
        <f t="array" ca="1" aca="1" ref="Q60">IF($O60="","",IF(OR(INDEX($O:$O,ROW()-1)&lt;&gt;$O60,INDEX($M:$M,ROW()-1)&lt;&gt;$M60),1,INDEX($Q:$Q,ROW()-1)+1))</f>
        <v/>
      </c>
      <c r="R60" s="20">
        <f t="shared" ca="1" si="9"/>
        <v>0</v>
      </c>
      <c r="S60" s="20" t="str">
        <f t="shared" ca="1" si="10"/>
        <v/>
      </c>
      <c r="T60" s="20" t="b">
        <f ca="1">_xlfn.LET(_xlpm._isAssumption,$J60,_xlpm._numberOfElementsRange,IF(_xlpm._isAssumption,Table24['# Elements],Table25['# Elements]),_xlpm._sheetRow,$W60,IF($L60,AND($S60,$R60=$N60),FALSE))</f>
        <v>0</v>
      </c>
      <c r="U60" s="20" t="str" cm="1">
        <f t="array" ca="1" aca="1" ref="U60">IF($L60,_xlfn.LET(_xlpm._elementID,$O60,_xlpm._isAssumption,$J60,_xlpm._sheetRow,$W60,_xlpm._sheetName,$X60,_xlpm._elementRow,$Y60,_xlpm._resultColumnLetter,IF(_xlpm._isAssumption,INDEX(Table24[Comment Column],_xlpm._sheetRow),INDEX(Table25[Comment Column],_xlpm._sheetRow)),INDEX(INDIRECT("'"&amp;_xlpm._sheetName&amp;"'!"&amp;_xlpm._resultColumnLetter&amp;":"&amp;_xlpm._resultColumnLetter),_xlpm._elementRow)),"")</f>
        <v/>
      </c>
      <c r="V60" s="20" t="str" cm="1">
        <f t="array" ca="1" aca="1" ref="V60">IF($L60,_xlfn.LET(_xlpm._elementID,$O60,_xlpm._isAssumption,$J60,_xlpm._sheetRow,$W60,_xlpm._sheetName,$X60,_xlpm._resultColumnLetter,IF(_xlpm._isAssumption,INDEX(Table24[Sheet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0" s="20" t="str">
        <f ca="1">IF($L60=TRUE,_xlfn.LET(_xlpm._isAssumption,$J60,_xlpm._searchRange,IF(_xlpm._isAssumption,Table24[Task Sheet Shadow ID],Table25[Task Sheet Shadow ID]),MATCH($M60,_xlpm._searchRange,0)),"")</f>
        <v/>
      </c>
      <c r="X60" s="20" t="str" cm="1">
        <f t="array" ca="1" aca="1" ref="X60">IF($L60,_xlfn.LET(_xlpm._isAssumption,$J60,_xlpm._sheetRow,$W60,IF(_xlpm._isAssumption,INDEX(Table24[Sheet Name],_xlpm._sheetRow),INDEX(Table25[Sheet Name],_xlpm._sheetRow))),"")</f>
        <v/>
      </c>
      <c r="Y60" s="20" t="str" cm="1">
        <f t="array" ca="1" aca="1" ref="Y60">IF($L60,_xlfn.LET(_xlpm._elementID,$O60,_xlpm._isAssumption,$J60,_xlpm._sheetRow,$W60,_xlpm._sheetName,$X60,_xlpm._elementIDColumnLetter,IF(_xlpm._isAssumption,INDEX(Table24[Element ID Column],_xlpm._sheetRow),INDEX(Table25[Element ID Column],_xlpm._sheetRow)),MATCH(_xlpm._elementID,INDIRECT("'"&amp;_xlpm._sheetName&amp;"'!"&amp;_xlpm._elementIDColumnLetter&amp;":"&amp;_xlpm._elementIDColumnLetter),0)),"")</f>
        <v/>
      </c>
      <c r="Z60" s="20" t="str" cm="1">
        <f t="array" ca="1" aca="1" ref="Z60">IF($A60="","",_xlfn.LET(_xlpm._isAssumption,$J60,_xlpm._isAdditionalElement,$L60,_xlpm._sheetRow,$W60,_xlpm._sheetName,$X60,_xlpm._columnLetter,INDEX(IF(_xlpm._isAdditionalElement,Table24[Comment Column],Table25[Comment Column]),_xlpm._sheetRow),_xlpm._sheetReference,IF(_xlpm._isAssumption,IF(_xlpm._isAdditionalElement,CELL("address",INDEX(INDIRECT("'"&amp;_xlpm._sheetName&amp;"'!"&amp;_xlpm._columnLetter&amp;":"&amp;_xlpm._columnLetter),$Y60)),CELL("address",INDEX(Assumptions!$A:$A,MATCH($A60,Assumptions!$A:$A,0),1))),IF(_xlpm._isAdditionalElement,CELL("address",INDEX(INDIRECT("'"&amp;_xlpm._sheetName&amp;"'!"&amp;_xlpm._columnLetter&amp;":"&amp;_xlpm._columnLetter),$Y60)),CELL("address",INDEX(Countermeasures!$A:$A,MATCH($A60,Countermeasures!$A:$A,0),1)))),_xlpm._start,FIND("]",_xlpm._sheetReference),"'"&amp;SUBSTITUTE(SUBSTITUTE(RIGHT(_xlpm._sheetReference,LEN(_xlpm._sheetReference)-_xlpm._start),"'",""),"!","'!")))</f>
        <v/>
      </c>
      <c r="AA60" s="20" t="str" cm="1">
        <f t="array" ca="1" aca="1" ref="AA60">IF(NOT($L60),_xlfn.LET(_xlpm._value,IF($A60="","",IF($J60,SimpleLookup($A60,Assumptions!$A:$AK),SimpleLookup($A60,Countermeasures!$A:$AN))),IF(_xlpm._value="","",_xlpm._value)),"")</f>
        <v/>
      </c>
      <c r="AB60" s="20" t="str" cm="1">
        <f t="array" ca="1" aca="1" ref="AB60">LookupNames(InverseLookup($A60,Mitigation!$AD$2,Mitigation!$A$2,1,Helper!$B$5,","),'Attack Steps'!$A:$B)</f>
        <v/>
      </c>
      <c r="AC60" s="20" t="str" cm="1">
        <f t="array" ca="1" aca="1" ref="AC60">IF($L60,_xlfn.LET(_xlpm._in,$A60,_xlpm._lastDashNum,LEN(_xlpm._in)-LEN(SUBSTITUTE(_xlpm._in,"-","")),_xlpm._lastDashPos,FIND(CHAR(1),SUBSTITUTE(_xlpm._in,"-",CHAR(1),_xlpm._lastDashNum)),_xlpm._id,LEFT(_xlpm._in,_xlpm._lastDashPos-1),_xlpm._id&amp;"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0" s="20" t="str" cm="1">
        <f t="array" ca="1" aca="1" ref="AD60">_xlfn.LET(_xlpm._countermeasures,InverseLookup($A60,Countermeasures!$AG$2,Countermeasures!$A$2,1,Helper!$B$4,","),LookupNames(_xlpm._countermeasures,Countermeasures!$A:$B))</f>
        <v/>
      </c>
      <c r="AE60" s="20" t="str" cm="1">
        <f t="array" ca="1" aca="1" ref="AE60">IF($E60="","",_xlfn.LET(_xlpm._id,$E60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0" s="20" t="str" cm="1">
        <f t="array" ca="1" aca="1" ref="AF60">IF(OR($A60="",$L60),"",_xlfn.LET(_xlpm._answers,IF($J60,SimpleLookup($A60,Assumptions!$A:$F),SimpleLookup($A60,Countermeasures!$A:$D)),IF(_xlpm._answers="*",IF($J60,SimpleLookup($A60,Assumptions!$A:$C),SimpleLookup($A60,Countermeasures!$A:$C)),"")))</f>
        <v/>
      </c>
      <c r="AG60" s="20" t="str" cm="1">
        <f t="array" ca="1" aca="1" ref="AG60">IF(NOT($L60),"",_xlfn.LET(_xlpm._mappedInMitigation,IFERROR(VLOOKUP($V60,'Attack Steps'!$A:$O,COLUMNS('Attack Steps'!$A:$O),FALSE),""),CreateSearchString(_xlpm._mappedInMitigation)))</f>
        <v/>
      </c>
      <c r="AH60" s="20" t="b">
        <f ca="1">ROW()-ROW($AH$17)=Helper!$B$15</f>
        <v>0</v>
      </c>
      <c r="AI60" s="20" t="str">
        <f t="shared" ca="1" si="11"/>
        <v/>
      </c>
      <c r="AJ60" s="20" cm="1">
        <f t="array" ca="1" aca="1" ref="AJ60">CreateID($AJ$17,$AJ:$AJ,$AI60&lt;&gt;"")</f>
        <v>0</v>
      </c>
    </row>
    <row r="61" spans="1:36" ht="15">
      <c r="A61" s="16" t="str">
        <f ca="1">_xlfn.LET(_xlpm._isAssumption,$J61,_xlpm._row,$K61,_xlpm._numActiveAssumptions,Helper!$B$8,_xlpm._numActiveCountermeasures,Helper!$B$9,_xlpm._numAdditionalAssumptions,Helper!$B$10,_xlpm._numAdditionalCountermeasures,Helper!$B$11,IF(_xlpm._isAssumption,IF(_xlpm._row&gt;_xlpm._numActiveAssumptions,$V61&amp;"-A"&amp;$Q61,INDEX(Assumptions!A:A,MATCH(_xlpm._row,Assumptions!$AG:$AG,0))),IF(_xlpm._row&gt;_xlpm._numActiveCountermeasures+_xlpm._numAdditionalCountermeasures,"",IF(_xlpm._row&gt;_xlpm._numActiveCountermeasures,$V61&amp;"-C"&amp;$Q61,INDEX(Countermeasures!$A:$A,MATCH(_xlpm._row,Countermeasures!$AI:$AI,0))))))</f>
        <v/>
      </c>
      <c r="B61" s="33" t="str" cm="1">
        <f t="array" ca="1" aca="1" ref="B61">IF($A61="","",_xlfn.LET(_xlpm._isAssumption,$J61,_xlpm._isAdditionalElement,$L61,IF(_xlpm._isAdditionalElement,IF(_xlpm._isAssumption,ParseElementsFromComment($U61,Definitions!$AR$4,Definitions!$AS$4,Definitions!$AR$6,$Q61),ParseElementsFromComment($U61,Definitions!$AR$5,Definitions!$AS$5,Definitions!$AR$6,$Q61)),_xlfn.LET(_xlpm._value,IF($A61="","",IF($J61,SimpleLookup($A61,Assumptions!$A:$B),SimpleLookup($A61,Countermeasures!$A:$B))),IF(_xlpm._value="","",_xlpm._value)))))</f>
        <v/>
      </c>
      <c r="C61" s="33" t="str" cm="1">
        <f t="array" ca="1" aca="1" ref="C61">IF($A61="","",IF($J61,IFERROR(SimpleLookup($A61,Assumptions!$A:$E),""),Definitions!$AO$4))</f>
        <v/>
      </c>
      <c r="D61" s="37" t="str">
        <f t="shared" ca="1" si="7"/>
        <v/>
      </c>
      <c r="E61" s="23"/>
      <c r="F61" s="59" t="str">
        <f t="shared" ca="1" si="8"/>
        <v/>
      </c>
      <c r="G61" s="122" t="str" cm="1">
        <f t="array" ca="1" aca="1" ref="G61">_xlfn.LET(_xlpm._val,IFERROR(SimpleLookup($A61,Countermeasures!$A:$R),IFERROR(SimpleLookup($A61,Assumptions!$A:$R),"")),IF(_xlpm._val="","",_xlpm._val))</f>
        <v/>
      </c>
      <c r="H61" s="33" t="str" cm="1">
        <f t="array" ca="1" aca="1" ref="H61">_xlfn.LET(_xlpm._value,IF($A61="","",IFERROR(IF($J61,SimpleLookup($A61,Assumptions!$A:$S),SimpleLookup($A61,Countermeasures!$A:$S)),"")),IF(_xlpm._value="","",_xlpm._value))</f>
        <v/>
      </c>
      <c r="I61" s="10" cm="1">
        <f t="array" ca="1" aca="1" ref="I61">IF(ROW()=ROW($I$17)+1,0,INDEX($I:$I,ROW()-1))+IF($A61="",0,1)</f>
        <v>34</v>
      </c>
      <c r="J61" s="21" t="b">
        <f ca="1">_xlfn.LET(_xlpm._row,ROW()-ROW($K$17),_xlpm._numActiveAssumptions,Helper!$B$8,_xlpm._numAdditionalAssumptions,SUM(Table24['# Elements]),_xlpm._row&lt;=_xlpm._numActiveAssumptions+_xlpm._numAdditionalAssumptions)</f>
        <v>0</v>
      </c>
      <c r="K61" s="21">
        <f ca="1">_xlfn.LET(_xlpm._row,ROW()-ROW($K$17),_xlpm._numActiveAssumptions,Helper!$B$8,_xlpm._numAdditionalAssumptions,Helper!$B$10,_xlpm._isAssumption,$J61,_xlpm._elementID,IF(_xlpm._isAssumption,_xlpm._row,_xlpm._row-_xlpm._numActiveAssumptions-_xlpm._numAdditionalAssumptions),_xlpm._elementID)</f>
        <v>26</v>
      </c>
      <c r="L6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1" s="20" cm="1">
        <f t="array" ca="1" aca="1" ref="M61">IF($L61,IF(ROW()=ROW($M$17)+1,1,INDEX($M:$M,ROW()-1)+IF(INDEX($T:$T,ROW()-1),1,0)),1)</f>
        <v>1</v>
      </c>
      <c r="N61" s="20" t="str" cm="1">
        <f t="array" ca="1" aca="1" ref="N61">IF($L61=TRUE,_xlfn.LET(_xlpm._isAssumption,$J61,_xlpm._indexRange,IF(_xlpm._isAssumption,Table24['# Elements],Table25['# Elements]),_xlpm._lookupRow,$W61,INDEX(_xlpm._indexRange,_xlpm._lookupRow)),"")</f>
        <v/>
      </c>
      <c r="O61" s="20" t="str" cm="1">
        <f t="array" ca="1" aca="1" ref="O61">IF($N61="","",_xlfn.LET(_xlpm._prevRow,ROW()-1,IF(OR(INDEX($N:$N,_xlpm._prevRow)&lt;&gt;$N61,INDEX($M:$M,_xlpm._prevRow)&lt;&gt;$M61),1,INDEX($O:$O,_xlpm._prevRow)+IF(INDEX($S:$S,_xlpm._prevRow),1,0))))</f>
        <v/>
      </c>
      <c r="P61" s="20" t="str" cm="1">
        <f t="array" ca="1" aca="1" ref="P61">IF($O61="","",_xlfn.LET(_xlpm._isAssumption,$J61,_xlpm._sheetRow,$W61,_xlpm._sheetName,$X61,_xlpm._elementIDRange,IF(_xlpm._isAssumption,Table24[Element ID Column],Table25[Element ID Column]),_xlpm._numberOfElementsRange,IF(_xlpm._isAssumption,Table24[Number of Elements Column],Table25[Number of Elements Column]),SimpleLookup($O61,INDIRECT("'"&amp;_xlpm._sheetName&amp;"'!"&amp;INDEX(_xlpm._elementIDRange,_xlpm._sheetRow)&amp;":"&amp;INDEX(_xlpm._numberOfElementsRange,_xlpm._sheetRow)))))</f>
        <v/>
      </c>
      <c r="Q61" s="20" t="str" cm="1">
        <f t="array" ca="1" aca="1" ref="Q61">IF($O61="","",IF(OR(INDEX($O:$O,ROW()-1)&lt;&gt;$O61,INDEX($M:$M,ROW()-1)&lt;&gt;$M61),1,INDEX($Q:$Q,ROW()-1)+1))</f>
        <v/>
      </c>
      <c r="R61" s="20">
        <f t="shared" ca="1" si="9"/>
        <v>0</v>
      </c>
      <c r="S61" s="20" t="str">
        <f t="shared" ca="1" si="10"/>
        <v/>
      </c>
      <c r="T61" s="20" t="b">
        <f ca="1">_xlfn.LET(_xlpm._isAssumption,$J61,_xlpm._numberOfElementsRange,IF(_xlpm._isAssumption,Table24['# Elements],Table25['# Elements]),_xlpm._sheetRow,$W61,IF($L61,AND($S61,$R61=$N61),FALSE))</f>
        <v>0</v>
      </c>
      <c r="U61" s="20" t="str" cm="1">
        <f t="array" ca="1" aca="1" ref="U61">IF($L61,_xlfn.LET(_xlpm._elementID,$O61,_xlpm._isAssumption,$J61,_xlpm._sheetRow,$W61,_xlpm._sheetName,$X61,_xlpm._elementRow,$Y61,_xlpm._resultColumnLetter,IF(_xlpm._isAssumption,INDEX(Table24[Comment Column],_xlpm._sheetRow),INDEX(Table25[Comment Column],_xlpm._sheetRow)),INDEX(INDIRECT("'"&amp;_xlpm._sheetName&amp;"'!"&amp;_xlpm._resultColumnLetter&amp;":"&amp;_xlpm._resultColumnLetter),_xlpm._elementRow)),"")</f>
        <v/>
      </c>
      <c r="V61" s="20" t="str" cm="1">
        <f t="array" ca="1" aca="1" ref="V61">IF($L61,_xlfn.LET(_xlpm._elementID,$O61,_xlpm._isAssumption,$J61,_xlpm._sheetRow,$W61,_xlpm._sheetName,$X61,_xlpm._resultColumnLetter,IF(_xlpm._isAssumption,INDEX(Table24[Sheet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1" s="20" t="str">
        <f ca="1">IF($L61=TRUE,_xlfn.LET(_xlpm._isAssumption,$J61,_xlpm._searchRange,IF(_xlpm._isAssumption,Table24[Task Sheet Shadow ID],Table25[Task Sheet Shadow ID]),MATCH($M61,_xlpm._searchRange,0)),"")</f>
        <v/>
      </c>
      <c r="X61" s="20" t="str" cm="1">
        <f t="array" ca="1" aca="1" ref="X61">IF($L61,_xlfn.LET(_xlpm._isAssumption,$J61,_xlpm._sheetRow,$W61,IF(_xlpm._isAssumption,INDEX(Table24[Sheet Name],_xlpm._sheetRow),INDEX(Table25[Sheet Name],_xlpm._sheetRow))),"")</f>
        <v/>
      </c>
      <c r="Y61" s="20" t="str" cm="1">
        <f t="array" ca="1" aca="1" ref="Y61">IF($L61,_xlfn.LET(_xlpm._elementID,$O61,_xlpm._isAssumption,$J61,_xlpm._sheetRow,$W61,_xlpm._sheetName,$X61,_xlpm._elementIDColumnLetter,IF(_xlpm._isAssumption,INDEX(Table24[Element ID Column],_xlpm._sheetRow),INDEX(Table25[Element ID Column],_xlpm._sheetRow)),MATCH(_xlpm._elementID,INDIRECT("'"&amp;_xlpm._sheetName&amp;"'!"&amp;_xlpm._elementIDColumnLetter&amp;":"&amp;_xlpm._elementIDColumnLetter),0)),"")</f>
        <v/>
      </c>
      <c r="Z61" s="20" t="str" cm="1">
        <f t="array" ca="1" aca="1" ref="Z61">IF($A61="","",_xlfn.LET(_xlpm._isAssumption,$J61,_xlpm._isAdditionalElement,$L61,_xlpm._sheetRow,$W61,_xlpm._sheetName,$X61,_xlpm._columnLetter,INDEX(IF(_xlpm._isAdditionalElement,Table24[Comment Column],Table25[Comment Column]),_xlpm._sheetRow),_xlpm._sheetReference,IF(_xlpm._isAssumption,IF(_xlpm._isAdditionalElement,CELL("address",INDEX(INDIRECT("'"&amp;_xlpm._sheetName&amp;"'!"&amp;_xlpm._columnLetter&amp;":"&amp;_xlpm._columnLetter),$Y61)),CELL("address",INDEX(Assumptions!$A:$A,MATCH($A61,Assumptions!$A:$A,0),1))),IF(_xlpm._isAdditionalElement,CELL("address",INDEX(INDIRECT("'"&amp;_xlpm._sheetName&amp;"'!"&amp;_xlpm._columnLetter&amp;":"&amp;_xlpm._columnLetter),$Y61)),CELL("address",INDEX(Countermeasures!$A:$A,MATCH($A61,Countermeasures!$A:$A,0),1)))),_xlpm._start,FIND("]",_xlpm._sheetReference),"'"&amp;SUBSTITUTE(SUBSTITUTE(RIGHT(_xlpm._sheetReference,LEN(_xlpm._sheetReference)-_xlpm._start),"'",""),"!","'!")))</f>
        <v/>
      </c>
      <c r="AA61" s="20" t="str" cm="1">
        <f t="array" ca="1" aca="1" ref="AA61">IF(NOT($L61),_xlfn.LET(_xlpm._value,IF($A61="","",IF($J61,SimpleLookup($A61,Assumptions!$A:$AK),SimpleLookup($A61,Countermeasures!$A:$AN))),IF(_xlpm._value="","",_xlpm._value)),"")</f>
        <v/>
      </c>
      <c r="AB61" s="20" t="str" cm="1">
        <f t="array" ca="1" aca="1" ref="AB61">LookupNames(InverseLookup($A61,Mitigation!$AD$2,Mitigation!$A$2,1,Helper!$B$5,","),'Attack Steps'!$A:$B)</f>
        <v/>
      </c>
      <c r="AC61" s="20" t="str" cm="1">
        <f t="array" ca="1" aca="1" ref="AC61">IF($L61,_xlfn.LET(_xlpm._in,$A61,_xlpm._lastDashNum,LEN(_xlpm._in)-LEN(SUBSTITUTE(_xlpm._in,"-","")),_xlpm._lastDashPos,FIND(CHAR(1),SUBSTITUTE(_xlpm._in,"-",CHAR(1),_xlpm._lastDashNum)),_xlpm._id,LEFT(_xlpm._in,_xlpm._lastDashPos-1),_xlpm._id&amp;"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1" s="20" t="str" cm="1">
        <f t="array" ca="1" aca="1" ref="AD61">_xlfn.LET(_xlpm._countermeasures,InverseLookup($A61,Countermeasures!$AG$2,Countermeasures!$A$2,1,Helper!$B$4,","),LookupNames(_xlpm._countermeasures,Countermeasures!$A:$B))</f>
        <v/>
      </c>
      <c r="AE61" s="20" t="str" cm="1">
        <f t="array" ca="1" aca="1" ref="AE61">IF($E61="","",_xlfn.LET(_xlpm._id,$E61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1" s="20" t="str" cm="1">
        <f t="array" ca="1" aca="1" ref="AF61">IF(OR($A61="",$L61),"",_xlfn.LET(_xlpm._answers,IF($J61,SimpleLookup($A61,Assumptions!$A:$F),SimpleLookup($A61,Countermeasures!$A:$D)),IF(_xlpm._answers="*",IF($J61,SimpleLookup($A61,Assumptions!$A:$C),SimpleLookup($A61,Countermeasures!$A:$C)),"")))</f>
        <v/>
      </c>
      <c r="AG61" s="20" t="str" cm="1">
        <f t="array" ca="1" aca="1" ref="AG61">IF(NOT($L61),"",_xlfn.LET(_xlpm._mappedInMitigation,IFERROR(VLOOKUP($V61,'Attack Steps'!$A:$O,COLUMNS('Attack Steps'!$A:$O),FALSE),""),CreateSearchString(_xlpm._mappedInMitigation)))</f>
        <v/>
      </c>
      <c r="AH61" s="20" t="b">
        <f ca="1">ROW()-ROW($AH$17)=Helper!$B$15</f>
        <v>0</v>
      </c>
      <c r="AI61" s="20" t="str">
        <f t="shared" ca="1" si="11"/>
        <v/>
      </c>
      <c r="AJ61" s="20" cm="1">
        <f t="array" ca="1" aca="1" ref="AJ61">CreateID($AJ$17,$AJ:$AJ,$AI61&lt;&gt;"")</f>
        <v>0</v>
      </c>
    </row>
    <row r="62" spans="1:36" ht="15">
      <c r="A62" s="16" t="str">
        <f ca="1">_xlfn.LET(_xlpm._isAssumption,$J62,_xlpm._row,$K62,_xlpm._numActiveAssumptions,Helper!$B$8,_xlpm._numActiveCountermeasures,Helper!$B$9,_xlpm._numAdditionalAssumptions,Helper!$B$10,_xlpm._numAdditionalCountermeasures,Helper!$B$11,IF(_xlpm._isAssumption,IF(_xlpm._row&gt;_xlpm._numActiveAssumptions,$V62&amp;"-A"&amp;$Q62,INDEX(Assumptions!A:A,MATCH(_xlpm._row,Assumptions!$AG:$AG,0))),IF(_xlpm._row&gt;_xlpm._numActiveCountermeasures+_xlpm._numAdditionalCountermeasures,"",IF(_xlpm._row&gt;_xlpm._numActiveCountermeasures,$V62&amp;"-C"&amp;$Q62,INDEX(Countermeasures!$A:$A,MATCH(_xlpm._row,Countermeasures!$AI:$AI,0))))))</f>
        <v/>
      </c>
      <c r="B62" s="33" t="str" cm="1">
        <f t="array" ca="1" aca="1" ref="B62">IF($A62="","",_xlfn.LET(_xlpm._isAssumption,$J62,_xlpm._isAdditionalElement,$L62,IF(_xlpm._isAdditionalElement,IF(_xlpm._isAssumption,ParseElementsFromComment($U62,Definitions!$AR$4,Definitions!$AS$4,Definitions!$AR$6,$Q62),ParseElementsFromComment($U62,Definitions!$AR$5,Definitions!$AS$5,Definitions!$AR$6,$Q62)),_xlfn.LET(_xlpm._value,IF($A62="","",IF($J62,SimpleLookup($A62,Assumptions!$A:$B),SimpleLookup($A62,Countermeasures!$A:$B))),IF(_xlpm._value="","",_xlpm._value)))))</f>
        <v/>
      </c>
      <c r="C62" s="33" t="str" cm="1">
        <f t="array" ca="1" aca="1" ref="C62">IF($A62="","",IF($J62,IFERROR(SimpleLookup($A62,Assumptions!$A:$E),""),Definitions!$AO$4))</f>
        <v/>
      </c>
      <c r="D62" s="37" t="str">
        <f t="shared" ca="1" si="7"/>
        <v/>
      </c>
      <c r="E62" s="23"/>
      <c r="F62" s="59" t="str">
        <f t="shared" ca="1" si="8"/>
        <v/>
      </c>
      <c r="G62" s="122" t="str" cm="1">
        <f t="array" ca="1" aca="1" ref="G62">_xlfn.LET(_xlpm._val,IFERROR(SimpleLookup($A62,Countermeasures!$A:$R),IFERROR(SimpleLookup($A62,Assumptions!$A:$R),"")),IF(_xlpm._val="","",_xlpm._val))</f>
        <v/>
      </c>
      <c r="H62" s="33" t="str" cm="1">
        <f t="array" ca="1" aca="1" ref="H62">_xlfn.LET(_xlpm._value,IF($A62="","",IFERROR(IF($J62,SimpleLookup($A62,Assumptions!$A:$S),SimpleLookup($A62,Countermeasures!$A:$S)),"")),IF(_xlpm._value="","",_xlpm._value))</f>
        <v/>
      </c>
      <c r="I62" s="10" cm="1">
        <f t="array" ca="1" aca="1" ref="I62">IF(ROW()=ROW($I$17)+1,0,INDEX($I:$I,ROW()-1))+IF($A62="",0,1)</f>
        <v>34</v>
      </c>
      <c r="J62" s="21" t="b">
        <f ca="1">_xlfn.LET(_xlpm._row,ROW()-ROW($K$17),_xlpm._numActiveAssumptions,Helper!$B$8,_xlpm._numAdditionalAssumptions,SUM(Table24['# Elements]),_xlpm._row&lt;=_xlpm._numActiveAssumptions+_xlpm._numAdditionalAssumptions)</f>
        <v>0</v>
      </c>
      <c r="K62" s="21">
        <f ca="1">_xlfn.LET(_xlpm._row,ROW()-ROW($K$17),_xlpm._numActiveAssumptions,Helper!$B$8,_xlpm._numAdditionalAssumptions,Helper!$B$10,_xlpm._isAssumption,$J62,_xlpm._elementID,IF(_xlpm._isAssumption,_xlpm._row,_xlpm._row-_xlpm._numActiveAssumptions-_xlpm._numAdditionalAssumptions),_xlpm._elementID)</f>
        <v>27</v>
      </c>
      <c r="L62"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2" s="20" cm="1">
        <f t="array" ca="1" aca="1" ref="M62">IF($L62,IF(ROW()=ROW($M$17)+1,1,INDEX($M:$M,ROW()-1)+IF(INDEX($T:$T,ROW()-1),1,0)),1)</f>
        <v>1</v>
      </c>
      <c r="N62" s="20" t="str" cm="1">
        <f t="array" ca="1" aca="1" ref="N62">IF($L62=TRUE,_xlfn.LET(_xlpm._isAssumption,$J62,_xlpm._indexRange,IF(_xlpm._isAssumption,Table24['# Elements],Table25['# Elements]),_xlpm._lookupRow,$W62,INDEX(_xlpm._indexRange,_xlpm._lookupRow)),"")</f>
        <v/>
      </c>
      <c r="O62" s="20" t="str" cm="1">
        <f t="array" ca="1" aca="1" ref="O62">IF($N62="","",_xlfn.LET(_xlpm._prevRow,ROW()-1,IF(OR(INDEX($N:$N,_xlpm._prevRow)&lt;&gt;$N62,INDEX($M:$M,_xlpm._prevRow)&lt;&gt;$M62),1,INDEX($O:$O,_xlpm._prevRow)+IF(INDEX($S:$S,_xlpm._prevRow),1,0))))</f>
        <v/>
      </c>
      <c r="P62" s="20" t="str" cm="1">
        <f t="array" ca="1" aca="1" ref="P62">IF($O62="","",_xlfn.LET(_xlpm._isAssumption,$J62,_xlpm._sheetRow,$W62,_xlpm._sheetName,$X62,_xlpm._elementIDRange,IF(_xlpm._isAssumption,Table24[Element ID Column],Table25[Element ID Column]),_xlpm._numberOfElementsRange,IF(_xlpm._isAssumption,Table24[Number of Elements Column],Table25[Number of Elements Column]),SimpleLookup($O62,INDIRECT("'"&amp;_xlpm._sheetName&amp;"'!"&amp;INDEX(_xlpm._elementIDRange,_xlpm._sheetRow)&amp;":"&amp;INDEX(_xlpm._numberOfElementsRange,_xlpm._sheetRow)))))</f>
        <v/>
      </c>
      <c r="Q62" s="20" t="str" cm="1">
        <f t="array" ca="1" aca="1" ref="Q62">IF($O62="","",IF(OR(INDEX($O:$O,ROW()-1)&lt;&gt;$O62,INDEX($M:$M,ROW()-1)&lt;&gt;$M62),1,INDEX($Q:$Q,ROW()-1)+1))</f>
        <v/>
      </c>
      <c r="R62" s="20">
        <f t="shared" ca="1" si="9"/>
        <v>0</v>
      </c>
      <c r="S62" s="20" t="str">
        <f t="shared" ca="1" si="10"/>
        <v/>
      </c>
      <c r="T62" s="20" t="b">
        <f ca="1">_xlfn.LET(_xlpm._isAssumption,$J62,_xlpm._numberOfElementsRange,IF(_xlpm._isAssumption,Table24['# Elements],Table25['# Elements]),_xlpm._sheetRow,$W62,IF($L62,AND($S62,$R62=$N62),FALSE))</f>
        <v>0</v>
      </c>
      <c r="U62" s="20" t="str" cm="1">
        <f t="array" ca="1" aca="1" ref="U62">IF($L62,_xlfn.LET(_xlpm._elementID,$O62,_xlpm._isAssumption,$J62,_xlpm._sheetRow,$W62,_xlpm._sheetName,$X62,_xlpm._elementRow,$Y62,_xlpm._resultColumnLetter,IF(_xlpm._isAssumption,INDEX(Table24[Comment Column],_xlpm._sheetRow),INDEX(Table25[Comment Column],_xlpm._sheetRow)),INDEX(INDIRECT("'"&amp;_xlpm._sheetName&amp;"'!"&amp;_xlpm._resultColumnLetter&amp;":"&amp;_xlpm._resultColumnLetter),_xlpm._elementRow)),"")</f>
        <v/>
      </c>
      <c r="V62" s="20" t="str" cm="1">
        <f t="array" ca="1" aca="1" ref="V62">IF($L62,_xlfn.LET(_xlpm._elementID,$O62,_xlpm._isAssumption,$J62,_xlpm._sheetRow,$W62,_xlpm._sheetName,$X62,_xlpm._resultColumnLetter,IF(_xlpm._isAssumption,INDEX(Table24[Sheet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2" s="20" t="str">
        <f ca="1">IF($L62=TRUE,_xlfn.LET(_xlpm._isAssumption,$J62,_xlpm._searchRange,IF(_xlpm._isAssumption,Table24[Task Sheet Shadow ID],Table25[Task Sheet Shadow ID]),MATCH($M62,_xlpm._searchRange,0)),"")</f>
        <v/>
      </c>
      <c r="X62" s="20" t="str" cm="1">
        <f t="array" ca="1" aca="1" ref="X62">IF($L62,_xlfn.LET(_xlpm._isAssumption,$J62,_xlpm._sheetRow,$W62,IF(_xlpm._isAssumption,INDEX(Table24[Sheet Name],_xlpm._sheetRow),INDEX(Table25[Sheet Name],_xlpm._sheetRow))),"")</f>
        <v/>
      </c>
      <c r="Y62" s="20" t="str" cm="1">
        <f t="array" ca="1" aca="1" ref="Y62">IF($L62,_xlfn.LET(_xlpm._elementID,$O62,_xlpm._isAssumption,$J62,_xlpm._sheetRow,$W62,_xlpm._sheetName,$X62,_xlpm._elementIDColumnLetter,IF(_xlpm._isAssumption,INDEX(Table24[Element ID Column],_xlpm._sheetRow),INDEX(Table25[Element ID Column],_xlpm._sheetRow)),MATCH(_xlpm._elementID,INDIRECT("'"&amp;_xlpm._sheetName&amp;"'!"&amp;_xlpm._elementIDColumnLetter&amp;":"&amp;_xlpm._elementIDColumnLetter),0)),"")</f>
        <v/>
      </c>
      <c r="Z62" s="20" t="str" cm="1">
        <f t="array" ca="1" aca="1" ref="Z62">IF($A62="","",_xlfn.LET(_xlpm._isAssumption,$J62,_xlpm._isAdditionalElement,$L62,_xlpm._sheetRow,$W62,_xlpm._sheetName,$X62,_xlpm._columnLetter,INDEX(IF(_xlpm._isAdditionalElement,Table24[Comment Column],Table25[Comment Column]),_xlpm._sheetRow),_xlpm._sheetReference,IF(_xlpm._isAssumption,IF(_xlpm._isAdditionalElement,CELL("address",INDEX(INDIRECT("'"&amp;_xlpm._sheetName&amp;"'!"&amp;_xlpm._columnLetter&amp;":"&amp;_xlpm._columnLetter),$Y62)),CELL("address",INDEX(Assumptions!$A:$A,MATCH($A62,Assumptions!$A:$A,0),1))),IF(_xlpm._isAdditionalElement,CELL("address",INDEX(INDIRECT("'"&amp;_xlpm._sheetName&amp;"'!"&amp;_xlpm._columnLetter&amp;":"&amp;_xlpm._columnLetter),$Y62)),CELL("address",INDEX(Countermeasures!$A:$A,MATCH($A62,Countermeasures!$A:$A,0),1)))),_xlpm._start,FIND("]",_xlpm._sheetReference),"'"&amp;SUBSTITUTE(SUBSTITUTE(RIGHT(_xlpm._sheetReference,LEN(_xlpm._sheetReference)-_xlpm._start),"'",""),"!","'!")))</f>
        <v/>
      </c>
      <c r="AA62" s="20" t="str" cm="1">
        <f t="array" ca="1" aca="1" ref="AA62">IF(NOT($L62),_xlfn.LET(_xlpm._value,IF($A62="","",IF($J62,SimpleLookup($A62,Assumptions!$A:$AK),SimpleLookup($A62,Countermeasures!$A:$AN))),IF(_xlpm._value="","",_xlpm._value)),"")</f>
        <v/>
      </c>
      <c r="AB62" s="20" t="str" cm="1">
        <f t="array" ca="1" aca="1" ref="AB62">LookupNames(InverseLookup($A62,Mitigation!$AD$2,Mitigation!$A$2,1,Helper!$B$5,","),'Attack Steps'!$A:$B)</f>
        <v/>
      </c>
      <c r="AC62" s="20" t="str" cm="1">
        <f t="array" ca="1" aca="1" ref="AC62">IF($L62,_xlfn.LET(_xlpm._in,$A62,_xlpm._lastDashNum,LEN(_xlpm._in)-LEN(SUBSTITUTE(_xlpm._in,"-","")),_xlpm._lastDashPos,FIND(CHAR(1),SUBSTITUTE(_xlpm._in,"-",CHAR(1),_xlpm._lastDashNum)),_xlpm._id,LEFT(_xlpm._in,_xlpm._lastDashPos-1),_xlpm._id&amp;"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2" s="20" t="str" cm="1">
        <f t="array" ca="1" aca="1" ref="AD62">_xlfn.LET(_xlpm._countermeasures,InverseLookup($A62,Countermeasures!$AG$2,Countermeasures!$A$2,1,Helper!$B$4,","),LookupNames(_xlpm._countermeasures,Countermeasures!$A:$B))</f>
        <v/>
      </c>
      <c r="AE62" s="20" t="str" cm="1">
        <f t="array" ca="1" aca="1" ref="AE62">IF($E62="","",_xlfn.LET(_xlpm._id,$E62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2" s="20" t="str" cm="1">
        <f t="array" ca="1" aca="1" ref="AF62">IF(OR($A62="",$L62),"",_xlfn.LET(_xlpm._answers,IF($J62,SimpleLookup($A62,Assumptions!$A:$F),SimpleLookup($A62,Countermeasures!$A:$D)),IF(_xlpm._answers="*",IF($J62,SimpleLookup($A62,Assumptions!$A:$C),SimpleLookup($A62,Countermeasures!$A:$C)),"")))</f>
        <v/>
      </c>
      <c r="AG62" s="20" t="str" cm="1">
        <f t="array" ca="1" aca="1" ref="AG62">IF(NOT($L62),"",_xlfn.LET(_xlpm._mappedInMitigation,IFERROR(VLOOKUP($V62,'Attack Steps'!$A:$O,COLUMNS('Attack Steps'!$A:$O),FALSE),""),CreateSearchString(_xlpm._mappedInMitigation)))</f>
        <v/>
      </c>
      <c r="AH62" s="20" t="b">
        <f ca="1">ROW()-ROW($AH$17)=Helper!$B$15</f>
        <v>0</v>
      </c>
      <c r="AI62" s="20" t="str">
        <f t="shared" ca="1" si="11"/>
        <v/>
      </c>
      <c r="AJ62" s="20" cm="1">
        <f t="array" ca="1" aca="1" ref="AJ62">CreateID($AJ$17,$AJ:$AJ,$AI62&lt;&gt;"")</f>
        <v>0</v>
      </c>
    </row>
    <row r="63" spans="1:36" ht="15">
      <c r="A63" s="16" t="str">
        <f ca="1">_xlfn.LET(_xlpm._isAssumption,$J63,_xlpm._row,$K63,_xlpm._numActiveAssumptions,Helper!$B$8,_xlpm._numActiveCountermeasures,Helper!$B$9,_xlpm._numAdditionalAssumptions,Helper!$B$10,_xlpm._numAdditionalCountermeasures,Helper!$B$11,IF(_xlpm._isAssumption,IF(_xlpm._row&gt;_xlpm._numActiveAssumptions,$V63&amp;"-A"&amp;$Q63,INDEX(Assumptions!A:A,MATCH(_xlpm._row,Assumptions!$AG:$AG,0))),IF(_xlpm._row&gt;_xlpm._numActiveCountermeasures+_xlpm._numAdditionalCountermeasures,"",IF(_xlpm._row&gt;_xlpm._numActiveCountermeasures,$V63&amp;"-C"&amp;$Q63,INDEX(Countermeasures!$A:$A,MATCH(_xlpm._row,Countermeasures!$AI:$AI,0))))))</f>
        <v/>
      </c>
      <c r="B63" s="33" t="str" cm="1">
        <f t="array" ca="1" aca="1" ref="B63">IF($A63="","",_xlfn.LET(_xlpm._isAssumption,$J63,_xlpm._isAdditionalElement,$L63,IF(_xlpm._isAdditionalElement,IF(_xlpm._isAssumption,ParseElementsFromComment($U63,Definitions!$AR$4,Definitions!$AS$4,Definitions!$AR$6,$Q63),ParseElementsFromComment($U63,Definitions!$AR$5,Definitions!$AS$5,Definitions!$AR$6,$Q63)),_xlfn.LET(_xlpm._value,IF($A63="","",IF($J63,SimpleLookup($A63,Assumptions!$A:$B),SimpleLookup($A63,Countermeasures!$A:$B))),IF(_xlpm._value="","",_xlpm._value)))))</f>
        <v/>
      </c>
      <c r="C63" s="33" t="str" cm="1">
        <f t="array" ca="1" aca="1" ref="C63">IF($A63="","",IF($J63,IFERROR(SimpleLookup($A63,Assumptions!$A:$E),""),Definitions!$AO$4))</f>
        <v/>
      </c>
      <c r="D63" s="37" t="str">
        <f t="shared" ca="1" si="7"/>
        <v/>
      </c>
      <c r="E63" s="23"/>
      <c r="F63" s="59" t="str">
        <f t="shared" ca="1" si="8"/>
        <v/>
      </c>
      <c r="G63" s="122" t="str" cm="1">
        <f t="array" ca="1" aca="1" ref="G63">_xlfn.LET(_xlpm._val,IFERROR(SimpleLookup($A63,Countermeasures!$A:$R),IFERROR(SimpleLookup($A63,Assumptions!$A:$R),"")),IF(_xlpm._val="","",_xlpm._val))</f>
        <v/>
      </c>
      <c r="H63" s="33" t="str" cm="1">
        <f t="array" ca="1" aca="1" ref="H63">_xlfn.LET(_xlpm._value,IF($A63="","",IFERROR(IF($J63,SimpleLookup($A63,Assumptions!$A:$S),SimpleLookup($A63,Countermeasures!$A:$S)),"")),IF(_xlpm._value="","",_xlpm._value))</f>
        <v/>
      </c>
      <c r="I63" s="10" cm="1">
        <f t="array" ca="1" aca="1" ref="I63">IF(ROW()=ROW($I$17)+1,0,INDEX($I:$I,ROW()-1))+IF($A63="",0,1)</f>
        <v>34</v>
      </c>
      <c r="J63" s="21" t="b">
        <f ca="1">_xlfn.LET(_xlpm._row,ROW()-ROW($K$17),_xlpm._numActiveAssumptions,Helper!$B$8,_xlpm._numAdditionalAssumptions,SUM(Table24['# Elements]),_xlpm._row&lt;=_xlpm._numActiveAssumptions+_xlpm._numAdditionalAssumptions)</f>
        <v>0</v>
      </c>
      <c r="K63" s="21">
        <f ca="1">_xlfn.LET(_xlpm._row,ROW()-ROW($K$17),_xlpm._numActiveAssumptions,Helper!$B$8,_xlpm._numAdditionalAssumptions,Helper!$B$10,_xlpm._isAssumption,$J63,_xlpm._elementID,IF(_xlpm._isAssumption,_xlpm._row,_xlpm._row-_xlpm._numActiveAssumptions-_xlpm._numAdditionalAssumptions),_xlpm._elementID)</f>
        <v>28</v>
      </c>
      <c r="L63"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3" s="20" cm="1">
        <f t="array" ca="1" aca="1" ref="M63">IF($L63,IF(ROW()=ROW($M$17)+1,1,INDEX($M:$M,ROW()-1)+IF(INDEX($T:$T,ROW()-1),1,0)),1)</f>
        <v>1</v>
      </c>
      <c r="N63" s="20" t="str" cm="1">
        <f t="array" ca="1" aca="1" ref="N63">IF($L63=TRUE,_xlfn.LET(_xlpm._isAssumption,$J63,_xlpm._indexRange,IF(_xlpm._isAssumption,Table24['# Elements],Table25['# Elements]),_xlpm._lookupRow,$W63,INDEX(_xlpm._indexRange,_xlpm._lookupRow)),"")</f>
        <v/>
      </c>
      <c r="O63" s="20" t="str" cm="1">
        <f t="array" ca="1" aca="1" ref="O63">IF($N63="","",_xlfn.LET(_xlpm._prevRow,ROW()-1,IF(OR(INDEX($N:$N,_xlpm._prevRow)&lt;&gt;$N63,INDEX($M:$M,_xlpm._prevRow)&lt;&gt;$M63),1,INDEX($O:$O,_xlpm._prevRow)+IF(INDEX($S:$S,_xlpm._prevRow),1,0))))</f>
        <v/>
      </c>
      <c r="P63" s="20" t="str" cm="1">
        <f t="array" ca="1" aca="1" ref="P63">IF($O63="","",_xlfn.LET(_xlpm._isAssumption,$J63,_xlpm._sheetRow,$W63,_xlpm._sheetName,$X63,_xlpm._elementIDRange,IF(_xlpm._isAssumption,Table24[Element ID Column],Table25[Element ID Column]),_xlpm._numberOfElementsRange,IF(_xlpm._isAssumption,Table24[Number of Elements Column],Table25[Number of Elements Column]),SimpleLookup($O63,INDIRECT("'"&amp;_xlpm._sheetName&amp;"'!"&amp;INDEX(_xlpm._elementIDRange,_xlpm._sheetRow)&amp;":"&amp;INDEX(_xlpm._numberOfElementsRange,_xlpm._sheetRow)))))</f>
        <v/>
      </c>
      <c r="Q63" s="20" t="str" cm="1">
        <f t="array" ca="1" aca="1" ref="Q63">IF($O63="","",IF(OR(INDEX($O:$O,ROW()-1)&lt;&gt;$O63,INDEX($M:$M,ROW()-1)&lt;&gt;$M63),1,INDEX($Q:$Q,ROW()-1)+1))</f>
        <v/>
      </c>
      <c r="R63" s="20">
        <f t="shared" ca="1" si="9"/>
        <v>0</v>
      </c>
      <c r="S63" s="20" t="str">
        <f t="shared" ca="1" si="10"/>
        <v/>
      </c>
      <c r="T63" s="20" t="b">
        <f ca="1">_xlfn.LET(_xlpm._isAssumption,$J63,_xlpm._numberOfElementsRange,IF(_xlpm._isAssumption,Table24['# Elements],Table25['# Elements]),_xlpm._sheetRow,$W63,IF($L63,AND($S63,$R63=$N63),FALSE))</f>
        <v>0</v>
      </c>
      <c r="U63" s="20" t="str" cm="1">
        <f t="array" ca="1" aca="1" ref="U63">IF($L63,_xlfn.LET(_xlpm._elementID,$O63,_xlpm._isAssumption,$J63,_xlpm._sheetRow,$W63,_xlpm._sheetName,$X63,_xlpm._elementRow,$Y63,_xlpm._resultColumnLetter,IF(_xlpm._isAssumption,INDEX(Table24[Comment Column],_xlpm._sheetRow),INDEX(Table25[Comment Column],_xlpm._sheetRow)),INDEX(INDIRECT("'"&amp;_xlpm._sheetName&amp;"'!"&amp;_xlpm._resultColumnLetter&amp;":"&amp;_xlpm._resultColumnLetter),_xlpm._elementRow)),"")</f>
        <v/>
      </c>
      <c r="V63" s="20" t="str" cm="1">
        <f t="array" ca="1" aca="1" ref="V63">IF($L63,_xlfn.LET(_xlpm._elementID,$O63,_xlpm._isAssumption,$J63,_xlpm._sheetRow,$W63,_xlpm._sheetName,$X63,_xlpm._resultColumnLetter,IF(_xlpm._isAssumption,INDEX(Table24[Sheet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3" s="20" t="str">
        <f ca="1">IF($L63=TRUE,_xlfn.LET(_xlpm._isAssumption,$J63,_xlpm._searchRange,IF(_xlpm._isAssumption,Table24[Task Sheet Shadow ID],Table25[Task Sheet Shadow ID]),MATCH($M63,_xlpm._searchRange,0)),"")</f>
        <v/>
      </c>
      <c r="X63" s="20" t="str" cm="1">
        <f t="array" ca="1" aca="1" ref="X63">IF($L63,_xlfn.LET(_xlpm._isAssumption,$J63,_xlpm._sheetRow,$W63,IF(_xlpm._isAssumption,INDEX(Table24[Sheet Name],_xlpm._sheetRow),INDEX(Table25[Sheet Name],_xlpm._sheetRow))),"")</f>
        <v/>
      </c>
      <c r="Y63" s="20" t="str" cm="1">
        <f t="array" ca="1" aca="1" ref="Y63">IF($L63,_xlfn.LET(_xlpm._elementID,$O63,_xlpm._isAssumption,$J63,_xlpm._sheetRow,$W63,_xlpm._sheetName,$X63,_xlpm._elementIDColumnLetter,IF(_xlpm._isAssumption,INDEX(Table24[Element ID Column],_xlpm._sheetRow),INDEX(Table25[Element ID Column],_xlpm._sheetRow)),MATCH(_xlpm._elementID,INDIRECT("'"&amp;_xlpm._sheetName&amp;"'!"&amp;_xlpm._elementIDColumnLetter&amp;":"&amp;_xlpm._elementIDColumnLetter),0)),"")</f>
        <v/>
      </c>
      <c r="Z63" s="20" t="str" cm="1">
        <f t="array" ca="1" aca="1" ref="Z63">IF($A63="","",_xlfn.LET(_xlpm._isAssumption,$J63,_xlpm._isAdditionalElement,$L63,_xlpm._sheetRow,$W63,_xlpm._sheetName,$X63,_xlpm._columnLetter,INDEX(IF(_xlpm._isAdditionalElement,Table24[Comment Column],Table25[Comment Column]),_xlpm._sheetRow),_xlpm._sheetReference,IF(_xlpm._isAssumption,IF(_xlpm._isAdditionalElement,CELL("address",INDEX(INDIRECT("'"&amp;_xlpm._sheetName&amp;"'!"&amp;_xlpm._columnLetter&amp;":"&amp;_xlpm._columnLetter),$Y63)),CELL("address",INDEX(Assumptions!$A:$A,MATCH($A63,Assumptions!$A:$A,0),1))),IF(_xlpm._isAdditionalElement,CELL("address",INDEX(INDIRECT("'"&amp;_xlpm._sheetName&amp;"'!"&amp;_xlpm._columnLetter&amp;":"&amp;_xlpm._columnLetter),$Y63)),CELL("address",INDEX(Countermeasures!$A:$A,MATCH($A63,Countermeasures!$A:$A,0),1)))),_xlpm._start,FIND("]",_xlpm._sheetReference),"'"&amp;SUBSTITUTE(SUBSTITUTE(RIGHT(_xlpm._sheetReference,LEN(_xlpm._sheetReference)-_xlpm._start),"'",""),"!","'!")))</f>
        <v/>
      </c>
      <c r="AA63" s="20" t="str" cm="1">
        <f t="array" ca="1" aca="1" ref="AA63">IF(NOT($L63),_xlfn.LET(_xlpm._value,IF($A63="","",IF($J63,SimpleLookup($A63,Assumptions!$A:$AK),SimpleLookup($A63,Countermeasures!$A:$AN))),IF(_xlpm._value="","",_xlpm._value)),"")</f>
        <v/>
      </c>
      <c r="AB63" s="20" t="str" cm="1">
        <f t="array" ca="1" aca="1" ref="AB63">LookupNames(InverseLookup($A63,Mitigation!$AD$2,Mitigation!$A$2,1,Helper!$B$5,","),'Attack Steps'!$A:$B)</f>
        <v/>
      </c>
      <c r="AC63" s="20" t="str" cm="1">
        <f t="array" ca="1" aca="1" ref="AC63">IF($L63,_xlfn.LET(_xlpm._in,$A63,_xlpm._lastDashNum,LEN(_xlpm._in)-LEN(SUBSTITUTE(_xlpm._in,"-","")),_xlpm._lastDashPos,FIND(CHAR(1),SUBSTITUTE(_xlpm._in,"-",CHAR(1),_xlpm._lastDashNum)),_xlpm._id,LEFT(_xlpm._in,_xlpm._lastDashPos-1),_xlpm._id&amp;"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3" s="20" t="str" cm="1">
        <f t="array" ca="1" aca="1" ref="AD63">_xlfn.LET(_xlpm._countermeasures,InverseLookup($A63,Countermeasures!$AG$2,Countermeasures!$A$2,1,Helper!$B$4,","),LookupNames(_xlpm._countermeasures,Countermeasures!$A:$B))</f>
        <v/>
      </c>
      <c r="AE63" s="20" t="str" cm="1">
        <f t="array" ca="1" aca="1" ref="AE63">IF($E63="","",_xlfn.LET(_xlpm._id,$E63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3" s="20" t="str" cm="1">
        <f t="array" ca="1" aca="1" ref="AF63">IF(OR($A63="",$L63),"",_xlfn.LET(_xlpm._answers,IF($J63,SimpleLookup($A63,Assumptions!$A:$F),SimpleLookup($A63,Countermeasures!$A:$D)),IF(_xlpm._answers="*",IF($J63,SimpleLookup($A63,Assumptions!$A:$C),SimpleLookup($A63,Countermeasures!$A:$C)),"")))</f>
        <v/>
      </c>
      <c r="AG63" s="20" t="str" cm="1">
        <f t="array" ca="1" aca="1" ref="AG63">IF(NOT($L63),"",_xlfn.LET(_xlpm._mappedInMitigation,IFERROR(VLOOKUP($V63,'Attack Steps'!$A:$O,COLUMNS('Attack Steps'!$A:$O),FALSE),""),CreateSearchString(_xlpm._mappedInMitigation)))</f>
        <v/>
      </c>
      <c r="AH63" s="20" t="b">
        <f ca="1">ROW()-ROW($AH$17)=Helper!$B$15</f>
        <v>0</v>
      </c>
      <c r="AI63" s="20" t="str">
        <f t="shared" ca="1" si="11"/>
        <v/>
      </c>
      <c r="AJ63" s="20" cm="1">
        <f t="array" ca="1" aca="1" ref="AJ63">CreateID($AJ$17,$AJ:$AJ,$AI63&lt;&gt;"")</f>
        <v>0</v>
      </c>
    </row>
    <row r="64" spans="1:36" ht="15">
      <c r="A64" s="16" t="str">
        <f ca="1">_xlfn.LET(_xlpm._isAssumption,$J64,_xlpm._row,$K64,_xlpm._numActiveAssumptions,Helper!$B$8,_xlpm._numActiveCountermeasures,Helper!$B$9,_xlpm._numAdditionalAssumptions,Helper!$B$10,_xlpm._numAdditionalCountermeasures,Helper!$B$11,IF(_xlpm._isAssumption,IF(_xlpm._row&gt;_xlpm._numActiveAssumptions,$V64&amp;"-A"&amp;$Q64,INDEX(Assumptions!A:A,MATCH(_xlpm._row,Assumptions!$AG:$AG,0))),IF(_xlpm._row&gt;_xlpm._numActiveCountermeasures+_xlpm._numAdditionalCountermeasures,"",IF(_xlpm._row&gt;_xlpm._numActiveCountermeasures,$V64&amp;"-C"&amp;$Q64,INDEX(Countermeasures!$A:$A,MATCH(_xlpm._row,Countermeasures!$AI:$AI,0))))))</f>
        <v/>
      </c>
      <c r="B64" s="33" t="str" cm="1">
        <f t="array" ca="1" aca="1" ref="B64">IF($A64="","",_xlfn.LET(_xlpm._isAssumption,$J64,_xlpm._isAdditionalElement,$L64,IF(_xlpm._isAdditionalElement,IF(_xlpm._isAssumption,ParseElementsFromComment($U64,Definitions!$AR$4,Definitions!$AS$4,Definitions!$AR$6,$Q64),ParseElementsFromComment($U64,Definitions!$AR$5,Definitions!$AS$5,Definitions!$AR$6,$Q64)),_xlfn.LET(_xlpm._value,IF($A64="","",IF($J64,SimpleLookup($A64,Assumptions!$A:$B),SimpleLookup($A64,Countermeasures!$A:$B))),IF(_xlpm._value="","",_xlpm._value)))))</f>
        <v/>
      </c>
      <c r="C64" s="33" t="str" cm="1">
        <f t="array" ca="1" aca="1" ref="C64">IF($A64="","",IF($J64,IFERROR(SimpleLookup($A64,Assumptions!$A:$E),""),Definitions!$AO$4))</f>
        <v/>
      </c>
      <c r="D64" s="37" t="str">
        <f t="shared" ca="1" si="7"/>
        <v/>
      </c>
      <c r="E64" s="23"/>
      <c r="F64" s="59" t="str">
        <f t="shared" ca="1" si="8"/>
        <v/>
      </c>
      <c r="G64" s="122" t="str" cm="1">
        <f t="array" ca="1" aca="1" ref="G64">_xlfn.LET(_xlpm._val,IFERROR(SimpleLookup($A64,Countermeasures!$A:$R),IFERROR(SimpleLookup($A64,Assumptions!$A:$R),"")),IF(_xlpm._val="","",_xlpm._val))</f>
        <v/>
      </c>
      <c r="H64" s="33" t="str" cm="1">
        <f t="array" ca="1" aca="1" ref="H64">_xlfn.LET(_xlpm._value,IF($A64="","",IFERROR(IF($J64,SimpleLookup($A64,Assumptions!$A:$S),SimpleLookup($A64,Countermeasures!$A:$S)),"")),IF(_xlpm._value="","",_xlpm._value))</f>
        <v/>
      </c>
      <c r="I64" s="10" cm="1">
        <f t="array" ca="1" aca="1" ref="I64">IF(ROW()=ROW($I$17)+1,0,INDEX($I:$I,ROW()-1))+IF($A64="",0,1)</f>
        <v>34</v>
      </c>
      <c r="J64" s="21" t="b">
        <f ca="1">_xlfn.LET(_xlpm._row,ROW()-ROW($K$17),_xlpm._numActiveAssumptions,Helper!$B$8,_xlpm._numAdditionalAssumptions,SUM(Table24['# Elements]),_xlpm._row&lt;=_xlpm._numActiveAssumptions+_xlpm._numAdditionalAssumptions)</f>
        <v>0</v>
      </c>
      <c r="K64" s="21">
        <f ca="1">_xlfn.LET(_xlpm._row,ROW()-ROW($K$17),_xlpm._numActiveAssumptions,Helper!$B$8,_xlpm._numAdditionalAssumptions,Helper!$B$10,_xlpm._isAssumption,$J64,_xlpm._elementID,IF(_xlpm._isAssumption,_xlpm._row,_xlpm._row-_xlpm._numActiveAssumptions-_xlpm._numAdditionalAssumptions),_xlpm._elementID)</f>
        <v>29</v>
      </c>
      <c r="L64"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4" s="20" cm="1">
        <f t="array" ca="1" aca="1" ref="M64">IF($L64,IF(ROW()=ROW($M$17)+1,1,INDEX($M:$M,ROW()-1)+IF(INDEX($T:$T,ROW()-1),1,0)),1)</f>
        <v>1</v>
      </c>
      <c r="N64" s="20" t="str" cm="1">
        <f t="array" ca="1" aca="1" ref="N64">IF($L64=TRUE,_xlfn.LET(_xlpm._isAssumption,$J64,_xlpm._indexRange,IF(_xlpm._isAssumption,Table24['# Elements],Table25['# Elements]),_xlpm._lookupRow,$W64,INDEX(_xlpm._indexRange,_xlpm._lookupRow)),"")</f>
        <v/>
      </c>
      <c r="O64" s="20" t="str" cm="1">
        <f t="array" ca="1" aca="1" ref="O64">IF($N64="","",_xlfn.LET(_xlpm._prevRow,ROW()-1,IF(OR(INDEX($N:$N,_xlpm._prevRow)&lt;&gt;$N64,INDEX($M:$M,_xlpm._prevRow)&lt;&gt;$M64),1,INDEX($O:$O,_xlpm._prevRow)+IF(INDEX($S:$S,_xlpm._prevRow),1,0))))</f>
        <v/>
      </c>
      <c r="P64" s="20" t="str" cm="1">
        <f t="array" ca="1" aca="1" ref="P64">IF($O64="","",_xlfn.LET(_xlpm._isAssumption,$J64,_xlpm._sheetRow,$W64,_xlpm._sheetName,$X64,_xlpm._elementIDRange,IF(_xlpm._isAssumption,Table24[Element ID Column],Table25[Element ID Column]),_xlpm._numberOfElementsRange,IF(_xlpm._isAssumption,Table24[Number of Elements Column],Table25[Number of Elements Column]),SimpleLookup($O64,INDIRECT("'"&amp;_xlpm._sheetName&amp;"'!"&amp;INDEX(_xlpm._elementIDRange,_xlpm._sheetRow)&amp;":"&amp;INDEX(_xlpm._numberOfElementsRange,_xlpm._sheetRow)))))</f>
        <v/>
      </c>
      <c r="Q64" s="20" t="str" cm="1">
        <f t="array" ca="1" aca="1" ref="Q64">IF($O64="","",IF(OR(INDEX($O:$O,ROW()-1)&lt;&gt;$O64,INDEX($M:$M,ROW()-1)&lt;&gt;$M64),1,INDEX($Q:$Q,ROW()-1)+1))</f>
        <v/>
      </c>
      <c r="R64" s="20">
        <f t="shared" ca="1" si="9"/>
        <v>0</v>
      </c>
      <c r="S64" s="20" t="str">
        <f t="shared" ca="1" si="10"/>
        <v/>
      </c>
      <c r="T64" s="20" t="b">
        <f ca="1">_xlfn.LET(_xlpm._isAssumption,$J64,_xlpm._numberOfElementsRange,IF(_xlpm._isAssumption,Table24['# Elements],Table25['# Elements]),_xlpm._sheetRow,$W64,IF($L64,AND($S64,$R64=$N64),FALSE))</f>
        <v>0</v>
      </c>
      <c r="U64" s="20" t="str" cm="1">
        <f t="array" ca="1" aca="1" ref="U64">IF($L64,_xlfn.LET(_xlpm._elementID,$O64,_xlpm._isAssumption,$J64,_xlpm._sheetRow,$W64,_xlpm._sheetName,$X64,_xlpm._elementRow,$Y64,_xlpm._resultColumnLetter,IF(_xlpm._isAssumption,INDEX(Table24[Comment Column],_xlpm._sheetRow),INDEX(Table25[Comment Column],_xlpm._sheetRow)),INDEX(INDIRECT("'"&amp;_xlpm._sheetName&amp;"'!"&amp;_xlpm._resultColumnLetter&amp;":"&amp;_xlpm._resultColumnLetter),_xlpm._elementRow)),"")</f>
        <v/>
      </c>
      <c r="V64" s="20" t="str" cm="1">
        <f t="array" ca="1" aca="1" ref="V64">IF($L64,_xlfn.LET(_xlpm._elementID,$O64,_xlpm._isAssumption,$J64,_xlpm._sheetRow,$W64,_xlpm._sheetName,$X64,_xlpm._resultColumnLetter,IF(_xlpm._isAssumption,INDEX(Table24[Sheet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4" s="20" t="str">
        <f ca="1">IF($L64=TRUE,_xlfn.LET(_xlpm._isAssumption,$J64,_xlpm._searchRange,IF(_xlpm._isAssumption,Table24[Task Sheet Shadow ID],Table25[Task Sheet Shadow ID]),MATCH($M64,_xlpm._searchRange,0)),"")</f>
        <v/>
      </c>
      <c r="X64" s="20" t="str" cm="1">
        <f t="array" ca="1" aca="1" ref="X64">IF($L64,_xlfn.LET(_xlpm._isAssumption,$J64,_xlpm._sheetRow,$W64,IF(_xlpm._isAssumption,INDEX(Table24[Sheet Name],_xlpm._sheetRow),INDEX(Table25[Sheet Name],_xlpm._sheetRow))),"")</f>
        <v/>
      </c>
      <c r="Y64" s="20" t="str" cm="1">
        <f t="array" ca="1" aca="1" ref="Y64">IF($L64,_xlfn.LET(_xlpm._elementID,$O64,_xlpm._isAssumption,$J64,_xlpm._sheetRow,$W64,_xlpm._sheetName,$X64,_xlpm._elementIDColumnLetter,IF(_xlpm._isAssumption,INDEX(Table24[Element ID Column],_xlpm._sheetRow),INDEX(Table25[Element ID Column],_xlpm._sheetRow)),MATCH(_xlpm._elementID,INDIRECT("'"&amp;_xlpm._sheetName&amp;"'!"&amp;_xlpm._elementIDColumnLetter&amp;":"&amp;_xlpm._elementIDColumnLetter),0)),"")</f>
        <v/>
      </c>
      <c r="Z64" s="20" t="str" cm="1">
        <f t="array" ca="1" aca="1" ref="Z64">IF($A64="","",_xlfn.LET(_xlpm._isAssumption,$J64,_xlpm._isAdditionalElement,$L64,_xlpm._sheetRow,$W64,_xlpm._sheetName,$X64,_xlpm._columnLetter,INDEX(IF(_xlpm._isAdditionalElement,Table24[Comment Column],Table25[Comment Column]),_xlpm._sheetRow),_xlpm._sheetReference,IF(_xlpm._isAssumption,IF(_xlpm._isAdditionalElement,CELL("address",INDEX(INDIRECT("'"&amp;_xlpm._sheetName&amp;"'!"&amp;_xlpm._columnLetter&amp;":"&amp;_xlpm._columnLetter),$Y64)),CELL("address",INDEX(Assumptions!$A:$A,MATCH($A64,Assumptions!$A:$A,0),1))),IF(_xlpm._isAdditionalElement,CELL("address",INDEX(INDIRECT("'"&amp;_xlpm._sheetName&amp;"'!"&amp;_xlpm._columnLetter&amp;":"&amp;_xlpm._columnLetter),$Y64)),CELL("address",INDEX(Countermeasures!$A:$A,MATCH($A64,Countermeasures!$A:$A,0),1)))),_xlpm._start,FIND("]",_xlpm._sheetReference),"'"&amp;SUBSTITUTE(SUBSTITUTE(RIGHT(_xlpm._sheetReference,LEN(_xlpm._sheetReference)-_xlpm._start),"'",""),"!","'!")))</f>
        <v/>
      </c>
      <c r="AA64" s="20" t="str" cm="1">
        <f t="array" ca="1" aca="1" ref="AA64">IF(NOT($L64),_xlfn.LET(_xlpm._value,IF($A64="","",IF($J64,SimpleLookup($A64,Assumptions!$A:$AK),SimpleLookup($A64,Countermeasures!$A:$AN))),IF(_xlpm._value="","",_xlpm._value)),"")</f>
        <v/>
      </c>
      <c r="AB64" s="20" t="str" cm="1">
        <f t="array" ca="1" aca="1" ref="AB64">LookupNames(InverseLookup($A64,Mitigation!$AD$2,Mitigation!$A$2,1,Helper!$B$5,","),'Attack Steps'!$A:$B)</f>
        <v/>
      </c>
      <c r="AC64" s="20" t="str" cm="1">
        <f t="array" ca="1" aca="1" ref="AC64">IF($L64,_xlfn.LET(_xlpm._in,$A64,_xlpm._lastDashNum,LEN(_xlpm._in)-LEN(SUBSTITUTE(_xlpm._in,"-","")),_xlpm._lastDashPos,FIND(CHAR(1),SUBSTITUTE(_xlpm._in,"-",CHAR(1),_xlpm._lastDashNum)),_xlpm._id,LEFT(_xlpm._in,_xlpm._lastDashPos-1),_xlpm._id&amp;"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4" s="20" t="str" cm="1">
        <f t="array" ca="1" aca="1" ref="AD64">_xlfn.LET(_xlpm._countermeasures,InverseLookup($A64,Countermeasures!$AG$2,Countermeasures!$A$2,1,Helper!$B$4,","),LookupNames(_xlpm._countermeasures,Countermeasures!$A:$B))</f>
        <v/>
      </c>
      <c r="AE64" s="20" t="str" cm="1">
        <f t="array" ca="1" aca="1" ref="AE64">IF($E64="","",_xlfn.LET(_xlpm._id,$E64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4" s="20" t="str" cm="1">
        <f t="array" ca="1" aca="1" ref="AF64">IF(OR($A64="",$L64),"",_xlfn.LET(_xlpm._answers,IF($J64,SimpleLookup($A64,Assumptions!$A:$F),SimpleLookup($A64,Countermeasures!$A:$D)),IF(_xlpm._answers="*",IF($J64,SimpleLookup($A64,Assumptions!$A:$C),SimpleLookup($A64,Countermeasures!$A:$C)),"")))</f>
        <v/>
      </c>
      <c r="AG64" s="20" t="str" cm="1">
        <f t="array" ca="1" aca="1" ref="AG64">IF(NOT($L64),"",_xlfn.LET(_xlpm._mappedInMitigation,IFERROR(VLOOKUP($V64,'Attack Steps'!$A:$O,COLUMNS('Attack Steps'!$A:$O),FALSE),""),CreateSearchString(_xlpm._mappedInMitigation)))</f>
        <v/>
      </c>
      <c r="AH64" s="20" t="b">
        <f ca="1">ROW()-ROW($AH$17)=Helper!$B$15</f>
        <v>0</v>
      </c>
      <c r="AI64" s="20" t="str">
        <f t="shared" ca="1" si="11"/>
        <v/>
      </c>
      <c r="AJ64" s="20" cm="1">
        <f t="array" ca="1" aca="1" ref="AJ64">CreateID($AJ$17,$AJ:$AJ,$AI64&lt;&gt;"")</f>
        <v>0</v>
      </c>
    </row>
    <row r="65" spans="1:36" ht="15">
      <c r="A65" s="16" t="str">
        <f ca="1">_xlfn.LET(_xlpm._isAssumption,$J65,_xlpm._row,$K65,_xlpm._numActiveAssumptions,Helper!$B$8,_xlpm._numActiveCountermeasures,Helper!$B$9,_xlpm._numAdditionalAssumptions,Helper!$B$10,_xlpm._numAdditionalCountermeasures,Helper!$B$11,IF(_xlpm._isAssumption,IF(_xlpm._row&gt;_xlpm._numActiveAssumptions,$V65&amp;"-A"&amp;$Q65,INDEX(Assumptions!A:A,MATCH(_xlpm._row,Assumptions!$AG:$AG,0))),IF(_xlpm._row&gt;_xlpm._numActiveCountermeasures+_xlpm._numAdditionalCountermeasures,"",IF(_xlpm._row&gt;_xlpm._numActiveCountermeasures,$V65&amp;"-C"&amp;$Q65,INDEX(Countermeasures!$A:$A,MATCH(_xlpm._row,Countermeasures!$AI:$AI,0))))))</f>
        <v/>
      </c>
      <c r="B65" s="33" t="str" cm="1">
        <f t="array" ca="1" aca="1" ref="B65">IF($A65="","",_xlfn.LET(_xlpm._isAssumption,$J65,_xlpm._isAdditionalElement,$L65,IF(_xlpm._isAdditionalElement,IF(_xlpm._isAssumption,ParseElementsFromComment($U65,Definitions!$AR$4,Definitions!$AS$4,Definitions!$AR$6,$Q65),ParseElementsFromComment($U65,Definitions!$AR$5,Definitions!$AS$5,Definitions!$AR$6,$Q65)),_xlfn.LET(_xlpm._value,IF($A65="","",IF($J65,SimpleLookup($A65,Assumptions!$A:$B),SimpleLookup($A65,Countermeasures!$A:$B))),IF(_xlpm._value="","",_xlpm._value)))))</f>
        <v/>
      </c>
      <c r="C65" s="33" t="str" cm="1">
        <f t="array" ca="1" aca="1" ref="C65">IF($A65="","",IF($J65,IFERROR(SimpleLookup($A65,Assumptions!$A:$E),""),Definitions!$AO$4))</f>
        <v/>
      </c>
      <c r="D65" s="37" t="str">
        <f t="shared" ca="1" si="7"/>
        <v/>
      </c>
      <c r="E65" s="23"/>
      <c r="F65" s="59" t="str">
        <f t="shared" ca="1" si="8"/>
        <v/>
      </c>
      <c r="G65" s="122" t="str" cm="1">
        <f t="array" ca="1" aca="1" ref="G65">_xlfn.LET(_xlpm._val,IFERROR(SimpleLookup($A65,Countermeasures!$A:$R),IFERROR(SimpleLookup($A65,Assumptions!$A:$R),"")),IF(_xlpm._val="","",_xlpm._val))</f>
        <v/>
      </c>
      <c r="H65" s="33" t="str" cm="1">
        <f t="array" ca="1" aca="1" ref="H65">_xlfn.LET(_xlpm._value,IF($A65="","",IFERROR(IF($J65,SimpleLookup($A65,Assumptions!$A:$S),SimpleLookup($A65,Countermeasures!$A:$S)),"")),IF(_xlpm._value="","",_xlpm._value))</f>
        <v/>
      </c>
      <c r="I65" s="10" cm="1">
        <f t="array" ca="1" aca="1" ref="I65">IF(ROW()=ROW($I$17)+1,0,INDEX($I:$I,ROW()-1))+IF($A65="",0,1)</f>
        <v>34</v>
      </c>
      <c r="J65" s="21" t="b">
        <f ca="1">_xlfn.LET(_xlpm._row,ROW()-ROW($K$17),_xlpm._numActiveAssumptions,Helper!$B$8,_xlpm._numAdditionalAssumptions,SUM(Table24['# Elements]),_xlpm._row&lt;=_xlpm._numActiveAssumptions+_xlpm._numAdditionalAssumptions)</f>
        <v>0</v>
      </c>
      <c r="K65" s="21">
        <f ca="1">_xlfn.LET(_xlpm._row,ROW()-ROW($K$17),_xlpm._numActiveAssumptions,Helper!$B$8,_xlpm._numAdditionalAssumptions,Helper!$B$10,_xlpm._isAssumption,$J65,_xlpm._elementID,IF(_xlpm._isAssumption,_xlpm._row,_xlpm._row-_xlpm._numActiveAssumptions-_xlpm._numAdditionalAssumptions),_xlpm._elementID)</f>
        <v>30</v>
      </c>
      <c r="L6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5" s="20" cm="1">
        <f t="array" ca="1" aca="1" ref="M65">IF($L65,IF(ROW()=ROW($M$17)+1,1,INDEX($M:$M,ROW()-1)+IF(INDEX($T:$T,ROW()-1),1,0)),1)</f>
        <v>1</v>
      </c>
      <c r="N65" s="20" t="str" cm="1">
        <f t="array" ca="1" aca="1" ref="N65">IF($L65=TRUE,_xlfn.LET(_xlpm._isAssumption,$J65,_xlpm._indexRange,IF(_xlpm._isAssumption,Table24['# Elements],Table25['# Elements]),_xlpm._lookupRow,$W65,INDEX(_xlpm._indexRange,_xlpm._lookupRow)),"")</f>
        <v/>
      </c>
      <c r="O65" s="20" t="str" cm="1">
        <f t="array" ca="1" aca="1" ref="O65">IF($N65="","",_xlfn.LET(_xlpm._prevRow,ROW()-1,IF(OR(INDEX($N:$N,_xlpm._prevRow)&lt;&gt;$N65,INDEX($M:$M,_xlpm._prevRow)&lt;&gt;$M65),1,INDEX($O:$O,_xlpm._prevRow)+IF(INDEX($S:$S,_xlpm._prevRow),1,0))))</f>
        <v/>
      </c>
      <c r="P65" s="20" t="str" cm="1">
        <f t="array" ca="1" aca="1" ref="P65">IF($O65="","",_xlfn.LET(_xlpm._isAssumption,$J65,_xlpm._sheetRow,$W65,_xlpm._sheetName,$X65,_xlpm._elementIDRange,IF(_xlpm._isAssumption,Table24[Element ID Column],Table25[Element ID Column]),_xlpm._numberOfElementsRange,IF(_xlpm._isAssumption,Table24[Number of Elements Column],Table25[Number of Elements Column]),SimpleLookup($O65,INDIRECT("'"&amp;_xlpm._sheetName&amp;"'!"&amp;INDEX(_xlpm._elementIDRange,_xlpm._sheetRow)&amp;":"&amp;INDEX(_xlpm._numberOfElementsRange,_xlpm._sheetRow)))))</f>
        <v/>
      </c>
      <c r="Q65" s="20" t="str" cm="1">
        <f t="array" ca="1" aca="1" ref="Q65">IF($O65="","",IF(OR(INDEX($O:$O,ROW()-1)&lt;&gt;$O65,INDEX($M:$M,ROW()-1)&lt;&gt;$M65),1,INDEX($Q:$Q,ROW()-1)+1))</f>
        <v/>
      </c>
      <c r="R65" s="20">
        <f t="shared" ca="1" si="9"/>
        <v>0</v>
      </c>
      <c r="S65" s="20" t="str">
        <f t="shared" ca="1" si="10"/>
        <v/>
      </c>
      <c r="T65" s="20" t="b">
        <f ca="1">_xlfn.LET(_xlpm._isAssumption,$J65,_xlpm._numberOfElementsRange,IF(_xlpm._isAssumption,Table24['# Elements],Table25['# Elements]),_xlpm._sheetRow,$W65,IF($L65,AND($S65,$R65=$N65),FALSE))</f>
        <v>0</v>
      </c>
      <c r="U65" s="20" t="str" cm="1">
        <f t="array" ca="1" aca="1" ref="U65">IF($L65,_xlfn.LET(_xlpm._elementID,$O65,_xlpm._isAssumption,$J65,_xlpm._sheetRow,$W65,_xlpm._sheetName,$X65,_xlpm._elementRow,$Y65,_xlpm._resultColumnLetter,IF(_xlpm._isAssumption,INDEX(Table24[Comment Column],_xlpm._sheetRow),INDEX(Table25[Comment Column],_xlpm._sheetRow)),INDEX(INDIRECT("'"&amp;_xlpm._sheetName&amp;"'!"&amp;_xlpm._resultColumnLetter&amp;":"&amp;_xlpm._resultColumnLetter),_xlpm._elementRow)),"")</f>
        <v/>
      </c>
      <c r="V65" s="20" t="str" cm="1">
        <f t="array" ca="1" aca="1" ref="V65">IF($L65,_xlfn.LET(_xlpm._elementID,$O65,_xlpm._isAssumption,$J65,_xlpm._sheetRow,$W65,_xlpm._sheetName,$X65,_xlpm._resultColumnLetter,IF(_xlpm._isAssumption,INDEX(Table24[Sheet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5" s="20" t="str">
        <f ca="1">IF($L65=TRUE,_xlfn.LET(_xlpm._isAssumption,$J65,_xlpm._searchRange,IF(_xlpm._isAssumption,Table24[Task Sheet Shadow ID],Table25[Task Sheet Shadow ID]),MATCH($M65,_xlpm._searchRange,0)),"")</f>
        <v/>
      </c>
      <c r="X65" s="20" t="str" cm="1">
        <f t="array" ca="1" aca="1" ref="X65">IF($L65,_xlfn.LET(_xlpm._isAssumption,$J65,_xlpm._sheetRow,$W65,IF(_xlpm._isAssumption,INDEX(Table24[Sheet Name],_xlpm._sheetRow),INDEX(Table25[Sheet Name],_xlpm._sheetRow))),"")</f>
        <v/>
      </c>
      <c r="Y65" s="20" t="str" cm="1">
        <f t="array" ca="1" aca="1" ref="Y65">IF($L65,_xlfn.LET(_xlpm._elementID,$O65,_xlpm._isAssumption,$J65,_xlpm._sheetRow,$W65,_xlpm._sheetName,$X65,_xlpm._elementIDColumnLetter,IF(_xlpm._isAssumption,INDEX(Table24[Element ID Column],_xlpm._sheetRow),INDEX(Table25[Element ID Column],_xlpm._sheetRow)),MATCH(_xlpm._elementID,INDIRECT("'"&amp;_xlpm._sheetName&amp;"'!"&amp;_xlpm._elementIDColumnLetter&amp;":"&amp;_xlpm._elementIDColumnLetter),0)),"")</f>
        <v/>
      </c>
      <c r="Z65" s="20" t="str" cm="1">
        <f t="array" ca="1" aca="1" ref="Z65">IF($A65="","",_xlfn.LET(_xlpm._isAssumption,$J65,_xlpm._isAdditionalElement,$L65,_xlpm._sheetRow,$W65,_xlpm._sheetName,$X65,_xlpm._columnLetter,INDEX(IF(_xlpm._isAdditionalElement,Table24[Comment Column],Table25[Comment Column]),_xlpm._sheetRow),_xlpm._sheetReference,IF(_xlpm._isAssumption,IF(_xlpm._isAdditionalElement,CELL("address",INDEX(INDIRECT("'"&amp;_xlpm._sheetName&amp;"'!"&amp;_xlpm._columnLetter&amp;":"&amp;_xlpm._columnLetter),$Y65)),CELL("address",INDEX(Assumptions!$A:$A,MATCH($A65,Assumptions!$A:$A,0),1))),IF(_xlpm._isAdditionalElement,CELL("address",INDEX(INDIRECT("'"&amp;_xlpm._sheetName&amp;"'!"&amp;_xlpm._columnLetter&amp;":"&amp;_xlpm._columnLetter),$Y65)),CELL("address",INDEX(Countermeasures!$A:$A,MATCH($A65,Countermeasures!$A:$A,0),1)))),_xlpm._start,FIND("]",_xlpm._sheetReference),"'"&amp;SUBSTITUTE(SUBSTITUTE(RIGHT(_xlpm._sheetReference,LEN(_xlpm._sheetReference)-_xlpm._start),"'",""),"!","'!")))</f>
        <v/>
      </c>
      <c r="AA65" s="20" t="str" cm="1">
        <f t="array" ca="1" aca="1" ref="AA65">IF(NOT($L65),_xlfn.LET(_xlpm._value,IF($A65="","",IF($J65,SimpleLookup($A65,Assumptions!$A:$AK),SimpleLookup($A65,Countermeasures!$A:$AN))),IF(_xlpm._value="","",_xlpm._value)),"")</f>
        <v/>
      </c>
      <c r="AB65" s="20" t="str" cm="1">
        <f t="array" ca="1" aca="1" ref="AB65">LookupNames(InverseLookup($A65,Mitigation!$AD$2,Mitigation!$A$2,1,Helper!$B$5,","),'Attack Steps'!$A:$B)</f>
        <v/>
      </c>
      <c r="AC65" s="20" t="str" cm="1">
        <f t="array" ca="1" aca="1" ref="AC65">IF($L65,_xlfn.LET(_xlpm._in,$A65,_xlpm._lastDashNum,LEN(_xlpm._in)-LEN(SUBSTITUTE(_xlpm._in,"-","")),_xlpm._lastDashPos,FIND(CHAR(1),SUBSTITUTE(_xlpm._in,"-",CHAR(1),_xlpm._lastDashNum)),_xlpm._id,LEFT(_xlpm._in,_xlpm._lastDashPos-1),_xlpm._id&amp;"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5" s="20" t="str" cm="1">
        <f t="array" ca="1" aca="1" ref="AD65">_xlfn.LET(_xlpm._countermeasures,InverseLookup($A65,Countermeasures!$AG$2,Countermeasures!$A$2,1,Helper!$B$4,","),LookupNames(_xlpm._countermeasures,Countermeasures!$A:$B))</f>
        <v/>
      </c>
      <c r="AE65" s="20" t="str" cm="1">
        <f t="array" ca="1" aca="1" ref="AE65">IF($E65="","",_xlfn.LET(_xlpm._id,$E65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5" s="20" t="str" cm="1">
        <f t="array" ca="1" aca="1" ref="AF65">IF(OR($A65="",$L65),"",_xlfn.LET(_xlpm._answers,IF($J65,SimpleLookup($A65,Assumptions!$A:$F),SimpleLookup($A65,Countermeasures!$A:$D)),IF(_xlpm._answers="*",IF($J65,SimpleLookup($A65,Assumptions!$A:$C),SimpleLookup($A65,Countermeasures!$A:$C)),"")))</f>
        <v/>
      </c>
      <c r="AG65" s="20" t="str" cm="1">
        <f t="array" ca="1" aca="1" ref="AG65">IF(NOT($L65),"",_xlfn.LET(_xlpm._mappedInMitigation,IFERROR(VLOOKUP($V65,'Attack Steps'!$A:$O,COLUMNS('Attack Steps'!$A:$O),FALSE),""),CreateSearchString(_xlpm._mappedInMitigation)))</f>
        <v/>
      </c>
      <c r="AH65" s="20" t="b">
        <f ca="1">ROW()-ROW($AH$17)=Helper!$B$15</f>
        <v>0</v>
      </c>
      <c r="AI65" s="20" t="str">
        <f t="shared" ca="1" si="11"/>
        <v/>
      </c>
      <c r="AJ65" s="20" cm="1">
        <f t="array" ca="1" aca="1" ref="AJ65">CreateID($AJ$17,$AJ:$AJ,$AI65&lt;&gt;"")</f>
        <v>0</v>
      </c>
    </row>
    <row r="66" spans="1:36" ht="15">
      <c r="A66" s="16" t="str">
        <f ca="1">_xlfn.LET(_xlpm._isAssumption,$J66,_xlpm._row,$K66,_xlpm._numActiveAssumptions,Helper!$B$8,_xlpm._numActiveCountermeasures,Helper!$B$9,_xlpm._numAdditionalAssumptions,Helper!$B$10,_xlpm._numAdditionalCountermeasures,Helper!$B$11,IF(_xlpm._isAssumption,IF(_xlpm._row&gt;_xlpm._numActiveAssumptions,$V66&amp;"-A"&amp;$Q66,INDEX(Assumptions!A:A,MATCH(_xlpm._row,Assumptions!$AG:$AG,0))),IF(_xlpm._row&gt;_xlpm._numActiveCountermeasures+_xlpm._numAdditionalCountermeasures,"",IF(_xlpm._row&gt;_xlpm._numActiveCountermeasures,$V66&amp;"-C"&amp;$Q66,INDEX(Countermeasures!$A:$A,MATCH(_xlpm._row,Countermeasures!$AI:$AI,0))))))</f>
        <v/>
      </c>
      <c r="B66" s="33" t="str" cm="1">
        <f t="array" ca="1" aca="1" ref="B66">IF($A66="","",_xlfn.LET(_xlpm._isAssumption,$J66,_xlpm._isAdditionalElement,$L66,IF(_xlpm._isAdditionalElement,IF(_xlpm._isAssumption,ParseElementsFromComment($U66,Definitions!$AR$4,Definitions!$AS$4,Definitions!$AR$6,$Q66),ParseElementsFromComment($U66,Definitions!$AR$5,Definitions!$AS$5,Definitions!$AR$6,$Q66)),_xlfn.LET(_xlpm._value,IF($A66="","",IF($J66,SimpleLookup($A66,Assumptions!$A:$B),SimpleLookup($A66,Countermeasures!$A:$B))),IF(_xlpm._value="","",_xlpm._value)))))</f>
        <v/>
      </c>
      <c r="C66" s="33" t="str" cm="1">
        <f t="array" ca="1" aca="1" ref="C66">IF($A66="","",IF($J66,IFERROR(SimpleLookup($A66,Assumptions!$A:$E),""),Definitions!$AO$4))</f>
        <v/>
      </c>
      <c r="D66" s="37" t="str">
        <f t="shared" ca="1" si="7"/>
        <v/>
      </c>
      <c r="E66" s="23"/>
      <c r="F66" s="59" t="str">
        <f t="shared" ca="1" si="8"/>
        <v/>
      </c>
      <c r="G66" s="122" t="str" cm="1">
        <f t="array" ca="1" aca="1" ref="G66">_xlfn.LET(_xlpm._val,IFERROR(SimpleLookup($A66,Countermeasures!$A:$R),IFERROR(SimpleLookup($A66,Assumptions!$A:$R),"")),IF(_xlpm._val="","",_xlpm._val))</f>
        <v/>
      </c>
      <c r="H66" s="33" t="str" cm="1">
        <f t="array" ca="1" aca="1" ref="H66">_xlfn.LET(_xlpm._value,IF($A66="","",IFERROR(IF($J66,SimpleLookup($A66,Assumptions!$A:$S),SimpleLookup($A66,Countermeasures!$A:$S)),"")),IF(_xlpm._value="","",_xlpm._value))</f>
        <v/>
      </c>
      <c r="I66" s="10" cm="1">
        <f t="array" ca="1" aca="1" ref="I66">IF(ROW()=ROW($I$17)+1,0,INDEX($I:$I,ROW()-1))+IF($A66="",0,1)</f>
        <v>34</v>
      </c>
      <c r="J66" s="21" t="b">
        <f ca="1">_xlfn.LET(_xlpm._row,ROW()-ROW($K$17),_xlpm._numActiveAssumptions,Helper!$B$8,_xlpm._numAdditionalAssumptions,SUM(Table24['# Elements]),_xlpm._row&lt;=_xlpm._numActiveAssumptions+_xlpm._numAdditionalAssumptions)</f>
        <v>0</v>
      </c>
      <c r="K66" s="21">
        <f ca="1">_xlfn.LET(_xlpm._row,ROW()-ROW($K$17),_xlpm._numActiveAssumptions,Helper!$B$8,_xlpm._numAdditionalAssumptions,Helper!$B$10,_xlpm._isAssumption,$J66,_xlpm._elementID,IF(_xlpm._isAssumption,_xlpm._row,_xlpm._row-_xlpm._numActiveAssumptions-_xlpm._numAdditionalAssumptions),_xlpm._elementID)</f>
        <v>31</v>
      </c>
      <c r="L6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6" s="20" cm="1">
        <f t="array" ca="1" aca="1" ref="M66">IF($L66,IF(ROW()=ROW($M$17)+1,1,INDEX($M:$M,ROW()-1)+IF(INDEX($T:$T,ROW()-1),1,0)),1)</f>
        <v>1</v>
      </c>
      <c r="N66" s="20" t="str" cm="1">
        <f t="array" ca="1" aca="1" ref="N66">IF($L66=TRUE,_xlfn.LET(_xlpm._isAssumption,$J66,_xlpm._indexRange,IF(_xlpm._isAssumption,Table24['# Elements],Table25['# Elements]),_xlpm._lookupRow,$W66,INDEX(_xlpm._indexRange,_xlpm._lookupRow)),"")</f>
        <v/>
      </c>
      <c r="O66" s="20" t="str" cm="1">
        <f t="array" ca="1" aca="1" ref="O66">IF($N66="","",_xlfn.LET(_xlpm._prevRow,ROW()-1,IF(OR(INDEX($N:$N,_xlpm._prevRow)&lt;&gt;$N66,INDEX($M:$M,_xlpm._prevRow)&lt;&gt;$M66),1,INDEX($O:$O,_xlpm._prevRow)+IF(INDEX($S:$S,_xlpm._prevRow),1,0))))</f>
        <v/>
      </c>
      <c r="P66" s="20" t="str" cm="1">
        <f t="array" ca="1" aca="1" ref="P66">IF($O66="","",_xlfn.LET(_xlpm._isAssumption,$J66,_xlpm._sheetRow,$W66,_xlpm._sheetName,$X66,_xlpm._elementIDRange,IF(_xlpm._isAssumption,Table24[Element ID Column],Table25[Element ID Column]),_xlpm._numberOfElementsRange,IF(_xlpm._isAssumption,Table24[Number of Elements Column],Table25[Number of Elements Column]),SimpleLookup($O66,INDIRECT("'"&amp;_xlpm._sheetName&amp;"'!"&amp;INDEX(_xlpm._elementIDRange,_xlpm._sheetRow)&amp;":"&amp;INDEX(_xlpm._numberOfElementsRange,_xlpm._sheetRow)))))</f>
        <v/>
      </c>
      <c r="Q66" s="20" t="str" cm="1">
        <f t="array" ca="1" aca="1" ref="Q66">IF($O66="","",IF(OR(INDEX($O:$O,ROW()-1)&lt;&gt;$O66,INDEX($M:$M,ROW()-1)&lt;&gt;$M66),1,INDEX($Q:$Q,ROW()-1)+1))</f>
        <v/>
      </c>
      <c r="R66" s="20">
        <f t="shared" ca="1" si="9"/>
        <v>0</v>
      </c>
      <c r="S66" s="20" t="str">
        <f t="shared" ca="1" si="10"/>
        <v/>
      </c>
      <c r="T66" s="20" t="b">
        <f ca="1">_xlfn.LET(_xlpm._isAssumption,$J66,_xlpm._numberOfElementsRange,IF(_xlpm._isAssumption,Table24['# Elements],Table25['# Elements]),_xlpm._sheetRow,$W66,IF($L66,AND($S66,$R66=$N66),FALSE))</f>
        <v>0</v>
      </c>
      <c r="U66" s="20" t="str" cm="1">
        <f t="array" ca="1" aca="1" ref="U66">IF($L66,_xlfn.LET(_xlpm._elementID,$O66,_xlpm._isAssumption,$J66,_xlpm._sheetRow,$W66,_xlpm._sheetName,$X66,_xlpm._elementRow,$Y66,_xlpm._resultColumnLetter,IF(_xlpm._isAssumption,INDEX(Table24[Comment Column],_xlpm._sheetRow),INDEX(Table25[Comment Column],_xlpm._sheetRow)),INDEX(INDIRECT("'"&amp;_xlpm._sheetName&amp;"'!"&amp;_xlpm._resultColumnLetter&amp;":"&amp;_xlpm._resultColumnLetter),_xlpm._elementRow)),"")</f>
        <v/>
      </c>
      <c r="V66" s="20" t="str" cm="1">
        <f t="array" ca="1" aca="1" ref="V66">IF($L66,_xlfn.LET(_xlpm._elementID,$O66,_xlpm._isAssumption,$J66,_xlpm._sheetRow,$W66,_xlpm._sheetName,$X66,_xlpm._resultColumnLetter,IF(_xlpm._isAssumption,INDEX(Table24[Sheet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6" s="20" t="str">
        <f ca="1">IF($L66=TRUE,_xlfn.LET(_xlpm._isAssumption,$J66,_xlpm._searchRange,IF(_xlpm._isAssumption,Table24[Task Sheet Shadow ID],Table25[Task Sheet Shadow ID]),MATCH($M66,_xlpm._searchRange,0)),"")</f>
        <v/>
      </c>
      <c r="X66" s="20" t="str" cm="1">
        <f t="array" ca="1" aca="1" ref="X66">IF($L66,_xlfn.LET(_xlpm._isAssumption,$J66,_xlpm._sheetRow,$W66,IF(_xlpm._isAssumption,INDEX(Table24[Sheet Name],_xlpm._sheetRow),INDEX(Table25[Sheet Name],_xlpm._sheetRow))),"")</f>
        <v/>
      </c>
      <c r="Y66" s="20" t="str" cm="1">
        <f t="array" ca="1" aca="1" ref="Y66">IF($L66,_xlfn.LET(_xlpm._elementID,$O66,_xlpm._isAssumption,$J66,_xlpm._sheetRow,$W66,_xlpm._sheetName,$X66,_xlpm._elementIDColumnLetter,IF(_xlpm._isAssumption,INDEX(Table24[Element ID Column],_xlpm._sheetRow),INDEX(Table25[Element ID Column],_xlpm._sheetRow)),MATCH(_xlpm._elementID,INDIRECT("'"&amp;_xlpm._sheetName&amp;"'!"&amp;_xlpm._elementIDColumnLetter&amp;":"&amp;_xlpm._elementIDColumnLetter),0)),"")</f>
        <v/>
      </c>
      <c r="Z66" s="20" t="str" cm="1">
        <f t="array" ca="1" aca="1" ref="Z66">IF($A66="","",_xlfn.LET(_xlpm._isAssumption,$J66,_xlpm._isAdditionalElement,$L66,_xlpm._sheetRow,$W66,_xlpm._sheetName,$X66,_xlpm._columnLetter,INDEX(IF(_xlpm._isAdditionalElement,Table24[Comment Column],Table25[Comment Column]),_xlpm._sheetRow),_xlpm._sheetReference,IF(_xlpm._isAssumption,IF(_xlpm._isAdditionalElement,CELL("address",INDEX(INDIRECT("'"&amp;_xlpm._sheetName&amp;"'!"&amp;_xlpm._columnLetter&amp;":"&amp;_xlpm._columnLetter),$Y66)),CELL("address",INDEX(Assumptions!$A:$A,MATCH($A66,Assumptions!$A:$A,0),1))),IF(_xlpm._isAdditionalElement,CELL("address",INDEX(INDIRECT("'"&amp;_xlpm._sheetName&amp;"'!"&amp;_xlpm._columnLetter&amp;":"&amp;_xlpm._columnLetter),$Y66)),CELL("address",INDEX(Countermeasures!$A:$A,MATCH($A66,Countermeasures!$A:$A,0),1)))),_xlpm._start,FIND("]",_xlpm._sheetReference),"'"&amp;SUBSTITUTE(SUBSTITUTE(RIGHT(_xlpm._sheetReference,LEN(_xlpm._sheetReference)-_xlpm._start),"'",""),"!","'!")))</f>
        <v/>
      </c>
      <c r="AA66" s="20" t="str" cm="1">
        <f t="array" ca="1" aca="1" ref="AA66">IF(NOT($L66),_xlfn.LET(_xlpm._value,IF($A66="","",IF($J66,SimpleLookup($A66,Assumptions!$A:$AK),SimpleLookup($A66,Countermeasures!$A:$AN))),IF(_xlpm._value="","",_xlpm._value)),"")</f>
        <v/>
      </c>
      <c r="AB66" s="20" t="str" cm="1">
        <f t="array" ca="1" aca="1" ref="AB66">LookupNames(InverseLookup($A66,Mitigation!$AD$2,Mitigation!$A$2,1,Helper!$B$5,","),'Attack Steps'!$A:$B)</f>
        <v/>
      </c>
      <c r="AC66" s="20" t="str" cm="1">
        <f t="array" ca="1" aca="1" ref="AC66">IF($L66,_xlfn.LET(_xlpm._in,$A66,_xlpm._lastDashNum,LEN(_xlpm._in)-LEN(SUBSTITUTE(_xlpm._in,"-","")),_xlpm._lastDashPos,FIND(CHAR(1),SUBSTITUTE(_xlpm._in,"-",CHAR(1),_xlpm._lastDashNum)),_xlpm._id,LEFT(_xlpm._in,_xlpm._lastDashPos-1),_xlpm._id&amp;"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6" s="20" t="str" cm="1">
        <f t="array" ca="1" aca="1" ref="AD66">_xlfn.LET(_xlpm._countermeasures,InverseLookup($A66,Countermeasures!$AG$2,Countermeasures!$A$2,1,Helper!$B$4,","),LookupNames(_xlpm._countermeasures,Countermeasures!$A:$B))</f>
        <v/>
      </c>
      <c r="AE66" s="20" t="str" cm="1">
        <f t="array" ca="1" aca="1" ref="AE66">IF($E66="","",_xlfn.LET(_xlpm._id,$E66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6" s="20" t="str" cm="1">
        <f t="array" ca="1" aca="1" ref="AF66">IF(OR($A66="",$L66),"",_xlfn.LET(_xlpm._answers,IF($J66,SimpleLookup($A66,Assumptions!$A:$F),SimpleLookup($A66,Countermeasures!$A:$D)),IF(_xlpm._answers="*",IF($J66,SimpleLookup($A66,Assumptions!$A:$C),SimpleLookup($A66,Countermeasures!$A:$C)),"")))</f>
        <v/>
      </c>
      <c r="AG66" s="20" t="str" cm="1">
        <f t="array" ca="1" aca="1" ref="AG66">IF(NOT($L66),"",_xlfn.LET(_xlpm._mappedInMitigation,IFERROR(VLOOKUP($V66,'Attack Steps'!$A:$O,COLUMNS('Attack Steps'!$A:$O),FALSE),""),CreateSearchString(_xlpm._mappedInMitigation)))</f>
        <v/>
      </c>
      <c r="AH66" s="20" t="b">
        <f ca="1">ROW()-ROW($AH$17)=Helper!$B$15</f>
        <v>0</v>
      </c>
      <c r="AI66" s="20" t="str">
        <f t="shared" ca="1" si="11"/>
        <v/>
      </c>
      <c r="AJ66" s="20" cm="1">
        <f t="array" ca="1" aca="1" ref="AJ66">CreateID($AJ$17,$AJ:$AJ,$AI66&lt;&gt;"")</f>
        <v>0</v>
      </c>
    </row>
    <row r="67" spans="1:36" ht="15">
      <c r="A67" s="16" t="str">
        <f ca="1">_xlfn.LET(_xlpm._isAssumption,$J67,_xlpm._row,$K67,_xlpm._numActiveAssumptions,Helper!$B$8,_xlpm._numActiveCountermeasures,Helper!$B$9,_xlpm._numAdditionalAssumptions,Helper!$B$10,_xlpm._numAdditionalCountermeasures,Helper!$B$11,IF(_xlpm._isAssumption,IF(_xlpm._row&gt;_xlpm._numActiveAssumptions,$V67&amp;"-A"&amp;$Q67,INDEX(Assumptions!A:A,MATCH(_xlpm._row,Assumptions!$AG:$AG,0))),IF(_xlpm._row&gt;_xlpm._numActiveCountermeasures+_xlpm._numAdditionalCountermeasures,"",IF(_xlpm._row&gt;_xlpm._numActiveCountermeasures,$V67&amp;"-C"&amp;$Q67,INDEX(Countermeasures!$A:$A,MATCH(_xlpm._row,Countermeasures!$AI:$AI,0))))))</f>
        <v/>
      </c>
      <c r="B67" s="33" t="str" cm="1">
        <f t="array" ca="1" aca="1" ref="B67">IF($A67="","",_xlfn.LET(_xlpm._isAssumption,$J67,_xlpm._isAdditionalElement,$L67,IF(_xlpm._isAdditionalElement,IF(_xlpm._isAssumption,ParseElementsFromComment($U67,Definitions!$AR$4,Definitions!$AS$4,Definitions!$AR$6,$Q67),ParseElementsFromComment($U67,Definitions!$AR$5,Definitions!$AS$5,Definitions!$AR$6,$Q67)),_xlfn.LET(_xlpm._value,IF($A67="","",IF($J67,SimpleLookup($A67,Assumptions!$A:$B),SimpleLookup($A67,Countermeasures!$A:$B))),IF(_xlpm._value="","",_xlpm._value)))))</f>
        <v/>
      </c>
      <c r="C67" s="33" t="str" cm="1">
        <f t="array" ca="1" aca="1" ref="C67">IF($A67="","",IF($J67,IFERROR(SimpleLookup($A67,Assumptions!$A:$E),""),Definitions!$AO$4))</f>
        <v/>
      </c>
      <c r="D67" s="37" t="str">
        <f t="shared" ca="1" si="7"/>
        <v/>
      </c>
      <c r="E67" s="23"/>
      <c r="F67" s="59" t="str">
        <f t="shared" ca="1" si="8"/>
        <v/>
      </c>
      <c r="G67" s="122" t="str" cm="1">
        <f t="array" ca="1" aca="1" ref="G67">_xlfn.LET(_xlpm._val,IFERROR(SimpleLookup($A67,Countermeasures!$A:$R),IFERROR(SimpleLookup($A67,Assumptions!$A:$R),"")),IF(_xlpm._val="","",_xlpm._val))</f>
        <v/>
      </c>
      <c r="H67" s="33" t="str" cm="1">
        <f t="array" ca="1" aca="1" ref="H67">_xlfn.LET(_xlpm._value,IF($A67="","",IFERROR(IF($J67,SimpleLookup($A67,Assumptions!$A:$S),SimpleLookup($A67,Countermeasures!$A:$S)),"")),IF(_xlpm._value="","",_xlpm._value))</f>
        <v/>
      </c>
      <c r="I67" s="10" cm="1">
        <f t="array" ca="1" aca="1" ref="I67">IF(ROW()=ROW($I$17)+1,0,INDEX($I:$I,ROW()-1))+IF($A67="",0,1)</f>
        <v>34</v>
      </c>
      <c r="J67" s="21" t="b">
        <f ca="1">_xlfn.LET(_xlpm._row,ROW()-ROW($K$17),_xlpm._numActiveAssumptions,Helper!$B$8,_xlpm._numAdditionalAssumptions,SUM(Table24['# Elements]),_xlpm._row&lt;=_xlpm._numActiveAssumptions+_xlpm._numAdditionalAssumptions)</f>
        <v>0</v>
      </c>
      <c r="K67" s="21">
        <f ca="1">_xlfn.LET(_xlpm._row,ROW()-ROW($K$17),_xlpm._numActiveAssumptions,Helper!$B$8,_xlpm._numAdditionalAssumptions,Helper!$B$10,_xlpm._isAssumption,$J67,_xlpm._elementID,IF(_xlpm._isAssumption,_xlpm._row,_xlpm._row-_xlpm._numActiveAssumptions-_xlpm._numAdditionalAssumptions),_xlpm._elementID)</f>
        <v>32</v>
      </c>
      <c r="L6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7" s="20" cm="1">
        <f t="array" ca="1" aca="1" ref="M67">IF($L67,IF(ROW()=ROW($M$17)+1,1,INDEX($M:$M,ROW()-1)+IF(INDEX($T:$T,ROW()-1),1,0)),1)</f>
        <v>1</v>
      </c>
      <c r="N67" s="20" t="str" cm="1">
        <f t="array" ca="1" aca="1" ref="N67">IF($L67=TRUE,_xlfn.LET(_xlpm._isAssumption,$J67,_xlpm._indexRange,IF(_xlpm._isAssumption,Table24['# Elements],Table25['# Elements]),_xlpm._lookupRow,$W67,INDEX(_xlpm._indexRange,_xlpm._lookupRow)),"")</f>
        <v/>
      </c>
      <c r="O67" s="20" t="str" cm="1">
        <f t="array" ca="1" aca="1" ref="O67">IF($N67="","",_xlfn.LET(_xlpm._prevRow,ROW()-1,IF(OR(INDEX($N:$N,_xlpm._prevRow)&lt;&gt;$N67,INDEX($M:$M,_xlpm._prevRow)&lt;&gt;$M67),1,INDEX($O:$O,_xlpm._prevRow)+IF(INDEX($S:$S,_xlpm._prevRow),1,0))))</f>
        <v/>
      </c>
      <c r="P67" s="20" t="str" cm="1">
        <f t="array" ca="1" aca="1" ref="P67">IF($O67="","",_xlfn.LET(_xlpm._isAssumption,$J67,_xlpm._sheetRow,$W67,_xlpm._sheetName,$X67,_xlpm._elementIDRange,IF(_xlpm._isAssumption,Table24[Element ID Column],Table25[Element ID Column]),_xlpm._numberOfElementsRange,IF(_xlpm._isAssumption,Table24[Number of Elements Column],Table25[Number of Elements Column]),SimpleLookup($O67,INDIRECT("'"&amp;_xlpm._sheetName&amp;"'!"&amp;INDEX(_xlpm._elementIDRange,_xlpm._sheetRow)&amp;":"&amp;INDEX(_xlpm._numberOfElementsRange,_xlpm._sheetRow)))))</f>
        <v/>
      </c>
      <c r="Q67" s="20" t="str" cm="1">
        <f t="array" ca="1" aca="1" ref="Q67">IF($O67="","",IF(OR(INDEX($O:$O,ROW()-1)&lt;&gt;$O67,INDEX($M:$M,ROW()-1)&lt;&gt;$M67),1,INDEX($Q:$Q,ROW()-1)+1))</f>
        <v/>
      </c>
      <c r="R67" s="20">
        <f t="shared" ca="1" si="9"/>
        <v>0</v>
      </c>
      <c r="S67" s="20" t="str">
        <f t="shared" ca="1" si="10"/>
        <v/>
      </c>
      <c r="T67" s="20" t="b">
        <f ca="1">_xlfn.LET(_xlpm._isAssumption,$J67,_xlpm._numberOfElementsRange,IF(_xlpm._isAssumption,Table24['# Elements],Table25['# Elements]),_xlpm._sheetRow,$W67,IF($L67,AND($S67,$R67=$N67),FALSE))</f>
        <v>0</v>
      </c>
      <c r="U67" s="20" t="str" cm="1">
        <f t="array" ca="1" aca="1" ref="U67">IF($L67,_xlfn.LET(_xlpm._elementID,$O67,_xlpm._isAssumption,$J67,_xlpm._sheetRow,$W67,_xlpm._sheetName,$X67,_xlpm._elementRow,$Y67,_xlpm._resultColumnLetter,IF(_xlpm._isAssumption,INDEX(Table24[Comment Column],_xlpm._sheetRow),INDEX(Table25[Comment Column],_xlpm._sheetRow)),INDEX(INDIRECT("'"&amp;_xlpm._sheetName&amp;"'!"&amp;_xlpm._resultColumnLetter&amp;":"&amp;_xlpm._resultColumnLetter),_xlpm._elementRow)),"")</f>
        <v/>
      </c>
      <c r="V67" s="20" t="str" cm="1">
        <f t="array" ca="1" aca="1" ref="V67">IF($L67,_xlfn.LET(_xlpm._elementID,$O67,_xlpm._isAssumption,$J67,_xlpm._sheetRow,$W67,_xlpm._sheetName,$X67,_xlpm._resultColumnLetter,IF(_xlpm._isAssumption,INDEX(Table24[Sheet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7" s="20" t="str">
        <f ca="1">IF($L67=TRUE,_xlfn.LET(_xlpm._isAssumption,$J67,_xlpm._searchRange,IF(_xlpm._isAssumption,Table24[Task Sheet Shadow ID],Table25[Task Sheet Shadow ID]),MATCH($M67,_xlpm._searchRange,0)),"")</f>
        <v/>
      </c>
      <c r="X67" s="20" t="str" cm="1">
        <f t="array" ca="1" aca="1" ref="X67">IF($L67,_xlfn.LET(_xlpm._isAssumption,$J67,_xlpm._sheetRow,$W67,IF(_xlpm._isAssumption,INDEX(Table24[Sheet Name],_xlpm._sheetRow),INDEX(Table25[Sheet Name],_xlpm._sheetRow))),"")</f>
        <v/>
      </c>
      <c r="Y67" s="20" t="str" cm="1">
        <f t="array" ca="1" aca="1" ref="Y67">IF($L67,_xlfn.LET(_xlpm._elementID,$O67,_xlpm._isAssumption,$J67,_xlpm._sheetRow,$W67,_xlpm._sheetName,$X67,_xlpm._elementIDColumnLetter,IF(_xlpm._isAssumption,INDEX(Table24[Element ID Column],_xlpm._sheetRow),INDEX(Table25[Element ID Column],_xlpm._sheetRow)),MATCH(_xlpm._elementID,INDIRECT("'"&amp;_xlpm._sheetName&amp;"'!"&amp;_xlpm._elementIDColumnLetter&amp;":"&amp;_xlpm._elementIDColumnLetter),0)),"")</f>
        <v/>
      </c>
      <c r="Z67" s="20" t="str" cm="1">
        <f t="array" ca="1" aca="1" ref="Z67">IF($A67="","",_xlfn.LET(_xlpm._isAssumption,$J67,_xlpm._isAdditionalElement,$L67,_xlpm._sheetRow,$W67,_xlpm._sheetName,$X67,_xlpm._columnLetter,INDEX(IF(_xlpm._isAdditionalElement,Table24[Comment Column],Table25[Comment Column]),_xlpm._sheetRow),_xlpm._sheetReference,IF(_xlpm._isAssumption,IF(_xlpm._isAdditionalElement,CELL("address",INDEX(INDIRECT("'"&amp;_xlpm._sheetName&amp;"'!"&amp;_xlpm._columnLetter&amp;":"&amp;_xlpm._columnLetter),$Y67)),CELL("address",INDEX(Assumptions!$A:$A,MATCH($A67,Assumptions!$A:$A,0),1))),IF(_xlpm._isAdditionalElement,CELL("address",INDEX(INDIRECT("'"&amp;_xlpm._sheetName&amp;"'!"&amp;_xlpm._columnLetter&amp;":"&amp;_xlpm._columnLetter),$Y67)),CELL("address",INDEX(Countermeasures!$A:$A,MATCH($A67,Countermeasures!$A:$A,0),1)))),_xlpm._start,FIND("]",_xlpm._sheetReference),"'"&amp;SUBSTITUTE(SUBSTITUTE(RIGHT(_xlpm._sheetReference,LEN(_xlpm._sheetReference)-_xlpm._start),"'",""),"!","'!")))</f>
        <v/>
      </c>
      <c r="AA67" s="20" t="str" cm="1">
        <f t="array" ca="1" aca="1" ref="AA67">IF(NOT($L67),_xlfn.LET(_xlpm._value,IF($A67="","",IF($J67,SimpleLookup($A67,Assumptions!$A:$AK),SimpleLookup($A67,Countermeasures!$A:$AN))),IF(_xlpm._value="","",_xlpm._value)),"")</f>
        <v/>
      </c>
      <c r="AB67" s="20" t="str" cm="1">
        <f t="array" ca="1" aca="1" ref="AB67">LookupNames(InverseLookup($A67,Mitigation!$AD$2,Mitigation!$A$2,1,Helper!$B$5,","),'Attack Steps'!$A:$B)</f>
        <v/>
      </c>
      <c r="AC67" s="20" t="str" cm="1">
        <f t="array" ca="1" aca="1" ref="AC67">IF($L67,_xlfn.LET(_xlpm._in,$A67,_xlpm._lastDashNum,LEN(_xlpm._in)-LEN(SUBSTITUTE(_xlpm._in,"-","")),_xlpm._lastDashPos,FIND(CHAR(1),SUBSTITUTE(_xlpm._in,"-",CHAR(1),_xlpm._lastDashNum)),_xlpm._id,LEFT(_xlpm._in,_xlpm._lastDashPos-1),_xlpm._id&amp;"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7" s="20" t="str" cm="1">
        <f t="array" ca="1" aca="1" ref="AD67">_xlfn.LET(_xlpm._countermeasures,InverseLookup($A67,Countermeasures!$AG$2,Countermeasures!$A$2,1,Helper!$B$4,","),LookupNames(_xlpm._countermeasures,Countermeasures!$A:$B))</f>
        <v/>
      </c>
      <c r="AE67" s="20" t="str" cm="1">
        <f t="array" ca="1" aca="1" ref="AE67">IF($E67="","",_xlfn.LET(_xlpm._id,$E67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7" s="20" t="str" cm="1">
        <f t="array" ca="1" aca="1" ref="AF67">IF(OR($A67="",$L67),"",_xlfn.LET(_xlpm._answers,IF($J67,SimpleLookup($A67,Assumptions!$A:$F),SimpleLookup($A67,Countermeasures!$A:$D)),IF(_xlpm._answers="*",IF($J67,SimpleLookup($A67,Assumptions!$A:$C),SimpleLookup($A67,Countermeasures!$A:$C)),"")))</f>
        <v/>
      </c>
      <c r="AG67" s="20" t="str" cm="1">
        <f t="array" ca="1" aca="1" ref="AG67">IF(NOT($L67),"",_xlfn.LET(_xlpm._mappedInMitigation,IFERROR(VLOOKUP($V67,'Attack Steps'!$A:$O,COLUMNS('Attack Steps'!$A:$O),FALSE),""),CreateSearchString(_xlpm._mappedInMitigation)))</f>
        <v/>
      </c>
      <c r="AH67" s="20" t="b">
        <f ca="1">ROW()-ROW($AH$17)=Helper!$B$15</f>
        <v>0</v>
      </c>
      <c r="AI67" s="20" t="str">
        <f t="shared" ca="1" si="11"/>
        <v/>
      </c>
      <c r="AJ67" s="20" cm="1">
        <f t="array" ca="1" aca="1" ref="AJ67">CreateID($AJ$17,$AJ:$AJ,$AI67&lt;&gt;"")</f>
        <v>0</v>
      </c>
    </row>
    <row r="68" spans="1:36" ht="15">
      <c r="A68" s="16" t="str">
        <f ca="1">_xlfn.LET(_xlpm._isAssumption,$J68,_xlpm._row,$K68,_xlpm._numActiveAssumptions,Helper!$B$8,_xlpm._numActiveCountermeasures,Helper!$B$9,_xlpm._numAdditionalAssumptions,Helper!$B$10,_xlpm._numAdditionalCountermeasures,Helper!$B$11,IF(_xlpm._isAssumption,IF(_xlpm._row&gt;_xlpm._numActiveAssumptions,$V68&amp;"-A"&amp;$Q68,INDEX(Assumptions!A:A,MATCH(_xlpm._row,Assumptions!$AG:$AG,0))),IF(_xlpm._row&gt;_xlpm._numActiveCountermeasures+_xlpm._numAdditionalCountermeasures,"",IF(_xlpm._row&gt;_xlpm._numActiveCountermeasures,$V68&amp;"-C"&amp;$Q68,INDEX(Countermeasures!$A:$A,MATCH(_xlpm._row,Countermeasures!$AI:$AI,0))))))</f>
        <v/>
      </c>
      <c r="B68" s="33" t="str" cm="1">
        <f t="array" ca="1" aca="1" ref="B68">IF($A68="","",_xlfn.LET(_xlpm._isAssumption,$J68,_xlpm._isAdditionalElement,$L68,IF(_xlpm._isAdditionalElement,IF(_xlpm._isAssumption,ParseElementsFromComment($U68,Definitions!$AR$4,Definitions!$AS$4,Definitions!$AR$6,$Q68),ParseElementsFromComment($U68,Definitions!$AR$5,Definitions!$AS$5,Definitions!$AR$6,$Q68)),_xlfn.LET(_xlpm._value,IF($A68="","",IF($J68,SimpleLookup($A68,Assumptions!$A:$B),SimpleLookup($A68,Countermeasures!$A:$B))),IF(_xlpm._value="","",_xlpm._value)))))</f>
        <v/>
      </c>
      <c r="C68" s="33" t="str" cm="1">
        <f t="array" ca="1" aca="1" ref="C68">IF($A68="","",IF($J68,IFERROR(SimpleLookup($A68,Assumptions!$A:$E),""),Definitions!$AO$4))</f>
        <v/>
      </c>
      <c r="D68" s="37" t="str">
        <f t="shared" ca="1" si="7"/>
        <v/>
      </c>
      <c r="E68" s="23"/>
      <c r="F68" s="59" t="str">
        <f t="shared" ca="1" si="8"/>
        <v/>
      </c>
      <c r="G68" s="122" t="str" cm="1">
        <f t="array" ca="1" aca="1" ref="G68">_xlfn.LET(_xlpm._val,IFERROR(SimpleLookup($A68,Countermeasures!$A:$R),IFERROR(SimpleLookup($A68,Assumptions!$A:$R),"")),IF(_xlpm._val="","",_xlpm._val))</f>
        <v/>
      </c>
      <c r="H68" s="33" t="str" cm="1">
        <f t="array" ca="1" aca="1" ref="H68">_xlfn.LET(_xlpm._value,IF($A68="","",IFERROR(IF($J68,SimpleLookup($A68,Assumptions!$A:$S),SimpleLookup($A68,Countermeasures!$A:$S)),"")),IF(_xlpm._value="","",_xlpm._value))</f>
        <v/>
      </c>
      <c r="I68" s="10" cm="1">
        <f t="array" ca="1" aca="1" ref="I68">IF(ROW()=ROW($I$17)+1,0,INDEX($I:$I,ROW()-1))+IF($A68="",0,1)</f>
        <v>34</v>
      </c>
      <c r="J68" s="21" t="b">
        <f ca="1">_xlfn.LET(_xlpm._row,ROW()-ROW($K$17),_xlpm._numActiveAssumptions,Helper!$B$8,_xlpm._numAdditionalAssumptions,SUM(Table24['# Elements]),_xlpm._row&lt;=_xlpm._numActiveAssumptions+_xlpm._numAdditionalAssumptions)</f>
        <v>0</v>
      </c>
      <c r="K68" s="21">
        <f ca="1">_xlfn.LET(_xlpm._row,ROW()-ROW($K$17),_xlpm._numActiveAssumptions,Helper!$B$8,_xlpm._numAdditionalAssumptions,Helper!$B$10,_xlpm._isAssumption,$J68,_xlpm._elementID,IF(_xlpm._isAssumption,_xlpm._row,_xlpm._row-_xlpm._numActiveAssumptions-_xlpm._numAdditionalAssumptions),_xlpm._elementID)</f>
        <v>33</v>
      </c>
      <c r="L6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8" s="20" cm="1">
        <f t="array" ca="1" aca="1" ref="M68">IF($L68,IF(ROW()=ROW($M$17)+1,1,INDEX($M:$M,ROW()-1)+IF(INDEX($T:$T,ROW()-1),1,0)),1)</f>
        <v>1</v>
      </c>
      <c r="N68" s="20" t="str" cm="1">
        <f t="array" ca="1" aca="1" ref="N68">IF($L68=TRUE,_xlfn.LET(_xlpm._isAssumption,$J68,_xlpm._indexRange,IF(_xlpm._isAssumption,Table24['# Elements],Table25['# Elements]),_xlpm._lookupRow,$W68,INDEX(_xlpm._indexRange,_xlpm._lookupRow)),"")</f>
        <v/>
      </c>
      <c r="O68" s="20" t="str" cm="1">
        <f t="array" ca="1" aca="1" ref="O68">IF($N68="","",_xlfn.LET(_xlpm._prevRow,ROW()-1,IF(OR(INDEX($N:$N,_xlpm._prevRow)&lt;&gt;$N68,INDEX($M:$M,_xlpm._prevRow)&lt;&gt;$M68),1,INDEX($O:$O,_xlpm._prevRow)+IF(INDEX($S:$S,_xlpm._prevRow),1,0))))</f>
        <v/>
      </c>
      <c r="P68" s="20" t="str" cm="1">
        <f t="array" ca="1" aca="1" ref="P68">IF($O68="","",_xlfn.LET(_xlpm._isAssumption,$J68,_xlpm._sheetRow,$W68,_xlpm._sheetName,$X68,_xlpm._elementIDRange,IF(_xlpm._isAssumption,Table24[Element ID Column],Table25[Element ID Column]),_xlpm._numberOfElementsRange,IF(_xlpm._isAssumption,Table24[Number of Elements Column],Table25[Number of Elements Column]),SimpleLookup($O68,INDIRECT("'"&amp;_xlpm._sheetName&amp;"'!"&amp;INDEX(_xlpm._elementIDRange,_xlpm._sheetRow)&amp;":"&amp;INDEX(_xlpm._numberOfElementsRange,_xlpm._sheetRow)))))</f>
        <v/>
      </c>
      <c r="Q68" s="20" t="str" cm="1">
        <f t="array" ca="1" aca="1" ref="Q68">IF($O68="","",IF(OR(INDEX($O:$O,ROW()-1)&lt;&gt;$O68,INDEX($M:$M,ROW()-1)&lt;&gt;$M68),1,INDEX($Q:$Q,ROW()-1)+1))</f>
        <v/>
      </c>
      <c r="R68" s="20">
        <f t="shared" ca="1" si="9"/>
        <v>0</v>
      </c>
      <c r="S68" s="20" t="str">
        <f t="shared" ca="1" si="10"/>
        <v/>
      </c>
      <c r="T68" s="20" t="b">
        <f ca="1">_xlfn.LET(_xlpm._isAssumption,$J68,_xlpm._numberOfElementsRange,IF(_xlpm._isAssumption,Table24['# Elements],Table25['# Elements]),_xlpm._sheetRow,$W68,IF($L68,AND($S68,$R68=$N68),FALSE))</f>
        <v>0</v>
      </c>
      <c r="U68" s="20" t="str" cm="1">
        <f t="array" ca="1" aca="1" ref="U68">IF($L68,_xlfn.LET(_xlpm._elementID,$O68,_xlpm._isAssumption,$J68,_xlpm._sheetRow,$W68,_xlpm._sheetName,$X68,_xlpm._elementRow,$Y68,_xlpm._resultColumnLetter,IF(_xlpm._isAssumption,INDEX(Table24[Comment Column],_xlpm._sheetRow),INDEX(Table25[Comment Column],_xlpm._sheetRow)),INDEX(INDIRECT("'"&amp;_xlpm._sheetName&amp;"'!"&amp;_xlpm._resultColumnLetter&amp;":"&amp;_xlpm._resultColumnLetter),_xlpm._elementRow)),"")</f>
        <v/>
      </c>
      <c r="V68" s="20" t="str" cm="1">
        <f t="array" ca="1" aca="1" ref="V68">IF($L68,_xlfn.LET(_xlpm._elementID,$O68,_xlpm._isAssumption,$J68,_xlpm._sheetRow,$W68,_xlpm._sheetName,$X68,_xlpm._resultColumnLetter,IF(_xlpm._isAssumption,INDEX(Table24[Sheet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8" s="20" t="str">
        <f ca="1">IF($L68=TRUE,_xlfn.LET(_xlpm._isAssumption,$J68,_xlpm._searchRange,IF(_xlpm._isAssumption,Table24[Task Sheet Shadow ID],Table25[Task Sheet Shadow ID]),MATCH($M68,_xlpm._searchRange,0)),"")</f>
        <v/>
      </c>
      <c r="X68" s="20" t="str" cm="1">
        <f t="array" ca="1" aca="1" ref="X68">IF($L68,_xlfn.LET(_xlpm._isAssumption,$J68,_xlpm._sheetRow,$W68,IF(_xlpm._isAssumption,INDEX(Table24[Sheet Name],_xlpm._sheetRow),INDEX(Table25[Sheet Name],_xlpm._sheetRow))),"")</f>
        <v/>
      </c>
      <c r="Y68" s="20" t="str" cm="1">
        <f t="array" ca="1" aca="1" ref="Y68">IF($L68,_xlfn.LET(_xlpm._elementID,$O68,_xlpm._isAssumption,$J68,_xlpm._sheetRow,$W68,_xlpm._sheetName,$X68,_xlpm._elementIDColumnLetter,IF(_xlpm._isAssumption,INDEX(Table24[Element ID Column],_xlpm._sheetRow),INDEX(Table25[Element ID Column],_xlpm._sheetRow)),MATCH(_xlpm._elementID,INDIRECT("'"&amp;_xlpm._sheetName&amp;"'!"&amp;_xlpm._elementIDColumnLetter&amp;":"&amp;_xlpm._elementIDColumnLetter),0)),"")</f>
        <v/>
      </c>
      <c r="Z68" s="20" t="str" cm="1">
        <f t="array" ca="1" aca="1" ref="Z68">IF($A68="","",_xlfn.LET(_xlpm._isAssumption,$J68,_xlpm._isAdditionalElement,$L68,_xlpm._sheetRow,$W68,_xlpm._sheetName,$X68,_xlpm._columnLetter,INDEX(IF(_xlpm._isAdditionalElement,Table24[Comment Column],Table25[Comment Column]),_xlpm._sheetRow),_xlpm._sheetReference,IF(_xlpm._isAssumption,IF(_xlpm._isAdditionalElement,CELL("address",INDEX(INDIRECT("'"&amp;_xlpm._sheetName&amp;"'!"&amp;_xlpm._columnLetter&amp;":"&amp;_xlpm._columnLetter),$Y68)),CELL("address",INDEX(Assumptions!$A:$A,MATCH($A68,Assumptions!$A:$A,0),1))),IF(_xlpm._isAdditionalElement,CELL("address",INDEX(INDIRECT("'"&amp;_xlpm._sheetName&amp;"'!"&amp;_xlpm._columnLetter&amp;":"&amp;_xlpm._columnLetter),$Y68)),CELL("address",INDEX(Countermeasures!$A:$A,MATCH($A68,Countermeasures!$A:$A,0),1)))),_xlpm._start,FIND("]",_xlpm._sheetReference),"'"&amp;SUBSTITUTE(SUBSTITUTE(RIGHT(_xlpm._sheetReference,LEN(_xlpm._sheetReference)-_xlpm._start),"'",""),"!","'!")))</f>
        <v/>
      </c>
      <c r="AA68" s="20" t="str" cm="1">
        <f t="array" ca="1" aca="1" ref="AA68">IF(NOT($L68),_xlfn.LET(_xlpm._value,IF($A68="","",IF($J68,SimpleLookup($A68,Assumptions!$A:$AK),SimpleLookup($A68,Countermeasures!$A:$AN))),IF(_xlpm._value="","",_xlpm._value)),"")</f>
        <v/>
      </c>
      <c r="AB68" s="20" t="str" cm="1">
        <f t="array" ca="1" aca="1" ref="AB68">LookupNames(InverseLookup($A68,Mitigation!$AD$2,Mitigation!$A$2,1,Helper!$B$5,","),'Attack Steps'!$A:$B)</f>
        <v/>
      </c>
      <c r="AC68" s="20" t="str" cm="1">
        <f t="array" ca="1" aca="1" ref="AC68">IF($L68,_xlfn.LET(_xlpm._in,$A68,_xlpm._lastDashNum,LEN(_xlpm._in)-LEN(SUBSTITUTE(_xlpm._in,"-","")),_xlpm._lastDashPos,FIND(CHAR(1),SUBSTITUTE(_xlpm._in,"-",CHAR(1),_xlpm._lastDashNum)),_xlpm._id,LEFT(_xlpm._in,_xlpm._lastDashPos-1),_xlpm._id&amp;"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8" s="20" t="str" cm="1">
        <f t="array" ca="1" aca="1" ref="AD68">_xlfn.LET(_xlpm._countermeasures,InverseLookup($A68,Countermeasures!$AG$2,Countermeasures!$A$2,1,Helper!$B$4,","),LookupNames(_xlpm._countermeasures,Countermeasures!$A:$B))</f>
        <v/>
      </c>
      <c r="AE68" s="20" t="str" cm="1">
        <f t="array" ca="1" aca="1" ref="AE68">IF($E68="","",_xlfn.LET(_xlpm._id,$E68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8" s="20" t="str" cm="1">
        <f t="array" ca="1" aca="1" ref="AF68">IF(OR($A68="",$L68),"",_xlfn.LET(_xlpm._answers,IF($J68,SimpleLookup($A68,Assumptions!$A:$F),SimpleLookup($A68,Countermeasures!$A:$D)),IF(_xlpm._answers="*",IF($J68,SimpleLookup($A68,Assumptions!$A:$C),SimpleLookup($A68,Countermeasures!$A:$C)),"")))</f>
        <v/>
      </c>
      <c r="AG68" s="20" t="str" cm="1">
        <f t="array" ca="1" aca="1" ref="AG68">IF(NOT($L68),"",_xlfn.LET(_xlpm._mappedInMitigation,IFERROR(VLOOKUP($V68,'Attack Steps'!$A:$O,COLUMNS('Attack Steps'!$A:$O),FALSE),""),CreateSearchString(_xlpm._mappedInMitigation)))</f>
        <v/>
      </c>
      <c r="AH68" s="20" t="b">
        <f ca="1">ROW()-ROW($AH$17)=Helper!$B$15</f>
        <v>0</v>
      </c>
      <c r="AI68" s="20" t="str">
        <f t="shared" ca="1" si="11"/>
        <v/>
      </c>
      <c r="AJ68" s="20" cm="1">
        <f t="array" ca="1" aca="1" ref="AJ68">CreateID($AJ$17,$AJ:$AJ,$AI68&lt;&gt;"")</f>
        <v>0</v>
      </c>
    </row>
    <row r="69" spans="1:36" ht="15">
      <c r="A69" s="16" t="str">
        <f ca="1">_xlfn.LET(_xlpm._isAssumption,$J69,_xlpm._row,$K69,_xlpm._numActiveAssumptions,Helper!$B$8,_xlpm._numActiveCountermeasures,Helper!$B$9,_xlpm._numAdditionalAssumptions,Helper!$B$10,_xlpm._numAdditionalCountermeasures,Helper!$B$11,IF(_xlpm._isAssumption,IF(_xlpm._row&gt;_xlpm._numActiveAssumptions,$V69&amp;"-A"&amp;$Q69,INDEX(Assumptions!A:A,MATCH(_xlpm._row,Assumptions!$AG:$AG,0))),IF(_xlpm._row&gt;_xlpm._numActiveCountermeasures+_xlpm._numAdditionalCountermeasures,"",IF(_xlpm._row&gt;_xlpm._numActiveCountermeasures,$V69&amp;"-C"&amp;$Q69,INDEX(Countermeasures!$A:$A,MATCH(_xlpm._row,Countermeasures!$AI:$AI,0))))))</f>
        <v/>
      </c>
      <c r="B69" s="33" t="str" cm="1">
        <f t="array" ca="1" aca="1" ref="B69">IF($A69="","",_xlfn.LET(_xlpm._isAssumption,$J69,_xlpm._isAdditionalElement,$L69,IF(_xlpm._isAdditionalElement,IF(_xlpm._isAssumption,ParseElementsFromComment($U69,Definitions!$AR$4,Definitions!$AS$4,Definitions!$AR$6,$Q69),ParseElementsFromComment($U69,Definitions!$AR$5,Definitions!$AS$5,Definitions!$AR$6,$Q69)),_xlfn.LET(_xlpm._value,IF($A69="","",IF($J69,SimpleLookup($A69,Assumptions!$A:$B),SimpleLookup($A69,Countermeasures!$A:$B))),IF(_xlpm._value="","",_xlpm._value)))))</f>
        <v/>
      </c>
      <c r="C69" s="33" t="str" cm="1">
        <f t="array" ca="1" aca="1" ref="C69">IF($A69="","",IF($J69,IFERROR(SimpleLookup($A69,Assumptions!$A:$E),""),Definitions!$AO$4))</f>
        <v/>
      </c>
      <c r="D69" s="37" t="str">
        <f t="shared" ca="1" si="7"/>
        <v/>
      </c>
      <c r="E69" s="23"/>
      <c r="F69" s="59" t="str">
        <f t="shared" ca="1" si="8"/>
        <v/>
      </c>
      <c r="G69" s="122" t="str" cm="1">
        <f t="array" ca="1" aca="1" ref="G69">_xlfn.LET(_xlpm._val,IFERROR(SimpleLookup($A69,Countermeasures!$A:$R),IFERROR(SimpleLookup($A69,Assumptions!$A:$R),"")),IF(_xlpm._val="","",_xlpm._val))</f>
        <v/>
      </c>
      <c r="H69" s="33" t="str" cm="1">
        <f t="array" ca="1" aca="1" ref="H69">_xlfn.LET(_xlpm._value,IF($A69="","",IFERROR(IF($J69,SimpleLookup($A69,Assumptions!$A:$S),SimpleLookup($A69,Countermeasures!$A:$S)),"")),IF(_xlpm._value="","",_xlpm._value))</f>
        <v/>
      </c>
      <c r="I69" s="10" cm="1">
        <f t="array" ca="1" aca="1" ref="I69">IF(ROW()=ROW($I$17)+1,0,INDEX($I:$I,ROW()-1))+IF($A69="",0,1)</f>
        <v>34</v>
      </c>
      <c r="J69" s="21" t="b">
        <f ca="1">_xlfn.LET(_xlpm._row,ROW()-ROW($K$17),_xlpm._numActiveAssumptions,Helper!$B$8,_xlpm._numAdditionalAssumptions,SUM(Table24['# Elements]),_xlpm._row&lt;=_xlpm._numActiveAssumptions+_xlpm._numAdditionalAssumptions)</f>
        <v>0</v>
      </c>
      <c r="K69" s="21">
        <f ca="1">_xlfn.LET(_xlpm._row,ROW()-ROW($K$17),_xlpm._numActiveAssumptions,Helper!$B$8,_xlpm._numAdditionalAssumptions,Helper!$B$10,_xlpm._isAssumption,$J69,_xlpm._elementID,IF(_xlpm._isAssumption,_xlpm._row,_xlpm._row-_xlpm._numActiveAssumptions-_xlpm._numAdditionalAssumptions),_xlpm._elementID)</f>
        <v>34</v>
      </c>
      <c r="L6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69" s="20" cm="1">
        <f t="array" ca="1" aca="1" ref="M69">IF($L69,IF(ROW()=ROW($M$17)+1,1,INDEX($M:$M,ROW()-1)+IF(INDEX($T:$T,ROW()-1),1,0)),1)</f>
        <v>1</v>
      </c>
      <c r="N69" s="20" t="str" cm="1">
        <f t="array" ca="1" aca="1" ref="N69">IF($L69=TRUE,_xlfn.LET(_xlpm._isAssumption,$J69,_xlpm._indexRange,IF(_xlpm._isAssumption,Table24['# Elements],Table25['# Elements]),_xlpm._lookupRow,$W69,INDEX(_xlpm._indexRange,_xlpm._lookupRow)),"")</f>
        <v/>
      </c>
      <c r="O69" s="20" t="str" cm="1">
        <f t="array" ca="1" aca="1" ref="O69">IF($N69="","",_xlfn.LET(_xlpm._prevRow,ROW()-1,IF(OR(INDEX($N:$N,_xlpm._prevRow)&lt;&gt;$N69,INDEX($M:$M,_xlpm._prevRow)&lt;&gt;$M69),1,INDEX($O:$O,_xlpm._prevRow)+IF(INDEX($S:$S,_xlpm._prevRow),1,0))))</f>
        <v/>
      </c>
      <c r="P69" s="20" t="str" cm="1">
        <f t="array" ca="1" aca="1" ref="P69">IF($O69="","",_xlfn.LET(_xlpm._isAssumption,$J69,_xlpm._sheetRow,$W69,_xlpm._sheetName,$X69,_xlpm._elementIDRange,IF(_xlpm._isAssumption,Table24[Element ID Column],Table25[Element ID Column]),_xlpm._numberOfElementsRange,IF(_xlpm._isAssumption,Table24[Number of Elements Column],Table25[Number of Elements Column]),SimpleLookup($O69,INDIRECT("'"&amp;_xlpm._sheetName&amp;"'!"&amp;INDEX(_xlpm._elementIDRange,_xlpm._sheetRow)&amp;":"&amp;INDEX(_xlpm._numberOfElementsRange,_xlpm._sheetRow)))))</f>
        <v/>
      </c>
      <c r="Q69" s="20" t="str" cm="1">
        <f t="array" ca="1" aca="1" ref="Q69">IF($O69="","",IF(OR(INDEX($O:$O,ROW()-1)&lt;&gt;$O69,INDEX($M:$M,ROW()-1)&lt;&gt;$M69),1,INDEX($Q:$Q,ROW()-1)+1))</f>
        <v/>
      </c>
      <c r="R69" s="20">
        <f t="shared" ca="1" si="9"/>
        <v>0</v>
      </c>
      <c r="S69" s="20" t="str">
        <f t="shared" ca="1" si="10"/>
        <v/>
      </c>
      <c r="T69" s="20" t="b">
        <f ca="1">_xlfn.LET(_xlpm._isAssumption,$J69,_xlpm._numberOfElementsRange,IF(_xlpm._isAssumption,Table24['# Elements],Table25['# Elements]),_xlpm._sheetRow,$W69,IF($L69,AND($S69,$R69=$N69),FALSE))</f>
        <v>0</v>
      </c>
      <c r="U69" s="20" t="str" cm="1">
        <f t="array" ca="1" aca="1" ref="U69">IF($L69,_xlfn.LET(_xlpm._elementID,$O69,_xlpm._isAssumption,$J69,_xlpm._sheetRow,$W69,_xlpm._sheetName,$X69,_xlpm._elementRow,$Y69,_xlpm._resultColumnLetter,IF(_xlpm._isAssumption,INDEX(Table24[Comment Column],_xlpm._sheetRow),INDEX(Table25[Comment Column],_xlpm._sheetRow)),INDEX(INDIRECT("'"&amp;_xlpm._sheetName&amp;"'!"&amp;_xlpm._resultColumnLetter&amp;":"&amp;_xlpm._resultColumnLetter),_xlpm._elementRow)),"")</f>
        <v/>
      </c>
      <c r="V69" s="20" t="str" cm="1">
        <f t="array" ca="1" aca="1" ref="V69">IF($L69,_xlfn.LET(_xlpm._elementID,$O69,_xlpm._isAssumption,$J69,_xlpm._sheetRow,$W69,_xlpm._sheetName,$X69,_xlpm._resultColumnLetter,IF(_xlpm._isAssumption,INDEX(Table24[Sheet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69" s="20" t="str">
        <f ca="1">IF($L69=TRUE,_xlfn.LET(_xlpm._isAssumption,$J69,_xlpm._searchRange,IF(_xlpm._isAssumption,Table24[Task Sheet Shadow ID],Table25[Task Sheet Shadow ID]),MATCH($M69,_xlpm._searchRange,0)),"")</f>
        <v/>
      </c>
      <c r="X69" s="20" t="str" cm="1">
        <f t="array" ca="1" aca="1" ref="X69">IF($L69,_xlfn.LET(_xlpm._isAssumption,$J69,_xlpm._sheetRow,$W69,IF(_xlpm._isAssumption,INDEX(Table24[Sheet Name],_xlpm._sheetRow),INDEX(Table25[Sheet Name],_xlpm._sheetRow))),"")</f>
        <v/>
      </c>
      <c r="Y69" s="20" t="str" cm="1">
        <f t="array" ca="1" aca="1" ref="Y69">IF($L69,_xlfn.LET(_xlpm._elementID,$O69,_xlpm._isAssumption,$J69,_xlpm._sheetRow,$W69,_xlpm._sheetName,$X69,_xlpm._elementIDColumnLetter,IF(_xlpm._isAssumption,INDEX(Table24[Element ID Column],_xlpm._sheetRow),INDEX(Table25[Element ID Column],_xlpm._sheetRow)),MATCH(_xlpm._elementID,INDIRECT("'"&amp;_xlpm._sheetName&amp;"'!"&amp;_xlpm._elementIDColumnLetter&amp;":"&amp;_xlpm._elementIDColumnLetter),0)),"")</f>
        <v/>
      </c>
      <c r="Z69" s="20" t="str" cm="1">
        <f t="array" ca="1" aca="1" ref="Z69">IF($A69="","",_xlfn.LET(_xlpm._isAssumption,$J69,_xlpm._isAdditionalElement,$L69,_xlpm._sheetRow,$W69,_xlpm._sheetName,$X69,_xlpm._columnLetter,INDEX(IF(_xlpm._isAdditionalElement,Table24[Comment Column],Table25[Comment Column]),_xlpm._sheetRow),_xlpm._sheetReference,IF(_xlpm._isAssumption,IF(_xlpm._isAdditionalElement,CELL("address",INDEX(INDIRECT("'"&amp;_xlpm._sheetName&amp;"'!"&amp;_xlpm._columnLetter&amp;":"&amp;_xlpm._columnLetter),$Y69)),CELL("address",INDEX(Assumptions!$A:$A,MATCH($A69,Assumptions!$A:$A,0),1))),IF(_xlpm._isAdditionalElement,CELL("address",INDEX(INDIRECT("'"&amp;_xlpm._sheetName&amp;"'!"&amp;_xlpm._columnLetter&amp;":"&amp;_xlpm._columnLetter),$Y69)),CELL("address",INDEX(Countermeasures!$A:$A,MATCH($A69,Countermeasures!$A:$A,0),1)))),_xlpm._start,FIND("]",_xlpm._sheetReference),"'"&amp;SUBSTITUTE(SUBSTITUTE(RIGHT(_xlpm._sheetReference,LEN(_xlpm._sheetReference)-_xlpm._start),"'",""),"!","'!")))</f>
        <v/>
      </c>
      <c r="AA69" s="20" t="str" cm="1">
        <f t="array" ca="1" aca="1" ref="AA69">IF(NOT($L69),_xlfn.LET(_xlpm._value,IF($A69="","",IF($J69,SimpleLookup($A69,Assumptions!$A:$AK),SimpleLookup($A69,Countermeasures!$A:$AN))),IF(_xlpm._value="","",_xlpm._value)),"")</f>
        <v/>
      </c>
      <c r="AB69" s="20" t="str" cm="1">
        <f t="array" ca="1" aca="1" ref="AB69">LookupNames(InverseLookup($A69,Mitigation!$AD$2,Mitigation!$A$2,1,Helper!$B$5,","),'Attack Steps'!$A:$B)</f>
        <v/>
      </c>
      <c r="AC69" s="20" t="str" cm="1">
        <f t="array" ca="1" aca="1" ref="AC69">IF($L69,_xlfn.LET(_xlpm._in,$A69,_xlpm._lastDashNum,LEN(_xlpm._in)-LEN(SUBSTITUTE(_xlpm._in,"-","")),_xlpm._lastDashPos,FIND(CHAR(1),SUBSTITUTE(_xlpm._in,"-",CHAR(1),_xlpm._lastDashNum)),_xlpm._id,LEFT(_xlpm._in,_xlpm._lastDashPos-1),_xlpm._id&amp;"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69" s="20" t="str" cm="1">
        <f t="array" ca="1" aca="1" ref="AD69">_xlfn.LET(_xlpm._countermeasures,InverseLookup($A69,Countermeasures!$AG$2,Countermeasures!$A$2,1,Helper!$B$4,","),LookupNames(_xlpm._countermeasures,Countermeasures!$A:$B))</f>
        <v/>
      </c>
      <c r="AE69" s="20" t="str" cm="1">
        <f t="array" ca="1" aca="1" ref="AE69">IF($E69="","",_xlfn.LET(_xlpm._id,$E69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69" s="20" t="str" cm="1">
        <f t="array" ca="1" aca="1" ref="AF69">IF(OR($A69="",$L69),"",_xlfn.LET(_xlpm._answers,IF($J69,SimpleLookup($A69,Assumptions!$A:$F),SimpleLookup($A69,Countermeasures!$A:$D)),IF(_xlpm._answers="*",IF($J69,SimpleLookup($A69,Assumptions!$A:$C),SimpleLookup($A69,Countermeasures!$A:$C)),"")))</f>
        <v/>
      </c>
      <c r="AG69" s="20" t="str" cm="1">
        <f t="array" ca="1" aca="1" ref="AG69">IF(NOT($L69),"",_xlfn.LET(_xlpm._mappedInMitigation,IFERROR(VLOOKUP($V69,'Attack Steps'!$A:$O,COLUMNS('Attack Steps'!$A:$O),FALSE),""),CreateSearchString(_xlpm._mappedInMitigation)))</f>
        <v/>
      </c>
      <c r="AH69" s="20" t="b">
        <f ca="1">ROW()-ROW($AH$17)=Helper!$B$15</f>
        <v>0</v>
      </c>
      <c r="AI69" s="20" t="str">
        <f t="shared" ca="1" si="11"/>
        <v/>
      </c>
      <c r="AJ69" s="20" cm="1">
        <f t="array" ca="1" aca="1" ref="AJ69">CreateID($AJ$17,$AJ:$AJ,$AI69&lt;&gt;"")</f>
        <v>0</v>
      </c>
    </row>
    <row r="70" spans="1:36" ht="15">
      <c r="A70" s="16" t="str">
        <f ca="1">_xlfn.LET(_xlpm._isAssumption,$J70,_xlpm._row,$K70,_xlpm._numActiveAssumptions,Helper!$B$8,_xlpm._numActiveCountermeasures,Helper!$B$9,_xlpm._numAdditionalAssumptions,Helper!$B$10,_xlpm._numAdditionalCountermeasures,Helper!$B$11,IF(_xlpm._isAssumption,IF(_xlpm._row&gt;_xlpm._numActiveAssumptions,$V70&amp;"-A"&amp;$Q70,INDEX(Assumptions!A:A,MATCH(_xlpm._row,Assumptions!$AG:$AG,0))),IF(_xlpm._row&gt;_xlpm._numActiveCountermeasures+_xlpm._numAdditionalCountermeasures,"",IF(_xlpm._row&gt;_xlpm._numActiveCountermeasures,$V70&amp;"-C"&amp;$Q70,INDEX(Countermeasures!$A:$A,MATCH(_xlpm._row,Countermeasures!$AI:$AI,0))))))</f>
        <v/>
      </c>
      <c r="B70" s="33" t="str" cm="1">
        <f t="array" ca="1" aca="1" ref="B70">IF($A70="","",_xlfn.LET(_xlpm._isAssumption,$J70,_xlpm._isAdditionalElement,$L70,IF(_xlpm._isAdditionalElement,IF(_xlpm._isAssumption,ParseElementsFromComment($U70,Definitions!$AR$4,Definitions!$AS$4,Definitions!$AR$6,$Q70),ParseElementsFromComment($U70,Definitions!$AR$5,Definitions!$AS$5,Definitions!$AR$6,$Q70)),_xlfn.LET(_xlpm._value,IF($A70="","",IF($J70,SimpleLookup($A70,Assumptions!$A:$B),SimpleLookup($A70,Countermeasures!$A:$B))),IF(_xlpm._value="","",_xlpm._value)))))</f>
        <v/>
      </c>
      <c r="C70" s="33" t="str" cm="1">
        <f t="array" ca="1" aca="1" ref="C70">IF($A70="","",IF($J70,IFERROR(SimpleLookup($A70,Assumptions!$A:$E),""),Definitions!$AO$4))</f>
        <v/>
      </c>
      <c r="D70" s="37" t="str">
        <f t="shared" ca="1" si="7"/>
        <v/>
      </c>
      <c r="E70" s="23"/>
      <c r="F70" s="59" t="str">
        <f t="shared" ca="1" si="8"/>
        <v/>
      </c>
      <c r="G70" s="122" t="str" cm="1">
        <f t="array" ca="1" aca="1" ref="G70">_xlfn.LET(_xlpm._val,IFERROR(SimpleLookup($A70,Countermeasures!$A:$R),IFERROR(SimpleLookup($A70,Assumptions!$A:$R),"")),IF(_xlpm._val="","",_xlpm._val))</f>
        <v/>
      </c>
      <c r="H70" s="33" t="str" cm="1">
        <f t="array" ca="1" aca="1" ref="H70">_xlfn.LET(_xlpm._value,IF($A70="","",IFERROR(IF($J70,SimpleLookup($A70,Assumptions!$A:$S),SimpleLookup($A70,Countermeasures!$A:$S)),"")),IF(_xlpm._value="","",_xlpm._value))</f>
        <v/>
      </c>
      <c r="I70" s="10" cm="1">
        <f t="array" ca="1" aca="1" ref="I70">IF(ROW()=ROW($I$17)+1,0,INDEX($I:$I,ROW()-1))+IF($A70="",0,1)</f>
        <v>34</v>
      </c>
      <c r="J70" s="21" t="b">
        <f ca="1">_xlfn.LET(_xlpm._row,ROW()-ROW($K$17),_xlpm._numActiveAssumptions,Helper!$B$8,_xlpm._numAdditionalAssumptions,SUM(Table24['# Elements]),_xlpm._row&lt;=_xlpm._numActiveAssumptions+_xlpm._numAdditionalAssumptions)</f>
        <v>0</v>
      </c>
      <c r="K70" s="21">
        <f ca="1">_xlfn.LET(_xlpm._row,ROW()-ROW($K$17),_xlpm._numActiveAssumptions,Helper!$B$8,_xlpm._numAdditionalAssumptions,Helper!$B$10,_xlpm._isAssumption,$J70,_xlpm._elementID,IF(_xlpm._isAssumption,_xlpm._row,_xlpm._row-_xlpm._numActiveAssumptions-_xlpm._numAdditionalAssumptions),_xlpm._elementID)</f>
        <v>35</v>
      </c>
      <c r="L7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0" s="20" cm="1">
        <f t="array" ca="1" aca="1" ref="M70">IF($L70,IF(ROW()=ROW($M$17)+1,1,INDEX($M:$M,ROW()-1)+IF(INDEX($T:$T,ROW()-1),1,0)),1)</f>
        <v>1</v>
      </c>
      <c r="N70" s="20" t="str" cm="1">
        <f t="array" ca="1" aca="1" ref="N70">IF($L70=TRUE,_xlfn.LET(_xlpm._isAssumption,$J70,_xlpm._indexRange,IF(_xlpm._isAssumption,Table24['# Elements],Table25['# Elements]),_xlpm._lookupRow,$W70,INDEX(_xlpm._indexRange,_xlpm._lookupRow)),"")</f>
        <v/>
      </c>
      <c r="O70" s="20" t="str" cm="1">
        <f t="array" ca="1" aca="1" ref="O70">IF($N70="","",_xlfn.LET(_xlpm._prevRow,ROW()-1,IF(OR(INDEX($N:$N,_xlpm._prevRow)&lt;&gt;$N70,INDEX($M:$M,_xlpm._prevRow)&lt;&gt;$M70),1,INDEX($O:$O,_xlpm._prevRow)+IF(INDEX($S:$S,_xlpm._prevRow),1,0))))</f>
        <v/>
      </c>
      <c r="P70" s="20" t="str" cm="1">
        <f t="array" ca="1" aca="1" ref="P70">IF($O70="","",_xlfn.LET(_xlpm._isAssumption,$J70,_xlpm._sheetRow,$W70,_xlpm._sheetName,$X70,_xlpm._elementIDRange,IF(_xlpm._isAssumption,Table24[Element ID Column],Table25[Element ID Column]),_xlpm._numberOfElementsRange,IF(_xlpm._isAssumption,Table24[Number of Elements Column],Table25[Number of Elements Column]),SimpleLookup($O70,INDIRECT("'"&amp;_xlpm._sheetName&amp;"'!"&amp;INDEX(_xlpm._elementIDRange,_xlpm._sheetRow)&amp;":"&amp;INDEX(_xlpm._numberOfElementsRange,_xlpm._sheetRow)))))</f>
        <v/>
      </c>
      <c r="Q70" s="20" t="str" cm="1">
        <f t="array" ca="1" aca="1" ref="Q70">IF($O70="","",IF(OR(INDEX($O:$O,ROW()-1)&lt;&gt;$O70,INDEX($M:$M,ROW()-1)&lt;&gt;$M70),1,INDEX($Q:$Q,ROW()-1)+1))</f>
        <v/>
      </c>
      <c r="R70" s="20">
        <f t="shared" ca="1" si="9"/>
        <v>0</v>
      </c>
      <c r="S70" s="20" t="str">
        <f t="shared" ca="1" si="10"/>
        <v/>
      </c>
      <c r="T70" s="20" t="b">
        <f ca="1">_xlfn.LET(_xlpm._isAssumption,$J70,_xlpm._numberOfElementsRange,IF(_xlpm._isAssumption,Table24['# Elements],Table25['# Elements]),_xlpm._sheetRow,$W70,IF($L70,AND($S70,$R70=$N70),FALSE))</f>
        <v>0</v>
      </c>
      <c r="U70" s="20" t="str" cm="1">
        <f t="array" ca="1" aca="1" ref="U70">IF($L70,_xlfn.LET(_xlpm._elementID,$O70,_xlpm._isAssumption,$J70,_xlpm._sheetRow,$W70,_xlpm._sheetName,$X70,_xlpm._elementRow,$Y70,_xlpm._resultColumnLetter,IF(_xlpm._isAssumption,INDEX(Table24[Comment Column],_xlpm._sheetRow),INDEX(Table25[Comment Column],_xlpm._sheetRow)),INDEX(INDIRECT("'"&amp;_xlpm._sheetName&amp;"'!"&amp;_xlpm._resultColumnLetter&amp;":"&amp;_xlpm._resultColumnLetter),_xlpm._elementRow)),"")</f>
        <v/>
      </c>
      <c r="V70" s="20" t="str" cm="1">
        <f t="array" ca="1" aca="1" ref="V70">IF($L70,_xlfn.LET(_xlpm._elementID,$O70,_xlpm._isAssumption,$J70,_xlpm._sheetRow,$W70,_xlpm._sheetName,$X70,_xlpm._resultColumnLetter,IF(_xlpm._isAssumption,INDEX(Table24[Sheet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0" s="20" t="str">
        <f ca="1">IF($L70=TRUE,_xlfn.LET(_xlpm._isAssumption,$J70,_xlpm._searchRange,IF(_xlpm._isAssumption,Table24[Task Sheet Shadow ID],Table25[Task Sheet Shadow ID]),MATCH($M70,_xlpm._searchRange,0)),"")</f>
        <v/>
      </c>
      <c r="X70" s="20" t="str" cm="1">
        <f t="array" ca="1" aca="1" ref="X70">IF($L70,_xlfn.LET(_xlpm._isAssumption,$J70,_xlpm._sheetRow,$W70,IF(_xlpm._isAssumption,INDEX(Table24[Sheet Name],_xlpm._sheetRow),INDEX(Table25[Sheet Name],_xlpm._sheetRow))),"")</f>
        <v/>
      </c>
      <c r="Y70" s="20" t="str" cm="1">
        <f t="array" ca="1" aca="1" ref="Y70">IF($L70,_xlfn.LET(_xlpm._elementID,$O70,_xlpm._isAssumption,$J70,_xlpm._sheetRow,$W70,_xlpm._sheetName,$X70,_xlpm._elementIDColumnLetter,IF(_xlpm._isAssumption,INDEX(Table24[Element ID Column],_xlpm._sheetRow),INDEX(Table25[Element ID Column],_xlpm._sheetRow)),MATCH(_xlpm._elementID,INDIRECT("'"&amp;_xlpm._sheetName&amp;"'!"&amp;_xlpm._elementIDColumnLetter&amp;":"&amp;_xlpm._elementIDColumnLetter),0)),"")</f>
        <v/>
      </c>
      <c r="Z70" s="20" t="str" cm="1">
        <f t="array" ca="1" aca="1" ref="Z70">IF($A70="","",_xlfn.LET(_xlpm._isAssumption,$J70,_xlpm._isAdditionalElement,$L70,_xlpm._sheetRow,$W70,_xlpm._sheetName,$X70,_xlpm._columnLetter,INDEX(IF(_xlpm._isAdditionalElement,Table24[Comment Column],Table25[Comment Column]),_xlpm._sheetRow),_xlpm._sheetReference,IF(_xlpm._isAssumption,IF(_xlpm._isAdditionalElement,CELL("address",INDEX(INDIRECT("'"&amp;_xlpm._sheetName&amp;"'!"&amp;_xlpm._columnLetter&amp;":"&amp;_xlpm._columnLetter),$Y70)),CELL("address",INDEX(Assumptions!$A:$A,MATCH($A70,Assumptions!$A:$A,0),1))),IF(_xlpm._isAdditionalElement,CELL("address",INDEX(INDIRECT("'"&amp;_xlpm._sheetName&amp;"'!"&amp;_xlpm._columnLetter&amp;":"&amp;_xlpm._columnLetter),$Y70)),CELL("address",INDEX(Countermeasures!$A:$A,MATCH($A70,Countermeasures!$A:$A,0),1)))),_xlpm._start,FIND("]",_xlpm._sheetReference),"'"&amp;SUBSTITUTE(SUBSTITUTE(RIGHT(_xlpm._sheetReference,LEN(_xlpm._sheetReference)-_xlpm._start),"'",""),"!","'!")))</f>
        <v/>
      </c>
      <c r="AA70" s="20" t="str" cm="1">
        <f t="array" ca="1" aca="1" ref="AA70">IF(NOT($L70),_xlfn.LET(_xlpm._value,IF($A70="","",IF($J70,SimpleLookup($A70,Assumptions!$A:$AK),SimpleLookup($A70,Countermeasures!$A:$AN))),IF(_xlpm._value="","",_xlpm._value)),"")</f>
        <v/>
      </c>
      <c r="AB70" s="20" t="str" cm="1">
        <f t="array" ca="1" aca="1" ref="AB70">LookupNames(InverseLookup($A70,Mitigation!$AD$2,Mitigation!$A$2,1,Helper!$B$5,","),'Attack Steps'!$A:$B)</f>
        <v/>
      </c>
      <c r="AC70" s="20" t="str" cm="1">
        <f t="array" ca="1" aca="1" ref="AC70">IF($L70,_xlfn.LET(_xlpm._in,$A70,_xlpm._lastDashNum,LEN(_xlpm._in)-LEN(SUBSTITUTE(_xlpm._in,"-","")),_xlpm._lastDashPos,FIND(CHAR(1),SUBSTITUTE(_xlpm._in,"-",CHAR(1),_xlpm._lastDashNum)),_xlpm._id,LEFT(_xlpm._in,_xlpm._lastDashPos-1),_xlpm._id&amp;"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0" s="20" t="str" cm="1">
        <f t="array" ca="1" aca="1" ref="AD70">_xlfn.LET(_xlpm._countermeasures,InverseLookup($A70,Countermeasures!$AG$2,Countermeasures!$A$2,1,Helper!$B$4,","),LookupNames(_xlpm._countermeasures,Countermeasures!$A:$B))</f>
        <v/>
      </c>
      <c r="AE70" s="20" t="str" cm="1">
        <f t="array" ca="1" aca="1" ref="AE70">IF($E70="","",_xlfn.LET(_xlpm._id,$E70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0" s="20" t="str" cm="1">
        <f t="array" ca="1" aca="1" ref="AF70">IF(OR($A70="",$L70),"",_xlfn.LET(_xlpm._answers,IF($J70,SimpleLookup($A70,Assumptions!$A:$F),SimpleLookup($A70,Countermeasures!$A:$D)),IF(_xlpm._answers="*",IF($J70,SimpleLookup($A70,Assumptions!$A:$C),SimpleLookup($A70,Countermeasures!$A:$C)),"")))</f>
        <v/>
      </c>
      <c r="AG70" s="20" t="str" cm="1">
        <f t="array" ca="1" aca="1" ref="AG70">IF(NOT($L70),"",_xlfn.LET(_xlpm._mappedInMitigation,IFERROR(VLOOKUP($V70,'Attack Steps'!$A:$O,COLUMNS('Attack Steps'!$A:$O),FALSE),""),CreateSearchString(_xlpm._mappedInMitigation)))</f>
        <v/>
      </c>
      <c r="AH70" s="20" t="b">
        <f ca="1">ROW()-ROW($AH$17)=Helper!$B$15</f>
        <v>0</v>
      </c>
      <c r="AI70" s="20" t="str">
        <f t="shared" ca="1" si="11"/>
        <v/>
      </c>
      <c r="AJ70" s="20" cm="1">
        <f t="array" ca="1" aca="1" ref="AJ70">CreateID($AJ$17,$AJ:$AJ,$AI70&lt;&gt;"")</f>
        <v>0</v>
      </c>
    </row>
    <row r="71" spans="1:36" ht="15">
      <c r="A71" s="16" t="str">
        <f ca="1">_xlfn.LET(_xlpm._isAssumption,$J71,_xlpm._row,$K71,_xlpm._numActiveAssumptions,Helper!$B$8,_xlpm._numActiveCountermeasures,Helper!$B$9,_xlpm._numAdditionalAssumptions,Helper!$B$10,_xlpm._numAdditionalCountermeasures,Helper!$B$11,IF(_xlpm._isAssumption,IF(_xlpm._row&gt;_xlpm._numActiveAssumptions,$V71&amp;"-A"&amp;$Q71,INDEX(Assumptions!A:A,MATCH(_xlpm._row,Assumptions!$AG:$AG,0))),IF(_xlpm._row&gt;_xlpm._numActiveCountermeasures+_xlpm._numAdditionalCountermeasures,"",IF(_xlpm._row&gt;_xlpm._numActiveCountermeasures,$V71&amp;"-C"&amp;$Q71,INDEX(Countermeasures!$A:$A,MATCH(_xlpm._row,Countermeasures!$AI:$AI,0))))))</f>
        <v/>
      </c>
      <c r="B71" s="33" t="str" cm="1">
        <f t="array" ca="1" aca="1" ref="B71">IF($A71="","",_xlfn.LET(_xlpm._isAssumption,$J71,_xlpm._isAdditionalElement,$L71,IF(_xlpm._isAdditionalElement,IF(_xlpm._isAssumption,ParseElementsFromComment($U71,Definitions!$AR$4,Definitions!$AS$4,Definitions!$AR$6,$Q71),ParseElementsFromComment($U71,Definitions!$AR$5,Definitions!$AS$5,Definitions!$AR$6,$Q71)),_xlfn.LET(_xlpm._value,IF($A71="","",IF($J71,SimpleLookup($A71,Assumptions!$A:$B),SimpleLookup($A71,Countermeasures!$A:$B))),IF(_xlpm._value="","",_xlpm._value)))))</f>
        <v/>
      </c>
      <c r="C71" s="33" t="str" cm="1">
        <f t="array" ca="1" aca="1" ref="C71">IF($A71="","",IF($J71,IFERROR(SimpleLookup($A71,Assumptions!$A:$E),""),Definitions!$AO$4))</f>
        <v/>
      </c>
      <c r="D71" s="37" t="str">
        <f t="shared" ca="1" si="7"/>
        <v/>
      </c>
      <c r="E71" s="23"/>
      <c r="F71" s="59" t="str">
        <f t="shared" ca="1" si="8"/>
        <v/>
      </c>
      <c r="G71" s="122" t="str" cm="1">
        <f t="array" ca="1" aca="1" ref="G71">_xlfn.LET(_xlpm._val,IFERROR(SimpleLookup($A71,Countermeasures!$A:$R),IFERROR(SimpleLookup($A71,Assumptions!$A:$R),"")),IF(_xlpm._val="","",_xlpm._val))</f>
        <v/>
      </c>
      <c r="H71" s="33" t="str" cm="1">
        <f t="array" ca="1" aca="1" ref="H71">_xlfn.LET(_xlpm._value,IF($A71="","",IFERROR(IF($J71,SimpleLookup($A71,Assumptions!$A:$S),SimpleLookup($A71,Countermeasures!$A:$S)),"")),IF(_xlpm._value="","",_xlpm._value))</f>
        <v/>
      </c>
      <c r="I71" s="10" cm="1">
        <f t="array" ca="1" aca="1" ref="I71">IF(ROW()=ROW($I$17)+1,0,INDEX($I:$I,ROW()-1))+IF($A71="",0,1)</f>
        <v>34</v>
      </c>
      <c r="J71" s="21" t="b">
        <f ca="1">_xlfn.LET(_xlpm._row,ROW()-ROW($K$17),_xlpm._numActiveAssumptions,Helper!$B$8,_xlpm._numAdditionalAssumptions,SUM(Table24['# Elements]),_xlpm._row&lt;=_xlpm._numActiveAssumptions+_xlpm._numAdditionalAssumptions)</f>
        <v>0</v>
      </c>
      <c r="K71" s="21">
        <f ca="1">_xlfn.LET(_xlpm._row,ROW()-ROW($K$17),_xlpm._numActiveAssumptions,Helper!$B$8,_xlpm._numAdditionalAssumptions,Helper!$B$10,_xlpm._isAssumption,$J71,_xlpm._elementID,IF(_xlpm._isAssumption,_xlpm._row,_xlpm._row-_xlpm._numActiveAssumptions-_xlpm._numAdditionalAssumptions),_xlpm._elementID)</f>
        <v>36</v>
      </c>
      <c r="L7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1" s="20" cm="1">
        <f t="array" ca="1" aca="1" ref="M71">IF($L71,IF(ROW()=ROW($M$17)+1,1,INDEX($M:$M,ROW()-1)+IF(INDEX($T:$T,ROW()-1),1,0)),1)</f>
        <v>1</v>
      </c>
      <c r="N71" s="20" t="str" cm="1">
        <f t="array" ca="1" aca="1" ref="N71">IF($L71=TRUE,_xlfn.LET(_xlpm._isAssumption,$J71,_xlpm._indexRange,IF(_xlpm._isAssumption,Table24['# Elements],Table25['# Elements]),_xlpm._lookupRow,$W71,INDEX(_xlpm._indexRange,_xlpm._lookupRow)),"")</f>
        <v/>
      </c>
      <c r="O71" s="20" t="str" cm="1">
        <f t="array" ca="1" aca="1" ref="O71">IF($N71="","",_xlfn.LET(_xlpm._prevRow,ROW()-1,IF(OR(INDEX($N:$N,_xlpm._prevRow)&lt;&gt;$N71,INDEX($M:$M,_xlpm._prevRow)&lt;&gt;$M71),1,INDEX($O:$O,_xlpm._prevRow)+IF(INDEX($S:$S,_xlpm._prevRow),1,0))))</f>
        <v/>
      </c>
      <c r="P71" s="20" t="str" cm="1">
        <f t="array" ca="1" aca="1" ref="P71">IF($O71="","",_xlfn.LET(_xlpm._isAssumption,$J71,_xlpm._sheetRow,$W71,_xlpm._sheetName,$X71,_xlpm._elementIDRange,IF(_xlpm._isAssumption,Table24[Element ID Column],Table25[Element ID Column]),_xlpm._numberOfElementsRange,IF(_xlpm._isAssumption,Table24[Number of Elements Column],Table25[Number of Elements Column]),SimpleLookup($O71,INDIRECT("'"&amp;_xlpm._sheetName&amp;"'!"&amp;INDEX(_xlpm._elementIDRange,_xlpm._sheetRow)&amp;":"&amp;INDEX(_xlpm._numberOfElementsRange,_xlpm._sheetRow)))))</f>
        <v/>
      </c>
      <c r="Q71" s="20" t="str" cm="1">
        <f t="array" ca="1" aca="1" ref="Q71">IF($O71="","",IF(OR(INDEX($O:$O,ROW()-1)&lt;&gt;$O71,INDEX($M:$M,ROW()-1)&lt;&gt;$M71),1,INDEX($Q:$Q,ROW()-1)+1))</f>
        <v/>
      </c>
      <c r="R71" s="20">
        <f t="shared" ca="1" si="9"/>
        <v>0</v>
      </c>
      <c r="S71" s="20" t="str">
        <f t="shared" ca="1" si="10"/>
        <v/>
      </c>
      <c r="T71" s="20" t="b">
        <f ca="1">_xlfn.LET(_xlpm._isAssumption,$J71,_xlpm._numberOfElementsRange,IF(_xlpm._isAssumption,Table24['# Elements],Table25['# Elements]),_xlpm._sheetRow,$W71,IF($L71,AND($S71,$R71=$N71),FALSE))</f>
        <v>0</v>
      </c>
      <c r="U71" s="20" t="str" cm="1">
        <f t="array" ca="1" aca="1" ref="U71">IF($L71,_xlfn.LET(_xlpm._elementID,$O71,_xlpm._isAssumption,$J71,_xlpm._sheetRow,$W71,_xlpm._sheetName,$X71,_xlpm._elementRow,$Y71,_xlpm._resultColumnLetter,IF(_xlpm._isAssumption,INDEX(Table24[Comment Column],_xlpm._sheetRow),INDEX(Table25[Comment Column],_xlpm._sheetRow)),INDEX(INDIRECT("'"&amp;_xlpm._sheetName&amp;"'!"&amp;_xlpm._resultColumnLetter&amp;":"&amp;_xlpm._resultColumnLetter),_xlpm._elementRow)),"")</f>
        <v/>
      </c>
      <c r="V71" s="20" t="str" cm="1">
        <f t="array" ca="1" aca="1" ref="V71">IF($L71,_xlfn.LET(_xlpm._elementID,$O71,_xlpm._isAssumption,$J71,_xlpm._sheetRow,$W71,_xlpm._sheetName,$X71,_xlpm._resultColumnLetter,IF(_xlpm._isAssumption,INDEX(Table24[Sheet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1" s="20" t="str">
        <f ca="1">IF($L71=TRUE,_xlfn.LET(_xlpm._isAssumption,$J71,_xlpm._searchRange,IF(_xlpm._isAssumption,Table24[Task Sheet Shadow ID],Table25[Task Sheet Shadow ID]),MATCH($M71,_xlpm._searchRange,0)),"")</f>
        <v/>
      </c>
      <c r="X71" s="20" t="str" cm="1">
        <f t="array" ca="1" aca="1" ref="X71">IF($L71,_xlfn.LET(_xlpm._isAssumption,$J71,_xlpm._sheetRow,$W71,IF(_xlpm._isAssumption,INDEX(Table24[Sheet Name],_xlpm._sheetRow),INDEX(Table25[Sheet Name],_xlpm._sheetRow))),"")</f>
        <v/>
      </c>
      <c r="Y71" s="20" t="str" cm="1">
        <f t="array" ca="1" aca="1" ref="Y71">IF($L71,_xlfn.LET(_xlpm._elementID,$O71,_xlpm._isAssumption,$J71,_xlpm._sheetRow,$W71,_xlpm._sheetName,$X71,_xlpm._elementIDColumnLetter,IF(_xlpm._isAssumption,INDEX(Table24[Element ID Column],_xlpm._sheetRow),INDEX(Table25[Element ID Column],_xlpm._sheetRow)),MATCH(_xlpm._elementID,INDIRECT("'"&amp;_xlpm._sheetName&amp;"'!"&amp;_xlpm._elementIDColumnLetter&amp;":"&amp;_xlpm._elementIDColumnLetter),0)),"")</f>
        <v/>
      </c>
      <c r="Z71" s="20" t="str" cm="1">
        <f t="array" ca="1" aca="1" ref="Z71">IF($A71="","",_xlfn.LET(_xlpm._isAssumption,$J71,_xlpm._isAdditionalElement,$L71,_xlpm._sheetRow,$W71,_xlpm._sheetName,$X71,_xlpm._columnLetter,INDEX(IF(_xlpm._isAdditionalElement,Table24[Comment Column],Table25[Comment Column]),_xlpm._sheetRow),_xlpm._sheetReference,IF(_xlpm._isAssumption,IF(_xlpm._isAdditionalElement,CELL("address",INDEX(INDIRECT("'"&amp;_xlpm._sheetName&amp;"'!"&amp;_xlpm._columnLetter&amp;":"&amp;_xlpm._columnLetter),$Y71)),CELL("address",INDEX(Assumptions!$A:$A,MATCH($A71,Assumptions!$A:$A,0),1))),IF(_xlpm._isAdditionalElement,CELL("address",INDEX(INDIRECT("'"&amp;_xlpm._sheetName&amp;"'!"&amp;_xlpm._columnLetter&amp;":"&amp;_xlpm._columnLetter),$Y71)),CELL("address",INDEX(Countermeasures!$A:$A,MATCH($A71,Countermeasures!$A:$A,0),1)))),_xlpm._start,FIND("]",_xlpm._sheetReference),"'"&amp;SUBSTITUTE(SUBSTITUTE(RIGHT(_xlpm._sheetReference,LEN(_xlpm._sheetReference)-_xlpm._start),"'",""),"!","'!")))</f>
        <v/>
      </c>
      <c r="AA71" s="20" t="str" cm="1">
        <f t="array" ca="1" aca="1" ref="AA71">IF(NOT($L71),_xlfn.LET(_xlpm._value,IF($A71="","",IF($J71,SimpleLookup($A71,Assumptions!$A:$AK),SimpleLookup($A71,Countermeasures!$A:$AN))),IF(_xlpm._value="","",_xlpm._value)),"")</f>
        <v/>
      </c>
      <c r="AB71" s="20" t="str" cm="1">
        <f t="array" ca="1" aca="1" ref="AB71">LookupNames(InverseLookup($A71,Mitigation!$AD$2,Mitigation!$A$2,1,Helper!$B$5,","),'Attack Steps'!$A:$B)</f>
        <v/>
      </c>
      <c r="AC71" s="20" t="str" cm="1">
        <f t="array" ca="1" aca="1" ref="AC71">IF($L71,_xlfn.LET(_xlpm._in,$A71,_xlpm._lastDashNum,LEN(_xlpm._in)-LEN(SUBSTITUTE(_xlpm._in,"-","")),_xlpm._lastDashPos,FIND(CHAR(1),SUBSTITUTE(_xlpm._in,"-",CHAR(1),_xlpm._lastDashNum)),_xlpm._id,LEFT(_xlpm._in,_xlpm._lastDashPos-1),_xlpm._id&amp;"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1" s="20" t="str" cm="1">
        <f t="array" ca="1" aca="1" ref="AD71">_xlfn.LET(_xlpm._countermeasures,InverseLookup($A71,Countermeasures!$AG$2,Countermeasures!$A$2,1,Helper!$B$4,","),LookupNames(_xlpm._countermeasures,Countermeasures!$A:$B))</f>
        <v/>
      </c>
      <c r="AE71" s="20" t="str" cm="1">
        <f t="array" ca="1" aca="1" ref="AE71">IF($E71="","",_xlfn.LET(_xlpm._id,$E71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1" s="20" t="str" cm="1">
        <f t="array" ca="1" aca="1" ref="AF71">IF(OR($A71="",$L71),"",_xlfn.LET(_xlpm._answers,IF($J71,SimpleLookup($A71,Assumptions!$A:$F),SimpleLookup($A71,Countermeasures!$A:$D)),IF(_xlpm._answers="*",IF($J71,SimpleLookup($A71,Assumptions!$A:$C),SimpleLookup($A71,Countermeasures!$A:$C)),"")))</f>
        <v/>
      </c>
      <c r="AG71" s="20" t="str" cm="1">
        <f t="array" ca="1" aca="1" ref="AG71">IF(NOT($L71),"",_xlfn.LET(_xlpm._mappedInMitigation,IFERROR(VLOOKUP($V71,'Attack Steps'!$A:$O,COLUMNS('Attack Steps'!$A:$O),FALSE),""),CreateSearchString(_xlpm._mappedInMitigation)))</f>
        <v/>
      </c>
      <c r="AH71" s="20" t="b">
        <f ca="1">ROW()-ROW($AH$17)=Helper!$B$15</f>
        <v>0</v>
      </c>
      <c r="AI71" s="20" t="str">
        <f t="shared" ca="1" si="11"/>
        <v/>
      </c>
      <c r="AJ71" s="20" cm="1">
        <f t="array" ca="1" aca="1" ref="AJ71">CreateID($AJ$17,$AJ:$AJ,$AI71&lt;&gt;"")</f>
        <v>0</v>
      </c>
    </row>
    <row r="72" spans="1:36" ht="15">
      <c r="A72" s="16" t="str">
        <f ca="1">_xlfn.LET(_xlpm._isAssumption,$J72,_xlpm._row,$K72,_xlpm._numActiveAssumptions,Helper!$B$8,_xlpm._numActiveCountermeasures,Helper!$B$9,_xlpm._numAdditionalAssumptions,Helper!$B$10,_xlpm._numAdditionalCountermeasures,Helper!$B$11,IF(_xlpm._isAssumption,IF(_xlpm._row&gt;_xlpm._numActiveAssumptions,$V72&amp;"-A"&amp;$Q72,INDEX(Assumptions!A:A,MATCH(_xlpm._row,Assumptions!$AG:$AG,0))),IF(_xlpm._row&gt;_xlpm._numActiveCountermeasures+_xlpm._numAdditionalCountermeasures,"",IF(_xlpm._row&gt;_xlpm._numActiveCountermeasures,$V72&amp;"-C"&amp;$Q72,INDEX(Countermeasures!$A:$A,MATCH(_xlpm._row,Countermeasures!$AI:$AI,0))))))</f>
        <v/>
      </c>
      <c r="B72" s="33" t="str" cm="1">
        <f t="array" ca="1" aca="1" ref="B72">IF($A72="","",_xlfn.LET(_xlpm._isAssumption,$J72,_xlpm._isAdditionalElement,$L72,IF(_xlpm._isAdditionalElement,IF(_xlpm._isAssumption,ParseElementsFromComment($U72,Definitions!$AR$4,Definitions!$AS$4,Definitions!$AR$6,$Q72),ParseElementsFromComment($U72,Definitions!$AR$5,Definitions!$AS$5,Definitions!$AR$6,$Q72)),_xlfn.LET(_xlpm._value,IF($A72="","",IF($J72,SimpleLookup($A72,Assumptions!$A:$B),SimpleLookup($A72,Countermeasures!$A:$B))),IF(_xlpm._value="","",_xlpm._value)))))</f>
        <v/>
      </c>
      <c r="C72" s="33" t="str" cm="1">
        <f t="array" ca="1" aca="1" ref="C72">IF($A72="","",IF($J72,IFERROR(SimpleLookup($A72,Assumptions!$A:$E),""),Definitions!$AO$4))</f>
        <v/>
      </c>
      <c r="D72" s="37" t="str">
        <f t="shared" ca="1" si="7"/>
        <v/>
      </c>
      <c r="E72" s="23"/>
      <c r="F72" s="59" t="str">
        <f t="shared" ca="1" si="8"/>
        <v/>
      </c>
      <c r="G72" s="122" t="str" cm="1">
        <f t="array" ca="1" aca="1" ref="G72">_xlfn.LET(_xlpm._val,IFERROR(SimpleLookup($A72,Countermeasures!$A:$R),IFERROR(SimpleLookup($A72,Assumptions!$A:$R),"")),IF(_xlpm._val="","",_xlpm._val))</f>
        <v/>
      </c>
      <c r="H72" s="33" t="str" cm="1">
        <f t="array" ca="1" aca="1" ref="H72">_xlfn.LET(_xlpm._value,IF($A72="","",IFERROR(IF($J72,SimpleLookup($A72,Assumptions!$A:$S),SimpleLookup($A72,Countermeasures!$A:$S)),"")),IF(_xlpm._value="","",_xlpm._value))</f>
        <v/>
      </c>
      <c r="I72" s="10" cm="1">
        <f t="array" ca="1" aca="1" ref="I72">IF(ROW()=ROW($I$17)+1,0,INDEX($I:$I,ROW()-1))+IF($A72="",0,1)</f>
        <v>34</v>
      </c>
      <c r="J72" s="21" t="b">
        <f ca="1">_xlfn.LET(_xlpm._row,ROW()-ROW($K$17),_xlpm._numActiveAssumptions,Helper!$B$8,_xlpm._numAdditionalAssumptions,SUM(Table24['# Elements]),_xlpm._row&lt;=_xlpm._numActiveAssumptions+_xlpm._numAdditionalAssumptions)</f>
        <v>0</v>
      </c>
      <c r="K72" s="21">
        <f ca="1">_xlfn.LET(_xlpm._row,ROW()-ROW($K$17),_xlpm._numActiveAssumptions,Helper!$B$8,_xlpm._numAdditionalAssumptions,Helper!$B$10,_xlpm._isAssumption,$J72,_xlpm._elementID,IF(_xlpm._isAssumption,_xlpm._row,_xlpm._row-_xlpm._numActiveAssumptions-_xlpm._numAdditionalAssumptions),_xlpm._elementID)</f>
        <v>37</v>
      </c>
      <c r="L72"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2" s="20" cm="1">
        <f t="array" ca="1" aca="1" ref="M72">IF($L72,IF(ROW()=ROW($M$17)+1,1,INDEX($M:$M,ROW()-1)+IF(INDEX($T:$T,ROW()-1),1,0)),1)</f>
        <v>1</v>
      </c>
      <c r="N72" s="20" t="str" cm="1">
        <f t="array" ca="1" aca="1" ref="N72">IF($L72=TRUE,_xlfn.LET(_xlpm._isAssumption,$J72,_xlpm._indexRange,IF(_xlpm._isAssumption,Table24['# Elements],Table25['# Elements]),_xlpm._lookupRow,$W72,INDEX(_xlpm._indexRange,_xlpm._lookupRow)),"")</f>
        <v/>
      </c>
      <c r="O72" s="20" t="str" cm="1">
        <f t="array" ca="1" aca="1" ref="O72">IF($N72="","",_xlfn.LET(_xlpm._prevRow,ROW()-1,IF(OR(INDEX($N:$N,_xlpm._prevRow)&lt;&gt;$N72,INDEX($M:$M,_xlpm._prevRow)&lt;&gt;$M72),1,INDEX($O:$O,_xlpm._prevRow)+IF(INDEX($S:$S,_xlpm._prevRow),1,0))))</f>
        <v/>
      </c>
      <c r="P72" s="20" t="str" cm="1">
        <f t="array" ca="1" aca="1" ref="P72">IF($O72="","",_xlfn.LET(_xlpm._isAssumption,$J72,_xlpm._sheetRow,$W72,_xlpm._sheetName,$X72,_xlpm._elementIDRange,IF(_xlpm._isAssumption,Table24[Element ID Column],Table25[Element ID Column]),_xlpm._numberOfElementsRange,IF(_xlpm._isAssumption,Table24[Number of Elements Column],Table25[Number of Elements Column]),SimpleLookup($O72,INDIRECT("'"&amp;_xlpm._sheetName&amp;"'!"&amp;INDEX(_xlpm._elementIDRange,_xlpm._sheetRow)&amp;":"&amp;INDEX(_xlpm._numberOfElementsRange,_xlpm._sheetRow)))))</f>
        <v/>
      </c>
      <c r="Q72" s="20" t="str" cm="1">
        <f t="array" ca="1" aca="1" ref="Q72">IF($O72="","",IF(OR(INDEX($O:$O,ROW()-1)&lt;&gt;$O72,INDEX($M:$M,ROW()-1)&lt;&gt;$M72),1,INDEX($Q:$Q,ROW()-1)+1))</f>
        <v/>
      </c>
      <c r="R72" s="20">
        <f t="shared" ca="1" si="9"/>
        <v>0</v>
      </c>
      <c r="S72" s="20" t="str">
        <f t="shared" ca="1" si="10"/>
        <v/>
      </c>
      <c r="T72" s="20" t="b">
        <f ca="1">_xlfn.LET(_xlpm._isAssumption,$J72,_xlpm._numberOfElementsRange,IF(_xlpm._isAssumption,Table24['# Elements],Table25['# Elements]),_xlpm._sheetRow,$W72,IF($L72,AND($S72,$R72=$N72),FALSE))</f>
        <v>0</v>
      </c>
      <c r="U72" s="20" t="str" cm="1">
        <f t="array" ca="1" aca="1" ref="U72">IF($L72,_xlfn.LET(_xlpm._elementID,$O72,_xlpm._isAssumption,$J72,_xlpm._sheetRow,$W72,_xlpm._sheetName,$X72,_xlpm._elementRow,$Y72,_xlpm._resultColumnLetter,IF(_xlpm._isAssumption,INDEX(Table24[Comment Column],_xlpm._sheetRow),INDEX(Table25[Comment Column],_xlpm._sheetRow)),INDEX(INDIRECT("'"&amp;_xlpm._sheetName&amp;"'!"&amp;_xlpm._resultColumnLetter&amp;":"&amp;_xlpm._resultColumnLetter),_xlpm._elementRow)),"")</f>
        <v/>
      </c>
      <c r="V72" s="20" t="str" cm="1">
        <f t="array" ca="1" aca="1" ref="V72">IF($L72,_xlfn.LET(_xlpm._elementID,$O72,_xlpm._isAssumption,$J72,_xlpm._sheetRow,$W72,_xlpm._sheetName,$X72,_xlpm._resultColumnLetter,IF(_xlpm._isAssumption,INDEX(Table24[Sheet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2" s="20" t="str">
        <f ca="1">IF($L72=TRUE,_xlfn.LET(_xlpm._isAssumption,$J72,_xlpm._searchRange,IF(_xlpm._isAssumption,Table24[Task Sheet Shadow ID],Table25[Task Sheet Shadow ID]),MATCH($M72,_xlpm._searchRange,0)),"")</f>
        <v/>
      </c>
      <c r="X72" s="20" t="str" cm="1">
        <f t="array" ca="1" aca="1" ref="X72">IF($L72,_xlfn.LET(_xlpm._isAssumption,$J72,_xlpm._sheetRow,$W72,IF(_xlpm._isAssumption,INDEX(Table24[Sheet Name],_xlpm._sheetRow),INDEX(Table25[Sheet Name],_xlpm._sheetRow))),"")</f>
        <v/>
      </c>
      <c r="Y72" s="20" t="str" cm="1">
        <f t="array" ca="1" aca="1" ref="Y72">IF($L72,_xlfn.LET(_xlpm._elementID,$O72,_xlpm._isAssumption,$J72,_xlpm._sheetRow,$W72,_xlpm._sheetName,$X72,_xlpm._elementIDColumnLetter,IF(_xlpm._isAssumption,INDEX(Table24[Element ID Column],_xlpm._sheetRow),INDEX(Table25[Element ID Column],_xlpm._sheetRow)),MATCH(_xlpm._elementID,INDIRECT("'"&amp;_xlpm._sheetName&amp;"'!"&amp;_xlpm._elementIDColumnLetter&amp;":"&amp;_xlpm._elementIDColumnLetter),0)),"")</f>
        <v/>
      </c>
      <c r="Z72" s="20" t="str" cm="1">
        <f t="array" ca="1" aca="1" ref="Z72">IF($A72="","",_xlfn.LET(_xlpm._isAssumption,$J72,_xlpm._isAdditionalElement,$L72,_xlpm._sheetRow,$W72,_xlpm._sheetName,$X72,_xlpm._columnLetter,INDEX(IF(_xlpm._isAdditionalElement,Table24[Comment Column],Table25[Comment Column]),_xlpm._sheetRow),_xlpm._sheetReference,IF(_xlpm._isAssumption,IF(_xlpm._isAdditionalElement,CELL("address",INDEX(INDIRECT("'"&amp;_xlpm._sheetName&amp;"'!"&amp;_xlpm._columnLetter&amp;":"&amp;_xlpm._columnLetter),$Y72)),CELL("address",INDEX(Assumptions!$A:$A,MATCH($A72,Assumptions!$A:$A,0),1))),IF(_xlpm._isAdditionalElement,CELL("address",INDEX(INDIRECT("'"&amp;_xlpm._sheetName&amp;"'!"&amp;_xlpm._columnLetter&amp;":"&amp;_xlpm._columnLetter),$Y72)),CELL("address",INDEX(Countermeasures!$A:$A,MATCH($A72,Countermeasures!$A:$A,0),1)))),_xlpm._start,FIND("]",_xlpm._sheetReference),"'"&amp;SUBSTITUTE(SUBSTITUTE(RIGHT(_xlpm._sheetReference,LEN(_xlpm._sheetReference)-_xlpm._start),"'",""),"!","'!")))</f>
        <v/>
      </c>
      <c r="AA72" s="20" t="str" cm="1">
        <f t="array" ca="1" aca="1" ref="AA72">IF(NOT($L72),_xlfn.LET(_xlpm._value,IF($A72="","",IF($J72,SimpleLookup($A72,Assumptions!$A:$AK),SimpleLookup($A72,Countermeasures!$A:$AN))),IF(_xlpm._value="","",_xlpm._value)),"")</f>
        <v/>
      </c>
      <c r="AB72" s="20" t="str" cm="1">
        <f t="array" ca="1" aca="1" ref="AB72">LookupNames(InverseLookup($A72,Mitigation!$AD$2,Mitigation!$A$2,1,Helper!$B$5,","),'Attack Steps'!$A:$B)</f>
        <v/>
      </c>
      <c r="AC72" s="20" t="str" cm="1">
        <f t="array" ca="1" aca="1" ref="AC72">IF($L72,_xlfn.LET(_xlpm._in,$A72,_xlpm._lastDashNum,LEN(_xlpm._in)-LEN(SUBSTITUTE(_xlpm._in,"-","")),_xlpm._lastDashPos,FIND(CHAR(1),SUBSTITUTE(_xlpm._in,"-",CHAR(1),_xlpm._lastDashNum)),_xlpm._id,LEFT(_xlpm._in,_xlpm._lastDashPos-1),_xlpm._id&amp;"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2" s="20" t="str" cm="1">
        <f t="array" ca="1" aca="1" ref="AD72">_xlfn.LET(_xlpm._countermeasures,InverseLookup($A72,Countermeasures!$AG$2,Countermeasures!$A$2,1,Helper!$B$4,","),LookupNames(_xlpm._countermeasures,Countermeasures!$A:$B))</f>
        <v/>
      </c>
      <c r="AE72" s="20" t="str" cm="1">
        <f t="array" ca="1" aca="1" ref="AE72">IF($E72="","",_xlfn.LET(_xlpm._id,$E72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2" s="20" t="str" cm="1">
        <f t="array" ca="1" aca="1" ref="AF72">IF(OR($A72="",$L72),"",_xlfn.LET(_xlpm._answers,IF($J72,SimpleLookup($A72,Assumptions!$A:$F),SimpleLookup($A72,Countermeasures!$A:$D)),IF(_xlpm._answers="*",IF($J72,SimpleLookup($A72,Assumptions!$A:$C),SimpleLookup($A72,Countermeasures!$A:$C)),"")))</f>
        <v/>
      </c>
      <c r="AG72" s="20" t="str" cm="1">
        <f t="array" ca="1" aca="1" ref="AG72">IF(NOT($L72),"",_xlfn.LET(_xlpm._mappedInMitigation,IFERROR(VLOOKUP($V72,'Attack Steps'!$A:$O,COLUMNS('Attack Steps'!$A:$O),FALSE),""),CreateSearchString(_xlpm._mappedInMitigation)))</f>
        <v/>
      </c>
      <c r="AH72" s="20" t="b">
        <f ca="1">ROW()-ROW($AH$17)=Helper!$B$15</f>
        <v>0</v>
      </c>
      <c r="AI72" s="20" t="str">
        <f t="shared" ca="1" si="11"/>
        <v/>
      </c>
      <c r="AJ72" s="20" cm="1">
        <f t="array" ca="1" aca="1" ref="AJ72">CreateID($AJ$17,$AJ:$AJ,$AI72&lt;&gt;"")</f>
        <v>0</v>
      </c>
    </row>
    <row r="73" spans="1:36" ht="15">
      <c r="A73" s="16" t="str">
        <f ca="1">_xlfn.LET(_xlpm._isAssumption,$J73,_xlpm._row,$K73,_xlpm._numActiveAssumptions,Helper!$B$8,_xlpm._numActiveCountermeasures,Helper!$B$9,_xlpm._numAdditionalAssumptions,Helper!$B$10,_xlpm._numAdditionalCountermeasures,Helper!$B$11,IF(_xlpm._isAssumption,IF(_xlpm._row&gt;_xlpm._numActiveAssumptions,$V73&amp;"-A"&amp;$Q73,INDEX(Assumptions!A:A,MATCH(_xlpm._row,Assumptions!$AG:$AG,0))),IF(_xlpm._row&gt;_xlpm._numActiveCountermeasures+_xlpm._numAdditionalCountermeasures,"",IF(_xlpm._row&gt;_xlpm._numActiveCountermeasures,$V73&amp;"-C"&amp;$Q73,INDEX(Countermeasures!$A:$A,MATCH(_xlpm._row,Countermeasures!$AI:$AI,0))))))</f>
        <v/>
      </c>
      <c r="B73" s="33" t="str" cm="1">
        <f t="array" ca="1" aca="1" ref="B73">IF($A73="","",_xlfn.LET(_xlpm._isAssumption,$J73,_xlpm._isAdditionalElement,$L73,IF(_xlpm._isAdditionalElement,IF(_xlpm._isAssumption,ParseElementsFromComment($U73,Definitions!$AR$4,Definitions!$AS$4,Definitions!$AR$6,$Q73),ParseElementsFromComment($U73,Definitions!$AR$5,Definitions!$AS$5,Definitions!$AR$6,$Q73)),_xlfn.LET(_xlpm._value,IF($A73="","",IF($J73,SimpleLookup($A73,Assumptions!$A:$B),SimpleLookup($A73,Countermeasures!$A:$B))),IF(_xlpm._value="","",_xlpm._value)))))</f>
        <v/>
      </c>
      <c r="C73" s="33" t="str" cm="1">
        <f t="array" ca="1" aca="1" ref="C73">IF($A73="","",IF($J73,IFERROR(SimpleLookup($A73,Assumptions!$A:$E),""),Definitions!$AO$4))</f>
        <v/>
      </c>
      <c r="D73" s="37" t="str">
        <f t="shared" ca="1" si="7"/>
        <v/>
      </c>
      <c r="E73" s="23"/>
      <c r="F73" s="59" t="str">
        <f t="shared" ca="1" si="8"/>
        <v/>
      </c>
      <c r="G73" s="122" t="str" cm="1">
        <f t="array" ca="1" aca="1" ref="G73">_xlfn.LET(_xlpm._val,IFERROR(SimpleLookup($A73,Countermeasures!$A:$R),IFERROR(SimpleLookup($A73,Assumptions!$A:$R),"")),IF(_xlpm._val="","",_xlpm._val))</f>
        <v/>
      </c>
      <c r="H73" s="33" t="str" cm="1">
        <f t="array" ca="1" aca="1" ref="H73">_xlfn.LET(_xlpm._value,IF($A73="","",IFERROR(IF($J73,SimpleLookup($A73,Assumptions!$A:$S),SimpleLookup($A73,Countermeasures!$A:$S)),"")),IF(_xlpm._value="","",_xlpm._value))</f>
        <v/>
      </c>
      <c r="I73" s="10" cm="1">
        <f t="array" ca="1" aca="1" ref="I73">IF(ROW()=ROW($I$17)+1,0,INDEX($I:$I,ROW()-1))+IF($A73="",0,1)</f>
        <v>34</v>
      </c>
      <c r="J73" s="21" t="b">
        <f ca="1">_xlfn.LET(_xlpm._row,ROW()-ROW($K$17),_xlpm._numActiveAssumptions,Helper!$B$8,_xlpm._numAdditionalAssumptions,SUM(Table24['# Elements]),_xlpm._row&lt;=_xlpm._numActiveAssumptions+_xlpm._numAdditionalAssumptions)</f>
        <v>0</v>
      </c>
      <c r="K73" s="21">
        <f ca="1">_xlfn.LET(_xlpm._row,ROW()-ROW($K$17),_xlpm._numActiveAssumptions,Helper!$B$8,_xlpm._numAdditionalAssumptions,Helper!$B$10,_xlpm._isAssumption,$J73,_xlpm._elementID,IF(_xlpm._isAssumption,_xlpm._row,_xlpm._row-_xlpm._numActiveAssumptions-_xlpm._numAdditionalAssumptions),_xlpm._elementID)</f>
        <v>38</v>
      </c>
      <c r="L73"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3" s="20" cm="1">
        <f t="array" ca="1" aca="1" ref="M73">IF($L73,IF(ROW()=ROW($M$17)+1,1,INDEX($M:$M,ROW()-1)+IF(INDEX($T:$T,ROW()-1),1,0)),1)</f>
        <v>1</v>
      </c>
      <c r="N73" s="20" t="str" cm="1">
        <f t="array" ca="1" aca="1" ref="N73">IF($L73=TRUE,_xlfn.LET(_xlpm._isAssumption,$J73,_xlpm._indexRange,IF(_xlpm._isAssumption,Table24['# Elements],Table25['# Elements]),_xlpm._lookupRow,$W73,INDEX(_xlpm._indexRange,_xlpm._lookupRow)),"")</f>
        <v/>
      </c>
      <c r="O73" s="20" t="str" cm="1">
        <f t="array" ca="1" aca="1" ref="O73">IF($N73="","",_xlfn.LET(_xlpm._prevRow,ROW()-1,IF(OR(INDEX($N:$N,_xlpm._prevRow)&lt;&gt;$N73,INDEX($M:$M,_xlpm._prevRow)&lt;&gt;$M73),1,INDEX($O:$O,_xlpm._prevRow)+IF(INDEX($S:$S,_xlpm._prevRow),1,0))))</f>
        <v/>
      </c>
      <c r="P73" s="20" t="str" cm="1">
        <f t="array" ca="1" aca="1" ref="P73">IF($O73="","",_xlfn.LET(_xlpm._isAssumption,$J73,_xlpm._sheetRow,$W73,_xlpm._sheetName,$X73,_xlpm._elementIDRange,IF(_xlpm._isAssumption,Table24[Element ID Column],Table25[Element ID Column]),_xlpm._numberOfElementsRange,IF(_xlpm._isAssumption,Table24[Number of Elements Column],Table25[Number of Elements Column]),SimpleLookup($O73,INDIRECT("'"&amp;_xlpm._sheetName&amp;"'!"&amp;INDEX(_xlpm._elementIDRange,_xlpm._sheetRow)&amp;":"&amp;INDEX(_xlpm._numberOfElementsRange,_xlpm._sheetRow)))))</f>
        <v/>
      </c>
      <c r="Q73" s="20" t="str" cm="1">
        <f t="array" ca="1" aca="1" ref="Q73">IF($O73="","",IF(OR(INDEX($O:$O,ROW()-1)&lt;&gt;$O73,INDEX($M:$M,ROW()-1)&lt;&gt;$M73),1,INDEX($Q:$Q,ROW()-1)+1))</f>
        <v/>
      </c>
      <c r="R73" s="20">
        <f t="shared" ca="1" si="9"/>
        <v>0</v>
      </c>
      <c r="S73" s="20" t="str">
        <f t="shared" ca="1" si="10"/>
        <v/>
      </c>
      <c r="T73" s="20" t="b">
        <f ca="1">_xlfn.LET(_xlpm._isAssumption,$J73,_xlpm._numberOfElementsRange,IF(_xlpm._isAssumption,Table24['# Elements],Table25['# Elements]),_xlpm._sheetRow,$W73,IF($L73,AND($S73,$R73=$N73),FALSE))</f>
        <v>0</v>
      </c>
      <c r="U73" s="20" t="str" cm="1">
        <f t="array" ca="1" aca="1" ref="U73">IF($L73,_xlfn.LET(_xlpm._elementID,$O73,_xlpm._isAssumption,$J73,_xlpm._sheetRow,$W73,_xlpm._sheetName,$X73,_xlpm._elementRow,$Y73,_xlpm._resultColumnLetter,IF(_xlpm._isAssumption,INDEX(Table24[Comment Column],_xlpm._sheetRow),INDEX(Table25[Comment Column],_xlpm._sheetRow)),INDEX(INDIRECT("'"&amp;_xlpm._sheetName&amp;"'!"&amp;_xlpm._resultColumnLetter&amp;":"&amp;_xlpm._resultColumnLetter),_xlpm._elementRow)),"")</f>
        <v/>
      </c>
      <c r="V73" s="20" t="str" cm="1">
        <f t="array" ca="1" aca="1" ref="V73">IF($L73,_xlfn.LET(_xlpm._elementID,$O73,_xlpm._isAssumption,$J73,_xlpm._sheetRow,$W73,_xlpm._sheetName,$X73,_xlpm._resultColumnLetter,IF(_xlpm._isAssumption,INDEX(Table24[Sheet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3" s="20" t="str">
        <f ca="1">IF($L73=TRUE,_xlfn.LET(_xlpm._isAssumption,$J73,_xlpm._searchRange,IF(_xlpm._isAssumption,Table24[Task Sheet Shadow ID],Table25[Task Sheet Shadow ID]),MATCH($M73,_xlpm._searchRange,0)),"")</f>
        <v/>
      </c>
      <c r="X73" s="20" t="str" cm="1">
        <f t="array" ca="1" aca="1" ref="X73">IF($L73,_xlfn.LET(_xlpm._isAssumption,$J73,_xlpm._sheetRow,$W73,IF(_xlpm._isAssumption,INDEX(Table24[Sheet Name],_xlpm._sheetRow),INDEX(Table25[Sheet Name],_xlpm._sheetRow))),"")</f>
        <v/>
      </c>
      <c r="Y73" s="20" t="str" cm="1">
        <f t="array" ca="1" aca="1" ref="Y73">IF($L73,_xlfn.LET(_xlpm._elementID,$O73,_xlpm._isAssumption,$J73,_xlpm._sheetRow,$W73,_xlpm._sheetName,$X73,_xlpm._elementIDColumnLetter,IF(_xlpm._isAssumption,INDEX(Table24[Element ID Column],_xlpm._sheetRow),INDEX(Table25[Element ID Column],_xlpm._sheetRow)),MATCH(_xlpm._elementID,INDIRECT("'"&amp;_xlpm._sheetName&amp;"'!"&amp;_xlpm._elementIDColumnLetter&amp;":"&amp;_xlpm._elementIDColumnLetter),0)),"")</f>
        <v/>
      </c>
      <c r="Z73" s="20" t="str" cm="1">
        <f t="array" ca="1" aca="1" ref="Z73">IF($A73="","",_xlfn.LET(_xlpm._isAssumption,$J73,_xlpm._isAdditionalElement,$L73,_xlpm._sheetRow,$W73,_xlpm._sheetName,$X73,_xlpm._columnLetter,INDEX(IF(_xlpm._isAdditionalElement,Table24[Comment Column],Table25[Comment Column]),_xlpm._sheetRow),_xlpm._sheetReference,IF(_xlpm._isAssumption,IF(_xlpm._isAdditionalElement,CELL("address",INDEX(INDIRECT("'"&amp;_xlpm._sheetName&amp;"'!"&amp;_xlpm._columnLetter&amp;":"&amp;_xlpm._columnLetter),$Y73)),CELL("address",INDEX(Assumptions!$A:$A,MATCH($A73,Assumptions!$A:$A,0),1))),IF(_xlpm._isAdditionalElement,CELL("address",INDEX(INDIRECT("'"&amp;_xlpm._sheetName&amp;"'!"&amp;_xlpm._columnLetter&amp;":"&amp;_xlpm._columnLetter),$Y73)),CELL("address",INDEX(Countermeasures!$A:$A,MATCH($A73,Countermeasures!$A:$A,0),1)))),_xlpm._start,FIND("]",_xlpm._sheetReference),"'"&amp;SUBSTITUTE(SUBSTITUTE(RIGHT(_xlpm._sheetReference,LEN(_xlpm._sheetReference)-_xlpm._start),"'",""),"!","'!")))</f>
        <v/>
      </c>
      <c r="AA73" s="20" t="str" cm="1">
        <f t="array" ca="1" aca="1" ref="AA73">IF(NOT($L73),_xlfn.LET(_xlpm._value,IF($A73="","",IF($J73,SimpleLookup($A73,Assumptions!$A:$AK),SimpleLookup($A73,Countermeasures!$A:$AN))),IF(_xlpm._value="","",_xlpm._value)),"")</f>
        <v/>
      </c>
      <c r="AB73" s="20" t="str" cm="1">
        <f t="array" ca="1" aca="1" ref="AB73">LookupNames(InverseLookup($A73,Mitigation!$AD$2,Mitigation!$A$2,1,Helper!$B$5,","),'Attack Steps'!$A:$B)</f>
        <v/>
      </c>
      <c r="AC73" s="20" t="str" cm="1">
        <f t="array" ca="1" aca="1" ref="AC73">IF($L73,_xlfn.LET(_xlpm._in,$A73,_xlpm._lastDashNum,LEN(_xlpm._in)-LEN(SUBSTITUTE(_xlpm._in,"-","")),_xlpm._lastDashPos,FIND(CHAR(1),SUBSTITUTE(_xlpm._in,"-",CHAR(1),_xlpm._lastDashNum)),_xlpm._id,LEFT(_xlpm._in,_xlpm._lastDashPos-1),_xlpm._id&amp;"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3" s="20" t="str" cm="1">
        <f t="array" ca="1" aca="1" ref="AD73">_xlfn.LET(_xlpm._countermeasures,InverseLookup($A73,Countermeasures!$AG$2,Countermeasures!$A$2,1,Helper!$B$4,","),LookupNames(_xlpm._countermeasures,Countermeasures!$A:$B))</f>
        <v/>
      </c>
      <c r="AE73" s="20" t="str" cm="1">
        <f t="array" ca="1" aca="1" ref="AE73">IF($E73="","",_xlfn.LET(_xlpm._id,$E73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3" s="20" t="str" cm="1">
        <f t="array" ca="1" aca="1" ref="AF73">IF(OR($A73="",$L73),"",_xlfn.LET(_xlpm._answers,IF($J73,SimpleLookup($A73,Assumptions!$A:$F),SimpleLookup($A73,Countermeasures!$A:$D)),IF(_xlpm._answers="*",IF($J73,SimpleLookup($A73,Assumptions!$A:$C),SimpleLookup($A73,Countermeasures!$A:$C)),"")))</f>
        <v/>
      </c>
      <c r="AG73" s="20" t="str" cm="1">
        <f t="array" ca="1" aca="1" ref="AG73">IF(NOT($L73),"",_xlfn.LET(_xlpm._mappedInMitigation,IFERROR(VLOOKUP($V73,'Attack Steps'!$A:$O,COLUMNS('Attack Steps'!$A:$O),FALSE),""),CreateSearchString(_xlpm._mappedInMitigation)))</f>
        <v/>
      </c>
      <c r="AH73" s="20" t="b">
        <f ca="1">ROW()-ROW($AH$17)=Helper!$B$15</f>
        <v>0</v>
      </c>
      <c r="AI73" s="20" t="str">
        <f t="shared" ca="1" si="11"/>
        <v/>
      </c>
      <c r="AJ73" s="20" cm="1">
        <f t="array" ca="1" aca="1" ref="AJ73">CreateID($AJ$17,$AJ:$AJ,$AI73&lt;&gt;"")</f>
        <v>0</v>
      </c>
    </row>
    <row r="74" spans="1:36" ht="15">
      <c r="A74" s="16" t="str">
        <f ca="1">_xlfn.LET(_xlpm._isAssumption,$J74,_xlpm._row,$K74,_xlpm._numActiveAssumptions,Helper!$B$8,_xlpm._numActiveCountermeasures,Helper!$B$9,_xlpm._numAdditionalAssumptions,Helper!$B$10,_xlpm._numAdditionalCountermeasures,Helper!$B$11,IF(_xlpm._isAssumption,IF(_xlpm._row&gt;_xlpm._numActiveAssumptions,$V74&amp;"-A"&amp;$Q74,INDEX(Assumptions!A:A,MATCH(_xlpm._row,Assumptions!$AG:$AG,0))),IF(_xlpm._row&gt;_xlpm._numActiveCountermeasures+_xlpm._numAdditionalCountermeasures,"",IF(_xlpm._row&gt;_xlpm._numActiveCountermeasures,$V74&amp;"-C"&amp;$Q74,INDEX(Countermeasures!$A:$A,MATCH(_xlpm._row,Countermeasures!$AI:$AI,0))))))</f>
        <v/>
      </c>
      <c r="B74" s="33" t="str" cm="1">
        <f t="array" ca="1" aca="1" ref="B74">IF($A74="","",_xlfn.LET(_xlpm._isAssumption,$J74,_xlpm._isAdditionalElement,$L74,IF(_xlpm._isAdditionalElement,IF(_xlpm._isAssumption,ParseElementsFromComment($U74,Definitions!$AR$4,Definitions!$AS$4,Definitions!$AR$6,$Q74),ParseElementsFromComment($U74,Definitions!$AR$5,Definitions!$AS$5,Definitions!$AR$6,$Q74)),_xlfn.LET(_xlpm._value,IF($A74="","",IF($J74,SimpleLookup($A74,Assumptions!$A:$B),SimpleLookup($A74,Countermeasures!$A:$B))),IF(_xlpm._value="","",_xlpm._value)))))</f>
        <v/>
      </c>
      <c r="C74" s="33" t="str" cm="1">
        <f t="array" ca="1" aca="1" ref="C74">IF($A74="","",IF($J74,IFERROR(SimpleLookup($A74,Assumptions!$A:$E),""),Definitions!$AO$4))</f>
        <v/>
      </c>
      <c r="D74" s="37" t="str">
        <f t="shared" ca="1" si="7"/>
        <v/>
      </c>
      <c r="E74" s="23"/>
      <c r="F74" s="59" t="str">
        <f t="shared" ca="1" si="8"/>
        <v/>
      </c>
      <c r="G74" s="122" t="str" cm="1">
        <f t="array" ca="1" aca="1" ref="G74">_xlfn.LET(_xlpm._val,IFERROR(SimpleLookup($A74,Countermeasures!$A:$R),IFERROR(SimpleLookup($A74,Assumptions!$A:$R),"")),IF(_xlpm._val="","",_xlpm._val))</f>
        <v/>
      </c>
      <c r="H74" s="33" t="str" cm="1">
        <f t="array" ca="1" aca="1" ref="H74">_xlfn.LET(_xlpm._value,IF($A74="","",IFERROR(IF($J74,SimpleLookup($A74,Assumptions!$A:$S),SimpleLookup($A74,Countermeasures!$A:$S)),"")),IF(_xlpm._value="","",_xlpm._value))</f>
        <v/>
      </c>
      <c r="I74" s="10" cm="1">
        <f t="array" ca="1" aca="1" ref="I74">IF(ROW()=ROW($I$17)+1,0,INDEX($I:$I,ROW()-1))+IF($A74="",0,1)</f>
        <v>34</v>
      </c>
      <c r="J74" s="21" t="b">
        <f ca="1">_xlfn.LET(_xlpm._row,ROW()-ROW($K$17),_xlpm._numActiveAssumptions,Helper!$B$8,_xlpm._numAdditionalAssumptions,SUM(Table24['# Elements]),_xlpm._row&lt;=_xlpm._numActiveAssumptions+_xlpm._numAdditionalAssumptions)</f>
        <v>0</v>
      </c>
      <c r="K74" s="21">
        <f ca="1">_xlfn.LET(_xlpm._row,ROW()-ROW($K$17),_xlpm._numActiveAssumptions,Helper!$B$8,_xlpm._numAdditionalAssumptions,Helper!$B$10,_xlpm._isAssumption,$J74,_xlpm._elementID,IF(_xlpm._isAssumption,_xlpm._row,_xlpm._row-_xlpm._numActiveAssumptions-_xlpm._numAdditionalAssumptions),_xlpm._elementID)</f>
        <v>39</v>
      </c>
      <c r="L74"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4" s="20" cm="1">
        <f t="array" ca="1" aca="1" ref="M74">IF($L74,IF(ROW()=ROW($M$17)+1,1,INDEX($M:$M,ROW()-1)+IF(INDEX($T:$T,ROW()-1),1,0)),1)</f>
        <v>1</v>
      </c>
      <c r="N74" s="20" t="str" cm="1">
        <f t="array" ca="1" aca="1" ref="N74">IF($L74=TRUE,_xlfn.LET(_xlpm._isAssumption,$J74,_xlpm._indexRange,IF(_xlpm._isAssumption,Table24['# Elements],Table25['# Elements]),_xlpm._lookupRow,$W74,INDEX(_xlpm._indexRange,_xlpm._lookupRow)),"")</f>
        <v/>
      </c>
      <c r="O74" s="20" t="str" cm="1">
        <f t="array" ca="1" aca="1" ref="O74">IF($N74="","",_xlfn.LET(_xlpm._prevRow,ROW()-1,IF(OR(INDEX($N:$N,_xlpm._prevRow)&lt;&gt;$N74,INDEX($M:$M,_xlpm._prevRow)&lt;&gt;$M74),1,INDEX($O:$O,_xlpm._prevRow)+IF(INDEX($S:$S,_xlpm._prevRow),1,0))))</f>
        <v/>
      </c>
      <c r="P74" s="20" t="str" cm="1">
        <f t="array" ca="1" aca="1" ref="P74">IF($O74="","",_xlfn.LET(_xlpm._isAssumption,$J74,_xlpm._sheetRow,$W74,_xlpm._sheetName,$X74,_xlpm._elementIDRange,IF(_xlpm._isAssumption,Table24[Element ID Column],Table25[Element ID Column]),_xlpm._numberOfElementsRange,IF(_xlpm._isAssumption,Table24[Number of Elements Column],Table25[Number of Elements Column]),SimpleLookup($O74,INDIRECT("'"&amp;_xlpm._sheetName&amp;"'!"&amp;INDEX(_xlpm._elementIDRange,_xlpm._sheetRow)&amp;":"&amp;INDEX(_xlpm._numberOfElementsRange,_xlpm._sheetRow)))))</f>
        <v/>
      </c>
      <c r="Q74" s="20" t="str" cm="1">
        <f t="array" ca="1" aca="1" ref="Q74">IF($O74="","",IF(OR(INDEX($O:$O,ROW()-1)&lt;&gt;$O74,INDEX($M:$M,ROW()-1)&lt;&gt;$M74),1,INDEX($Q:$Q,ROW()-1)+1))</f>
        <v/>
      </c>
      <c r="R74" s="20">
        <f t="shared" ca="1" si="9"/>
        <v>0</v>
      </c>
      <c r="S74" s="20" t="str">
        <f t="shared" ca="1" si="10"/>
        <v/>
      </c>
      <c r="T74" s="20" t="b">
        <f ca="1">_xlfn.LET(_xlpm._isAssumption,$J74,_xlpm._numberOfElementsRange,IF(_xlpm._isAssumption,Table24['# Elements],Table25['# Elements]),_xlpm._sheetRow,$W74,IF($L74,AND($S74,$R74=$N74),FALSE))</f>
        <v>0</v>
      </c>
      <c r="U74" s="20" t="str" cm="1">
        <f t="array" ca="1" aca="1" ref="U74">IF($L74,_xlfn.LET(_xlpm._elementID,$O74,_xlpm._isAssumption,$J74,_xlpm._sheetRow,$W74,_xlpm._sheetName,$X74,_xlpm._elementRow,$Y74,_xlpm._resultColumnLetter,IF(_xlpm._isAssumption,INDEX(Table24[Comment Column],_xlpm._sheetRow),INDEX(Table25[Comment Column],_xlpm._sheetRow)),INDEX(INDIRECT("'"&amp;_xlpm._sheetName&amp;"'!"&amp;_xlpm._resultColumnLetter&amp;":"&amp;_xlpm._resultColumnLetter),_xlpm._elementRow)),"")</f>
        <v/>
      </c>
      <c r="V74" s="20" t="str" cm="1">
        <f t="array" ca="1" aca="1" ref="V74">IF($L74,_xlfn.LET(_xlpm._elementID,$O74,_xlpm._isAssumption,$J74,_xlpm._sheetRow,$W74,_xlpm._sheetName,$X74,_xlpm._resultColumnLetter,IF(_xlpm._isAssumption,INDEX(Table24[Sheet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4" s="20" t="str">
        <f ca="1">IF($L74=TRUE,_xlfn.LET(_xlpm._isAssumption,$J74,_xlpm._searchRange,IF(_xlpm._isAssumption,Table24[Task Sheet Shadow ID],Table25[Task Sheet Shadow ID]),MATCH($M74,_xlpm._searchRange,0)),"")</f>
        <v/>
      </c>
      <c r="X74" s="20" t="str" cm="1">
        <f t="array" ca="1" aca="1" ref="X74">IF($L74,_xlfn.LET(_xlpm._isAssumption,$J74,_xlpm._sheetRow,$W74,IF(_xlpm._isAssumption,INDEX(Table24[Sheet Name],_xlpm._sheetRow),INDEX(Table25[Sheet Name],_xlpm._sheetRow))),"")</f>
        <v/>
      </c>
      <c r="Y74" s="20" t="str" cm="1">
        <f t="array" ca="1" aca="1" ref="Y74">IF($L74,_xlfn.LET(_xlpm._elementID,$O74,_xlpm._isAssumption,$J74,_xlpm._sheetRow,$W74,_xlpm._sheetName,$X74,_xlpm._elementIDColumnLetter,IF(_xlpm._isAssumption,INDEX(Table24[Element ID Column],_xlpm._sheetRow),INDEX(Table25[Element ID Column],_xlpm._sheetRow)),MATCH(_xlpm._elementID,INDIRECT("'"&amp;_xlpm._sheetName&amp;"'!"&amp;_xlpm._elementIDColumnLetter&amp;":"&amp;_xlpm._elementIDColumnLetter),0)),"")</f>
        <v/>
      </c>
      <c r="Z74" s="20" t="str" cm="1">
        <f t="array" ca="1" aca="1" ref="Z74">IF($A74="","",_xlfn.LET(_xlpm._isAssumption,$J74,_xlpm._isAdditionalElement,$L74,_xlpm._sheetRow,$W74,_xlpm._sheetName,$X74,_xlpm._columnLetter,INDEX(IF(_xlpm._isAdditionalElement,Table24[Comment Column],Table25[Comment Column]),_xlpm._sheetRow),_xlpm._sheetReference,IF(_xlpm._isAssumption,IF(_xlpm._isAdditionalElement,CELL("address",INDEX(INDIRECT("'"&amp;_xlpm._sheetName&amp;"'!"&amp;_xlpm._columnLetter&amp;":"&amp;_xlpm._columnLetter),$Y74)),CELL("address",INDEX(Assumptions!$A:$A,MATCH($A74,Assumptions!$A:$A,0),1))),IF(_xlpm._isAdditionalElement,CELL("address",INDEX(INDIRECT("'"&amp;_xlpm._sheetName&amp;"'!"&amp;_xlpm._columnLetter&amp;":"&amp;_xlpm._columnLetter),$Y74)),CELL("address",INDEX(Countermeasures!$A:$A,MATCH($A74,Countermeasures!$A:$A,0),1)))),_xlpm._start,FIND("]",_xlpm._sheetReference),"'"&amp;SUBSTITUTE(SUBSTITUTE(RIGHT(_xlpm._sheetReference,LEN(_xlpm._sheetReference)-_xlpm._start),"'",""),"!","'!")))</f>
        <v/>
      </c>
      <c r="AA74" s="20" t="str" cm="1">
        <f t="array" ca="1" aca="1" ref="AA74">IF(NOT($L74),_xlfn.LET(_xlpm._value,IF($A74="","",IF($J74,SimpleLookup($A74,Assumptions!$A:$AK),SimpleLookup($A74,Countermeasures!$A:$AN))),IF(_xlpm._value="","",_xlpm._value)),"")</f>
        <v/>
      </c>
      <c r="AB74" s="20" t="str" cm="1">
        <f t="array" ca="1" aca="1" ref="AB74">LookupNames(InverseLookup($A74,Mitigation!$AD$2,Mitigation!$A$2,1,Helper!$B$5,","),'Attack Steps'!$A:$B)</f>
        <v/>
      </c>
      <c r="AC74" s="20" t="str" cm="1">
        <f t="array" ca="1" aca="1" ref="AC74">IF($L74,_xlfn.LET(_xlpm._in,$A74,_xlpm._lastDashNum,LEN(_xlpm._in)-LEN(SUBSTITUTE(_xlpm._in,"-","")),_xlpm._lastDashPos,FIND(CHAR(1),SUBSTITUTE(_xlpm._in,"-",CHAR(1),_xlpm._lastDashNum)),_xlpm._id,LEFT(_xlpm._in,_xlpm._lastDashPos-1),_xlpm._id&amp;"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4" s="20" t="str" cm="1">
        <f t="array" ca="1" aca="1" ref="AD74">_xlfn.LET(_xlpm._countermeasures,InverseLookup($A74,Countermeasures!$AG$2,Countermeasures!$A$2,1,Helper!$B$4,","),LookupNames(_xlpm._countermeasures,Countermeasures!$A:$B))</f>
        <v/>
      </c>
      <c r="AE74" s="20" t="str" cm="1">
        <f t="array" ca="1" aca="1" ref="AE74">IF($E74="","",_xlfn.LET(_xlpm._id,$E74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4" s="20" t="str" cm="1">
        <f t="array" ca="1" aca="1" ref="AF74">IF(OR($A74="",$L74),"",_xlfn.LET(_xlpm._answers,IF($J74,SimpleLookup($A74,Assumptions!$A:$F),SimpleLookup($A74,Countermeasures!$A:$D)),IF(_xlpm._answers="*",IF($J74,SimpleLookup($A74,Assumptions!$A:$C),SimpleLookup($A74,Countermeasures!$A:$C)),"")))</f>
        <v/>
      </c>
      <c r="AG74" s="20" t="str" cm="1">
        <f t="array" ca="1" aca="1" ref="AG74">IF(NOT($L74),"",_xlfn.LET(_xlpm._mappedInMitigation,IFERROR(VLOOKUP($V74,'Attack Steps'!$A:$O,COLUMNS('Attack Steps'!$A:$O),FALSE),""),CreateSearchString(_xlpm._mappedInMitigation)))</f>
        <v/>
      </c>
      <c r="AH74" s="20" t="b">
        <f ca="1">ROW()-ROW($AH$17)=Helper!$B$15</f>
        <v>0</v>
      </c>
      <c r="AI74" s="20" t="str">
        <f t="shared" ca="1" si="11"/>
        <v/>
      </c>
      <c r="AJ74" s="20" cm="1">
        <f t="array" ca="1" aca="1" ref="AJ74">CreateID($AJ$17,$AJ:$AJ,$AI74&lt;&gt;"")</f>
        <v>0</v>
      </c>
    </row>
    <row r="75" spans="1:36" ht="15">
      <c r="A75" s="16" t="str">
        <f ca="1">_xlfn.LET(_xlpm._isAssumption,$J75,_xlpm._row,$K75,_xlpm._numActiveAssumptions,Helper!$B$8,_xlpm._numActiveCountermeasures,Helper!$B$9,_xlpm._numAdditionalAssumptions,Helper!$B$10,_xlpm._numAdditionalCountermeasures,Helper!$B$11,IF(_xlpm._isAssumption,IF(_xlpm._row&gt;_xlpm._numActiveAssumptions,$V75&amp;"-A"&amp;$Q75,INDEX(Assumptions!A:A,MATCH(_xlpm._row,Assumptions!$AG:$AG,0))),IF(_xlpm._row&gt;_xlpm._numActiveCountermeasures+_xlpm._numAdditionalCountermeasures,"",IF(_xlpm._row&gt;_xlpm._numActiveCountermeasures,$V75&amp;"-C"&amp;$Q75,INDEX(Countermeasures!$A:$A,MATCH(_xlpm._row,Countermeasures!$AI:$AI,0))))))</f>
        <v/>
      </c>
      <c r="B75" s="33" t="str" cm="1">
        <f t="array" ca="1" aca="1" ref="B75">IF($A75="","",_xlfn.LET(_xlpm._isAssumption,$J75,_xlpm._isAdditionalElement,$L75,IF(_xlpm._isAdditionalElement,IF(_xlpm._isAssumption,ParseElementsFromComment($U75,Definitions!$AR$4,Definitions!$AS$4,Definitions!$AR$6,$Q75),ParseElementsFromComment($U75,Definitions!$AR$5,Definitions!$AS$5,Definitions!$AR$6,$Q75)),_xlfn.LET(_xlpm._value,IF($A75="","",IF($J75,SimpleLookup($A75,Assumptions!$A:$B),SimpleLookup($A75,Countermeasures!$A:$B))),IF(_xlpm._value="","",_xlpm._value)))))</f>
        <v/>
      </c>
      <c r="C75" s="33" t="str" cm="1">
        <f t="array" ca="1" aca="1" ref="C75">IF($A75="","",IF($J75,IFERROR(SimpleLookup($A75,Assumptions!$A:$E),""),Definitions!$AO$4))</f>
        <v/>
      </c>
      <c r="D75" s="37" t="str">
        <f t="shared" ca="1" si="7"/>
        <v/>
      </c>
      <c r="E75" s="23"/>
      <c r="F75" s="59" t="str">
        <f t="shared" ca="1" si="8"/>
        <v/>
      </c>
      <c r="G75" s="122" t="str" cm="1">
        <f t="array" ca="1" aca="1" ref="G75">_xlfn.LET(_xlpm._val,IFERROR(SimpleLookup($A75,Countermeasures!$A:$R),IFERROR(SimpleLookup($A75,Assumptions!$A:$R),"")),IF(_xlpm._val="","",_xlpm._val))</f>
        <v/>
      </c>
      <c r="H75" s="33" t="str" cm="1">
        <f t="array" ca="1" aca="1" ref="H75">_xlfn.LET(_xlpm._value,IF($A75="","",IFERROR(IF($J75,SimpleLookup($A75,Assumptions!$A:$S),SimpleLookup($A75,Countermeasures!$A:$S)),"")),IF(_xlpm._value="","",_xlpm._value))</f>
        <v/>
      </c>
      <c r="I75" s="10" cm="1">
        <f t="array" ca="1" aca="1" ref="I75">IF(ROW()=ROW($I$17)+1,0,INDEX($I:$I,ROW()-1))+IF($A75="",0,1)</f>
        <v>34</v>
      </c>
      <c r="J75" s="21" t="b">
        <f ca="1">_xlfn.LET(_xlpm._row,ROW()-ROW($K$17),_xlpm._numActiveAssumptions,Helper!$B$8,_xlpm._numAdditionalAssumptions,SUM(Table24['# Elements]),_xlpm._row&lt;=_xlpm._numActiveAssumptions+_xlpm._numAdditionalAssumptions)</f>
        <v>0</v>
      </c>
      <c r="K75" s="21">
        <f ca="1">_xlfn.LET(_xlpm._row,ROW()-ROW($K$17),_xlpm._numActiveAssumptions,Helper!$B$8,_xlpm._numAdditionalAssumptions,Helper!$B$10,_xlpm._isAssumption,$J75,_xlpm._elementID,IF(_xlpm._isAssumption,_xlpm._row,_xlpm._row-_xlpm._numActiveAssumptions-_xlpm._numAdditionalAssumptions),_xlpm._elementID)</f>
        <v>40</v>
      </c>
      <c r="L7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5" s="20" cm="1">
        <f t="array" ca="1" aca="1" ref="M75">IF($L75,IF(ROW()=ROW($M$17)+1,1,INDEX($M:$M,ROW()-1)+IF(INDEX($T:$T,ROW()-1),1,0)),1)</f>
        <v>1</v>
      </c>
      <c r="N75" s="20" t="str" cm="1">
        <f t="array" ca="1" aca="1" ref="N75">IF($L75=TRUE,_xlfn.LET(_xlpm._isAssumption,$J75,_xlpm._indexRange,IF(_xlpm._isAssumption,Table24['# Elements],Table25['# Elements]),_xlpm._lookupRow,$W75,INDEX(_xlpm._indexRange,_xlpm._lookupRow)),"")</f>
        <v/>
      </c>
      <c r="O75" s="20" t="str" cm="1">
        <f t="array" ca="1" aca="1" ref="O75">IF($N75="","",_xlfn.LET(_xlpm._prevRow,ROW()-1,IF(OR(INDEX($N:$N,_xlpm._prevRow)&lt;&gt;$N75,INDEX($M:$M,_xlpm._prevRow)&lt;&gt;$M75),1,INDEX($O:$O,_xlpm._prevRow)+IF(INDEX($S:$S,_xlpm._prevRow),1,0))))</f>
        <v/>
      </c>
      <c r="P75" s="20" t="str" cm="1">
        <f t="array" ca="1" aca="1" ref="P75">IF($O75="","",_xlfn.LET(_xlpm._isAssumption,$J75,_xlpm._sheetRow,$W75,_xlpm._sheetName,$X75,_xlpm._elementIDRange,IF(_xlpm._isAssumption,Table24[Element ID Column],Table25[Element ID Column]),_xlpm._numberOfElementsRange,IF(_xlpm._isAssumption,Table24[Number of Elements Column],Table25[Number of Elements Column]),SimpleLookup($O75,INDIRECT("'"&amp;_xlpm._sheetName&amp;"'!"&amp;INDEX(_xlpm._elementIDRange,_xlpm._sheetRow)&amp;":"&amp;INDEX(_xlpm._numberOfElementsRange,_xlpm._sheetRow)))))</f>
        <v/>
      </c>
      <c r="Q75" s="20" t="str" cm="1">
        <f t="array" ca="1" aca="1" ref="Q75">IF($O75="","",IF(OR(INDEX($O:$O,ROW()-1)&lt;&gt;$O75,INDEX($M:$M,ROW()-1)&lt;&gt;$M75),1,INDEX($Q:$Q,ROW()-1)+1))</f>
        <v/>
      </c>
      <c r="R75" s="20">
        <f t="shared" ca="1" si="9"/>
        <v>0</v>
      </c>
      <c r="S75" s="20" t="str">
        <f t="shared" ca="1" si="10"/>
        <v/>
      </c>
      <c r="T75" s="20" t="b">
        <f ca="1">_xlfn.LET(_xlpm._isAssumption,$J75,_xlpm._numberOfElementsRange,IF(_xlpm._isAssumption,Table24['# Elements],Table25['# Elements]),_xlpm._sheetRow,$W75,IF($L75,AND($S75,$R75=$N75),FALSE))</f>
        <v>0</v>
      </c>
      <c r="U75" s="20" t="str" cm="1">
        <f t="array" ca="1" aca="1" ref="U75">IF($L75,_xlfn.LET(_xlpm._elementID,$O75,_xlpm._isAssumption,$J75,_xlpm._sheetRow,$W75,_xlpm._sheetName,$X75,_xlpm._elementRow,$Y75,_xlpm._resultColumnLetter,IF(_xlpm._isAssumption,INDEX(Table24[Comment Column],_xlpm._sheetRow),INDEX(Table25[Comment Column],_xlpm._sheetRow)),INDEX(INDIRECT("'"&amp;_xlpm._sheetName&amp;"'!"&amp;_xlpm._resultColumnLetter&amp;":"&amp;_xlpm._resultColumnLetter),_xlpm._elementRow)),"")</f>
        <v/>
      </c>
      <c r="V75" s="20" t="str" cm="1">
        <f t="array" ca="1" aca="1" ref="V75">IF($L75,_xlfn.LET(_xlpm._elementID,$O75,_xlpm._isAssumption,$J75,_xlpm._sheetRow,$W75,_xlpm._sheetName,$X75,_xlpm._resultColumnLetter,IF(_xlpm._isAssumption,INDEX(Table24[Sheet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5" s="20" t="str">
        <f ca="1">IF($L75=TRUE,_xlfn.LET(_xlpm._isAssumption,$J75,_xlpm._searchRange,IF(_xlpm._isAssumption,Table24[Task Sheet Shadow ID],Table25[Task Sheet Shadow ID]),MATCH($M75,_xlpm._searchRange,0)),"")</f>
        <v/>
      </c>
      <c r="X75" s="20" t="str" cm="1">
        <f t="array" ca="1" aca="1" ref="X75">IF($L75,_xlfn.LET(_xlpm._isAssumption,$J75,_xlpm._sheetRow,$W75,IF(_xlpm._isAssumption,INDEX(Table24[Sheet Name],_xlpm._sheetRow),INDEX(Table25[Sheet Name],_xlpm._sheetRow))),"")</f>
        <v/>
      </c>
      <c r="Y75" s="20" t="str" cm="1">
        <f t="array" ca="1" aca="1" ref="Y75">IF($L75,_xlfn.LET(_xlpm._elementID,$O75,_xlpm._isAssumption,$J75,_xlpm._sheetRow,$W75,_xlpm._sheetName,$X75,_xlpm._elementIDColumnLetter,IF(_xlpm._isAssumption,INDEX(Table24[Element ID Column],_xlpm._sheetRow),INDEX(Table25[Element ID Column],_xlpm._sheetRow)),MATCH(_xlpm._elementID,INDIRECT("'"&amp;_xlpm._sheetName&amp;"'!"&amp;_xlpm._elementIDColumnLetter&amp;":"&amp;_xlpm._elementIDColumnLetter),0)),"")</f>
        <v/>
      </c>
      <c r="Z75" s="20" t="str" cm="1">
        <f t="array" ca="1" aca="1" ref="Z75">IF($A75="","",_xlfn.LET(_xlpm._isAssumption,$J75,_xlpm._isAdditionalElement,$L75,_xlpm._sheetRow,$W75,_xlpm._sheetName,$X75,_xlpm._columnLetter,INDEX(IF(_xlpm._isAdditionalElement,Table24[Comment Column],Table25[Comment Column]),_xlpm._sheetRow),_xlpm._sheetReference,IF(_xlpm._isAssumption,IF(_xlpm._isAdditionalElement,CELL("address",INDEX(INDIRECT("'"&amp;_xlpm._sheetName&amp;"'!"&amp;_xlpm._columnLetter&amp;":"&amp;_xlpm._columnLetter),$Y75)),CELL("address",INDEX(Assumptions!$A:$A,MATCH($A75,Assumptions!$A:$A,0),1))),IF(_xlpm._isAdditionalElement,CELL("address",INDEX(INDIRECT("'"&amp;_xlpm._sheetName&amp;"'!"&amp;_xlpm._columnLetter&amp;":"&amp;_xlpm._columnLetter),$Y75)),CELL("address",INDEX(Countermeasures!$A:$A,MATCH($A75,Countermeasures!$A:$A,0),1)))),_xlpm._start,FIND("]",_xlpm._sheetReference),"'"&amp;SUBSTITUTE(SUBSTITUTE(RIGHT(_xlpm._sheetReference,LEN(_xlpm._sheetReference)-_xlpm._start),"'",""),"!","'!")))</f>
        <v/>
      </c>
      <c r="AA75" s="20" t="str" cm="1">
        <f t="array" ca="1" aca="1" ref="AA75">IF(NOT($L75),_xlfn.LET(_xlpm._value,IF($A75="","",IF($J75,SimpleLookup($A75,Assumptions!$A:$AK),SimpleLookup($A75,Countermeasures!$A:$AN))),IF(_xlpm._value="","",_xlpm._value)),"")</f>
        <v/>
      </c>
      <c r="AB75" s="20" t="str" cm="1">
        <f t="array" ca="1" aca="1" ref="AB75">LookupNames(InverseLookup($A75,Mitigation!$AD$2,Mitigation!$A$2,1,Helper!$B$5,","),'Attack Steps'!$A:$B)</f>
        <v/>
      </c>
      <c r="AC75" s="20" t="str" cm="1">
        <f t="array" ca="1" aca="1" ref="AC75">IF($L75,_xlfn.LET(_xlpm._in,$A75,_xlpm._lastDashNum,LEN(_xlpm._in)-LEN(SUBSTITUTE(_xlpm._in,"-","")),_xlpm._lastDashPos,FIND(CHAR(1),SUBSTITUTE(_xlpm._in,"-",CHAR(1),_xlpm._lastDashNum)),_xlpm._id,LEFT(_xlpm._in,_xlpm._lastDashPos-1),_xlpm._id&amp;"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5" s="20" t="str" cm="1">
        <f t="array" ca="1" aca="1" ref="AD75">_xlfn.LET(_xlpm._countermeasures,InverseLookup($A75,Countermeasures!$AG$2,Countermeasures!$A$2,1,Helper!$B$4,","),LookupNames(_xlpm._countermeasures,Countermeasures!$A:$B))</f>
        <v/>
      </c>
      <c r="AE75" s="20" t="str" cm="1">
        <f t="array" ca="1" aca="1" ref="AE75">IF($E75="","",_xlfn.LET(_xlpm._id,$E75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5" s="20" t="str" cm="1">
        <f t="array" ca="1" aca="1" ref="AF75">IF(OR($A75="",$L75),"",_xlfn.LET(_xlpm._answers,IF($J75,SimpleLookup($A75,Assumptions!$A:$F),SimpleLookup($A75,Countermeasures!$A:$D)),IF(_xlpm._answers="*",IF($J75,SimpleLookup($A75,Assumptions!$A:$C),SimpleLookup($A75,Countermeasures!$A:$C)),"")))</f>
        <v/>
      </c>
      <c r="AG75" s="20" t="str" cm="1">
        <f t="array" ca="1" aca="1" ref="AG75">IF(NOT($L75),"",_xlfn.LET(_xlpm._mappedInMitigation,IFERROR(VLOOKUP($V75,'Attack Steps'!$A:$O,COLUMNS('Attack Steps'!$A:$O),FALSE),""),CreateSearchString(_xlpm._mappedInMitigation)))</f>
        <v/>
      </c>
      <c r="AH75" s="20" t="b">
        <f ca="1">ROW()-ROW($AH$17)=Helper!$B$15</f>
        <v>0</v>
      </c>
      <c r="AI75" s="20" t="str">
        <f t="shared" ca="1" si="11"/>
        <v/>
      </c>
      <c r="AJ75" s="20" cm="1">
        <f t="array" ca="1" aca="1" ref="AJ75">CreateID($AJ$17,$AJ:$AJ,$AI75&lt;&gt;"")</f>
        <v>0</v>
      </c>
    </row>
    <row r="76" spans="1:36" ht="15">
      <c r="A76" s="16" t="str">
        <f ca="1">_xlfn.LET(_xlpm._isAssumption,$J76,_xlpm._row,$K76,_xlpm._numActiveAssumptions,Helper!$B$8,_xlpm._numActiveCountermeasures,Helper!$B$9,_xlpm._numAdditionalAssumptions,Helper!$B$10,_xlpm._numAdditionalCountermeasures,Helper!$B$11,IF(_xlpm._isAssumption,IF(_xlpm._row&gt;_xlpm._numActiveAssumptions,$V76&amp;"-A"&amp;$Q76,INDEX(Assumptions!A:A,MATCH(_xlpm._row,Assumptions!$AG:$AG,0))),IF(_xlpm._row&gt;_xlpm._numActiveCountermeasures+_xlpm._numAdditionalCountermeasures,"",IF(_xlpm._row&gt;_xlpm._numActiveCountermeasures,$V76&amp;"-C"&amp;$Q76,INDEX(Countermeasures!$A:$A,MATCH(_xlpm._row,Countermeasures!$AI:$AI,0))))))</f>
        <v/>
      </c>
      <c r="B76" s="33" t="str" cm="1">
        <f t="array" ca="1" aca="1" ref="B76">IF($A76="","",_xlfn.LET(_xlpm._isAssumption,$J76,_xlpm._isAdditionalElement,$L76,IF(_xlpm._isAdditionalElement,IF(_xlpm._isAssumption,ParseElementsFromComment($U76,Definitions!$AR$4,Definitions!$AS$4,Definitions!$AR$6,$Q76),ParseElementsFromComment($U76,Definitions!$AR$5,Definitions!$AS$5,Definitions!$AR$6,$Q76)),_xlfn.LET(_xlpm._value,IF($A76="","",IF($J76,SimpleLookup($A76,Assumptions!$A:$B),SimpleLookup($A76,Countermeasures!$A:$B))),IF(_xlpm._value="","",_xlpm._value)))))</f>
        <v/>
      </c>
      <c r="C76" s="33" t="str" cm="1">
        <f t="array" ca="1" aca="1" ref="C76">IF($A76="","",IF($J76,IFERROR(SimpleLookup($A76,Assumptions!$A:$E),""),Definitions!$AO$4))</f>
        <v/>
      </c>
      <c r="D76" s="37" t="str">
        <f t="shared" ca="1" si="7"/>
        <v/>
      </c>
      <c r="E76" s="23"/>
      <c r="F76" s="59" t="str">
        <f t="shared" ca="1" si="8"/>
        <v/>
      </c>
      <c r="G76" s="122" t="str" cm="1">
        <f t="array" ca="1" aca="1" ref="G76">_xlfn.LET(_xlpm._val,IFERROR(SimpleLookup($A76,Countermeasures!$A:$R),IFERROR(SimpleLookup($A76,Assumptions!$A:$R),"")),IF(_xlpm._val="","",_xlpm._val))</f>
        <v/>
      </c>
      <c r="H76" s="33" t="str" cm="1">
        <f t="array" ca="1" aca="1" ref="H76">_xlfn.LET(_xlpm._value,IF($A76="","",IFERROR(IF($J76,SimpleLookup($A76,Assumptions!$A:$S),SimpleLookup($A76,Countermeasures!$A:$S)),"")),IF(_xlpm._value="","",_xlpm._value))</f>
        <v/>
      </c>
      <c r="I76" s="10" cm="1">
        <f t="array" ca="1" aca="1" ref="I76">IF(ROW()=ROW($I$17)+1,0,INDEX($I:$I,ROW()-1))+IF($A76="",0,1)</f>
        <v>34</v>
      </c>
      <c r="J76" s="21" t="b">
        <f ca="1">_xlfn.LET(_xlpm._row,ROW()-ROW($K$17),_xlpm._numActiveAssumptions,Helper!$B$8,_xlpm._numAdditionalAssumptions,SUM(Table24['# Elements]),_xlpm._row&lt;=_xlpm._numActiveAssumptions+_xlpm._numAdditionalAssumptions)</f>
        <v>0</v>
      </c>
      <c r="K76" s="21">
        <f ca="1">_xlfn.LET(_xlpm._row,ROW()-ROW($K$17),_xlpm._numActiveAssumptions,Helper!$B$8,_xlpm._numAdditionalAssumptions,Helper!$B$10,_xlpm._isAssumption,$J76,_xlpm._elementID,IF(_xlpm._isAssumption,_xlpm._row,_xlpm._row-_xlpm._numActiveAssumptions-_xlpm._numAdditionalAssumptions),_xlpm._elementID)</f>
        <v>41</v>
      </c>
      <c r="L7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6" s="20" cm="1">
        <f t="array" ca="1" aca="1" ref="M76">IF($L76,IF(ROW()=ROW($M$17)+1,1,INDEX($M:$M,ROW()-1)+IF(INDEX($T:$T,ROW()-1),1,0)),1)</f>
        <v>1</v>
      </c>
      <c r="N76" s="20" t="str" cm="1">
        <f t="array" ca="1" aca="1" ref="N76">IF($L76=TRUE,_xlfn.LET(_xlpm._isAssumption,$J76,_xlpm._indexRange,IF(_xlpm._isAssumption,Table24['# Elements],Table25['# Elements]),_xlpm._lookupRow,$W76,INDEX(_xlpm._indexRange,_xlpm._lookupRow)),"")</f>
        <v/>
      </c>
      <c r="O76" s="20" t="str" cm="1">
        <f t="array" ca="1" aca="1" ref="O76">IF($N76="","",_xlfn.LET(_xlpm._prevRow,ROW()-1,IF(OR(INDEX($N:$N,_xlpm._prevRow)&lt;&gt;$N76,INDEX($M:$M,_xlpm._prevRow)&lt;&gt;$M76),1,INDEX($O:$O,_xlpm._prevRow)+IF(INDEX($S:$S,_xlpm._prevRow),1,0))))</f>
        <v/>
      </c>
      <c r="P76" s="20" t="str" cm="1">
        <f t="array" ca="1" aca="1" ref="P76">IF($O76="","",_xlfn.LET(_xlpm._isAssumption,$J76,_xlpm._sheetRow,$W76,_xlpm._sheetName,$X76,_xlpm._elementIDRange,IF(_xlpm._isAssumption,Table24[Element ID Column],Table25[Element ID Column]),_xlpm._numberOfElementsRange,IF(_xlpm._isAssumption,Table24[Number of Elements Column],Table25[Number of Elements Column]),SimpleLookup($O76,INDIRECT("'"&amp;_xlpm._sheetName&amp;"'!"&amp;INDEX(_xlpm._elementIDRange,_xlpm._sheetRow)&amp;":"&amp;INDEX(_xlpm._numberOfElementsRange,_xlpm._sheetRow)))))</f>
        <v/>
      </c>
      <c r="Q76" s="20" t="str" cm="1">
        <f t="array" ca="1" aca="1" ref="Q76">IF($O76="","",IF(OR(INDEX($O:$O,ROW()-1)&lt;&gt;$O76,INDEX($M:$M,ROW()-1)&lt;&gt;$M76),1,INDEX($Q:$Q,ROW()-1)+1))</f>
        <v/>
      </c>
      <c r="R76" s="20">
        <f t="shared" ca="1" si="9"/>
        <v>0</v>
      </c>
      <c r="S76" s="20" t="str">
        <f t="shared" ca="1" si="10"/>
        <v/>
      </c>
      <c r="T76" s="20" t="b">
        <f ca="1">_xlfn.LET(_xlpm._isAssumption,$J76,_xlpm._numberOfElementsRange,IF(_xlpm._isAssumption,Table24['# Elements],Table25['# Elements]),_xlpm._sheetRow,$W76,IF($L76,AND($S76,$R76=$N76),FALSE))</f>
        <v>0</v>
      </c>
      <c r="U76" s="20" t="str" cm="1">
        <f t="array" ca="1" aca="1" ref="U76">IF($L76,_xlfn.LET(_xlpm._elementID,$O76,_xlpm._isAssumption,$J76,_xlpm._sheetRow,$W76,_xlpm._sheetName,$X76,_xlpm._elementRow,$Y76,_xlpm._resultColumnLetter,IF(_xlpm._isAssumption,INDEX(Table24[Comment Column],_xlpm._sheetRow),INDEX(Table25[Comment Column],_xlpm._sheetRow)),INDEX(INDIRECT("'"&amp;_xlpm._sheetName&amp;"'!"&amp;_xlpm._resultColumnLetter&amp;":"&amp;_xlpm._resultColumnLetter),_xlpm._elementRow)),"")</f>
        <v/>
      </c>
      <c r="V76" s="20" t="str" cm="1">
        <f t="array" ca="1" aca="1" ref="V76">IF($L76,_xlfn.LET(_xlpm._elementID,$O76,_xlpm._isAssumption,$J76,_xlpm._sheetRow,$W76,_xlpm._sheetName,$X76,_xlpm._resultColumnLetter,IF(_xlpm._isAssumption,INDEX(Table24[Sheet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6" s="20" t="str">
        <f ca="1">IF($L76=TRUE,_xlfn.LET(_xlpm._isAssumption,$J76,_xlpm._searchRange,IF(_xlpm._isAssumption,Table24[Task Sheet Shadow ID],Table25[Task Sheet Shadow ID]),MATCH($M76,_xlpm._searchRange,0)),"")</f>
        <v/>
      </c>
      <c r="X76" s="20" t="str" cm="1">
        <f t="array" ca="1" aca="1" ref="X76">IF($L76,_xlfn.LET(_xlpm._isAssumption,$J76,_xlpm._sheetRow,$W76,IF(_xlpm._isAssumption,INDEX(Table24[Sheet Name],_xlpm._sheetRow),INDEX(Table25[Sheet Name],_xlpm._sheetRow))),"")</f>
        <v/>
      </c>
      <c r="Y76" s="20" t="str" cm="1">
        <f t="array" ca="1" aca="1" ref="Y76">IF($L76,_xlfn.LET(_xlpm._elementID,$O76,_xlpm._isAssumption,$J76,_xlpm._sheetRow,$W76,_xlpm._sheetName,$X76,_xlpm._elementIDColumnLetter,IF(_xlpm._isAssumption,INDEX(Table24[Element ID Column],_xlpm._sheetRow),INDEX(Table25[Element ID Column],_xlpm._sheetRow)),MATCH(_xlpm._elementID,INDIRECT("'"&amp;_xlpm._sheetName&amp;"'!"&amp;_xlpm._elementIDColumnLetter&amp;":"&amp;_xlpm._elementIDColumnLetter),0)),"")</f>
        <v/>
      </c>
      <c r="Z76" s="20" t="str" cm="1">
        <f t="array" ca="1" aca="1" ref="Z76">IF($A76="","",_xlfn.LET(_xlpm._isAssumption,$J76,_xlpm._isAdditionalElement,$L76,_xlpm._sheetRow,$W76,_xlpm._sheetName,$X76,_xlpm._columnLetter,INDEX(IF(_xlpm._isAdditionalElement,Table24[Comment Column],Table25[Comment Column]),_xlpm._sheetRow),_xlpm._sheetReference,IF(_xlpm._isAssumption,IF(_xlpm._isAdditionalElement,CELL("address",INDEX(INDIRECT("'"&amp;_xlpm._sheetName&amp;"'!"&amp;_xlpm._columnLetter&amp;":"&amp;_xlpm._columnLetter),$Y76)),CELL("address",INDEX(Assumptions!$A:$A,MATCH($A76,Assumptions!$A:$A,0),1))),IF(_xlpm._isAdditionalElement,CELL("address",INDEX(INDIRECT("'"&amp;_xlpm._sheetName&amp;"'!"&amp;_xlpm._columnLetter&amp;":"&amp;_xlpm._columnLetter),$Y76)),CELL("address",INDEX(Countermeasures!$A:$A,MATCH($A76,Countermeasures!$A:$A,0),1)))),_xlpm._start,FIND("]",_xlpm._sheetReference),"'"&amp;SUBSTITUTE(SUBSTITUTE(RIGHT(_xlpm._sheetReference,LEN(_xlpm._sheetReference)-_xlpm._start),"'",""),"!","'!")))</f>
        <v/>
      </c>
      <c r="AA76" s="20" t="str" cm="1">
        <f t="array" ca="1" aca="1" ref="AA76">IF(NOT($L76),_xlfn.LET(_xlpm._value,IF($A76="","",IF($J76,SimpleLookup($A76,Assumptions!$A:$AK),SimpleLookup($A76,Countermeasures!$A:$AN))),IF(_xlpm._value="","",_xlpm._value)),"")</f>
        <v/>
      </c>
      <c r="AB76" s="20" t="str" cm="1">
        <f t="array" ca="1" aca="1" ref="AB76">LookupNames(InverseLookup($A76,Mitigation!$AD$2,Mitigation!$A$2,1,Helper!$B$5,","),'Attack Steps'!$A:$B)</f>
        <v/>
      </c>
      <c r="AC76" s="20" t="str" cm="1">
        <f t="array" ca="1" aca="1" ref="AC76">IF($L76,_xlfn.LET(_xlpm._in,$A76,_xlpm._lastDashNum,LEN(_xlpm._in)-LEN(SUBSTITUTE(_xlpm._in,"-","")),_xlpm._lastDashPos,FIND(CHAR(1),SUBSTITUTE(_xlpm._in,"-",CHAR(1),_xlpm._lastDashNum)),_xlpm._id,LEFT(_xlpm._in,_xlpm._lastDashPos-1),_xlpm._id&amp;"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6" s="20" t="str" cm="1">
        <f t="array" ca="1" aca="1" ref="AD76">_xlfn.LET(_xlpm._countermeasures,InverseLookup($A76,Countermeasures!$AG$2,Countermeasures!$A$2,1,Helper!$B$4,","),LookupNames(_xlpm._countermeasures,Countermeasures!$A:$B))</f>
        <v/>
      </c>
      <c r="AE76" s="20" t="str" cm="1">
        <f t="array" ca="1" aca="1" ref="AE76">IF($E76="","",_xlfn.LET(_xlpm._id,$E76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6" s="20" t="str" cm="1">
        <f t="array" ca="1" aca="1" ref="AF76">IF(OR($A76="",$L76),"",_xlfn.LET(_xlpm._answers,IF($J76,SimpleLookup($A76,Assumptions!$A:$F),SimpleLookup($A76,Countermeasures!$A:$D)),IF(_xlpm._answers="*",IF($J76,SimpleLookup($A76,Assumptions!$A:$C),SimpleLookup($A76,Countermeasures!$A:$C)),"")))</f>
        <v/>
      </c>
      <c r="AG76" s="20" t="str" cm="1">
        <f t="array" ca="1" aca="1" ref="AG76">IF(NOT($L76),"",_xlfn.LET(_xlpm._mappedInMitigation,IFERROR(VLOOKUP($V76,'Attack Steps'!$A:$O,COLUMNS('Attack Steps'!$A:$O),FALSE),""),CreateSearchString(_xlpm._mappedInMitigation)))</f>
        <v/>
      </c>
      <c r="AH76" s="20" t="b">
        <f ca="1">ROW()-ROW($AH$17)=Helper!$B$15</f>
        <v>0</v>
      </c>
      <c r="AI76" s="20" t="str">
        <f t="shared" ca="1" si="11"/>
        <v/>
      </c>
      <c r="AJ76" s="20" cm="1">
        <f t="array" ca="1" aca="1" ref="AJ76">CreateID($AJ$17,$AJ:$AJ,$AI76&lt;&gt;"")</f>
        <v>0</v>
      </c>
    </row>
    <row r="77" spans="1:36" ht="15">
      <c r="A77" s="16" t="str">
        <f ca="1">_xlfn.LET(_xlpm._isAssumption,$J77,_xlpm._row,$K77,_xlpm._numActiveAssumptions,Helper!$B$8,_xlpm._numActiveCountermeasures,Helper!$B$9,_xlpm._numAdditionalAssumptions,Helper!$B$10,_xlpm._numAdditionalCountermeasures,Helper!$B$11,IF(_xlpm._isAssumption,IF(_xlpm._row&gt;_xlpm._numActiveAssumptions,$V77&amp;"-A"&amp;$Q77,INDEX(Assumptions!A:A,MATCH(_xlpm._row,Assumptions!$AG:$AG,0))),IF(_xlpm._row&gt;_xlpm._numActiveCountermeasures+_xlpm._numAdditionalCountermeasures,"",IF(_xlpm._row&gt;_xlpm._numActiveCountermeasures,$V77&amp;"-C"&amp;$Q77,INDEX(Countermeasures!$A:$A,MATCH(_xlpm._row,Countermeasures!$AI:$AI,0))))))</f>
        <v/>
      </c>
      <c r="B77" s="33" t="str" cm="1">
        <f t="array" ca="1" aca="1" ref="B77">IF($A77="","",_xlfn.LET(_xlpm._isAssumption,$J77,_xlpm._isAdditionalElement,$L77,IF(_xlpm._isAdditionalElement,IF(_xlpm._isAssumption,ParseElementsFromComment($U77,Definitions!$AR$4,Definitions!$AS$4,Definitions!$AR$6,$Q77),ParseElementsFromComment($U77,Definitions!$AR$5,Definitions!$AS$5,Definitions!$AR$6,$Q77)),_xlfn.LET(_xlpm._value,IF($A77="","",IF($J77,SimpleLookup($A77,Assumptions!$A:$B),SimpleLookup($A77,Countermeasures!$A:$B))),IF(_xlpm._value="","",_xlpm._value)))))</f>
        <v/>
      </c>
      <c r="C77" s="33" t="str" cm="1">
        <f t="array" ca="1" aca="1" ref="C77">IF($A77="","",IF($J77,IFERROR(SimpleLookup($A77,Assumptions!$A:$E),""),Definitions!$AO$4))</f>
        <v/>
      </c>
      <c r="D77" s="37" t="str">
        <f t="shared" ca="1" si="7"/>
        <v/>
      </c>
      <c r="E77" s="23"/>
      <c r="F77" s="59" t="str">
        <f t="shared" ca="1" si="8"/>
        <v/>
      </c>
      <c r="G77" s="122" t="str" cm="1">
        <f t="array" ca="1" aca="1" ref="G77">_xlfn.LET(_xlpm._val,IFERROR(SimpleLookup($A77,Countermeasures!$A:$R),IFERROR(SimpleLookup($A77,Assumptions!$A:$R),"")),IF(_xlpm._val="","",_xlpm._val))</f>
        <v/>
      </c>
      <c r="H77" s="33" t="str" cm="1">
        <f t="array" ca="1" aca="1" ref="H77">_xlfn.LET(_xlpm._value,IF($A77="","",IFERROR(IF($J77,SimpleLookup($A77,Assumptions!$A:$S),SimpleLookup($A77,Countermeasures!$A:$S)),"")),IF(_xlpm._value="","",_xlpm._value))</f>
        <v/>
      </c>
      <c r="I77" s="10" cm="1">
        <f t="array" ca="1" aca="1" ref="I77">IF(ROW()=ROW($I$17)+1,0,INDEX($I:$I,ROW()-1))+IF($A77="",0,1)</f>
        <v>34</v>
      </c>
      <c r="J77" s="21" t="b">
        <f ca="1">_xlfn.LET(_xlpm._row,ROW()-ROW($K$17),_xlpm._numActiveAssumptions,Helper!$B$8,_xlpm._numAdditionalAssumptions,SUM(Table24['# Elements]),_xlpm._row&lt;=_xlpm._numActiveAssumptions+_xlpm._numAdditionalAssumptions)</f>
        <v>0</v>
      </c>
      <c r="K77" s="21">
        <f ca="1">_xlfn.LET(_xlpm._row,ROW()-ROW($K$17),_xlpm._numActiveAssumptions,Helper!$B$8,_xlpm._numAdditionalAssumptions,Helper!$B$10,_xlpm._isAssumption,$J77,_xlpm._elementID,IF(_xlpm._isAssumption,_xlpm._row,_xlpm._row-_xlpm._numActiveAssumptions-_xlpm._numAdditionalAssumptions),_xlpm._elementID)</f>
        <v>42</v>
      </c>
      <c r="L7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7" s="20" cm="1">
        <f t="array" ca="1" aca="1" ref="M77">IF($L77,IF(ROW()=ROW($M$17)+1,1,INDEX($M:$M,ROW()-1)+IF(INDEX($T:$T,ROW()-1),1,0)),1)</f>
        <v>1</v>
      </c>
      <c r="N77" s="20" t="str" cm="1">
        <f t="array" ca="1" aca="1" ref="N77">IF($L77=TRUE,_xlfn.LET(_xlpm._isAssumption,$J77,_xlpm._indexRange,IF(_xlpm._isAssumption,Table24['# Elements],Table25['# Elements]),_xlpm._lookupRow,$W77,INDEX(_xlpm._indexRange,_xlpm._lookupRow)),"")</f>
        <v/>
      </c>
      <c r="O77" s="20" t="str" cm="1">
        <f t="array" ca="1" aca="1" ref="O77">IF($N77="","",_xlfn.LET(_xlpm._prevRow,ROW()-1,IF(OR(INDEX($N:$N,_xlpm._prevRow)&lt;&gt;$N77,INDEX($M:$M,_xlpm._prevRow)&lt;&gt;$M77),1,INDEX($O:$O,_xlpm._prevRow)+IF(INDEX($S:$S,_xlpm._prevRow),1,0))))</f>
        <v/>
      </c>
      <c r="P77" s="20" t="str" cm="1">
        <f t="array" ca="1" aca="1" ref="P77">IF($O77="","",_xlfn.LET(_xlpm._isAssumption,$J77,_xlpm._sheetRow,$W77,_xlpm._sheetName,$X77,_xlpm._elementIDRange,IF(_xlpm._isAssumption,Table24[Element ID Column],Table25[Element ID Column]),_xlpm._numberOfElementsRange,IF(_xlpm._isAssumption,Table24[Number of Elements Column],Table25[Number of Elements Column]),SimpleLookup($O77,INDIRECT("'"&amp;_xlpm._sheetName&amp;"'!"&amp;INDEX(_xlpm._elementIDRange,_xlpm._sheetRow)&amp;":"&amp;INDEX(_xlpm._numberOfElementsRange,_xlpm._sheetRow)))))</f>
        <v/>
      </c>
      <c r="Q77" s="20" t="str" cm="1">
        <f t="array" ca="1" aca="1" ref="Q77">IF($O77="","",IF(OR(INDEX($O:$O,ROW()-1)&lt;&gt;$O77,INDEX($M:$M,ROW()-1)&lt;&gt;$M77),1,INDEX($Q:$Q,ROW()-1)+1))</f>
        <v/>
      </c>
      <c r="R77" s="20">
        <f t="shared" ca="1" si="9"/>
        <v>0</v>
      </c>
      <c r="S77" s="20" t="str">
        <f t="shared" ca="1" si="10"/>
        <v/>
      </c>
      <c r="T77" s="20" t="b">
        <f ca="1">_xlfn.LET(_xlpm._isAssumption,$J77,_xlpm._numberOfElementsRange,IF(_xlpm._isAssumption,Table24['# Elements],Table25['# Elements]),_xlpm._sheetRow,$W77,IF($L77,AND($S77,$R77=$N77),FALSE))</f>
        <v>0</v>
      </c>
      <c r="U77" s="20" t="str" cm="1">
        <f t="array" ca="1" aca="1" ref="U77">IF($L77,_xlfn.LET(_xlpm._elementID,$O77,_xlpm._isAssumption,$J77,_xlpm._sheetRow,$W77,_xlpm._sheetName,$X77,_xlpm._elementRow,$Y77,_xlpm._resultColumnLetter,IF(_xlpm._isAssumption,INDEX(Table24[Comment Column],_xlpm._sheetRow),INDEX(Table25[Comment Column],_xlpm._sheetRow)),INDEX(INDIRECT("'"&amp;_xlpm._sheetName&amp;"'!"&amp;_xlpm._resultColumnLetter&amp;":"&amp;_xlpm._resultColumnLetter),_xlpm._elementRow)),"")</f>
        <v/>
      </c>
      <c r="V77" s="20" t="str" cm="1">
        <f t="array" ca="1" aca="1" ref="V77">IF($L77,_xlfn.LET(_xlpm._elementID,$O77,_xlpm._isAssumption,$J77,_xlpm._sheetRow,$W77,_xlpm._sheetName,$X77,_xlpm._resultColumnLetter,IF(_xlpm._isAssumption,INDEX(Table24[Sheet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7" s="20" t="str">
        <f ca="1">IF($L77=TRUE,_xlfn.LET(_xlpm._isAssumption,$J77,_xlpm._searchRange,IF(_xlpm._isAssumption,Table24[Task Sheet Shadow ID],Table25[Task Sheet Shadow ID]),MATCH($M77,_xlpm._searchRange,0)),"")</f>
        <v/>
      </c>
      <c r="X77" s="20" t="str" cm="1">
        <f t="array" ca="1" aca="1" ref="X77">IF($L77,_xlfn.LET(_xlpm._isAssumption,$J77,_xlpm._sheetRow,$W77,IF(_xlpm._isAssumption,INDEX(Table24[Sheet Name],_xlpm._sheetRow),INDEX(Table25[Sheet Name],_xlpm._sheetRow))),"")</f>
        <v/>
      </c>
      <c r="Y77" s="20" t="str" cm="1">
        <f t="array" ca="1" aca="1" ref="Y77">IF($L77,_xlfn.LET(_xlpm._elementID,$O77,_xlpm._isAssumption,$J77,_xlpm._sheetRow,$W77,_xlpm._sheetName,$X77,_xlpm._elementIDColumnLetter,IF(_xlpm._isAssumption,INDEX(Table24[Element ID Column],_xlpm._sheetRow),INDEX(Table25[Element ID Column],_xlpm._sheetRow)),MATCH(_xlpm._elementID,INDIRECT("'"&amp;_xlpm._sheetName&amp;"'!"&amp;_xlpm._elementIDColumnLetter&amp;":"&amp;_xlpm._elementIDColumnLetter),0)),"")</f>
        <v/>
      </c>
      <c r="Z77" s="20" t="str" cm="1">
        <f t="array" ca="1" aca="1" ref="Z77">IF($A77="","",_xlfn.LET(_xlpm._isAssumption,$J77,_xlpm._isAdditionalElement,$L77,_xlpm._sheetRow,$W77,_xlpm._sheetName,$X77,_xlpm._columnLetter,INDEX(IF(_xlpm._isAdditionalElement,Table24[Comment Column],Table25[Comment Column]),_xlpm._sheetRow),_xlpm._sheetReference,IF(_xlpm._isAssumption,IF(_xlpm._isAdditionalElement,CELL("address",INDEX(INDIRECT("'"&amp;_xlpm._sheetName&amp;"'!"&amp;_xlpm._columnLetter&amp;":"&amp;_xlpm._columnLetter),$Y77)),CELL("address",INDEX(Assumptions!$A:$A,MATCH($A77,Assumptions!$A:$A,0),1))),IF(_xlpm._isAdditionalElement,CELL("address",INDEX(INDIRECT("'"&amp;_xlpm._sheetName&amp;"'!"&amp;_xlpm._columnLetter&amp;":"&amp;_xlpm._columnLetter),$Y77)),CELL("address",INDEX(Countermeasures!$A:$A,MATCH($A77,Countermeasures!$A:$A,0),1)))),_xlpm._start,FIND("]",_xlpm._sheetReference),"'"&amp;SUBSTITUTE(SUBSTITUTE(RIGHT(_xlpm._sheetReference,LEN(_xlpm._sheetReference)-_xlpm._start),"'",""),"!","'!")))</f>
        <v/>
      </c>
      <c r="AA77" s="20" t="str" cm="1">
        <f t="array" ca="1" aca="1" ref="AA77">IF(NOT($L77),_xlfn.LET(_xlpm._value,IF($A77="","",IF($J77,SimpleLookup($A77,Assumptions!$A:$AK),SimpleLookup($A77,Countermeasures!$A:$AN))),IF(_xlpm._value="","",_xlpm._value)),"")</f>
        <v/>
      </c>
      <c r="AB77" s="20" t="str" cm="1">
        <f t="array" ca="1" aca="1" ref="AB77">LookupNames(InverseLookup($A77,Mitigation!$AD$2,Mitigation!$A$2,1,Helper!$B$5,","),'Attack Steps'!$A:$B)</f>
        <v/>
      </c>
      <c r="AC77" s="20" t="str" cm="1">
        <f t="array" ca="1" aca="1" ref="AC77">IF($L77,_xlfn.LET(_xlpm._in,$A77,_xlpm._lastDashNum,LEN(_xlpm._in)-LEN(SUBSTITUTE(_xlpm._in,"-","")),_xlpm._lastDashPos,FIND(CHAR(1),SUBSTITUTE(_xlpm._in,"-",CHAR(1),_xlpm._lastDashNum)),_xlpm._id,LEFT(_xlpm._in,_xlpm._lastDashPos-1),_xlpm._id&amp;"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7" s="20" t="str" cm="1">
        <f t="array" ca="1" aca="1" ref="AD77">_xlfn.LET(_xlpm._countermeasures,InverseLookup($A77,Countermeasures!$AG$2,Countermeasures!$A$2,1,Helper!$B$4,","),LookupNames(_xlpm._countermeasures,Countermeasures!$A:$B))</f>
        <v/>
      </c>
      <c r="AE77" s="20" t="str" cm="1">
        <f t="array" ca="1" aca="1" ref="AE77">IF($E77="","",_xlfn.LET(_xlpm._id,$E77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7" s="20" t="str" cm="1">
        <f t="array" ca="1" aca="1" ref="AF77">IF(OR($A77="",$L77),"",_xlfn.LET(_xlpm._answers,IF($J77,SimpleLookup($A77,Assumptions!$A:$F),SimpleLookup($A77,Countermeasures!$A:$D)),IF(_xlpm._answers="*",IF($J77,SimpleLookup($A77,Assumptions!$A:$C),SimpleLookup($A77,Countermeasures!$A:$C)),"")))</f>
        <v/>
      </c>
      <c r="AG77" s="20" t="str" cm="1">
        <f t="array" ca="1" aca="1" ref="AG77">IF(NOT($L77),"",_xlfn.LET(_xlpm._mappedInMitigation,IFERROR(VLOOKUP($V77,'Attack Steps'!$A:$O,COLUMNS('Attack Steps'!$A:$O),FALSE),""),CreateSearchString(_xlpm._mappedInMitigation)))</f>
        <v/>
      </c>
      <c r="AH77" s="20" t="b">
        <f ca="1">ROW()-ROW($AH$17)=Helper!$B$15</f>
        <v>0</v>
      </c>
      <c r="AI77" s="20" t="str">
        <f t="shared" ca="1" si="11"/>
        <v/>
      </c>
      <c r="AJ77" s="20" cm="1">
        <f t="array" ca="1" aca="1" ref="AJ77">CreateID($AJ$17,$AJ:$AJ,$AI77&lt;&gt;"")</f>
        <v>0</v>
      </c>
    </row>
    <row r="78" spans="1:36" ht="15">
      <c r="A78" s="16" t="str">
        <f ca="1">_xlfn.LET(_xlpm._isAssumption,$J78,_xlpm._row,$K78,_xlpm._numActiveAssumptions,Helper!$B$8,_xlpm._numActiveCountermeasures,Helper!$B$9,_xlpm._numAdditionalAssumptions,Helper!$B$10,_xlpm._numAdditionalCountermeasures,Helper!$B$11,IF(_xlpm._isAssumption,IF(_xlpm._row&gt;_xlpm._numActiveAssumptions,$V78&amp;"-A"&amp;$Q78,INDEX(Assumptions!A:A,MATCH(_xlpm._row,Assumptions!$AG:$AG,0))),IF(_xlpm._row&gt;_xlpm._numActiveCountermeasures+_xlpm._numAdditionalCountermeasures,"",IF(_xlpm._row&gt;_xlpm._numActiveCountermeasures,$V78&amp;"-C"&amp;$Q78,INDEX(Countermeasures!$A:$A,MATCH(_xlpm._row,Countermeasures!$AI:$AI,0))))))</f>
        <v/>
      </c>
      <c r="B78" s="33" t="str" cm="1">
        <f t="array" ca="1" aca="1" ref="B78">IF($A78="","",_xlfn.LET(_xlpm._isAssumption,$J78,_xlpm._isAdditionalElement,$L78,IF(_xlpm._isAdditionalElement,IF(_xlpm._isAssumption,ParseElementsFromComment($U78,Definitions!$AR$4,Definitions!$AS$4,Definitions!$AR$6,$Q78),ParseElementsFromComment($U78,Definitions!$AR$5,Definitions!$AS$5,Definitions!$AR$6,$Q78)),_xlfn.LET(_xlpm._value,IF($A78="","",IF($J78,SimpleLookup($A78,Assumptions!$A:$B),SimpleLookup($A78,Countermeasures!$A:$B))),IF(_xlpm._value="","",_xlpm._value)))))</f>
        <v/>
      </c>
      <c r="C78" s="33" t="str" cm="1">
        <f t="array" ca="1" aca="1" ref="C78">IF($A78="","",IF($J78,IFERROR(SimpleLookup($A78,Assumptions!$A:$E),""),Definitions!$AO$4))</f>
        <v/>
      </c>
      <c r="D78" s="37" t="str">
        <f t="shared" ca="1" si="7"/>
        <v/>
      </c>
      <c r="E78" s="23"/>
      <c r="F78" s="59" t="str">
        <f t="shared" ca="1" si="8"/>
        <v/>
      </c>
      <c r="G78" s="122" t="str" cm="1">
        <f t="array" ca="1" aca="1" ref="G78">_xlfn.LET(_xlpm._val,IFERROR(SimpleLookup($A78,Countermeasures!$A:$R),IFERROR(SimpleLookup($A78,Assumptions!$A:$R),"")),IF(_xlpm._val="","",_xlpm._val))</f>
        <v/>
      </c>
      <c r="H78" s="33" t="str" cm="1">
        <f t="array" ca="1" aca="1" ref="H78">_xlfn.LET(_xlpm._value,IF($A78="","",IFERROR(IF($J78,SimpleLookup($A78,Assumptions!$A:$S),SimpleLookup($A78,Countermeasures!$A:$S)),"")),IF(_xlpm._value="","",_xlpm._value))</f>
        <v/>
      </c>
      <c r="I78" s="10" cm="1">
        <f t="array" ca="1" aca="1" ref="I78">IF(ROW()=ROW($I$17)+1,0,INDEX($I:$I,ROW()-1))+IF($A78="",0,1)</f>
        <v>34</v>
      </c>
      <c r="J78" s="21" t="b">
        <f ca="1">_xlfn.LET(_xlpm._row,ROW()-ROW($K$17),_xlpm._numActiveAssumptions,Helper!$B$8,_xlpm._numAdditionalAssumptions,SUM(Table24['# Elements]),_xlpm._row&lt;=_xlpm._numActiveAssumptions+_xlpm._numAdditionalAssumptions)</f>
        <v>0</v>
      </c>
      <c r="K78" s="21">
        <f ca="1">_xlfn.LET(_xlpm._row,ROW()-ROW($K$17),_xlpm._numActiveAssumptions,Helper!$B$8,_xlpm._numAdditionalAssumptions,Helper!$B$10,_xlpm._isAssumption,$J78,_xlpm._elementID,IF(_xlpm._isAssumption,_xlpm._row,_xlpm._row-_xlpm._numActiveAssumptions-_xlpm._numAdditionalAssumptions),_xlpm._elementID)</f>
        <v>43</v>
      </c>
      <c r="L7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8" s="20" cm="1">
        <f t="array" ca="1" aca="1" ref="M78">IF($L78,IF(ROW()=ROW($M$17)+1,1,INDEX($M:$M,ROW()-1)+IF(INDEX($T:$T,ROW()-1),1,0)),1)</f>
        <v>1</v>
      </c>
      <c r="N78" s="20" t="str" cm="1">
        <f t="array" ca="1" aca="1" ref="N78">IF($L78=TRUE,_xlfn.LET(_xlpm._isAssumption,$J78,_xlpm._indexRange,IF(_xlpm._isAssumption,Table24['# Elements],Table25['# Elements]),_xlpm._lookupRow,$W78,INDEX(_xlpm._indexRange,_xlpm._lookupRow)),"")</f>
        <v/>
      </c>
      <c r="O78" s="20" t="str" cm="1">
        <f t="array" ca="1" aca="1" ref="O78">IF($N78="","",_xlfn.LET(_xlpm._prevRow,ROW()-1,IF(OR(INDEX($N:$N,_xlpm._prevRow)&lt;&gt;$N78,INDEX($M:$M,_xlpm._prevRow)&lt;&gt;$M78),1,INDEX($O:$O,_xlpm._prevRow)+IF(INDEX($S:$S,_xlpm._prevRow),1,0))))</f>
        <v/>
      </c>
      <c r="P78" s="20" t="str" cm="1">
        <f t="array" ca="1" aca="1" ref="P78">IF($O78="","",_xlfn.LET(_xlpm._isAssumption,$J78,_xlpm._sheetRow,$W78,_xlpm._sheetName,$X78,_xlpm._elementIDRange,IF(_xlpm._isAssumption,Table24[Element ID Column],Table25[Element ID Column]),_xlpm._numberOfElementsRange,IF(_xlpm._isAssumption,Table24[Number of Elements Column],Table25[Number of Elements Column]),SimpleLookup($O78,INDIRECT("'"&amp;_xlpm._sheetName&amp;"'!"&amp;INDEX(_xlpm._elementIDRange,_xlpm._sheetRow)&amp;":"&amp;INDEX(_xlpm._numberOfElementsRange,_xlpm._sheetRow)))))</f>
        <v/>
      </c>
      <c r="Q78" s="20" t="str" cm="1">
        <f t="array" ca="1" aca="1" ref="Q78">IF($O78="","",IF(OR(INDEX($O:$O,ROW()-1)&lt;&gt;$O78,INDEX($M:$M,ROW()-1)&lt;&gt;$M78),1,INDEX($Q:$Q,ROW()-1)+1))</f>
        <v/>
      </c>
      <c r="R78" s="20">
        <f t="shared" ca="1" si="9"/>
        <v>0</v>
      </c>
      <c r="S78" s="20" t="str">
        <f t="shared" ca="1" si="10"/>
        <v/>
      </c>
      <c r="T78" s="20" t="b">
        <f ca="1">_xlfn.LET(_xlpm._isAssumption,$J78,_xlpm._numberOfElementsRange,IF(_xlpm._isAssumption,Table24['# Elements],Table25['# Elements]),_xlpm._sheetRow,$W78,IF($L78,AND($S78,$R78=$N78),FALSE))</f>
        <v>0</v>
      </c>
      <c r="U78" s="20" t="str" cm="1">
        <f t="array" ca="1" aca="1" ref="U78">IF($L78,_xlfn.LET(_xlpm._elementID,$O78,_xlpm._isAssumption,$J78,_xlpm._sheetRow,$W78,_xlpm._sheetName,$X78,_xlpm._elementRow,$Y78,_xlpm._resultColumnLetter,IF(_xlpm._isAssumption,INDEX(Table24[Comment Column],_xlpm._sheetRow),INDEX(Table25[Comment Column],_xlpm._sheetRow)),INDEX(INDIRECT("'"&amp;_xlpm._sheetName&amp;"'!"&amp;_xlpm._resultColumnLetter&amp;":"&amp;_xlpm._resultColumnLetter),_xlpm._elementRow)),"")</f>
        <v/>
      </c>
      <c r="V78" s="20" t="str" cm="1">
        <f t="array" ca="1" aca="1" ref="V78">IF($L78,_xlfn.LET(_xlpm._elementID,$O78,_xlpm._isAssumption,$J78,_xlpm._sheetRow,$W78,_xlpm._sheetName,$X78,_xlpm._resultColumnLetter,IF(_xlpm._isAssumption,INDEX(Table24[Sheet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8" s="20" t="str">
        <f ca="1">IF($L78=TRUE,_xlfn.LET(_xlpm._isAssumption,$J78,_xlpm._searchRange,IF(_xlpm._isAssumption,Table24[Task Sheet Shadow ID],Table25[Task Sheet Shadow ID]),MATCH($M78,_xlpm._searchRange,0)),"")</f>
        <v/>
      </c>
      <c r="X78" s="20" t="str" cm="1">
        <f t="array" ca="1" aca="1" ref="X78">IF($L78,_xlfn.LET(_xlpm._isAssumption,$J78,_xlpm._sheetRow,$W78,IF(_xlpm._isAssumption,INDEX(Table24[Sheet Name],_xlpm._sheetRow),INDEX(Table25[Sheet Name],_xlpm._sheetRow))),"")</f>
        <v/>
      </c>
      <c r="Y78" s="20" t="str" cm="1">
        <f t="array" ca="1" aca="1" ref="Y78">IF($L78,_xlfn.LET(_xlpm._elementID,$O78,_xlpm._isAssumption,$J78,_xlpm._sheetRow,$W78,_xlpm._sheetName,$X78,_xlpm._elementIDColumnLetter,IF(_xlpm._isAssumption,INDEX(Table24[Element ID Column],_xlpm._sheetRow),INDEX(Table25[Element ID Column],_xlpm._sheetRow)),MATCH(_xlpm._elementID,INDIRECT("'"&amp;_xlpm._sheetName&amp;"'!"&amp;_xlpm._elementIDColumnLetter&amp;":"&amp;_xlpm._elementIDColumnLetter),0)),"")</f>
        <v/>
      </c>
      <c r="Z78" s="20" t="str" cm="1">
        <f t="array" ca="1" aca="1" ref="Z78">IF($A78="","",_xlfn.LET(_xlpm._isAssumption,$J78,_xlpm._isAdditionalElement,$L78,_xlpm._sheetRow,$W78,_xlpm._sheetName,$X78,_xlpm._columnLetter,INDEX(IF(_xlpm._isAdditionalElement,Table24[Comment Column],Table25[Comment Column]),_xlpm._sheetRow),_xlpm._sheetReference,IF(_xlpm._isAssumption,IF(_xlpm._isAdditionalElement,CELL("address",INDEX(INDIRECT("'"&amp;_xlpm._sheetName&amp;"'!"&amp;_xlpm._columnLetter&amp;":"&amp;_xlpm._columnLetter),$Y78)),CELL("address",INDEX(Assumptions!$A:$A,MATCH($A78,Assumptions!$A:$A,0),1))),IF(_xlpm._isAdditionalElement,CELL("address",INDEX(INDIRECT("'"&amp;_xlpm._sheetName&amp;"'!"&amp;_xlpm._columnLetter&amp;":"&amp;_xlpm._columnLetter),$Y78)),CELL("address",INDEX(Countermeasures!$A:$A,MATCH($A78,Countermeasures!$A:$A,0),1)))),_xlpm._start,FIND("]",_xlpm._sheetReference),"'"&amp;SUBSTITUTE(SUBSTITUTE(RIGHT(_xlpm._sheetReference,LEN(_xlpm._sheetReference)-_xlpm._start),"'",""),"!","'!")))</f>
        <v/>
      </c>
      <c r="AA78" s="20" t="str" cm="1">
        <f t="array" ca="1" aca="1" ref="AA78">IF(NOT($L78),_xlfn.LET(_xlpm._value,IF($A78="","",IF($J78,SimpleLookup($A78,Assumptions!$A:$AK),SimpleLookup($A78,Countermeasures!$A:$AN))),IF(_xlpm._value="","",_xlpm._value)),"")</f>
        <v/>
      </c>
      <c r="AB78" s="20" t="str" cm="1">
        <f t="array" ca="1" aca="1" ref="AB78">LookupNames(InverseLookup($A78,Mitigation!$AD$2,Mitigation!$A$2,1,Helper!$B$5,","),'Attack Steps'!$A:$B)</f>
        <v/>
      </c>
      <c r="AC78" s="20" t="str" cm="1">
        <f t="array" ca="1" aca="1" ref="AC78">IF($L78,_xlfn.LET(_xlpm._in,$A78,_xlpm._lastDashNum,LEN(_xlpm._in)-LEN(SUBSTITUTE(_xlpm._in,"-","")),_xlpm._lastDashPos,FIND(CHAR(1),SUBSTITUTE(_xlpm._in,"-",CHAR(1),_xlpm._lastDashNum)),_xlpm._id,LEFT(_xlpm._in,_xlpm._lastDashPos-1),_xlpm._id&amp;"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8" s="20" t="str" cm="1">
        <f t="array" ca="1" aca="1" ref="AD78">_xlfn.LET(_xlpm._countermeasures,InverseLookup($A78,Countermeasures!$AG$2,Countermeasures!$A$2,1,Helper!$B$4,","),LookupNames(_xlpm._countermeasures,Countermeasures!$A:$B))</f>
        <v/>
      </c>
      <c r="AE78" s="20" t="str" cm="1">
        <f t="array" ca="1" aca="1" ref="AE78">IF($E78="","",_xlfn.LET(_xlpm._id,$E78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8" s="20" t="str" cm="1">
        <f t="array" ca="1" aca="1" ref="AF78">IF(OR($A78="",$L78),"",_xlfn.LET(_xlpm._answers,IF($J78,SimpleLookup($A78,Assumptions!$A:$F),SimpleLookup($A78,Countermeasures!$A:$D)),IF(_xlpm._answers="*",IF($J78,SimpleLookup($A78,Assumptions!$A:$C),SimpleLookup($A78,Countermeasures!$A:$C)),"")))</f>
        <v/>
      </c>
      <c r="AG78" s="20" t="str" cm="1">
        <f t="array" ca="1" aca="1" ref="AG78">IF(NOT($L78),"",_xlfn.LET(_xlpm._mappedInMitigation,IFERROR(VLOOKUP($V78,'Attack Steps'!$A:$O,COLUMNS('Attack Steps'!$A:$O),FALSE),""),CreateSearchString(_xlpm._mappedInMitigation)))</f>
        <v/>
      </c>
      <c r="AH78" s="20" t="b">
        <f ca="1">ROW()-ROW($AH$17)=Helper!$B$15</f>
        <v>0</v>
      </c>
      <c r="AI78" s="20" t="str">
        <f t="shared" ca="1" si="11"/>
        <v/>
      </c>
      <c r="AJ78" s="20" cm="1">
        <f t="array" ca="1" aca="1" ref="AJ78">CreateID($AJ$17,$AJ:$AJ,$AI78&lt;&gt;"")</f>
        <v>0</v>
      </c>
    </row>
    <row r="79" spans="1:36" ht="15">
      <c r="A79" s="16" t="str">
        <f ca="1">_xlfn.LET(_xlpm._isAssumption,$J79,_xlpm._row,$K79,_xlpm._numActiveAssumptions,Helper!$B$8,_xlpm._numActiveCountermeasures,Helper!$B$9,_xlpm._numAdditionalAssumptions,Helper!$B$10,_xlpm._numAdditionalCountermeasures,Helper!$B$11,IF(_xlpm._isAssumption,IF(_xlpm._row&gt;_xlpm._numActiveAssumptions,$V79&amp;"-A"&amp;$Q79,INDEX(Assumptions!A:A,MATCH(_xlpm._row,Assumptions!$AG:$AG,0))),IF(_xlpm._row&gt;_xlpm._numActiveCountermeasures+_xlpm._numAdditionalCountermeasures,"",IF(_xlpm._row&gt;_xlpm._numActiveCountermeasures,$V79&amp;"-C"&amp;$Q79,INDEX(Countermeasures!$A:$A,MATCH(_xlpm._row,Countermeasures!$AI:$AI,0))))))</f>
        <v/>
      </c>
      <c r="B79" s="33" t="str" cm="1">
        <f t="array" ca="1" aca="1" ref="B79">IF($A79="","",_xlfn.LET(_xlpm._isAssumption,$J79,_xlpm._isAdditionalElement,$L79,IF(_xlpm._isAdditionalElement,IF(_xlpm._isAssumption,ParseElementsFromComment($U79,Definitions!$AR$4,Definitions!$AS$4,Definitions!$AR$6,$Q79),ParseElementsFromComment($U79,Definitions!$AR$5,Definitions!$AS$5,Definitions!$AR$6,$Q79)),_xlfn.LET(_xlpm._value,IF($A79="","",IF($J79,SimpleLookup($A79,Assumptions!$A:$B),SimpleLookup($A79,Countermeasures!$A:$B))),IF(_xlpm._value="","",_xlpm._value)))))</f>
        <v/>
      </c>
      <c r="C79" s="33" t="str" cm="1">
        <f t="array" ca="1" aca="1" ref="C79">IF($A79="","",IF($J79,IFERROR(SimpleLookup($A79,Assumptions!$A:$E),""),Definitions!$AO$4))</f>
        <v/>
      </c>
      <c r="D79" s="37" t="str">
        <f t="shared" ca="1" si="7"/>
        <v/>
      </c>
      <c r="E79" s="23"/>
      <c r="F79" s="59" t="str">
        <f t="shared" ca="1" si="8"/>
        <v/>
      </c>
      <c r="G79" s="122" t="str" cm="1">
        <f t="array" ca="1" aca="1" ref="G79">_xlfn.LET(_xlpm._val,IFERROR(SimpleLookup($A79,Countermeasures!$A:$R),IFERROR(SimpleLookup($A79,Assumptions!$A:$R),"")),IF(_xlpm._val="","",_xlpm._val))</f>
        <v/>
      </c>
      <c r="H79" s="33" t="str" cm="1">
        <f t="array" ca="1" aca="1" ref="H79">_xlfn.LET(_xlpm._value,IF($A79="","",IFERROR(IF($J79,SimpleLookup($A79,Assumptions!$A:$S),SimpleLookup($A79,Countermeasures!$A:$S)),"")),IF(_xlpm._value="","",_xlpm._value))</f>
        <v/>
      </c>
      <c r="I79" s="10" cm="1">
        <f t="array" ca="1" aca="1" ref="I79">IF(ROW()=ROW($I$17)+1,0,INDEX($I:$I,ROW()-1))+IF($A79="",0,1)</f>
        <v>34</v>
      </c>
      <c r="J79" s="21" t="b">
        <f ca="1">_xlfn.LET(_xlpm._row,ROW()-ROW($K$17),_xlpm._numActiveAssumptions,Helper!$B$8,_xlpm._numAdditionalAssumptions,SUM(Table24['# Elements]),_xlpm._row&lt;=_xlpm._numActiveAssumptions+_xlpm._numAdditionalAssumptions)</f>
        <v>0</v>
      </c>
      <c r="K79" s="21">
        <f ca="1">_xlfn.LET(_xlpm._row,ROW()-ROW($K$17),_xlpm._numActiveAssumptions,Helper!$B$8,_xlpm._numAdditionalAssumptions,Helper!$B$10,_xlpm._isAssumption,$J79,_xlpm._elementID,IF(_xlpm._isAssumption,_xlpm._row,_xlpm._row-_xlpm._numActiveAssumptions-_xlpm._numAdditionalAssumptions),_xlpm._elementID)</f>
        <v>44</v>
      </c>
      <c r="L7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79" s="20" cm="1">
        <f t="array" ca="1" aca="1" ref="M79">IF($L79,IF(ROW()=ROW($M$17)+1,1,INDEX($M:$M,ROW()-1)+IF(INDEX($T:$T,ROW()-1),1,0)),1)</f>
        <v>1</v>
      </c>
      <c r="N79" s="20" t="str" cm="1">
        <f t="array" ca="1" aca="1" ref="N79">IF($L79=TRUE,_xlfn.LET(_xlpm._isAssumption,$J79,_xlpm._indexRange,IF(_xlpm._isAssumption,Table24['# Elements],Table25['# Elements]),_xlpm._lookupRow,$W79,INDEX(_xlpm._indexRange,_xlpm._lookupRow)),"")</f>
        <v/>
      </c>
      <c r="O79" s="20" t="str" cm="1">
        <f t="array" ca="1" aca="1" ref="O79">IF($N79="","",_xlfn.LET(_xlpm._prevRow,ROW()-1,IF(OR(INDEX($N:$N,_xlpm._prevRow)&lt;&gt;$N79,INDEX($M:$M,_xlpm._prevRow)&lt;&gt;$M79),1,INDEX($O:$O,_xlpm._prevRow)+IF(INDEX($S:$S,_xlpm._prevRow),1,0))))</f>
        <v/>
      </c>
      <c r="P79" s="20" t="str" cm="1">
        <f t="array" ca="1" aca="1" ref="P79">IF($O79="","",_xlfn.LET(_xlpm._isAssumption,$J79,_xlpm._sheetRow,$W79,_xlpm._sheetName,$X79,_xlpm._elementIDRange,IF(_xlpm._isAssumption,Table24[Element ID Column],Table25[Element ID Column]),_xlpm._numberOfElementsRange,IF(_xlpm._isAssumption,Table24[Number of Elements Column],Table25[Number of Elements Column]),SimpleLookup($O79,INDIRECT("'"&amp;_xlpm._sheetName&amp;"'!"&amp;INDEX(_xlpm._elementIDRange,_xlpm._sheetRow)&amp;":"&amp;INDEX(_xlpm._numberOfElementsRange,_xlpm._sheetRow)))))</f>
        <v/>
      </c>
      <c r="Q79" s="20" t="str" cm="1">
        <f t="array" ca="1" aca="1" ref="Q79">IF($O79="","",IF(OR(INDEX($O:$O,ROW()-1)&lt;&gt;$O79,INDEX($M:$M,ROW()-1)&lt;&gt;$M79),1,INDEX($Q:$Q,ROW()-1)+1))</f>
        <v/>
      </c>
      <c r="R79" s="20">
        <f t="shared" ca="1" si="9"/>
        <v>0</v>
      </c>
      <c r="S79" s="20" t="str">
        <f t="shared" ca="1" si="10"/>
        <v/>
      </c>
      <c r="T79" s="20" t="b">
        <f ca="1">_xlfn.LET(_xlpm._isAssumption,$J79,_xlpm._numberOfElementsRange,IF(_xlpm._isAssumption,Table24['# Elements],Table25['# Elements]),_xlpm._sheetRow,$W79,IF($L79,AND($S79,$R79=$N79),FALSE))</f>
        <v>0</v>
      </c>
      <c r="U79" s="20" t="str" cm="1">
        <f t="array" ca="1" aca="1" ref="U79">IF($L79,_xlfn.LET(_xlpm._elementID,$O79,_xlpm._isAssumption,$J79,_xlpm._sheetRow,$W79,_xlpm._sheetName,$X79,_xlpm._elementRow,$Y79,_xlpm._resultColumnLetter,IF(_xlpm._isAssumption,INDEX(Table24[Comment Column],_xlpm._sheetRow),INDEX(Table25[Comment Column],_xlpm._sheetRow)),INDEX(INDIRECT("'"&amp;_xlpm._sheetName&amp;"'!"&amp;_xlpm._resultColumnLetter&amp;":"&amp;_xlpm._resultColumnLetter),_xlpm._elementRow)),"")</f>
        <v/>
      </c>
      <c r="V79" s="20" t="str" cm="1">
        <f t="array" ca="1" aca="1" ref="V79">IF($L79,_xlfn.LET(_xlpm._elementID,$O79,_xlpm._isAssumption,$J79,_xlpm._sheetRow,$W79,_xlpm._sheetName,$X79,_xlpm._resultColumnLetter,IF(_xlpm._isAssumption,INDEX(Table24[Sheet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79" s="20" t="str">
        <f ca="1">IF($L79=TRUE,_xlfn.LET(_xlpm._isAssumption,$J79,_xlpm._searchRange,IF(_xlpm._isAssumption,Table24[Task Sheet Shadow ID],Table25[Task Sheet Shadow ID]),MATCH($M79,_xlpm._searchRange,0)),"")</f>
        <v/>
      </c>
      <c r="X79" s="20" t="str" cm="1">
        <f t="array" ca="1" aca="1" ref="X79">IF($L79,_xlfn.LET(_xlpm._isAssumption,$J79,_xlpm._sheetRow,$W79,IF(_xlpm._isAssumption,INDEX(Table24[Sheet Name],_xlpm._sheetRow),INDEX(Table25[Sheet Name],_xlpm._sheetRow))),"")</f>
        <v/>
      </c>
      <c r="Y79" s="20" t="str" cm="1">
        <f t="array" ca="1" aca="1" ref="Y79">IF($L79,_xlfn.LET(_xlpm._elementID,$O79,_xlpm._isAssumption,$J79,_xlpm._sheetRow,$W79,_xlpm._sheetName,$X79,_xlpm._elementIDColumnLetter,IF(_xlpm._isAssumption,INDEX(Table24[Element ID Column],_xlpm._sheetRow),INDEX(Table25[Element ID Column],_xlpm._sheetRow)),MATCH(_xlpm._elementID,INDIRECT("'"&amp;_xlpm._sheetName&amp;"'!"&amp;_xlpm._elementIDColumnLetter&amp;":"&amp;_xlpm._elementIDColumnLetter),0)),"")</f>
        <v/>
      </c>
      <c r="Z79" s="20" t="str" cm="1">
        <f t="array" ca="1" aca="1" ref="Z79">IF($A79="","",_xlfn.LET(_xlpm._isAssumption,$J79,_xlpm._isAdditionalElement,$L79,_xlpm._sheetRow,$W79,_xlpm._sheetName,$X79,_xlpm._columnLetter,INDEX(IF(_xlpm._isAdditionalElement,Table24[Comment Column],Table25[Comment Column]),_xlpm._sheetRow),_xlpm._sheetReference,IF(_xlpm._isAssumption,IF(_xlpm._isAdditionalElement,CELL("address",INDEX(INDIRECT("'"&amp;_xlpm._sheetName&amp;"'!"&amp;_xlpm._columnLetter&amp;":"&amp;_xlpm._columnLetter),$Y79)),CELL("address",INDEX(Assumptions!$A:$A,MATCH($A79,Assumptions!$A:$A,0),1))),IF(_xlpm._isAdditionalElement,CELL("address",INDEX(INDIRECT("'"&amp;_xlpm._sheetName&amp;"'!"&amp;_xlpm._columnLetter&amp;":"&amp;_xlpm._columnLetter),$Y79)),CELL("address",INDEX(Countermeasures!$A:$A,MATCH($A79,Countermeasures!$A:$A,0),1)))),_xlpm._start,FIND("]",_xlpm._sheetReference),"'"&amp;SUBSTITUTE(SUBSTITUTE(RIGHT(_xlpm._sheetReference,LEN(_xlpm._sheetReference)-_xlpm._start),"'",""),"!","'!")))</f>
        <v/>
      </c>
      <c r="AA79" s="20" t="str" cm="1">
        <f t="array" ca="1" aca="1" ref="AA79">IF(NOT($L79),_xlfn.LET(_xlpm._value,IF($A79="","",IF($J79,SimpleLookup($A79,Assumptions!$A:$AK),SimpleLookup($A79,Countermeasures!$A:$AN))),IF(_xlpm._value="","",_xlpm._value)),"")</f>
        <v/>
      </c>
      <c r="AB79" s="20" t="str" cm="1">
        <f t="array" ca="1" aca="1" ref="AB79">LookupNames(InverseLookup($A79,Mitigation!$AD$2,Mitigation!$A$2,1,Helper!$B$5,","),'Attack Steps'!$A:$B)</f>
        <v/>
      </c>
      <c r="AC79" s="20" t="str" cm="1">
        <f t="array" ca="1" aca="1" ref="AC79">IF($L79,_xlfn.LET(_xlpm._in,$A79,_xlpm._lastDashNum,LEN(_xlpm._in)-LEN(SUBSTITUTE(_xlpm._in,"-","")),_xlpm._lastDashPos,FIND(CHAR(1),SUBSTITUTE(_xlpm._in,"-",CHAR(1),_xlpm._lastDashNum)),_xlpm._id,LEFT(_xlpm._in,_xlpm._lastDashPos-1),_xlpm._id&amp;"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79" s="20" t="str" cm="1">
        <f t="array" ca="1" aca="1" ref="AD79">_xlfn.LET(_xlpm._countermeasures,InverseLookup($A79,Countermeasures!$AG$2,Countermeasures!$A$2,1,Helper!$B$4,","),LookupNames(_xlpm._countermeasures,Countermeasures!$A:$B))</f>
        <v/>
      </c>
      <c r="AE79" s="20" t="str" cm="1">
        <f t="array" ca="1" aca="1" ref="AE79">IF($E79="","",_xlfn.LET(_xlpm._id,$E79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79" s="20" t="str" cm="1">
        <f t="array" ca="1" aca="1" ref="AF79">IF(OR($A79="",$L79),"",_xlfn.LET(_xlpm._answers,IF($J79,SimpleLookup($A79,Assumptions!$A:$F),SimpleLookup($A79,Countermeasures!$A:$D)),IF(_xlpm._answers="*",IF($J79,SimpleLookup($A79,Assumptions!$A:$C),SimpleLookup($A79,Countermeasures!$A:$C)),"")))</f>
        <v/>
      </c>
      <c r="AG79" s="20" t="str" cm="1">
        <f t="array" ca="1" aca="1" ref="AG79">IF(NOT($L79),"",_xlfn.LET(_xlpm._mappedInMitigation,IFERROR(VLOOKUP($V79,'Attack Steps'!$A:$O,COLUMNS('Attack Steps'!$A:$O),FALSE),""),CreateSearchString(_xlpm._mappedInMitigation)))</f>
        <v/>
      </c>
      <c r="AH79" s="20" t="b">
        <f ca="1">ROW()-ROW($AH$17)=Helper!$B$15</f>
        <v>0</v>
      </c>
      <c r="AI79" s="20" t="str">
        <f t="shared" ca="1" si="11"/>
        <v/>
      </c>
      <c r="AJ79" s="20" cm="1">
        <f t="array" ca="1" aca="1" ref="AJ79">CreateID($AJ$17,$AJ:$AJ,$AI79&lt;&gt;"")</f>
        <v>0</v>
      </c>
    </row>
    <row r="80" spans="1:36" ht="15">
      <c r="A80" s="16" t="str">
        <f ca="1">_xlfn.LET(_xlpm._isAssumption,$J80,_xlpm._row,$K80,_xlpm._numActiveAssumptions,Helper!$B$8,_xlpm._numActiveCountermeasures,Helper!$B$9,_xlpm._numAdditionalAssumptions,Helper!$B$10,_xlpm._numAdditionalCountermeasures,Helper!$B$11,IF(_xlpm._isAssumption,IF(_xlpm._row&gt;_xlpm._numActiveAssumptions,$V80&amp;"-A"&amp;$Q80,INDEX(Assumptions!A:A,MATCH(_xlpm._row,Assumptions!$AG:$AG,0))),IF(_xlpm._row&gt;_xlpm._numActiveCountermeasures+_xlpm._numAdditionalCountermeasures,"",IF(_xlpm._row&gt;_xlpm._numActiveCountermeasures,$V80&amp;"-C"&amp;$Q80,INDEX(Countermeasures!$A:$A,MATCH(_xlpm._row,Countermeasures!$AI:$AI,0))))))</f>
        <v/>
      </c>
      <c r="B80" s="33" t="str" cm="1">
        <f t="array" ca="1" aca="1" ref="B80">IF($A80="","",_xlfn.LET(_xlpm._isAssumption,$J80,_xlpm._isAdditionalElement,$L80,IF(_xlpm._isAdditionalElement,IF(_xlpm._isAssumption,ParseElementsFromComment($U80,Definitions!$AR$4,Definitions!$AS$4,Definitions!$AR$6,$Q80),ParseElementsFromComment($U80,Definitions!$AR$5,Definitions!$AS$5,Definitions!$AR$6,$Q80)),_xlfn.LET(_xlpm._value,IF($A80="","",IF($J80,SimpleLookup($A80,Assumptions!$A:$B),SimpleLookup($A80,Countermeasures!$A:$B))),IF(_xlpm._value="","",_xlpm._value)))))</f>
        <v/>
      </c>
      <c r="C80" s="33" t="str" cm="1">
        <f t="array" ca="1" aca="1" ref="C80">IF($A80="","",IF($J80,IFERROR(SimpleLookup($A80,Assumptions!$A:$E),""),Definitions!$AO$4))</f>
        <v/>
      </c>
      <c r="D80" s="37" t="str">
        <f t="shared" ca="1" si="7"/>
        <v/>
      </c>
      <c r="E80" s="23"/>
      <c r="F80" s="59" t="str">
        <f t="shared" ca="1" si="8"/>
        <v/>
      </c>
      <c r="G80" s="122" t="str" cm="1">
        <f t="array" ca="1" aca="1" ref="G80">_xlfn.LET(_xlpm._val,IFERROR(SimpleLookup($A80,Countermeasures!$A:$R),IFERROR(SimpleLookup($A80,Assumptions!$A:$R),"")),IF(_xlpm._val="","",_xlpm._val))</f>
        <v/>
      </c>
      <c r="H80" s="33" t="str" cm="1">
        <f t="array" ca="1" aca="1" ref="H80">_xlfn.LET(_xlpm._value,IF($A80="","",IFERROR(IF($J80,SimpleLookup($A80,Assumptions!$A:$S),SimpleLookup($A80,Countermeasures!$A:$S)),"")),IF(_xlpm._value="","",_xlpm._value))</f>
        <v/>
      </c>
      <c r="I80" s="10" cm="1">
        <f t="array" ca="1" aca="1" ref="I80">IF(ROW()=ROW($I$17)+1,0,INDEX($I:$I,ROW()-1))+IF($A80="",0,1)</f>
        <v>34</v>
      </c>
      <c r="J80" s="21" t="b">
        <f ca="1">_xlfn.LET(_xlpm._row,ROW()-ROW($K$17),_xlpm._numActiveAssumptions,Helper!$B$8,_xlpm._numAdditionalAssumptions,SUM(Table24['# Elements]),_xlpm._row&lt;=_xlpm._numActiveAssumptions+_xlpm._numAdditionalAssumptions)</f>
        <v>0</v>
      </c>
      <c r="K80" s="21">
        <f ca="1">_xlfn.LET(_xlpm._row,ROW()-ROW($K$17),_xlpm._numActiveAssumptions,Helper!$B$8,_xlpm._numAdditionalAssumptions,Helper!$B$10,_xlpm._isAssumption,$J80,_xlpm._elementID,IF(_xlpm._isAssumption,_xlpm._row,_xlpm._row-_xlpm._numActiveAssumptions-_xlpm._numAdditionalAssumptions),_xlpm._elementID)</f>
        <v>45</v>
      </c>
      <c r="L8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0" s="20" cm="1">
        <f t="array" ca="1" aca="1" ref="M80">IF($L80,IF(ROW()=ROW($M$17)+1,1,INDEX($M:$M,ROW()-1)+IF(INDEX($T:$T,ROW()-1),1,0)),1)</f>
        <v>1</v>
      </c>
      <c r="N80" s="20" t="str" cm="1">
        <f t="array" ca="1" aca="1" ref="N80">IF($L80=TRUE,_xlfn.LET(_xlpm._isAssumption,$J80,_xlpm._indexRange,IF(_xlpm._isAssumption,Table24['# Elements],Table25['# Elements]),_xlpm._lookupRow,$W80,INDEX(_xlpm._indexRange,_xlpm._lookupRow)),"")</f>
        <v/>
      </c>
      <c r="O80" s="20" t="str" cm="1">
        <f t="array" ca="1" aca="1" ref="O80">IF($N80="","",_xlfn.LET(_xlpm._prevRow,ROW()-1,IF(OR(INDEX($N:$N,_xlpm._prevRow)&lt;&gt;$N80,INDEX($M:$M,_xlpm._prevRow)&lt;&gt;$M80),1,INDEX($O:$O,_xlpm._prevRow)+IF(INDEX($S:$S,_xlpm._prevRow),1,0))))</f>
        <v/>
      </c>
      <c r="P80" s="20" t="str" cm="1">
        <f t="array" ca="1" aca="1" ref="P80">IF($O80="","",_xlfn.LET(_xlpm._isAssumption,$J80,_xlpm._sheetRow,$W80,_xlpm._sheetName,$X80,_xlpm._elementIDRange,IF(_xlpm._isAssumption,Table24[Element ID Column],Table25[Element ID Column]),_xlpm._numberOfElementsRange,IF(_xlpm._isAssumption,Table24[Number of Elements Column],Table25[Number of Elements Column]),SimpleLookup($O80,INDIRECT("'"&amp;_xlpm._sheetName&amp;"'!"&amp;INDEX(_xlpm._elementIDRange,_xlpm._sheetRow)&amp;":"&amp;INDEX(_xlpm._numberOfElementsRange,_xlpm._sheetRow)))))</f>
        <v/>
      </c>
      <c r="Q80" s="20" t="str" cm="1">
        <f t="array" ca="1" aca="1" ref="Q80">IF($O80="","",IF(OR(INDEX($O:$O,ROW()-1)&lt;&gt;$O80,INDEX($M:$M,ROW()-1)&lt;&gt;$M80),1,INDEX($Q:$Q,ROW()-1)+1))</f>
        <v/>
      </c>
      <c r="R80" s="20">
        <f t="shared" ca="1" si="9"/>
        <v>0</v>
      </c>
      <c r="S80" s="20" t="str">
        <f t="shared" ca="1" si="10"/>
        <v/>
      </c>
      <c r="T80" s="20" t="b">
        <f ca="1">_xlfn.LET(_xlpm._isAssumption,$J80,_xlpm._numberOfElementsRange,IF(_xlpm._isAssumption,Table24['# Elements],Table25['# Elements]),_xlpm._sheetRow,$W80,IF($L80,AND($S80,$R80=$N80),FALSE))</f>
        <v>0</v>
      </c>
      <c r="U80" s="20" t="str" cm="1">
        <f t="array" ca="1" aca="1" ref="U80">IF($L80,_xlfn.LET(_xlpm._elementID,$O80,_xlpm._isAssumption,$J80,_xlpm._sheetRow,$W80,_xlpm._sheetName,$X80,_xlpm._elementRow,$Y80,_xlpm._resultColumnLetter,IF(_xlpm._isAssumption,INDEX(Table24[Comment Column],_xlpm._sheetRow),INDEX(Table25[Comment Column],_xlpm._sheetRow)),INDEX(INDIRECT("'"&amp;_xlpm._sheetName&amp;"'!"&amp;_xlpm._resultColumnLetter&amp;":"&amp;_xlpm._resultColumnLetter),_xlpm._elementRow)),"")</f>
        <v/>
      </c>
      <c r="V80" s="20" t="str" cm="1">
        <f t="array" ca="1" aca="1" ref="V80">IF($L80,_xlfn.LET(_xlpm._elementID,$O80,_xlpm._isAssumption,$J80,_xlpm._sheetRow,$W80,_xlpm._sheetName,$X80,_xlpm._resultColumnLetter,IF(_xlpm._isAssumption,INDEX(Table24[Sheet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0" s="20" t="str">
        <f ca="1">IF($L80=TRUE,_xlfn.LET(_xlpm._isAssumption,$J80,_xlpm._searchRange,IF(_xlpm._isAssumption,Table24[Task Sheet Shadow ID],Table25[Task Sheet Shadow ID]),MATCH($M80,_xlpm._searchRange,0)),"")</f>
        <v/>
      </c>
      <c r="X80" s="20" t="str" cm="1">
        <f t="array" ca="1" aca="1" ref="X80">IF($L80,_xlfn.LET(_xlpm._isAssumption,$J80,_xlpm._sheetRow,$W80,IF(_xlpm._isAssumption,INDEX(Table24[Sheet Name],_xlpm._sheetRow),INDEX(Table25[Sheet Name],_xlpm._sheetRow))),"")</f>
        <v/>
      </c>
      <c r="Y80" s="20" t="str" cm="1">
        <f t="array" ca="1" aca="1" ref="Y80">IF($L80,_xlfn.LET(_xlpm._elementID,$O80,_xlpm._isAssumption,$J80,_xlpm._sheetRow,$W80,_xlpm._sheetName,$X80,_xlpm._elementIDColumnLetter,IF(_xlpm._isAssumption,INDEX(Table24[Element ID Column],_xlpm._sheetRow),INDEX(Table25[Element ID Column],_xlpm._sheetRow)),MATCH(_xlpm._elementID,INDIRECT("'"&amp;_xlpm._sheetName&amp;"'!"&amp;_xlpm._elementIDColumnLetter&amp;":"&amp;_xlpm._elementIDColumnLetter),0)),"")</f>
        <v/>
      </c>
      <c r="Z80" s="20" t="str" cm="1">
        <f t="array" ca="1" aca="1" ref="Z80">IF($A80="","",_xlfn.LET(_xlpm._isAssumption,$J80,_xlpm._isAdditionalElement,$L80,_xlpm._sheetRow,$W80,_xlpm._sheetName,$X80,_xlpm._columnLetter,INDEX(IF(_xlpm._isAdditionalElement,Table24[Comment Column],Table25[Comment Column]),_xlpm._sheetRow),_xlpm._sheetReference,IF(_xlpm._isAssumption,IF(_xlpm._isAdditionalElement,CELL("address",INDEX(INDIRECT("'"&amp;_xlpm._sheetName&amp;"'!"&amp;_xlpm._columnLetter&amp;":"&amp;_xlpm._columnLetter),$Y80)),CELL("address",INDEX(Assumptions!$A:$A,MATCH($A80,Assumptions!$A:$A,0),1))),IF(_xlpm._isAdditionalElement,CELL("address",INDEX(INDIRECT("'"&amp;_xlpm._sheetName&amp;"'!"&amp;_xlpm._columnLetter&amp;":"&amp;_xlpm._columnLetter),$Y80)),CELL("address",INDEX(Countermeasures!$A:$A,MATCH($A80,Countermeasures!$A:$A,0),1)))),_xlpm._start,FIND("]",_xlpm._sheetReference),"'"&amp;SUBSTITUTE(SUBSTITUTE(RIGHT(_xlpm._sheetReference,LEN(_xlpm._sheetReference)-_xlpm._start),"'",""),"!","'!")))</f>
        <v/>
      </c>
      <c r="AA80" s="20" t="str" cm="1">
        <f t="array" ca="1" aca="1" ref="AA80">IF(NOT($L80),_xlfn.LET(_xlpm._value,IF($A80="","",IF($J80,SimpleLookup($A80,Assumptions!$A:$AK),SimpleLookup($A80,Countermeasures!$A:$AN))),IF(_xlpm._value="","",_xlpm._value)),"")</f>
        <v/>
      </c>
      <c r="AB80" s="20" t="str" cm="1">
        <f t="array" ca="1" aca="1" ref="AB80">LookupNames(InverseLookup($A80,Mitigation!$AD$2,Mitigation!$A$2,1,Helper!$B$5,","),'Attack Steps'!$A:$B)</f>
        <v/>
      </c>
      <c r="AC80" s="20" t="str" cm="1">
        <f t="array" ca="1" aca="1" ref="AC80">IF($L80,_xlfn.LET(_xlpm._in,$A80,_xlpm._lastDashNum,LEN(_xlpm._in)-LEN(SUBSTITUTE(_xlpm._in,"-","")),_xlpm._lastDashPos,FIND(CHAR(1),SUBSTITUTE(_xlpm._in,"-",CHAR(1),_xlpm._lastDashNum)),_xlpm._id,LEFT(_xlpm._in,_xlpm._lastDashPos-1),_xlpm._id&amp;"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0" s="20" t="str" cm="1">
        <f t="array" ca="1" aca="1" ref="AD80">_xlfn.LET(_xlpm._countermeasures,InverseLookup($A80,Countermeasures!$AG$2,Countermeasures!$A$2,1,Helper!$B$4,","),LookupNames(_xlpm._countermeasures,Countermeasures!$A:$B))</f>
        <v/>
      </c>
      <c r="AE80" s="20" t="str" cm="1">
        <f t="array" ca="1" aca="1" ref="AE80">IF($E80="","",_xlfn.LET(_xlpm._id,$E80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0" s="20" t="str" cm="1">
        <f t="array" ca="1" aca="1" ref="AF80">IF(OR($A80="",$L80),"",_xlfn.LET(_xlpm._answers,IF($J80,SimpleLookup($A80,Assumptions!$A:$F),SimpleLookup($A80,Countermeasures!$A:$D)),IF(_xlpm._answers="*",IF($J80,SimpleLookup($A80,Assumptions!$A:$C),SimpleLookup($A80,Countermeasures!$A:$C)),"")))</f>
        <v/>
      </c>
      <c r="AG80" s="20" t="str" cm="1">
        <f t="array" ca="1" aca="1" ref="AG80">IF(NOT($L80),"",_xlfn.LET(_xlpm._mappedInMitigation,IFERROR(VLOOKUP($V80,'Attack Steps'!$A:$O,COLUMNS('Attack Steps'!$A:$O),FALSE),""),CreateSearchString(_xlpm._mappedInMitigation)))</f>
        <v/>
      </c>
      <c r="AH80" s="20" t="b">
        <f ca="1">ROW()-ROW($AH$17)=Helper!$B$15</f>
        <v>0</v>
      </c>
      <c r="AI80" s="20" t="str">
        <f t="shared" ca="1" si="11"/>
        <v/>
      </c>
      <c r="AJ80" s="20" cm="1">
        <f t="array" ca="1" aca="1" ref="AJ80">CreateID($AJ$17,$AJ:$AJ,$AI80&lt;&gt;"")</f>
        <v>0</v>
      </c>
    </row>
    <row r="81" spans="1:36" ht="15">
      <c r="A81" s="16" t="str">
        <f ca="1">_xlfn.LET(_xlpm._isAssumption,$J81,_xlpm._row,$K81,_xlpm._numActiveAssumptions,Helper!$B$8,_xlpm._numActiveCountermeasures,Helper!$B$9,_xlpm._numAdditionalAssumptions,Helper!$B$10,_xlpm._numAdditionalCountermeasures,Helper!$B$11,IF(_xlpm._isAssumption,IF(_xlpm._row&gt;_xlpm._numActiveAssumptions,$V81&amp;"-A"&amp;$Q81,INDEX(Assumptions!A:A,MATCH(_xlpm._row,Assumptions!$AG:$AG,0))),IF(_xlpm._row&gt;_xlpm._numActiveCountermeasures+_xlpm._numAdditionalCountermeasures,"",IF(_xlpm._row&gt;_xlpm._numActiveCountermeasures,$V81&amp;"-C"&amp;$Q81,INDEX(Countermeasures!$A:$A,MATCH(_xlpm._row,Countermeasures!$AI:$AI,0))))))</f>
        <v/>
      </c>
      <c r="B81" s="33" t="str" cm="1">
        <f t="array" ca="1" aca="1" ref="B81">IF($A81="","",_xlfn.LET(_xlpm._isAssumption,$J81,_xlpm._isAdditionalElement,$L81,IF(_xlpm._isAdditionalElement,IF(_xlpm._isAssumption,ParseElementsFromComment($U81,Definitions!$AR$4,Definitions!$AS$4,Definitions!$AR$6,$Q81),ParseElementsFromComment($U81,Definitions!$AR$5,Definitions!$AS$5,Definitions!$AR$6,$Q81)),_xlfn.LET(_xlpm._value,IF($A81="","",IF($J81,SimpleLookup($A81,Assumptions!$A:$B),SimpleLookup($A81,Countermeasures!$A:$B))),IF(_xlpm._value="","",_xlpm._value)))))</f>
        <v/>
      </c>
      <c r="C81" s="33" t="str" cm="1">
        <f t="array" ca="1" aca="1" ref="C81">IF($A81="","",IF($J81,IFERROR(SimpleLookup($A81,Assumptions!$A:$E),""),Definitions!$AO$4))</f>
        <v/>
      </c>
      <c r="D81" s="37" t="str">
        <f t="shared" ca="1" si="7"/>
        <v/>
      </c>
      <c r="E81" s="23"/>
      <c r="F81" s="59" t="str">
        <f t="shared" ca="1" si="8"/>
        <v/>
      </c>
      <c r="G81" s="122" t="str" cm="1">
        <f t="array" ca="1" aca="1" ref="G81">_xlfn.LET(_xlpm._val,IFERROR(SimpleLookup($A81,Countermeasures!$A:$R),IFERROR(SimpleLookup($A81,Assumptions!$A:$R),"")),IF(_xlpm._val="","",_xlpm._val))</f>
        <v/>
      </c>
      <c r="H81" s="33" t="str" cm="1">
        <f t="array" ca="1" aca="1" ref="H81">_xlfn.LET(_xlpm._value,IF($A81="","",IFERROR(IF($J81,SimpleLookup($A81,Assumptions!$A:$S),SimpleLookup($A81,Countermeasures!$A:$S)),"")),IF(_xlpm._value="","",_xlpm._value))</f>
        <v/>
      </c>
      <c r="I81" s="10" cm="1">
        <f t="array" ca="1" aca="1" ref="I81">IF(ROW()=ROW($I$17)+1,0,INDEX($I:$I,ROW()-1))+IF($A81="",0,1)</f>
        <v>34</v>
      </c>
      <c r="J81" s="21" t="b">
        <f ca="1">_xlfn.LET(_xlpm._row,ROW()-ROW($K$17),_xlpm._numActiveAssumptions,Helper!$B$8,_xlpm._numAdditionalAssumptions,SUM(Table24['# Elements]),_xlpm._row&lt;=_xlpm._numActiveAssumptions+_xlpm._numAdditionalAssumptions)</f>
        <v>0</v>
      </c>
      <c r="K81" s="21">
        <f ca="1">_xlfn.LET(_xlpm._row,ROW()-ROW($K$17),_xlpm._numActiveAssumptions,Helper!$B$8,_xlpm._numAdditionalAssumptions,Helper!$B$10,_xlpm._isAssumption,$J81,_xlpm._elementID,IF(_xlpm._isAssumption,_xlpm._row,_xlpm._row-_xlpm._numActiveAssumptions-_xlpm._numAdditionalAssumptions),_xlpm._elementID)</f>
        <v>46</v>
      </c>
      <c r="L8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1" s="20" cm="1">
        <f t="array" ca="1" aca="1" ref="M81">IF($L81,IF(ROW()=ROW($M$17)+1,1,INDEX($M:$M,ROW()-1)+IF(INDEX($T:$T,ROW()-1),1,0)),1)</f>
        <v>1</v>
      </c>
      <c r="N81" s="20" t="str" cm="1">
        <f t="array" ca="1" aca="1" ref="N81">IF($L81=TRUE,_xlfn.LET(_xlpm._isAssumption,$J81,_xlpm._indexRange,IF(_xlpm._isAssumption,Table24['# Elements],Table25['# Elements]),_xlpm._lookupRow,$W81,INDEX(_xlpm._indexRange,_xlpm._lookupRow)),"")</f>
        <v/>
      </c>
      <c r="O81" s="20" t="str" cm="1">
        <f t="array" ca="1" aca="1" ref="O81">IF($N81="","",_xlfn.LET(_xlpm._prevRow,ROW()-1,IF(OR(INDEX($N:$N,_xlpm._prevRow)&lt;&gt;$N81,INDEX($M:$M,_xlpm._prevRow)&lt;&gt;$M81),1,INDEX($O:$O,_xlpm._prevRow)+IF(INDEX($S:$S,_xlpm._prevRow),1,0))))</f>
        <v/>
      </c>
      <c r="P81" s="20" t="str" cm="1">
        <f t="array" ca="1" aca="1" ref="P81">IF($O81="","",_xlfn.LET(_xlpm._isAssumption,$J81,_xlpm._sheetRow,$W81,_xlpm._sheetName,$X81,_xlpm._elementIDRange,IF(_xlpm._isAssumption,Table24[Element ID Column],Table25[Element ID Column]),_xlpm._numberOfElementsRange,IF(_xlpm._isAssumption,Table24[Number of Elements Column],Table25[Number of Elements Column]),SimpleLookup($O81,INDIRECT("'"&amp;_xlpm._sheetName&amp;"'!"&amp;INDEX(_xlpm._elementIDRange,_xlpm._sheetRow)&amp;":"&amp;INDEX(_xlpm._numberOfElementsRange,_xlpm._sheetRow)))))</f>
        <v/>
      </c>
      <c r="Q81" s="20" t="str" cm="1">
        <f t="array" ca="1" aca="1" ref="Q81">IF($O81="","",IF(OR(INDEX($O:$O,ROW()-1)&lt;&gt;$O81,INDEX($M:$M,ROW()-1)&lt;&gt;$M81),1,INDEX($Q:$Q,ROW()-1)+1))</f>
        <v/>
      </c>
      <c r="R81" s="20">
        <f t="shared" ca="1" si="9"/>
        <v>0</v>
      </c>
      <c r="S81" s="20" t="str">
        <f t="shared" ca="1" si="10"/>
        <v/>
      </c>
      <c r="T81" s="20" t="b">
        <f ca="1">_xlfn.LET(_xlpm._isAssumption,$J81,_xlpm._numberOfElementsRange,IF(_xlpm._isAssumption,Table24['# Elements],Table25['# Elements]),_xlpm._sheetRow,$W81,IF($L81,AND($S81,$R81=$N81),FALSE))</f>
        <v>0</v>
      </c>
      <c r="U81" s="20" t="str" cm="1">
        <f t="array" ca="1" aca="1" ref="U81">IF($L81,_xlfn.LET(_xlpm._elementID,$O81,_xlpm._isAssumption,$J81,_xlpm._sheetRow,$W81,_xlpm._sheetName,$X81,_xlpm._elementRow,$Y81,_xlpm._resultColumnLetter,IF(_xlpm._isAssumption,INDEX(Table24[Comment Column],_xlpm._sheetRow),INDEX(Table25[Comment Column],_xlpm._sheetRow)),INDEX(INDIRECT("'"&amp;_xlpm._sheetName&amp;"'!"&amp;_xlpm._resultColumnLetter&amp;":"&amp;_xlpm._resultColumnLetter),_xlpm._elementRow)),"")</f>
        <v/>
      </c>
      <c r="V81" s="20" t="str" cm="1">
        <f t="array" ca="1" aca="1" ref="V81">IF($L81,_xlfn.LET(_xlpm._elementID,$O81,_xlpm._isAssumption,$J81,_xlpm._sheetRow,$W81,_xlpm._sheetName,$X81,_xlpm._resultColumnLetter,IF(_xlpm._isAssumption,INDEX(Table24[Sheet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1" s="20" t="str">
        <f ca="1">IF($L81=TRUE,_xlfn.LET(_xlpm._isAssumption,$J81,_xlpm._searchRange,IF(_xlpm._isAssumption,Table24[Task Sheet Shadow ID],Table25[Task Sheet Shadow ID]),MATCH($M81,_xlpm._searchRange,0)),"")</f>
        <v/>
      </c>
      <c r="X81" s="20" t="str" cm="1">
        <f t="array" ca="1" aca="1" ref="X81">IF($L81,_xlfn.LET(_xlpm._isAssumption,$J81,_xlpm._sheetRow,$W81,IF(_xlpm._isAssumption,INDEX(Table24[Sheet Name],_xlpm._sheetRow),INDEX(Table25[Sheet Name],_xlpm._sheetRow))),"")</f>
        <v/>
      </c>
      <c r="Y81" s="20" t="str" cm="1">
        <f t="array" ca="1" aca="1" ref="Y81">IF($L81,_xlfn.LET(_xlpm._elementID,$O81,_xlpm._isAssumption,$J81,_xlpm._sheetRow,$W81,_xlpm._sheetName,$X81,_xlpm._elementIDColumnLetter,IF(_xlpm._isAssumption,INDEX(Table24[Element ID Column],_xlpm._sheetRow),INDEX(Table25[Element ID Column],_xlpm._sheetRow)),MATCH(_xlpm._elementID,INDIRECT("'"&amp;_xlpm._sheetName&amp;"'!"&amp;_xlpm._elementIDColumnLetter&amp;":"&amp;_xlpm._elementIDColumnLetter),0)),"")</f>
        <v/>
      </c>
      <c r="Z81" s="20" t="str" cm="1">
        <f t="array" ca="1" aca="1" ref="Z81">IF($A81="","",_xlfn.LET(_xlpm._isAssumption,$J81,_xlpm._isAdditionalElement,$L81,_xlpm._sheetRow,$W81,_xlpm._sheetName,$X81,_xlpm._columnLetter,INDEX(IF(_xlpm._isAdditionalElement,Table24[Comment Column],Table25[Comment Column]),_xlpm._sheetRow),_xlpm._sheetReference,IF(_xlpm._isAssumption,IF(_xlpm._isAdditionalElement,CELL("address",INDEX(INDIRECT("'"&amp;_xlpm._sheetName&amp;"'!"&amp;_xlpm._columnLetter&amp;":"&amp;_xlpm._columnLetter),$Y81)),CELL("address",INDEX(Assumptions!$A:$A,MATCH($A81,Assumptions!$A:$A,0),1))),IF(_xlpm._isAdditionalElement,CELL("address",INDEX(INDIRECT("'"&amp;_xlpm._sheetName&amp;"'!"&amp;_xlpm._columnLetter&amp;":"&amp;_xlpm._columnLetter),$Y81)),CELL("address",INDEX(Countermeasures!$A:$A,MATCH($A81,Countermeasures!$A:$A,0),1)))),_xlpm._start,FIND("]",_xlpm._sheetReference),"'"&amp;SUBSTITUTE(SUBSTITUTE(RIGHT(_xlpm._sheetReference,LEN(_xlpm._sheetReference)-_xlpm._start),"'",""),"!","'!")))</f>
        <v/>
      </c>
      <c r="AA81" s="20" t="str" cm="1">
        <f t="array" ca="1" aca="1" ref="AA81">IF(NOT($L81),_xlfn.LET(_xlpm._value,IF($A81="","",IF($J81,SimpleLookup($A81,Assumptions!$A:$AK),SimpleLookup($A81,Countermeasures!$A:$AN))),IF(_xlpm._value="","",_xlpm._value)),"")</f>
        <v/>
      </c>
      <c r="AB81" s="20" t="str" cm="1">
        <f t="array" ca="1" aca="1" ref="AB81">LookupNames(InverseLookup($A81,Mitigation!$AD$2,Mitigation!$A$2,1,Helper!$B$5,","),'Attack Steps'!$A:$B)</f>
        <v/>
      </c>
      <c r="AC81" s="20" t="str" cm="1">
        <f t="array" ca="1" aca="1" ref="AC81">IF($L81,_xlfn.LET(_xlpm._in,$A81,_xlpm._lastDashNum,LEN(_xlpm._in)-LEN(SUBSTITUTE(_xlpm._in,"-","")),_xlpm._lastDashPos,FIND(CHAR(1),SUBSTITUTE(_xlpm._in,"-",CHAR(1),_xlpm._lastDashNum)),_xlpm._id,LEFT(_xlpm._in,_xlpm._lastDashPos-1),_xlpm._id&amp;"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1" s="20" t="str" cm="1">
        <f t="array" ca="1" aca="1" ref="AD81">_xlfn.LET(_xlpm._countermeasures,InverseLookup($A81,Countermeasures!$AG$2,Countermeasures!$A$2,1,Helper!$B$4,","),LookupNames(_xlpm._countermeasures,Countermeasures!$A:$B))</f>
        <v/>
      </c>
      <c r="AE81" s="20" t="str" cm="1">
        <f t="array" ca="1" aca="1" ref="AE81">IF($E81="","",_xlfn.LET(_xlpm._id,$E81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1" s="20" t="str" cm="1">
        <f t="array" ca="1" aca="1" ref="AF81">IF(OR($A81="",$L81),"",_xlfn.LET(_xlpm._answers,IF($J81,SimpleLookup($A81,Assumptions!$A:$F),SimpleLookup($A81,Countermeasures!$A:$D)),IF(_xlpm._answers="*",IF($J81,SimpleLookup($A81,Assumptions!$A:$C),SimpleLookup($A81,Countermeasures!$A:$C)),"")))</f>
        <v/>
      </c>
      <c r="AG81" s="20" t="str" cm="1">
        <f t="array" ca="1" aca="1" ref="AG81">IF(NOT($L81),"",_xlfn.LET(_xlpm._mappedInMitigation,IFERROR(VLOOKUP($V81,'Attack Steps'!$A:$O,COLUMNS('Attack Steps'!$A:$O),FALSE),""),CreateSearchString(_xlpm._mappedInMitigation)))</f>
        <v/>
      </c>
      <c r="AH81" s="20" t="b">
        <f ca="1">ROW()-ROW($AH$17)=Helper!$B$15</f>
        <v>0</v>
      </c>
      <c r="AI81" s="20" t="str">
        <f t="shared" ca="1" si="11"/>
        <v/>
      </c>
      <c r="AJ81" s="20" cm="1">
        <f t="array" ca="1" aca="1" ref="AJ81">CreateID($AJ$17,$AJ:$AJ,$AI81&lt;&gt;"")</f>
        <v>0</v>
      </c>
    </row>
    <row r="82" spans="1:36" ht="15">
      <c r="A82" s="33" t="str">
        <f ca="1">_xlfn.LET(_xlpm._isAssumption,$J82,_xlpm._row,$K82,_xlpm._numActiveAssumptions,Helper!$B$8,_xlpm._numActiveCountermeasures,Helper!$B$9,_xlpm._numAdditionalAssumptions,Helper!$B$10,_xlpm._numAdditionalCountermeasures,Helper!$B$11,IF(_xlpm._isAssumption,IF(_xlpm._row&gt;_xlpm._numActiveAssumptions,$V82&amp;"-A"&amp;$Q82,INDEX(Assumptions!A:A,MATCH(_xlpm._row,Assumptions!$AG:$AG,0))),IF(_xlpm._row&gt;_xlpm._numActiveCountermeasures+_xlpm._numAdditionalCountermeasures,"",IF(_xlpm._row&gt;_xlpm._numActiveCountermeasures,$V82&amp;"-C"&amp;$Q82,INDEX(Countermeasures!$A:$A,MATCH(_xlpm._row,Countermeasures!$AI:$AI,0))))))</f>
        <v/>
      </c>
      <c r="B82" s="33" t="str" cm="1">
        <f t="array" ca="1" aca="1" ref="B82">IF($A82="","",_xlfn.LET(_xlpm._isAssumption,$J82,_xlpm._isAdditionalElement,$L82,IF(_xlpm._isAdditionalElement,IF(_xlpm._isAssumption,ParseElementsFromComment($U82,Definitions!$AR$4,Definitions!$AS$4,Definitions!$AR$6,$Q82),ParseElementsFromComment($U82,Definitions!$AR$5,Definitions!$AS$5,Definitions!$AR$6,$Q82)),_xlfn.LET(_xlpm._value,IF($A82="","",IF($J82,SimpleLookup($A82,Assumptions!$A:$B),SimpleLookup($A82,Countermeasures!$A:$B))),IF(_xlpm._value="","",_xlpm._value)))))</f>
        <v/>
      </c>
      <c r="C82" s="33" t="str" cm="1">
        <f t="array" ca="1" aca="1" ref="C82">IF($A82="","",IF($J82,IFERROR(SimpleLookup($A82,Assumptions!$A:$E),""),Definitions!$AO$4))</f>
        <v/>
      </c>
      <c r="D82" s="37" t="str">
        <f ca="1" t="shared" si="12" ref="D82:D83">_xlfn.LET(_xlpm._dividerTop,REPT(_xlfn.UNICHAR(9552),63)&amp;CHAR(10),_xlpm._dividerHeader,CHAR(10)&amp;REPT(CHAR(150),84)&amp;CHAR(10),_xlpm._relatedQuestions,IF($AA82="","",_xlpm._dividerTop&amp;"Comments of related questions / answers:"&amp;_xlpm._dividerHeader&amp;$AA82),_xlpm._assignedToAttackSteps,IF($AB82="","",_xlpm._dividerTop&amp;"Assigned to attack steps:"&amp;_xlpm._dividerHeader&amp;$AB82),_xlpm._definedInContextOfElement,IF($AC82="","",_xlpm._dividerTop&amp;"Defined in the context of:"&amp;_xlpm._dividerHeader&amp;$AC82),_xlpm._dependantCountermeasures,IF($AD82="","",_xlpm._dividerTop&amp;"Dependency of countermeasures:"&amp;_xlpm._dividerHeader&amp;$AD82),_xlpm._defaultElementText,IF($AF82="","",_xlpm._dividerTop&amp;"Default "&amp;IF($J82,"assumption","countermeasure")&amp;":"&amp;_xlpm._dividerHeader&amp;$AF82),_xlpm._relatedQuestions&amp;IF(AND(_xlpm._relatedQuestions&lt;&gt;"",_xlpm._assignedToAttackSteps&lt;&gt;""),CHAR(10),"")&amp;_xlpm._assignedToAttackSteps&amp;IF(AND(OR(_xlpm._relatedQuestions&lt;&gt;"",_xlpm._assignedToAttackSteps&lt;&gt;""),_xlpm._definedInContextOfElement&lt;&gt;""),CHAR(10),"")&amp;_xlpm._definedInContextOfElement&amp;IF(AND(OR(_xlpm._relatedQuestions&lt;&gt;"",_xlpm._assignedToAttackSteps&lt;&gt;"",_xlpm._definedInContextOfElement&lt;&gt;""),_xlpm._dependantCountermeasures&lt;&gt;""),CHAR(10),"")&amp;_xlpm._dependantCountermeasures&amp;IF(AND(OR(_xlpm._relatedQuestions&lt;&gt;"",_xlpm._assignedToAttackSteps&lt;&gt;"",_xlpm._definedInContextOfElement&lt;&gt;"",_xlpm._dependantCountermeasures&lt;&gt;""),_xlpm._defaultElementText&lt;&gt;""),CHAR(10),"")&amp;_xlpm._defaultElementText)</f>
        <v/>
      </c>
      <c r="E82" s="23"/>
      <c r="F82" s="59" t="str">
        <f ca="1" t="shared" si="13" ref="F82:F83">IF(AND($E82&lt;&gt;"",$AE82=""),"Error: Unknown ID: "&amp;$E82,IF($A82="","",HYPERLINK("#"&amp;IF($AE82="",$Z82,$AE82),"click me")))</f>
        <v/>
      </c>
      <c r="G82" s="122" t="str" cm="1">
        <f t="array" ca="1" aca="1" ref="G82">_xlfn.LET(_xlpm._val,IFERROR(SimpleLookup($A82,Countermeasures!$A:$R),IFERROR(SimpleLookup($A82,Assumptions!$A:$R),"")),IF(_xlpm._val="","",_xlpm._val))</f>
        <v/>
      </c>
      <c r="H82" s="33" t="str" cm="1">
        <f t="array" ca="1" aca="1" ref="H82">_xlfn.LET(_xlpm._value,IF($A82="","",IFERROR(IF($J82,SimpleLookup($A82,Assumptions!$A:$S),SimpleLookup($A82,Countermeasures!$A:$S)),"")),IF(_xlpm._value="","",_xlpm._value))</f>
        <v/>
      </c>
      <c r="I82" s="10" cm="1">
        <f t="array" ca="1" aca="1" ref="I82">IF(ROW()=ROW($I$17)+1,0,INDEX($I:$I,ROW()-1))+IF($A82="",0,1)</f>
        <v>34</v>
      </c>
      <c r="J82" s="21" t="b">
        <f ca="1">_xlfn.LET(_xlpm._row,ROW()-ROW($K$17),_xlpm._numActiveAssumptions,Helper!$B$8,_xlpm._numAdditionalAssumptions,SUM(Table24['# Elements]),_xlpm._row&lt;=_xlpm._numActiveAssumptions+_xlpm._numAdditionalAssumptions)</f>
        <v>0</v>
      </c>
      <c r="K82" s="21">
        <f ca="1">_xlfn.LET(_xlpm._row,ROW()-ROW($K$17),_xlpm._numActiveAssumptions,Helper!$B$8,_xlpm._numAdditionalAssumptions,Helper!$B$10,_xlpm._isAssumption,$J82,_xlpm._elementID,IF(_xlpm._isAssumption,_xlpm._row,_xlpm._row-_xlpm._numActiveAssumptions-_xlpm._numAdditionalAssumptions),_xlpm._elementID)</f>
        <v>47</v>
      </c>
      <c r="L82"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2" s="20" cm="1">
        <f t="array" ca="1" aca="1" ref="M82">IF($L82,IF(ROW()=ROW($M$17)+1,1,INDEX($M:$M,ROW()-1)+IF(INDEX($T:$T,ROW()-1),1,0)),1)</f>
        <v>1</v>
      </c>
      <c r="N82" s="20" t="str" cm="1">
        <f t="array" ca="1" aca="1" ref="N82">IF($L82=TRUE,_xlfn.LET(_xlpm._isAssumption,$J82,_xlpm._indexRange,IF(_xlpm._isAssumption,Table24['# Elements],Table25['# Elements]),_xlpm._lookupRow,$W82,INDEX(_xlpm._indexRange,_xlpm._lookupRow)),"")</f>
        <v/>
      </c>
      <c r="O82" s="20" t="str" cm="1">
        <f t="array" ca="1" aca="1" ref="O82">IF($N82="","",_xlfn.LET(_xlpm._prevRow,ROW()-1,IF(OR(INDEX($N:$N,_xlpm._prevRow)&lt;&gt;$N82,INDEX($M:$M,_xlpm._prevRow)&lt;&gt;$M82),1,INDEX($O:$O,_xlpm._prevRow)+IF(INDEX($S:$S,_xlpm._prevRow),1,0))))</f>
        <v/>
      </c>
      <c r="P82" s="20" t="str" cm="1">
        <f t="array" ca="1" aca="1" ref="P82">IF($O82="","",_xlfn.LET(_xlpm._isAssumption,$J82,_xlpm._sheetRow,$W82,_xlpm._sheetName,$X82,_xlpm._elementIDRange,IF(_xlpm._isAssumption,Table24[Element ID Column],Table25[Element ID Column]),_xlpm._numberOfElementsRange,IF(_xlpm._isAssumption,Table24[Number of Elements Column],Table25[Number of Elements Column]),SimpleLookup($O82,INDIRECT("'"&amp;_xlpm._sheetName&amp;"'!"&amp;INDEX(_xlpm._elementIDRange,_xlpm._sheetRow)&amp;":"&amp;INDEX(_xlpm._numberOfElementsRange,_xlpm._sheetRow)))))</f>
        <v/>
      </c>
      <c r="Q82" s="20" t="str" cm="1">
        <f t="array" ca="1" aca="1" ref="Q82">IF($O82="","",IF(OR(INDEX($O:$O,ROW()-1)&lt;&gt;$O82,INDEX($M:$M,ROW()-1)&lt;&gt;$M82),1,INDEX($Q:$Q,ROW()-1)+1))</f>
        <v/>
      </c>
      <c r="R82" s="20">
        <f ca="1" t="shared" si="14" ref="R82:R83">COUNTIFS(OFFSET($L$17,1,0,ROW()-ROW($L$17),1),TRUE,OFFSET($M$17,1,0,ROW()-ROW($M$17),1),$M82,OFFSET($J$17,1,0,ROW()-ROW($J$17),1),$J82)</f>
        <v>0</v>
      </c>
      <c r="S82" s="20" t="str">
        <f ca="1" t="shared" si="15" ref="S82:S83">IF($L82,$P82=$Q82,"")</f>
        <v/>
      </c>
      <c r="T82" s="20" t="b">
        <f ca="1">_xlfn.LET(_xlpm._isAssumption,$J82,_xlpm._numberOfElementsRange,IF(_xlpm._isAssumption,Table24['# Elements],Table25['# Elements]),_xlpm._sheetRow,$W82,IF($L82,AND($S82,$R82=$N82),FALSE))</f>
        <v>0</v>
      </c>
      <c r="U82" s="20" t="str" cm="1">
        <f t="array" ca="1" aca="1" ref="U82">IF($L82,_xlfn.LET(_xlpm._elementID,$O82,_xlpm._isAssumption,$J82,_xlpm._sheetRow,$W82,_xlpm._sheetName,$X82,_xlpm._elementRow,$Y82,_xlpm._resultColumnLetter,IF(_xlpm._isAssumption,INDEX(Table24[Comment Column],_xlpm._sheetRow),INDEX(Table25[Comment Column],_xlpm._sheetRow)),INDEX(INDIRECT("'"&amp;_xlpm._sheetName&amp;"'!"&amp;_xlpm._resultColumnLetter&amp;":"&amp;_xlpm._resultColumnLetter),_xlpm._elementRow)),"")</f>
        <v/>
      </c>
      <c r="V82" s="20" t="str" cm="1">
        <f t="array" ca="1" aca="1" ref="V82">IF($L82,_xlfn.LET(_xlpm._elementID,$O82,_xlpm._isAssumption,$J82,_xlpm._sheetRow,$W82,_xlpm._sheetName,$X82,_xlpm._resultColumnLetter,IF(_xlpm._isAssumption,INDEX(Table24[Sheet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2" s="20" t="str">
        <f ca="1">IF($L82=TRUE,_xlfn.LET(_xlpm._isAssumption,$J82,_xlpm._searchRange,IF(_xlpm._isAssumption,Table24[Task Sheet Shadow ID],Table25[Task Sheet Shadow ID]),MATCH($M82,_xlpm._searchRange,0)),"")</f>
        <v/>
      </c>
      <c r="X82" s="20" t="str" cm="1">
        <f t="array" ca="1" aca="1" ref="X82">IF($L82,_xlfn.LET(_xlpm._isAssumption,$J82,_xlpm._sheetRow,$W82,IF(_xlpm._isAssumption,INDEX(Table24[Sheet Name],_xlpm._sheetRow),INDEX(Table25[Sheet Name],_xlpm._sheetRow))),"")</f>
        <v/>
      </c>
      <c r="Y82" s="20" t="str" cm="1">
        <f t="array" ca="1" aca="1" ref="Y82">IF($L82,_xlfn.LET(_xlpm._elementID,$O82,_xlpm._isAssumption,$J82,_xlpm._sheetRow,$W82,_xlpm._sheetName,$X82,_xlpm._elementIDColumnLetter,IF(_xlpm._isAssumption,INDEX(Table24[Element ID Column],_xlpm._sheetRow),INDEX(Table25[Element ID Column],_xlpm._sheetRow)),MATCH(_xlpm._elementID,INDIRECT("'"&amp;_xlpm._sheetName&amp;"'!"&amp;_xlpm._elementIDColumnLetter&amp;":"&amp;_xlpm._elementIDColumnLetter),0)),"")</f>
        <v/>
      </c>
      <c r="Z82" s="20" t="str" cm="1">
        <f t="array" ca="1" aca="1" ref="Z82">IF($A82="","",_xlfn.LET(_xlpm._isAssumption,$J82,_xlpm._isAdditionalElement,$L82,_xlpm._sheetRow,$W82,_xlpm._sheetName,$X82,_xlpm._columnLetter,INDEX(IF(_xlpm._isAdditionalElement,Table24[Comment Column],Table25[Comment Column]),_xlpm._sheetRow),_xlpm._sheetReference,IF(_xlpm._isAssumption,IF(_xlpm._isAdditionalElement,CELL("address",INDEX(INDIRECT("'"&amp;_xlpm._sheetName&amp;"'!"&amp;_xlpm._columnLetter&amp;":"&amp;_xlpm._columnLetter),$Y82)),CELL("address",INDEX(Assumptions!$A:$A,MATCH($A82,Assumptions!$A:$A,0),1))),IF(_xlpm._isAdditionalElement,CELL("address",INDEX(INDIRECT("'"&amp;_xlpm._sheetName&amp;"'!"&amp;_xlpm._columnLetter&amp;":"&amp;_xlpm._columnLetter),$Y82)),CELL("address",INDEX(Countermeasures!$A:$A,MATCH($A82,Countermeasures!$A:$A,0),1)))),_xlpm._start,FIND("]",_xlpm._sheetReference),"'"&amp;SUBSTITUTE(SUBSTITUTE(RIGHT(_xlpm._sheetReference,LEN(_xlpm._sheetReference)-_xlpm._start),"'",""),"!","'!")))</f>
        <v/>
      </c>
      <c r="AA82" s="20" t="str" cm="1">
        <f t="array" ca="1" aca="1" ref="AA82">IF(NOT($L82),_xlfn.LET(_xlpm._value,IF($A82="","",IF($J82,SimpleLookup($A82,Assumptions!$A:$AK),SimpleLookup($A82,Countermeasures!$A:$AN))),IF(_xlpm._value="","",_xlpm._value)),"")</f>
        <v/>
      </c>
      <c r="AB82" s="20" t="str" cm="1">
        <f t="array" ca="1" aca="1" ref="AB82">LookupNames(InverseLookup($A82,Mitigation!$AD$2,Mitigation!$A$2,1,Helper!$B$5,","),'Attack Steps'!$A:$B)</f>
        <v/>
      </c>
      <c r="AC82" s="20" t="str" cm="1">
        <f t="array" ca="1" aca="1" ref="AC82">IF($L82,_xlfn.LET(_xlpm._in,$A82,_xlpm._lastDashNum,LEN(_xlpm._in)-LEN(SUBSTITUTE(_xlpm._in,"-","")),_xlpm._lastDashPos,FIND(CHAR(1),SUBSTITUTE(_xlpm._in,"-",CHAR(1),_xlpm._lastDashNum)),_xlpm._id,LEFT(_xlpm._in,_xlpm._lastDashPos-1),_xlpm._id&amp;"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2" s="20" t="str" cm="1">
        <f t="array" ca="1" aca="1" ref="AD82">_xlfn.LET(_xlpm._countermeasures,InverseLookup($A82,Countermeasures!$AG$2,Countermeasures!$A$2,1,Helper!$B$4,","),LookupNames(_xlpm._countermeasures,Countermeasures!$A:$B))</f>
        <v/>
      </c>
      <c r="AE82" s="20" t="str" cm="1">
        <f t="array" ca="1" aca="1" ref="AE82">IF($E82="","",_xlfn.LET(_xlpm._id,$E82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2" s="20" t="str" cm="1">
        <f t="array" ca="1" aca="1" ref="AF82">IF(OR($A82="",$L82),"",_xlfn.LET(_xlpm._answers,IF($J82,SimpleLookup($A82,Assumptions!$A:$F),SimpleLookup($A82,Countermeasures!$A:$D)),IF(_xlpm._answers="*",IF($J82,SimpleLookup($A82,Assumptions!$A:$C),SimpleLookup($A82,Countermeasures!$A:$C)),"")))</f>
        <v/>
      </c>
      <c r="AG82" s="20" t="str" cm="1">
        <f t="array" ca="1" aca="1" ref="AG82">IF(NOT($L82),"",_xlfn.LET(_xlpm._mappedInMitigation,IFERROR(VLOOKUP($V82,'Attack Steps'!$A:$O,COLUMNS('Attack Steps'!$A:$O),FALSE),""),CreateSearchString(_xlpm._mappedInMitigation)))</f>
        <v/>
      </c>
      <c r="AH82" s="20" t="b">
        <f ca="1">ROW()-ROW($AH$17)=Helper!$B$15</f>
        <v>0</v>
      </c>
      <c r="AI82" s="20" t="str">
        <f ca="1" t="shared" si="16" ref="AI82:AI83">IF(IFERROR(MATCH(TRUE,$AH:$AH,0)&gt;0,FALSE),"",IF(OFFSET($AH82,1,0)="","Please enlarge the table!",""))</f>
        <v/>
      </c>
      <c r="AJ82" s="20" cm="1">
        <f t="array" ca="1" aca="1" ref="AJ82">CreateID($AJ$17,$AJ:$AJ,$AI82&lt;&gt;"")</f>
        <v>0</v>
      </c>
    </row>
    <row r="83" spans="1:36" ht="15">
      <c r="A83" s="33" t="str">
        <f ca="1">_xlfn.LET(_xlpm._isAssumption,$J83,_xlpm._row,$K83,_xlpm._numActiveAssumptions,Helper!$B$8,_xlpm._numActiveCountermeasures,Helper!$B$9,_xlpm._numAdditionalAssumptions,Helper!$B$10,_xlpm._numAdditionalCountermeasures,Helper!$B$11,IF(_xlpm._isAssumption,IF(_xlpm._row&gt;_xlpm._numActiveAssumptions,$V83&amp;"-A"&amp;$Q83,INDEX(Assumptions!A:A,MATCH(_xlpm._row,Assumptions!$AG:$AG,0))),IF(_xlpm._row&gt;_xlpm._numActiveCountermeasures+_xlpm._numAdditionalCountermeasures,"",IF(_xlpm._row&gt;_xlpm._numActiveCountermeasures,$V83&amp;"-C"&amp;$Q83,INDEX(Countermeasures!$A:$A,MATCH(_xlpm._row,Countermeasures!$AI:$AI,0))))))</f>
        <v/>
      </c>
      <c r="B83" s="33" t="str" cm="1">
        <f t="array" ca="1" aca="1" ref="B83">IF($A83="","",_xlfn.LET(_xlpm._isAssumption,$J83,_xlpm._isAdditionalElement,$L83,IF(_xlpm._isAdditionalElement,IF(_xlpm._isAssumption,ParseElementsFromComment($U83,Definitions!$AR$4,Definitions!$AS$4,Definitions!$AR$6,$Q83),ParseElementsFromComment($U83,Definitions!$AR$5,Definitions!$AS$5,Definitions!$AR$6,$Q83)),_xlfn.LET(_xlpm._value,IF($A83="","",IF($J83,SimpleLookup($A83,Assumptions!$A:$B),SimpleLookup($A83,Countermeasures!$A:$B))),IF(_xlpm._value="","",_xlpm._value)))))</f>
        <v/>
      </c>
      <c r="C83" s="33" t="str" cm="1">
        <f t="array" ca="1" aca="1" ref="C83">IF($A83="","",IF($J83,IFERROR(SimpleLookup($A83,Assumptions!$A:$E),""),Definitions!$AO$4))</f>
        <v/>
      </c>
      <c r="D83" s="37" t="str">
        <f t="shared" ca="1" si="12"/>
        <v/>
      </c>
      <c r="E83" s="23"/>
      <c r="F83" s="59" t="str">
        <f t="shared" ca="1" si="13"/>
        <v/>
      </c>
      <c r="G83" s="122" t="str" cm="1">
        <f t="array" ca="1" aca="1" ref="G83">_xlfn.LET(_xlpm._val,IFERROR(SimpleLookup($A83,Countermeasures!$A:$R),IFERROR(SimpleLookup($A83,Assumptions!$A:$R),"")),IF(_xlpm._val="","",_xlpm._val))</f>
        <v/>
      </c>
      <c r="H83" s="33" t="str" cm="1">
        <f t="array" ca="1" aca="1" ref="H83">_xlfn.LET(_xlpm._value,IF($A83="","",IFERROR(IF($J83,SimpleLookup($A83,Assumptions!$A:$S),SimpleLookup($A83,Countermeasures!$A:$S)),"")),IF(_xlpm._value="","",_xlpm._value))</f>
        <v/>
      </c>
      <c r="I83" s="10" cm="1">
        <f t="array" ca="1" aca="1" ref="I83">IF(ROW()=ROW($I$17)+1,0,INDEX($I:$I,ROW()-1))+IF($A83="",0,1)</f>
        <v>34</v>
      </c>
      <c r="J83" s="21" t="b">
        <f ca="1">_xlfn.LET(_xlpm._row,ROW()-ROW($K$17),_xlpm._numActiveAssumptions,Helper!$B$8,_xlpm._numAdditionalAssumptions,SUM(Table24['# Elements]),_xlpm._row&lt;=_xlpm._numActiveAssumptions+_xlpm._numAdditionalAssumptions)</f>
        <v>0</v>
      </c>
      <c r="K83" s="21">
        <f ca="1">_xlfn.LET(_xlpm._row,ROW()-ROW($K$17),_xlpm._numActiveAssumptions,Helper!$B$8,_xlpm._numAdditionalAssumptions,Helper!$B$10,_xlpm._isAssumption,$J83,_xlpm._elementID,IF(_xlpm._isAssumption,_xlpm._row,_xlpm._row-_xlpm._numActiveAssumptions-_xlpm._numAdditionalAssumptions),_xlpm._elementID)</f>
        <v>48</v>
      </c>
      <c r="L83"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3" s="20" cm="1">
        <f t="array" ca="1" aca="1" ref="M83">IF($L83,IF(ROW()=ROW($M$17)+1,1,INDEX($M:$M,ROW()-1)+IF(INDEX($T:$T,ROW()-1),1,0)),1)</f>
        <v>1</v>
      </c>
      <c r="N83" s="20" t="str" cm="1">
        <f t="array" ca="1" aca="1" ref="N83">IF($L83=TRUE,_xlfn.LET(_xlpm._isAssumption,$J83,_xlpm._indexRange,IF(_xlpm._isAssumption,Table24['# Elements],Table25['# Elements]),_xlpm._lookupRow,$W83,INDEX(_xlpm._indexRange,_xlpm._lookupRow)),"")</f>
        <v/>
      </c>
      <c r="O83" s="20" t="str" cm="1">
        <f t="array" ca="1" aca="1" ref="O83">IF($N83="","",_xlfn.LET(_xlpm._prevRow,ROW()-1,IF(OR(INDEX($N:$N,_xlpm._prevRow)&lt;&gt;$N83,INDEX($M:$M,_xlpm._prevRow)&lt;&gt;$M83),1,INDEX($O:$O,_xlpm._prevRow)+IF(INDEX($S:$S,_xlpm._prevRow),1,0))))</f>
        <v/>
      </c>
      <c r="P83" s="20" t="str" cm="1">
        <f t="array" ca="1" aca="1" ref="P83">IF($O83="","",_xlfn.LET(_xlpm._isAssumption,$J83,_xlpm._sheetRow,$W83,_xlpm._sheetName,$X83,_xlpm._elementIDRange,IF(_xlpm._isAssumption,Table24[Element ID Column],Table25[Element ID Column]),_xlpm._numberOfElementsRange,IF(_xlpm._isAssumption,Table24[Number of Elements Column],Table25[Number of Elements Column]),SimpleLookup($O83,INDIRECT("'"&amp;_xlpm._sheetName&amp;"'!"&amp;INDEX(_xlpm._elementIDRange,_xlpm._sheetRow)&amp;":"&amp;INDEX(_xlpm._numberOfElementsRange,_xlpm._sheetRow)))))</f>
        <v/>
      </c>
      <c r="Q83" s="20" t="str" cm="1">
        <f t="array" ca="1" aca="1" ref="Q83">IF($O83="","",IF(OR(INDEX($O:$O,ROW()-1)&lt;&gt;$O83,INDEX($M:$M,ROW()-1)&lt;&gt;$M83),1,INDEX($Q:$Q,ROW()-1)+1))</f>
        <v/>
      </c>
      <c r="R83" s="20">
        <f t="shared" ca="1" si="14"/>
        <v>0</v>
      </c>
      <c r="S83" s="20" t="str">
        <f t="shared" ca="1" si="15"/>
        <v/>
      </c>
      <c r="T83" s="20" t="b">
        <f ca="1">_xlfn.LET(_xlpm._isAssumption,$J83,_xlpm._numberOfElementsRange,IF(_xlpm._isAssumption,Table24['# Elements],Table25['# Elements]),_xlpm._sheetRow,$W83,IF($L83,AND($S83,$R83=$N83),FALSE))</f>
        <v>0</v>
      </c>
      <c r="U83" s="20" t="str" cm="1">
        <f t="array" ca="1" aca="1" ref="U83">IF($L83,_xlfn.LET(_xlpm._elementID,$O83,_xlpm._isAssumption,$J83,_xlpm._sheetRow,$W83,_xlpm._sheetName,$X83,_xlpm._elementRow,$Y83,_xlpm._resultColumnLetter,IF(_xlpm._isAssumption,INDEX(Table24[Comment Column],_xlpm._sheetRow),INDEX(Table25[Comment Column],_xlpm._sheetRow)),INDEX(INDIRECT("'"&amp;_xlpm._sheetName&amp;"'!"&amp;_xlpm._resultColumnLetter&amp;":"&amp;_xlpm._resultColumnLetter),_xlpm._elementRow)),"")</f>
        <v/>
      </c>
      <c r="V83" s="20" t="str" cm="1">
        <f t="array" ca="1" aca="1" ref="V83">IF($L83,_xlfn.LET(_xlpm._elementID,$O83,_xlpm._isAssumption,$J83,_xlpm._sheetRow,$W83,_xlpm._sheetName,$X83,_xlpm._resultColumnLetter,IF(_xlpm._isAssumption,INDEX(Table24[Sheet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3" s="20" t="str">
        <f ca="1">IF($L83=TRUE,_xlfn.LET(_xlpm._isAssumption,$J83,_xlpm._searchRange,IF(_xlpm._isAssumption,Table24[Task Sheet Shadow ID],Table25[Task Sheet Shadow ID]),MATCH($M83,_xlpm._searchRange,0)),"")</f>
        <v/>
      </c>
      <c r="X83" s="20" t="str" cm="1">
        <f t="array" ca="1" aca="1" ref="X83">IF($L83,_xlfn.LET(_xlpm._isAssumption,$J83,_xlpm._sheetRow,$W83,IF(_xlpm._isAssumption,INDEX(Table24[Sheet Name],_xlpm._sheetRow),INDEX(Table25[Sheet Name],_xlpm._sheetRow))),"")</f>
        <v/>
      </c>
      <c r="Y83" s="20" t="str" cm="1">
        <f t="array" ca="1" aca="1" ref="Y83">IF($L83,_xlfn.LET(_xlpm._elementID,$O83,_xlpm._isAssumption,$J83,_xlpm._sheetRow,$W83,_xlpm._sheetName,$X83,_xlpm._elementIDColumnLetter,IF(_xlpm._isAssumption,INDEX(Table24[Element ID Column],_xlpm._sheetRow),INDEX(Table25[Element ID Column],_xlpm._sheetRow)),MATCH(_xlpm._elementID,INDIRECT("'"&amp;_xlpm._sheetName&amp;"'!"&amp;_xlpm._elementIDColumnLetter&amp;":"&amp;_xlpm._elementIDColumnLetter),0)),"")</f>
        <v/>
      </c>
      <c r="Z83" s="20" t="str" cm="1">
        <f t="array" ca="1" aca="1" ref="Z83">IF($A83="","",_xlfn.LET(_xlpm._isAssumption,$J83,_xlpm._isAdditionalElement,$L83,_xlpm._sheetRow,$W83,_xlpm._sheetName,$X83,_xlpm._columnLetter,INDEX(IF(_xlpm._isAdditionalElement,Table24[Comment Column],Table25[Comment Column]),_xlpm._sheetRow),_xlpm._sheetReference,IF(_xlpm._isAssumption,IF(_xlpm._isAdditionalElement,CELL("address",INDEX(INDIRECT("'"&amp;_xlpm._sheetName&amp;"'!"&amp;_xlpm._columnLetter&amp;":"&amp;_xlpm._columnLetter),$Y83)),CELL("address",INDEX(Assumptions!$A:$A,MATCH($A83,Assumptions!$A:$A,0),1))),IF(_xlpm._isAdditionalElement,CELL("address",INDEX(INDIRECT("'"&amp;_xlpm._sheetName&amp;"'!"&amp;_xlpm._columnLetter&amp;":"&amp;_xlpm._columnLetter),$Y83)),CELL("address",INDEX(Countermeasures!$A:$A,MATCH($A83,Countermeasures!$A:$A,0),1)))),_xlpm._start,FIND("]",_xlpm._sheetReference),"'"&amp;SUBSTITUTE(SUBSTITUTE(RIGHT(_xlpm._sheetReference,LEN(_xlpm._sheetReference)-_xlpm._start),"'",""),"!","'!")))</f>
        <v/>
      </c>
      <c r="AA83" s="20" t="str" cm="1">
        <f t="array" ca="1" aca="1" ref="AA83">IF(NOT($L83),_xlfn.LET(_xlpm._value,IF($A83="","",IF($J83,SimpleLookup($A83,Assumptions!$A:$AK),SimpleLookup($A83,Countermeasures!$A:$AN))),IF(_xlpm._value="","",_xlpm._value)),"")</f>
        <v/>
      </c>
      <c r="AB83" s="20" t="str" cm="1">
        <f t="array" ca="1" aca="1" ref="AB83">LookupNames(InverseLookup($A83,Mitigation!$AD$2,Mitigation!$A$2,1,Helper!$B$5,","),'Attack Steps'!$A:$B)</f>
        <v/>
      </c>
      <c r="AC83" s="20" t="str" cm="1">
        <f t="array" ca="1" aca="1" ref="AC83">IF($L83,_xlfn.LET(_xlpm._in,$A83,_xlpm._lastDashNum,LEN(_xlpm._in)-LEN(SUBSTITUTE(_xlpm._in,"-","")),_xlpm._lastDashPos,FIND(CHAR(1),SUBSTITUTE(_xlpm._in,"-",CHAR(1),_xlpm._lastDashNum)),_xlpm._id,LEFT(_xlpm._in,_xlpm._lastDashPos-1),_xlpm._id&amp;"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3" s="20" t="str" cm="1">
        <f t="array" ca="1" aca="1" ref="AD83">_xlfn.LET(_xlpm._countermeasures,InverseLookup($A83,Countermeasures!$AG$2,Countermeasures!$A$2,1,Helper!$B$4,","),LookupNames(_xlpm._countermeasures,Countermeasures!$A:$B))</f>
        <v/>
      </c>
      <c r="AE83" s="20" t="str" cm="1">
        <f t="array" ca="1" aca="1" ref="AE83">IF($E83="","",_xlfn.LET(_xlpm._id,$E83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3" s="20" t="str" cm="1">
        <f t="array" ca="1" aca="1" ref="AF83">IF(OR($A83="",$L83),"",_xlfn.LET(_xlpm._answers,IF($J83,SimpleLookup($A83,Assumptions!$A:$F),SimpleLookup($A83,Countermeasures!$A:$D)),IF(_xlpm._answers="*",IF($J83,SimpleLookup($A83,Assumptions!$A:$C),SimpleLookup($A83,Countermeasures!$A:$C)),"")))</f>
        <v/>
      </c>
      <c r="AG83" s="20" t="str" cm="1">
        <f t="array" ca="1" aca="1" ref="AG83">IF(NOT($L83),"",_xlfn.LET(_xlpm._mappedInMitigation,IFERROR(VLOOKUP($V83,'Attack Steps'!$A:$O,COLUMNS('Attack Steps'!$A:$O),FALSE),""),CreateSearchString(_xlpm._mappedInMitigation)))</f>
        <v/>
      </c>
      <c r="AH83" s="20" t="b">
        <f ca="1">ROW()-ROW($AH$17)=Helper!$B$15</f>
        <v>0</v>
      </c>
      <c r="AI83" s="20" t="str">
        <f t="shared" ca="1" si="16"/>
        <v/>
      </c>
      <c r="AJ83" s="20" cm="1">
        <f t="array" ca="1" aca="1" ref="AJ83">CreateID($AJ$17,$AJ:$AJ,$AI83&lt;&gt;"")</f>
        <v>0</v>
      </c>
    </row>
    <row r="84" spans="1:36" ht="15">
      <c r="A84" s="33" t="str">
        <f ca="1">_xlfn.LET(_xlpm._isAssumption,$J84,_xlpm._row,$K84,_xlpm._numActiveAssumptions,Helper!$B$8,_xlpm._numActiveCountermeasures,Helper!$B$9,_xlpm._numAdditionalAssumptions,Helper!$B$10,_xlpm._numAdditionalCountermeasures,Helper!$B$11,IF(_xlpm._isAssumption,IF(_xlpm._row&gt;_xlpm._numActiveAssumptions,$V84&amp;"-A"&amp;$Q84,INDEX(Assumptions!A:A,MATCH(_xlpm._row,Assumptions!$AG:$AG,0))),IF(_xlpm._row&gt;_xlpm._numActiveCountermeasures+_xlpm._numAdditionalCountermeasures,"",IF(_xlpm._row&gt;_xlpm._numActiveCountermeasures,$V84&amp;"-C"&amp;$Q84,INDEX(Countermeasures!$A:$A,MATCH(_xlpm._row,Countermeasures!$AI:$AI,0))))))</f>
        <v/>
      </c>
      <c r="B84" s="33" t="str" cm="1">
        <f t="array" ca="1" aca="1" ref="B84">IF($A84="","",_xlfn.LET(_xlpm._isAssumption,$J84,_xlpm._isAdditionalElement,$L84,IF(_xlpm._isAdditionalElement,IF(_xlpm._isAssumption,ParseElementsFromComment($U84,Definitions!$AR$4,Definitions!$AS$4,Definitions!$AR$6,$Q84),ParseElementsFromComment($U84,Definitions!$AR$5,Definitions!$AS$5,Definitions!$AR$6,$Q84)),_xlfn.LET(_xlpm._value,IF($A84="","",IF($J84,SimpleLookup($A84,Assumptions!$A:$B),SimpleLookup($A84,Countermeasures!$A:$B))),IF(_xlpm._value="","",_xlpm._value)))))</f>
        <v/>
      </c>
      <c r="C84" s="33" t="str" cm="1">
        <f t="array" ca="1" aca="1" ref="C84">IF($A84="","",IF($J84,IFERROR(SimpleLookup($A84,Assumptions!$A:$E),""),Definitions!$AO$4))</f>
        <v/>
      </c>
      <c r="D84" s="37" t="str">
        <f ca="1" t="shared" si="17" ref="D84:D86">_xlfn.LET(_xlpm._dividerTop,REPT(_xlfn.UNICHAR(9552),63)&amp;CHAR(10),_xlpm._dividerHeader,CHAR(10)&amp;REPT(CHAR(150),84)&amp;CHAR(10),_xlpm._relatedQuestions,IF($AA84="","",_xlpm._dividerTop&amp;"Comments of related questions / answers:"&amp;_xlpm._dividerHeader&amp;$AA84),_xlpm._assignedToAttackSteps,IF($AB84="","",_xlpm._dividerTop&amp;"Assigned to attack steps:"&amp;_xlpm._dividerHeader&amp;$AB84),_xlpm._definedInContextOfElement,IF($AC84="","",_xlpm._dividerTop&amp;"Defined in the context of:"&amp;_xlpm._dividerHeader&amp;$AC84),_xlpm._dependantCountermeasures,IF($AD84="","",_xlpm._dividerTop&amp;"Dependency of countermeasures:"&amp;_xlpm._dividerHeader&amp;$AD84),_xlpm._defaultElementText,IF($AF84="","",_xlpm._dividerTop&amp;"Default "&amp;IF($J84,"assumption","countermeasure")&amp;":"&amp;_xlpm._dividerHeader&amp;$AF84),_xlpm._relatedQuestions&amp;IF(AND(_xlpm._relatedQuestions&lt;&gt;"",_xlpm._assignedToAttackSteps&lt;&gt;""),CHAR(10),"")&amp;_xlpm._assignedToAttackSteps&amp;IF(AND(OR(_xlpm._relatedQuestions&lt;&gt;"",_xlpm._assignedToAttackSteps&lt;&gt;""),_xlpm._definedInContextOfElement&lt;&gt;""),CHAR(10),"")&amp;_xlpm._definedInContextOfElement&amp;IF(AND(OR(_xlpm._relatedQuestions&lt;&gt;"",_xlpm._assignedToAttackSteps&lt;&gt;"",_xlpm._definedInContextOfElement&lt;&gt;""),_xlpm._dependantCountermeasures&lt;&gt;""),CHAR(10),"")&amp;_xlpm._dependantCountermeasures&amp;IF(AND(OR(_xlpm._relatedQuestions&lt;&gt;"",_xlpm._assignedToAttackSteps&lt;&gt;"",_xlpm._definedInContextOfElement&lt;&gt;"",_xlpm._dependantCountermeasures&lt;&gt;""),_xlpm._defaultElementText&lt;&gt;""),CHAR(10),"")&amp;_xlpm._defaultElementText)</f>
        <v/>
      </c>
      <c r="E84" s="23"/>
      <c r="F84" s="59" t="str">
        <f ca="1" t="shared" si="18" ref="F84:F86">IF(AND($E84&lt;&gt;"",$AE84=""),"Error: Unknown ID: "&amp;$E84,IF($A84="","",HYPERLINK("#"&amp;IF($AE84="",$Z84,$AE84),"click me")))</f>
        <v/>
      </c>
      <c r="G84" s="122" t="str" cm="1">
        <f t="array" ca="1" aca="1" ref="G84">_xlfn.LET(_xlpm._val,IFERROR(SimpleLookup($A84,Countermeasures!$A:$R),IFERROR(SimpleLookup($A84,Assumptions!$A:$R),"")),IF(_xlpm._val="","",_xlpm._val))</f>
        <v/>
      </c>
      <c r="H84" s="33" t="str" cm="1">
        <f t="array" ca="1" aca="1" ref="H84">_xlfn.LET(_xlpm._value,IF($A84="","",IFERROR(IF($J84,SimpleLookup($A84,Assumptions!$A:$S),SimpleLookup($A84,Countermeasures!$A:$S)),"")),IF(_xlpm._value="","",_xlpm._value))</f>
        <v/>
      </c>
      <c r="I84" s="10" cm="1">
        <f t="array" ca="1" aca="1" ref="I84">IF(ROW()=ROW($I$17)+1,0,INDEX($I:$I,ROW()-1))+IF($A84="",0,1)</f>
        <v>34</v>
      </c>
      <c r="J84" s="21" t="b">
        <f ca="1">_xlfn.LET(_xlpm._row,ROW()-ROW($K$17),_xlpm._numActiveAssumptions,Helper!$B$8,_xlpm._numAdditionalAssumptions,SUM(Table24['# Elements]),_xlpm._row&lt;=_xlpm._numActiveAssumptions+_xlpm._numAdditionalAssumptions)</f>
        <v>0</v>
      </c>
      <c r="K84" s="21">
        <f ca="1">_xlfn.LET(_xlpm._row,ROW()-ROW($K$17),_xlpm._numActiveAssumptions,Helper!$B$8,_xlpm._numAdditionalAssumptions,Helper!$B$10,_xlpm._isAssumption,$J84,_xlpm._elementID,IF(_xlpm._isAssumption,_xlpm._row,_xlpm._row-_xlpm._numActiveAssumptions-_xlpm._numAdditionalAssumptions),_xlpm._elementID)</f>
        <v>49</v>
      </c>
      <c r="L84"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4" s="20" cm="1">
        <f t="array" ca="1" aca="1" ref="M84">IF($L84,IF(ROW()=ROW($M$17)+1,1,INDEX($M:$M,ROW()-1)+IF(INDEX($T:$T,ROW()-1),1,0)),1)</f>
        <v>1</v>
      </c>
      <c r="N84" s="20" t="str" cm="1">
        <f t="array" ca="1" aca="1" ref="N84">IF($L84=TRUE,_xlfn.LET(_xlpm._isAssumption,$J84,_xlpm._indexRange,IF(_xlpm._isAssumption,Table24['# Elements],Table25['# Elements]),_xlpm._lookupRow,$W84,INDEX(_xlpm._indexRange,_xlpm._lookupRow)),"")</f>
        <v/>
      </c>
      <c r="O84" s="20" t="str" cm="1">
        <f t="array" ca="1" aca="1" ref="O84">IF($N84="","",_xlfn.LET(_xlpm._prevRow,ROW()-1,IF(OR(INDEX($N:$N,_xlpm._prevRow)&lt;&gt;$N84,INDEX($M:$M,_xlpm._prevRow)&lt;&gt;$M84),1,INDEX($O:$O,_xlpm._prevRow)+IF(INDEX($S:$S,_xlpm._prevRow),1,0))))</f>
        <v/>
      </c>
      <c r="P84" s="20" t="str" cm="1">
        <f t="array" ca="1" aca="1" ref="P84">IF($O84="","",_xlfn.LET(_xlpm._isAssumption,$J84,_xlpm._sheetRow,$W84,_xlpm._sheetName,$X84,_xlpm._elementIDRange,IF(_xlpm._isAssumption,Table24[Element ID Column],Table25[Element ID Column]),_xlpm._numberOfElementsRange,IF(_xlpm._isAssumption,Table24[Number of Elements Column],Table25[Number of Elements Column]),SimpleLookup($O84,INDIRECT("'"&amp;_xlpm._sheetName&amp;"'!"&amp;INDEX(_xlpm._elementIDRange,_xlpm._sheetRow)&amp;":"&amp;INDEX(_xlpm._numberOfElementsRange,_xlpm._sheetRow)))))</f>
        <v/>
      </c>
      <c r="Q84" s="20" t="str" cm="1">
        <f t="array" ca="1" aca="1" ref="Q84">IF($O84="","",IF(OR(INDEX($O:$O,ROW()-1)&lt;&gt;$O84,INDEX($M:$M,ROW()-1)&lt;&gt;$M84),1,INDEX($Q:$Q,ROW()-1)+1))</f>
        <v/>
      </c>
      <c r="R84" s="20">
        <f ca="1" t="shared" si="19" ref="R84:R86">COUNTIFS(OFFSET($L$17,1,0,ROW()-ROW($L$17),1),TRUE,OFFSET($M$17,1,0,ROW()-ROW($M$17),1),$M84,OFFSET($J$17,1,0,ROW()-ROW($J$17),1),$J84)</f>
        <v>0</v>
      </c>
      <c r="S84" s="20" t="str">
        <f ca="1" t="shared" si="20" ref="S84:S86">IF($L84,$P84=$Q84,"")</f>
        <v/>
      </c>
      <c r="T84" s="20" t="b">
        <f ca="1">_xlfn.LET(_xlpm._isAssumption,$J84,_xlpm._numberOfElementsRange,IF(_xlpm._isAssumption,Table24['# Elements],Table25['# Elements]),_xlpm._sheetRow,$W84,IF($L84,AND($S84,$R84=$N84),FALSE))</f>
        <v>0</v>
      </c>
      <c r="U84" s="20" t="str" cm="1">
        <f t="array" ca="1" aca="1" ref="U84">IF($L84,_xlfn.LET(_xlpm._elementID,$O84,_xlpm._isAssumption,$J84,_xlpm._sheetRow,$W84,_xlpm._sheetName,$X84,_xlpm._elementRow,$Y84,_xlpm._resultColumnLetter,IF(_xlpm._isAssumption,INDEX(Table24[Comment Column],_xlpm._sheetRow),INDEX(Table25[Comment Column],_xlpm._sheetRow)),INDEX(INDIRECT("'"&amp;_xlpm._sheetName&amp;"'!"&amp;_xlpm._resultColumnLetter&amp;":"&amp;_xlpm._resultColumnLetter),_xlpm._elementRow)),"")</f>
        <v/>
      </c>
      <c r="V84" s="20" t="str" cm="1">
        <f t="array" ca="1" aca="1" ref="V84">IF($L84,_xlfn.LET(_xlpm._elementID,$O84,_xlpm._isAssumption,$J84,_xlpm._sheetRow,$W84,_xlpm._sheetName,$X84,_xlpm._resultColumnLetter,IF(_xlpm._isAssumption,INDEX(Table24[Sheet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4" s="20" t="str">
        <f ca="1">IF($L84=TRUE,_xlfn.LET(_xlpm._isAssumption,$J84,_xlpm._searchRange,IF(_xlpm._isAssumption,Table24[Task Sheet Shadow ID],Table25[Task Sheet Shadow ID]),MATCH($M84,_xlpm._searchRange,0)),"")</f>
        <v/>
      </c>
      <c r="X84" s="20" t="str" cm="1">
        <f t="array" ca="1" aca="1" ref="X84">IF($L84,_xlfn.LET(_xlpm._isAssumption,$J84,_xlpm._sheetRow,$W84,IF(_xlpm._isAssumption,INDEX(Table24[Sheet Name],_xlpm._sheetRow),INDEX(Table25[Sheet Name],_xlpm._sheetRow))),"")</f>
        <v/>
      </c>
      <c r="Y84" s="20" t="str" cm="1">
        <f t="array" ca="1" aca="1" ref="Y84">IF($L84,_xlfn.LET(_xlpm._elementID,$O84,_xlpm._isAssumption,$J84,_xlpm._sheetRow,$W84,_xlpm._sheetName,$X84,_xlpm._elementIDColumnLetter,IF(_xlpm._isAssumption,INDEX(Table24[Element ID Column],_xlpm._sheetRow),INDEX(Table25[Element ID Column],_xlpm._sheetRow)),MATCH(_xlpm._elementID,INDIRECT("'"&amp;_xlpm._sheetName&amp;"'!"&amp;_xlpm._elementIDColumnLetter&amp;":"&amp;_xlpm._elementIDColumnLetter),0)),"")</f>
        <v/>
      </c>
      <c r="Z84" s="20" t="str" cm="1">
        <f t="array" ca="1" aca="1" ref="Z84">IF($A84="","",_xlfn.LET(_xlpm._isAssumption,$J84,_xlpm._isAdditionalElement,$L84,_xlpm._sheetRow,$W84,_xlpm._sheetName,$X84,_xlpm._columnLetter,INDEX(IF(_xlpm._isAdditionalElement,Table24[Comment Column],Table25[Comment Column]),_xlpm._sheetRow),_xlpm._sheetReference,IF(_xlpm._isAssumption,IF(_xlpm._isAdditionalElement,CELL("address",INDEX(INDIRECT("'"&amp;_xlpm._sheetName&amp;"'!"&amp;_xlpm._columnLetter&amp;":"&amp;_xlpm._columnLetter),$Y84)),CELL("address",INDEX(Assumptions!$A:$A,MATCH($A84,Assumptions!$A:$A,0),1))),IF(_xlpm._isAdditionalElement,CELL("address",INDEX(INDIRECT("'"&amp;_xlpm._sheetName&amp;"'!"&amp;_xlpm._columnLetter&amp;":"&amp;_xlpm._columnLetter),$Y84)),CELL("address",INDEX(Countermeasures!$A:$A,MATCH($A84,Countermeasures!$A:$A,0),1)))),_xlpm._start,FIND("]",_xlpm._sheetReference),"'"&amp;SUBSTITUTE(SUBSTITUTE(RIGHT(_xlpm._sheetReference,LEN(_xlpm._sheetReference)-_xlpm._start),"'",""),"!","'!")))</f>
        <v/>
      </c>
      <c r="AA84" s="20" t="str" cm="1">
        <f t="array" ca="1" aca="1" ref="AA84">IF(NOT($L84),_xlfn.LET(_xlpm._value,IF($A84="","",IF($J84,SimpleLookup($A84,Assumptions!$A:$AK),SimpleLookup($A84,Countermeasures!$A:$AN))),IF(_xlpm._value="","",_xlpm._value)),"")</f>
        <v/>
      </c>
      <c r="AB84" s="20" t="str" cm="1">
        <f t="array" ca="1" aca="1" ref="AB84">LookupNames(InverseLookup($A84,Mitigation!$AD$2,Mitigation!$A$2,1,Helper!$B$5,","),'Attack Steps'!$A:$B)</f>
        <v/>
      </c>
      <c r="AC84" s="20" t="str" cm="1">
        <f t="array" ca="1" aca="1" ref="AC84">IF($L84,_xlfn.LET(_xlpm._in,$A84,_xlpm._lastDashNum,LEN(_xlpm._in)-LEN(SUBSTITUTE(_xlpm._in,"-","")),_xlpm._lastDashPos,FIND(CHAR(1),SUBSTITUTE(_xlpm._in,"-",CHAR(1),_xlpm._lastDashNum)),_xlpm._id,LEFT(_xlpm._in,_xlpm._lastDashPos-1),_xlpm._id&amp;"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4" s="20" t="str" cm="1">
        <f t="array" ca="1" aca="1" ref="AD84">_xlfn.LET(_xlpm._countermeasures,InverseLookup($A84,Countermeasures!$AG$2,Countermeasures!$A$2,1,Helper!$B$4,","),LookupNames(_xlpm._countermeasures,Countermeasures!$A:$B))</f>
        <v/>
      </c>
      <c r="AE84" s="20" t="str" cm="1">
        <f t="array" ca="1" aca="1" ref="AE84">IF($E84="","",_xlfn.LET(_xlpm._id,$E84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4" s="20" t="str" cm="1">
        <f t="array" ca="1" aca="1" ref="AF84">IF(OR($A84="",$L84),"",_xlfn.LET(_xlpm._answers,IF($J84,SimpleLookup($A84,Assumptions!$A:$F),SimpleLookup($A84,Countermeasures!$A:$D)),IF(_xlpm._answers="*",IF($J84,SimpleLookup($A84,Assumptions!$A:$C),SimpleLookup($A84,Countermeasures!$A:$C)),"")))</f>
        <v/>
      </c>
      <c r="AG84" s="20" t="str" cm="1">
        <f t="array" ca="1" aca="1" ref="AG84">IF(NOT($L84),"",_xlfn.LET(_xlpm._mappedInMitigation,IFERROR(VLOOKUP($V84,'Attack Steps'!$A:$O,COLUMNS('Attack Steps'!$A:$O),FALSE),""),CreateSearchString(_xlpm._mappedInMitigation)))</f>
        <v/>
      </c>
      <c r="AH84" s="20" t="b">
        <f ca="1">ROW()-ROW($AH$17)=Helper!$B$15</f>
        <v>0</v>
      </c>
      <c r="AI84" s="20" t="str">
        <f ca="1" t="shared" si="21" ref="AI84:AI86">IF(IFERROR(MATCH(TRUE,$AH:$AH,0)&gt;0,FALSE),"",IF(OFFSET($AH84,1,0)="","Please enlarge the table!",""))</f>
        <v/>
      </c>
      <c r="AJ84" s="20" cm="1">
        <f t="array" ca="1" aca="1" ref="AJ84">CreateID($AJ$17,$AJ:$AJ,$AI84&lt;&gt;"")</f>
        <v>0</v>
      </c>
    </row>
    <row r="85" spans="1:36" ht="15">
      <c r="A85" s="33" t="str">
        <f ca="1">_xlfn.LET(_xlpm._isAssumption,$J85,_xlpm._row,$K85,_xlpm._numActiveAssumptions,Helper!$B$8,_xlpm._numActiveCountermeasures,Helper!$B$9,_xlpm._numAdditionalAssumptions,Helper!$B$10,_xlpm._numAdditionalCountermeasures,Helper!$B$11,IF(_xlpm._isAssumption,IF(_xlpm._row&gt;_xlpm._numActiveAssumptions,$V85&amp;"-A"&amp;$Q85,INDEX(Assumptions!A:A,MATCH(_xlpm._row,Assumptions!$AG:$AG,0))),IF(_xlpm._row&gt;_xlpm._numActiveCountermeasures+_xlpm._numAdditionalCountermeasures,"",IF(_xlpm._row&gt;_xlpm._numActiveCountermeasures,$V85&amp;"-C"&amp;$Q85,INDEX(Countermeasures!$A:$A,MATCH(_xlpm._row,Countermeasures!$AI:$AI,0))))))</f>
        <v/>
      </c>
      <c r="B85" s="33" t="str" cm="1">
        <f t="array" ca="1" aca="1" ref="B85">IF($A85="","",_xlfn.LET(_xlpm._isAssumption,$J85,_xlpm._isAdditionalElement,$L85,IF(_xlpm._isAdditionalElement,IF(_xlpm._isAssumption,ParseElementsFromComment($U85,Definitions!$AR$4,Definitions!$AS$4,Definitions!$AR$6,$Q85),ParseElementsFromComment($U85,Definitions!$AR$5,Definitions!$AS$5,Definitions!$AR$6,$Q85)),_xlfn.LET(_xlpm._value,IF($A85="","",IF($J85,SimpleLookup($A85,Assumptions!$A:$B),SimpleLookup($A85,Countermeasures!$A:$B))),IF(_xlpm._value="","",_xlpm._value)))))</f>
        <v/>
      </c>
      <c r="C85" s="33" t="str" cm="1">
        <f t="array" ca="1" aca="1" ref="C85">IF($A85="","",IF($J85,IFERROR(SimpleLookup($A85,Assumptions!$A:$E),""),Definitions!$AO$4))</f>
        <v/>
      </c>
      <c r="D85" s="37" t="str">
        <f t="shared" ca="1" si="17"/>
        <v/>
      </c>
      <c r="E85" s="23"/>
      <c r="F85" s="59" t="str">
        <f t="shared" ca="1" si="18"/>
        <v/>
      </c>
      <c r="G85" s="122" t="str" cm="1">
        <f t="array" ca="1" aca="1" ref="G85">_xlfn.LET(_xlpm._val,IFERROR(SimpleLookup($A85,Countermeasures!$A:$R),IFERROR(SimpleLookup($A85,Assumptions!$A:$R),"")),IF(_xlpm._val="","",_xlpm._val))</f>
        <v/>
      </c>
      <c r="H85" s="33" t="str" cm="1">
        <f t="array" ca="1" aca="1" ref="H85">_xlfn.LET(_xlpm._value,IF($A85="","",IFERROR(IF($J85,SimpleLookup($A85,Assumptions!$A:$S),SimpleLookup($A85,Countermeasures!$A:$S)),"")),IF(_xlpm._value="","",_xlpm._value))</f>
        <v/>
      </c>
      <c r="I85" s="10" cm="1">
        <f t="array" ca="1" aca="1" ref="I85">IF(ROW()=ROW($I$17)+1,0,INDEX($I:$I,ROW()-1))+IF($A85="",0,1)</f>
        <v>34</v>
      </c>
      <c r="J85" s="21" t="b">
        <f ca="1">_xlfn.LET(_xlpm._row,ROW()-ROW($K$17),_xlpm._numActiveAssumptions,Helper!$B$8,_xlpm._numAdditionalAssumptions,SUM(Table24['# Elements]),_xlpm._row&lt;=_xlpm._numActiveAssumptions+_xlpm._numAdditionalAssumptions)</f>
        <v>0</v>
      </c>
      <c r="K85" s="21">
        <f ca="1">_xlfn.LET(_xlpm._row,ROW()-ROW($K$17),_xlpm._numActiveAssumptions,Helper!$B$8,_xlpm._numAdditionalAssumptions,Helper!$B$10,_xlpm._isAssumption,$J85,_xlpm._elementID,IF(_xlpm._isAssumption,_xlpm._row,_xlpm._row-_xlpm._numActiveAssumptions-_xlpm._numAdditionalAssumptions),_xlpm._elementID)</f>
        <v>50</v>
      </c>
      <c r="L8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5" s="20" cm="1">
        <f t="array" ca="1" aca="1" ref="M85">IF($L85,IF(ROW()=ROW($M$17)+1,1,INDEX($M:$M,ROW()-1)+IF(INDEX($T:$T,ROW()-1),1,0)),1)</f>
        <v>1</v>
      </c>
      <c r="N85" s="20" t="str" cm="1">
        <f t="array" ca="1" aca="1" ref="N85">IF($L85=TRUE,_xlfn.LET(_xlpm._isAssumption,$J85,_xlpm._indexRange,IF(_xlpm._isAssumption,Table24['# Elements],Table25['# Elements]),_xlpm._lookupRow,$W85,INDEX(_xlpm._indexRange,_xlpm._lookupRow)),"")</f>
        <v/>
      </c>
      <c r="O85" s="20" t="str" cm="1">
        <f t="array" ca="1" aca="1" ref="O85">IF($N85="","",_xlfn.LET(_xlpm._prevRow,ROW()-1,IF(OR(INDEX($N:$N,_xlpm._prevRow)&lt;&gt;$N85,INDEX($M:$M,_xlpm._prevRow)&lt;&gt;$M85),1,INDEX($O:$O,_xlpm._prevRow)+IF(INDEX($S:$S,_xlpm._prevRow),1,0))))</f>
        <v/>
      </c>
      <c r="P85" s="20" t="str" cm="1">
        <f t="array" ca="1" aca="1" ref="P85">IF($O85="","",_xlfn.LET(_xlpm._isAssumption,$J85,_xlpm._sheetRow,$W85,_xlpm._sheetName,$X85,_xlpm._elementIDRange,IF(_xlpm._isAssumption,Table24[Element ID Column],Table25[Element ID Column]),_xlpm._numberOfElementsRange,IF(_xlpm._isAssumption,Table24[Number of Elements Column],Table25[Number of Elements Column]),SimpleLookup($O85,INDIRECT("'"&amp;_xlpm._sheetName&amp;"'!"&amp;INDEX(_xlpm._elementIDRange,_xlpm._sheetRow)&amp;":"&amp;INDEX(_xlpm._numberOfElementsRange,_xlpm._sheetRow)))))</f>
        <v/>
      </c>
      <c r="Q85" s="20" t="str" cm="1">
        <f t="array" ca="1" aca="1" ref="Q85">IF($O85="","",IF(OR(INDEX($O:$O,ROW()-1)&lt;&gt;$O85,INDEX($M:$M,ROW()-1)&lt;&gt;$M85),1,INDEX($Q:$Q,ROW()-1)+1))</f>
        <v/>
      </c>
      <c r="R85" s="20">
        <f t="shared" ca="1" si="19"/>
        <v>0</v>
      </c>
      <c r="S85" s="20" t="str">
        <f t="shared" ca="1" si="20"/>
        <v/>
      </c>
      <c r="T85" s="20" t="b">
        <f ca="1">_xlfn.LET(_xlpm._isAssumption,$J85,_xlpm._numberOfElementsRange,IF(_xlpm._isAssumption,Table24['# Elements],Table25['# Elements]),_xlpm._sheetRow,$W85,IF($L85,AND($S85,$R85=$N85),FALSE))</f>
        <v>0</v>
      </c>
      <c r="U85" s="20" t="str" cm="1">
        <f t="array" ca="1" aca="1" ref="U85">IF($L85,_xlfn.LET(_xlpm._elementID,$O85,_xlpm._isAssumption,$J85,_xlpm._sheetRow,$W85,_xlpm._sheetName,$X85,_xlpm._elementRow,$Y85,_xlpm._resultColumnLetter,IF(_xlpm._isAssumption,INDEX(Table24[Comment Column],_xlpm._sheetRow),INDEX(Table25[Comment Column],_xlpm._sheetRow)),INDEX(INDIRECT("'"&amp;_xlpm._sheetName&amp;"'!"&amp;_xlpm._resultColumnLetter&amp;":"&amp;_xlpm._resultColumnLetter),_xlpm._elementRow)),"")</f>
        <v/>
      </c>
      <c r="V85" s="20" t="str" cm="1">
        <f t="array" ca="1" aca="1" ref="V85">IF($L85,_xlfn.LET(_xlpm._elementID,$O85,_xlpm._isAssumption,$J85,_xlpm._sheetRow,$W85,_xlpm._sheetName,$X85,_xlpm._resultColumnLetter,IF(_xlpm._isAssumption,INDEX(Table24[Sheet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5" s="20" t="str">
        <f ca="1">IF($L85=TRUE,_xlfn.LET(_xlpm._isAssumption,$J85,_xlpm._searchRange,IF(_xlpm._isAssumption,Table24[Task Sheet Shadow ID],Table25[Task Sheet Shadow ID]),MATCH($M85,_xlpm._searchRange,0)),"")</f>
        <v/>
      </c>
      <c r="X85" s="20" t="str" cm="1">
        <f t="array" ca="1" aca="1" ref="X85">IF($L85,_xlfn.LET(_xlpm._isAssumption,$J85,_xlpm._sheetRow,$W85,IF(_xlpm._isAssumption,INDEX(Table24[Sheet Name],_xlpm._sheetRow),INDEX(Table25[Sheet Name],_xlpm._sheetRow))),"")</f>
        <v/>
      </c>
      <c r="Y85" s="20" t="str" cm="1">
        <f t="array" ca="1" aca="1" ref="Y85">IF($L85,_xlfn.LET(_xlpm._elementID,$O85,_xlpm._isAssumption,$J85,_xlpm._sheetRow,$W85,_xlpm._sheetName,$X85,_xlpm._elementIDColumnLetter,IF(_xlpm._isAssumption,INDEX(Table24[Element ID Column],_xlpm._sheetRow),INDEX(Table25[Element ID Column],_xlpm._sheetRow)),MATCH(_xlpm._elementID,INDIRECT("'"&amp;_xlpm._sheetName&amp;"'!"&amp;_xlpm._elementIDColumnLetter&amp;":"&amp;_xlpm._elementIDColumnLetter),0)),"")</f>
        <v/>
      </c>
      <c r="Z85" s="20" t="str" cm="1">
        <f t="array" ca="1" aca="1" ref="Z85">IF($A85="","",_xlfn.LET(_xlpm._isAssumption,$J85,_xlpm._isAdditionalElement,$L85,_xlpm._sheetRow,$W85,_xlpm._sheetName,$X85,_xlpm._columnLetter,INDEX(IF(_xlpm._isAdditionalElement,Table24[Comment Column],Table25[Comment Column]),_xlpm._sheetRow),_xlpm._sheetReference,IF(_xlpm._isAssumption,IF(_xlpm._isAdditionalElement,CELL("address",INDEX(INDIRECT("'"&amp;_xlpm._sheetName&amp;"'!"&amp;_xlpm._columnLetter&amp;":"&amp;_xlpm._columnLetter),$Y85)),CELL("address",INDEX(Assumptions!$A:$A,MATCH($A85,Assumptions!$A:$A,0),1))),IF(_xlpm._isAdditionalElement,CELL("address",INDEX(INDIRECT("'"&amp;_xlpm._sheetName&amp;"'!"&amp;_xlpm._columnLetter&amp;":"&amp;_xlpm._columnLetter),$Y85)),CELL("address",INDEX(Countermeasures!$A:$A,MATCH($A85,Countermeasures!$A:$A,0),1)))),_xlpm._start,FIND("]",_xlpm._sheetReference),"'"&amp;SUBSTITUTE(SUBSTITUTE(RIGHT(_xlpm._sheetReference,LEN(_xlpm._sheetReference)-_xlpm._start),"'",""),"!","'!")))</f>
        <v/>
      </c>
      <c r="AA85" s="20" t="str" cm="1">
        <f t="array" ca="1" aca="1" ref="AA85">IF(NOT($L85),_xlfn.LET(_xlpm._value,IF($A85="","",IF($J85,SimpleLookup($A85,Assumptions!$A:$AK),SimpleLookup($A85,Countermeasures!$A:$AN))),IF(_xlpm._value="","",_xlpm._value)),"")</f>
        <v/>
      </c>
      <c r="AB85" s="20" t="str" cm="1">
        <f t="array" ca="1" aca="1" ref="AB85">LookupNames(InverseLookup($A85,Mitigation!$AD$2,Mitigation!$A$2,1,Helper!$B$5,","),'Attack Steps'!$A:$B)</f>
        <v/>
      </c>
      <c r="AC85" s="20" t="str" cm="1">
        <f t="array" ca="1" aca="1" ref="AC85">IF($L85,_xlfn.LET(_xlpm._in,$A85,_xlpm._lastDashNum,LEN(_xlpm._in)-LEN(SUBSTITUTE(_xlpm._in,"-","")),_xlpm._lastDashPos,FIND(CHAR(1),SUBSTITUTE(_xlpm._in,"-",CHAR(1),_xlpm._lastDashNum)),_xlpm._id,LEFT(_xlpm._in,_xlpm._lastDashPos-1),_xlpm._id&amp;"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5" s="20" t="str" cm="1">
        <f t="array" ca="1" aca="1" ref="AD85">_xlfn.LET(_xlpm._countermeasures,InverseLookup($A85,Countermeasures!$AG$2,Countermeasures!$A$2,1,Helper!$B$4,","),LookupNames(_xlpm._countermeasures,Countermeasures!$A:$B))</f>
        <v/>
      </c>
      <c r="AE85" s="20" t="str" cm="1">
        <f t="array" ca="1" aca="1" ref="AE85">IF($E85="","",_xlfn.LET(_xlpm._id,$E85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5" s="20" t="str" cm="1">
        <f t="array" ca="1" aca="1" ref="AF85">IF(OR($A85="",$L85),"",_xlfn.LET(_xlpm._answers,IF($J85,SimpleLookup($A85,Assumptions!$A:$F),SimpleLookup($A85,Countermeasures!$A:$D)),IF(_xlpm._answers="*",IF($J85,SimpleLookup($A85,Assumptions!$A:$C),SimpleLookup($A85,Countermeasures!$A:$C)),"")))</f>
        <v/>
      </c>
      <c r="AG85" s="20" t="str" cm="1">
        <f t="array" ca="1" aca="1" ref="AG85">IF(NOT($L85),"",_xlfn.LET(_xlpm._mappedInMitigation,IFERROR(VLOOKUP($V85,'Attack Steps'!$A:$O,COLUMNS('Attack Steps'!$A:$O),FALSE),""),CreateSearchString(_xlpm._mappedInMitigation)))</f>
        <v/>
      </c>
      <c r="AH85" s="20" t="b">
        <f ca="1">ROW()-ROW($AH$17)=Helper!$B$15</f>
        <v>0</v>
      </c>
      <c r="AI85" s="20" t="str">
        <f t="shared" ca="1" si="21"/>
        <v/>
      </c>
      <c r="AJ85" s="20" cm="1">
        <f t="array" ca="1" aca="1" ref="AJ85">CreateID($AJ$17,$AJ:$AJ,$AI85&lt;&gt;"")</f>
        <v>0</v>
      </c>
    </row>
    <row r="86" spans="1:36" ht="15">
      <c r="A86" s="33" t="str">
        <f ca="1">_xlfn.LET(_xlpm._isAssumption,$J86,_xlpm._row,$K86,_xlpm._numActiveAssumptions,Helper!$B$8,_xlpm._numActiveCountermeasures,Helper!$B$9,_xlpm._numAdditionalAssumptions,Helper!$B$10,_xlpm._numAdditionalCountermeasures,Helper!$B$11,IF(_xlpm._isAssumption,IF(_xlpm._row&gt;_xlpm._numActiveAssumptions,$V86&amp;"-A"&amp;$Q86,INDEX(Assumptions!A:A,MATCH(_xlpm._row,Assumptions!$AG:$AG,0))),IF(_xlpm._row&gt;_xlpm._numActiveCountermeasures+_xlpm._numAdditionalCountermeasures,"",IF(_xlpm._row&gt;_xlpm._numActiveCountermeasures,$V86&amp;"-C"&amp;$Q86,INDEX(Countermeasures!$A:$A,MATCH(_xlpm._row,Countermeasures!$AI:$AI,0))))))</f>
        <v/>
      </c>
      <c r="B86" s="33" t="str" cm="1">
        <f t="array" ca="1" aca="1" ref="B86">IF($A86="","",_xlfn.LET(_xlpm._isAssumption,$J86,_xlpm._isAdditionalElement,$L86,IF(_xlpm._isAdditionalElement,IF(_xlpm._isAssumption,ParseElementsFromComment($U86,Definitions!$AR$4,Definitions!$AS$4,Definitions!$AR$6,$Q86),ParseElementsFromComment($U86,Definitions!$AR$5,Definitions!$AS$5,Definitions!$AR$6,$Q86)),_xlfn.LET(_xlpm._value,IF($A86="","",IF($J86,SimpleLookup($A86,Assumptions!$A:$B),SimpleLookup($A86,Countermeasures!$A:$B))),IF(_xlpm._value="","",_xlpm._value)))))</f>
        <v/>
      </c>
      <c r="C86" s="33" t="str" cm="1">
        <f t="array" ca="1" aca="1" ref="C86">IF($A86="","",IF($J86,IFERROR(SimpleLookup($A86,Assumptions!$A:$E),""),Definitions!$AO$4))</f>
        <v/>
      </c>
      <c r="D86" s="37" t="str">
        <f t="shared" ca="1" si="17"/>
        <v/>
      </c>
      <c r="E86" s="23"/>
      <c r="F86" s="59" t="str">
        <f t="shared" ca="1" si="18"/>
        <v/>
      </c>
      <c r="G86" s="122" t="str" cm="1">
        <f t="array" ca="1" aca="1" ref="G86">_xlfn.LET(_xlpm._val,IFERROR(SimpleLookup($A86,Countermeasures!$A:$R),IFERROR(SimpleLookup($A86,Assumptions!$A:$R),"")),IF(_xlpm._val="","",_xlpm._val))</f>
        <v/>
      </c>
      <c r="H86" s="33" t="str" cm="1">
        <f t="array" ca="1" aca="1" ref="H86">_xlfn.LET(_xlpm._value,IF($A86="","",IFERROR(IF($J86,SimpleLookup($A86,Assumptions!$A:$S),SimpleLookup($A86,Countermeasures!$A:$S)),"")),IF(_xlpm._value="","",_xlpm._value))</f>
        <v/>
      </c>
      <c r="I86" s="10" cm="1">
        <f t="array" ca="1" aca="1" ref="I86">IF(ROW()=ROW($I$17)+1,0,INDEX($I:$I,ROW()-1))+IF($A86="",0,1)</f>
        <v>34</v>
      </c>
      <c r="J86" s="21" t="b">
        <f ca="1">_xlfn.LET(_xlpm._row,ROW()-ROW($K$17),_xlpm._numActiveAssumptions,Helper!$B$8,_xlpm._numAdditionalAssumptions,SUM(Table24['# Elements]),_xlpm._row&lt;=_xlpm._numActiveAssumptions+_xlpm._numAdditionalAssumptions)</f>
        <v>0</v>
      </c>
      <c r="K86" s="21">
        <f ca="1">_xlfn.LET(_xlpm._row,ROW()-ROW($K$17),_xlpm._numActiveAssumptions,Helper!$B$8,_xlpm._numAdditionalAssumptions,Helper!$B$10,_xlpm._isAssumption,$J86,_xlpm._elementID,IF(_xlpm._isAssumption,_xlpm._row,_xlpm._row-_xlpm._numActiveAssumptions-_xlpm._numAdditionalAssumptions),_xlpm._elementID)</f>
        <v>51</v>
      </c>
      <c r="L8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6" s="20" cm="1">
        <f t="array" ca="1" aca="1" ref="M86">IF($L86,IF(ROW()=ROW($M$17)+1,1,INDEX($M:$M,ROW()-1)+IF(INDEX($T:$T,ROW()-1),1,0)),1)</f>
        <v>1</v>
      </c>
      <c r="N86" s="20" t="str" cm="1">
        <f t="array" ca="1" aca="1" ref="N86">IF($L86=TRUE,_xlfn.LET(_xlpm._isAssumption,$J86,_xlpm._indexRange,IF(_xlpm._isAssumption,Table24['# Elements],Table25['# Elements]),_xlpm._lookupRow,$W86,INDEX(_xlpm._indexRange,_xlpm._lookupRow)),"")</f>
        <v/>
      </c>
      <c r="O86" s="20" t="str" cm="1">
        <f t="array" ca="1" aca="1" ref="O86">IF($N86="","",_xlfn.LET(_xlpm._prevRow,ROW()-1,IF(OR(INDEX($N:$N,_xlpm._prevRow)&lt;&gt;$N86,INDEX($M:$M,_xlpm._prevRow)&lt;&gt;$M86),1,INDEX($O:$O,_xlpm._prevRow)+IF(INDEX($S:$S,_xlpm._prevRow),1,0))))</f>
        <v/>
      </c>
      <c r="P86" s="20" t="str" cm="1">
        <f t="array" ca="1" aca="1" ref="P86">IF($O86="","",_xlfn.LET(_xlpm._isAssumption,$J86,_xlpm._sheetRow,$W86,_xlpm._sheetName,$X86,_xlpm._elementIDRange,IF(_xlpm._isAssumption,Table24[Element ID Column],Table25[Element ID Column]),_xlpm._numberOfElementsRange,IF(_xlpm._isAssumption,Table24[Number of Elements Column],Table25[Number of Elements Column]),SimpleLookup($O86,INDIRECT("'"&amp;_xlpm._sheetName&amp;"'!"&amp;INDEX(_xlpm._elementIDRange,_xlpm._sheetRow)&amp;":"&amp;INDEX(_xlpm._numberOfElementsRange,_xlpm._sheetRow)))))</f>
        <v/>
      </c>
      <c r="Q86" s="20" t="str" cm="1">
        <f t="array" ca="1" aca="1" ref="Q86">IF($O86="","",IF(OR(INDEX($O:$O,ROW()-1)&lt;&gt;$O86,INDEX($M:$M,ROW()-1)&lt;&gt;$M86),1,INDEX($Q:$Q,ROW()-1)+1))</f>
        <v/>
      </c>
      <c r="R86" s="20">
        <f t="shared" ca="1" si="19"/>
        <v>0</v>
      </c>
      <c r="S86" s="20" t="str">
        <f t="shared" ca="1" si="20"/>
        <v/>
      </c>
      <c r="T86" s="20" t="b">
        <f ca="1">_xlfn.LET(_xlpm._isAssumption,$J86,_xlpm._numberOfElementsRange,IF(_xlpm._isAssumption,Table24['# Elements],Table25['# Elements]),_xlpm._sheetRow,$W86,IF($L86,AND($S86,$R86=$N86),FALSE))</f>
        <v>0</v>
      </c>
      <c r="U86" s="20" t="str" cm="1">
        <f t="array" ca="1" aca="1" ref="U86">IF($L86,_xlfn.LET(_xlpm._elementID,$O86,_xlpm._isAssumption,$J86,_xlpm._sheetRow,$W86,_xlpm._sheetName,$X86,_xlpm._elementRow,$Y86,_xlpm._resultColumnLetter,IF(_xlpm._isAssumption,INDEX(Table24[Comment Column],_xlpm._sheetRow),INDEX(Table25[Comment Column],_xlpm._sheetRow)),INDEX(INDIRECT("'"&amp;_xlpm._sheetName&amp;"'!"&amp;_xlpm._resultColumnLetter&amp;":"&amp;_xlpm._resultColumnLetter),_xlpm._elementRow)),"")</f>
        <v/>
      </c>
      <c r="V86" s="20" t="str" cm="1">
        <f t="array" ca="1" aca="1" ref="V86">IF($L86,_xlfn.LET(_xlpm._elementID,$O86,_xlpm._isAssumption,$J86,_xlpm._sheetRow,$W86,_xlpm._sheetName,$X86,_xlpm._resultColumnLetter,IF(_xlpm._isAssumption,INDEX(Table24[Sheet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6" s="20" t="str">
        <f ca="1">IF($L86=TRUE,_xlfn.LET(_xlpm._isAssumption,$J86,_xlpm._searchRange,IF(_xlpm._isAssumption,Table24[Task Sheet Shadow ID],Table25[Task Sheet Shadow ID]),MATCH($M86,_xlpm._searchRange,0)),"")</f>
        <v/>
      </c>
      <c r="X86" s="20" t="str" cm="1">
        <f t="array" ca="1" aca="1" ref="X86">IF($L86,_xlfn.LET(_xlpm._isAssumption,$J86,_xlpm._sheetRow,$W86,IF(_xlpm._isAssumption,INDEX(Table24[Sheet Name],_xlpm._sheetRow),INDEX(Table25[Sheet Name],_xlpm._sheetRow))),"")</f>
        <v/>
      </c>
      <c r="Y86" s="20" t="str" cm="1">
        <f t="array" ca="1" aca="1" ref="Y86">IF($L86,_xlfn.LET(_xlpm._elementID,$O86,_xlpm._isAssumption,$J86,_xlpm._sheetRow,$W86,_xlpm._sheetName,$X86,_xlpm._elementIDColumnLetter,IF(_xlpm._isAssumption,INDEX(Table24[Element ID Column],_xlpm._sheetRow),INDEX(Table25[Element ID Column],_xlpm._sheetRow)),MATCH(_xlpm._elementID,INDIRECT("'"&amp;_xlpm._sheetName&amp;"'!"&amp;_xlpm._elementIDColumnLetter&amp;":"&amp;_xlpm._elementIDColumnLetter),0)),"")</f>
        <v/>
      </c>
      <c r="Z86" s="20" t="str" cm="1">
        <f t="array" ca="1" aca="1" ref="Z86">IF($A86="","",_xlfn.LET(_xlpm._isAssumption,$J86,_xlpm._isAdditionalElement,$L86,_xlpm._sheetRow,$W86,_xlpm._sheetName,$X86,_xlpm._columnLetter,INDEX(IF(_xlpm._isAdditionalElement,Table24[Comment Column],Table25[Comment Column]),_xlpm._sheetRow),_xlpm._sheetReference,IF(_xlpm._isAssumption,IF(_xlpm._isAdditionalElement,CELL("address",INDEX(INDIRECT("'"&amp;_xlpm._sheetName&amp;"'!"&amp;_xlpm._columnLetter&amp;":"&amp;_xlpm._columnLetter),$Y86)),CELL("address",INDEX(Assumptions!$A:$A,MATCH($A86,Assumptions!$A:$A,0),1))),IF(_xlpm._isAdditionalElement,CELL("address",INDEX(INDIRECT("'"&amp;_xlpm._sheetName&amp;"'!"&amp;_xlpm._columnLetter&amp;":"&amp;_xlpm._columnLetter),$Y86)),CELL("address",INDEX(Countermeasures!$A:$A,MATCH($A86,Countermeasures!$A:$A,0),1)))),_xlpm._start,FIND("]",_xlpm._sheetReference),"'"&amp;SUBSTITUTE(SUBSTITUTE(RIGHT(_xlpm._sheetReference,LEN(_xlpm._sheetReference)-_xlpm._start),"'",""),"!","'!")))</f>
        <v/>
      </c>
      <c r="AA86" s="20" t="str" cm="1">
        <f t="array" ca="1" aca="1" ref="AA86">IF(NOT($L86),_xlfn.LET(_xlpm._value,IF($A86="","",IF($J86,SimpleLookup($A86,Assumptions!$A:$AK),SimpleLookup($A86,Countermeasures!$A:$AN))),IF(_xlpm._value="","",_xlpm._value)),"")</f>
        <v/>
      </c>
      <c r="AB86" s="20" t="str" cm="1">
        <f t="array" ca="1" aca="1" ref="AB86">LookupNames(InverseLookup($A86,Mitigation!$AD$2,Mitigation!$A$2,1,Helper!$B$5,","),'Attack Steps'!$A:$B)</f>
        <v/>
      </c>
      <c r="AC86" s="20" t="str" cm="1">
        <f t="array" ca="1" aca="1" ref="AC86">IF($L86,_xlfn.LET(_xlpm._in,$A86,_xlpm._lastDashNum,LEN(_xlpm._in)-LEN(SUBSTITUTE(_xlpm._in,"-","")),_xlpm._lastDashPos,FIND(CHAR(1),SUBSTITUTE(_xlpm._in,"-",CHAR(1),_xlpm._lastDashNum)),_xlpm._id,LEFT(_xlpm._in,_xlpm._lastDashPos-1),_xlpm._id&amp;"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6" s="20" t="str" cm="1">
        <f t="array" ca="1" aca="1" ref="AD86">_xlfn.LET(_xlpm._countermeasures,InverseLookup($A86,Countermeasures!$AG$2,Countermeasures!$A$2,1,Helper!$B$4,","),LookupNames(_xlpm._countermeasures,Countermeasures!$A:$B))</f>
        <v/>
      </c>
      <c r="AE86" s="20" t="str" cm="1">
        <f t="array" ca="1" aca="1" ref="AE86">IF($E86="","",_xlfn.LET(_xlpm._id,$E86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6" s="20" t="str" cm="1">
        <f t="array" ca="1" aca="1" ref="AF86">IF(OR($A86="",$L86),"",_xlfn.LET(_xlpm._answers,IF($J86,SimpleLookup($A86,Assumptions!$A:$F),SimpleLookup($A86,Countermeasures!$A:$D)),IF(_xlpm._answers="*",IF($J86,SimpleLookup($A86,Assumptions!$A:$C),SimpleLookup($A86,Countermeasures!$A:$C)),"")))</f>
        <v/>
      </c>
      <c r="AG86" s="20" t="str" cm="1">
        <f t="array" ca="1" aca="1" ref="AG86">IF(NOT($L86),"",_xlfn.LET(_xlpm._mappedInMitigation,IFERROR(VLOOKUP($V86,'Attack Steps'!$A:$O,COLUMNS('Attack Steps'!$A:$O),FALSE),""),CreateSearchString(_xlpm._mappedInMitigation)))</f>
        <v/>
      </c>
      <c r="AH86" s="20" t="b">
        <f ca="1">ROW()-ROW($AH$17)=Helper!$B$15</f>
        <v>0</v>
      </c>
      <c r="AI86" s="20" t="str">
        <f t="shared" ca="1" si="21"/>
        <v/>
      </c>
      <c r="AJ86" s="20" cm="1">
        <f t="array" ca="1" aca="1" ref="AJ86">CreateID($AJ$17,$AJ:$AJ,$AI86&lt;&gt;"")</f>
        <v>0</v>
      </c>
    </row>
    <row r="87" spans="1:36" ht="15">
      <c r="A87" s="33" t="str">
        <f ca="1">_xlfn.LET(_xlpm._isAssumption,$J87,_xlpm._row,$K87,_xlpm._numActiveAssumptions,Helper!$B$8,_xlpm._numActiveCountermeasures,Helper!$B$9,_xlpm._numAdditionalAssumptions,Helper!$B$10,_xlpm._numAdditionalCountermeasures,Helper!$B$11,IF(_xlpm._isAssumption,IF(_xlpm._row&gt;_xlpm._numActiveAssumptions,$V87&amp;"-A"&amp;$Q87,INDEX(Assumptions!A:A,MATCH(_xlpm._row,Assumptions!$AG:$AG,0))),IF(_xlpm._row&gt;_xlpm._numActiveCountermeasures+_xlpm._numAdditionalCountermeasures,"",IF(_xlpm._row&gt;_xlpm._numActiveCountermeasures,$V87&amp;"-C"&amp;$Q87,INDEX(Countermeasures!$A:$A,MATCH(_xlpm._row,Countermeasures!$AI:$AI,0))))))</f>
        <v/>
      </c>
      <c r="B87" s="33" t="str" cm="1">
        <f t="array" ca="1" aca="1" ref="B87">IF($A87="","",_xlfn.LET(_xlpm._isAssumption,$J87,_xlpm._isAdditionalElement,$L87,IF(_xlpm._isAdditionalElement,IF(_xlpm._isAssumption,ParseElementsFromComment($U87,Definitions!$AR$4,Definitions!$AS$4,Definitions!$AR$6,$Q87),ParseElementsFromComment($U87,Definitions!$AR$5,Definitions!$AS$5,Definitions!$AR$6,$Q87)),_xlfn.LET(_xlpm._value,IF($A87="","",IF($J87,SimpleLookup($A87,Assumptions!$A:$B),SimpleLookup($A87,Countermeasures!$A:$B))),IF(_xlpm._value="","",_xlpm._value)))))</f>
        <v/>
      </c>
      <c r="C87" s="33" t="str" cm="1">
        <f t="array" ca="1" aca="1" ref="C87">IF($A87="","",IF($J87,IFERROR(SimpleLookup($A87,Assumptions!$A:$E),""),Definitions!$AO$4))</f>
        <v/>
      </c>
      <c r="D87" s="37" t="str">
        <f ca="1" t="shared" si="22" ref="D87:D101">_xlfn.LET(_xlpm._dividerTop,REPT(_xlfn.UNICHAR(9552),63)&amp;CHAR(10),_xlpm._dividerHeader,CHAR(10)&amp;REPT(CHAR(150),84)&amp;CHAR(10),_xlpm._relatedQuestions,IF($AA87="","",_xlpm._dividerTop&amp;"Comments of related questions / answers:"&amp;_xlpm._dividerHeader&amp;$AA87),_xlpm._assignedToAttackSteps,IF($AB87="","",_xlpm._dividerTop&amp;"Assigned to attack steps:"&amp;_xlpm._dividerHeader&amp;$AB87),_xlpm._definedInContextOfElement,IF($AC87="","",_xlpm._dividerTop&amp;"Defined in the context of:"&amp;_xlpm._dividerHeader&amp;$AC87),_xlpm._dependantCountermeasures,IF($AD87="","",_xlpm._dividerTop&amp;"Dependency of countermeasures:"&amp;_xlpm._dividerHeader&amp;$AD87),_xlpm._defaultElementText,IF($AF87="","",_xlpm._dividerTop&amp;"Default "&amp;IF($J87,"assumption","countermeasure")&amp;":"&amp;_xlpm._dividerHeader&amp;$AF87),_xlpm._relatedQuestions&amp;IF(AND(_xlpm._relatedQuestions&lt;&gt;"",_xlpm._assignedToAttackSteps&lt;&gt;""),CHAR(10),"")&amp;_xlpm._assignedToAttackSteps&amp;IF(AND(OR(_xlpm._relatedQuestions&lt;&gt;"",_xlpm._assignedToAttackSteps&lt;&gt;""),_xlpm._definedInContextOfElement&lt;&gt;""),CHAR(10),"")&amp;_xlpm._definedInContextOfElement&amp;IF(AND(OR(_xlpm._relatedQuestions&lt;&gt;"",_xlpm._assignedToAttackSteps&lt;&gt;"",_xlpm._definedInContextOfElement&lt;&gt;""),_xlpm._dependantCountermeasures&lt;&gt;""),CHAR(10),"")&amp;_xlpm._dependantCountermeasures&amp;IF(AND(OR(_xlpm._relatedQuestions&lt;&gt;"",_xlpm._assignedToAttackSteps&lt;&gt;"",_xlpm._definedInContextOfElement&lt;&gt;"",_xlpm._dependantCountermeasures&lt;&gt;""),_xlpm._defaultElementText&lt;&gt;""),CHAR(10),"")&amp;_xlpm._defaultElementText)</f>
        <v/>
      </c>
      <c r="E87" s="23"/>
      <c r="F87" s="59" t="str">
        <f ca="1" t="shared" si="23" ref="F87:F101">IF(AND($E87&lt;&gt;"",$AE87=""),"Error: Unknown ID: "&amp;$E87,IF($A87="","",HYPERLINK("#"&amp;IF($AE87="",$Z87,$AE87),"click me")))</f>
        <v/>
      </c>
      <c r="G87" s="122" t="str" cm="1">
        <f t="array" ca="1" aca="1" ref="G87">_xlfn.LET(_xlpm._val,IFERROR(SimpleLookup($A87,Countermeasures!$A:$R),IFERROR(SimpleLookup($A87,Assumptions!$A:$R),"")),IF(_xlpm._val="","",_xlpm._val))</f>
        <v/>
      </c>
      <c r="H87" s="33" t="str" cm="1">
        <f t="array" ca="1" aca="1" ref="H87">_xlfn.LET(_xlpm._value,IF($A87="","",IFERROR(IF($J87,SimpleLookup($A87,Assumptions!$A:$S),SimpleLookup($A87,Countermeasures!$A:$S)),"")),IF(_xlpm._value="","",_xlpm._value))</f>
        <v/>
      </c>
      <c r="I87" s="10" cm="1">
        <f t="array" ca="1" aca="1" ref="I87">IF(ROW()=ROW($I$17)+1,0,INDEX($I:$I,ROW()-1))+IF($A87="",0,1)</f>
        <v>34</v>
      </c>
      <c r="J87" s="21" t="b">
        <f ca="1">_xlfn.LET(_xlpm._row,ROW()-ROW($K$17),_xlpm._numActiveAssumptions,Helper!$B$8,_xlpm._numAdditionalAssumptions,SUM(Table24['# Elements]),_xlpm._row&lt;=_xlpm._numActiveAssumptions+_xlpm._numAdditionalAssumptions)</f>
        <v>0</v>
      </c>
      <c r="K87" s="21">
        <f ca="1">_xlfn.LET(_xlpm._row,ROW()-ROW($K$17),_xlpm._numActiveAssumptions,Helper!$B$8,_xlpm._numAdditionalAssumptions,Helper!$B$10,_xlpm._isAssumption,$J87,_xlpm._elementID,IF(_xlpm._isAssumption,_xlpm._row,_xlpm._row-_xlpm._numActiveAssumptions-_xlpm._numAdditionalAssumptions),_xlpm._elementID)</f>
        <v>52</v>
      </c>
      <c r="L8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7" s="20" cm="1">
        <f t="array" ca="1" aca="1" ref="M87">IF($L87,IF(ROW()=ROW($M$17)+1,1,INDEX($M:$M,ROW()-1)+IF(INDEX($T:$T,ROW()-1),1,0)),1)</f>
        <v>1</v>
      </c>
      <c r="N87" s="20" t="str" cm="1">
        <f t="array" ca="1" aca="1" ref="N87">IF($L87=TRUE,_xlfn.LET(_xlpm._isAssumption,$J87,_xlpm._indexRange,IF(_xlpm._isAssumption,Table24['# Elements],Table25['# Elements]),_xlpm._lookupRow,$W87,INDEX(_xlpm._indexRange,_xlpm._lookupRow)),"")</f>
        <v/>
      </c>
      <c r="O87" s="20" t="str" cm="1">
        <f t="array" ca="1" aca="1" ref="O87">IF($N87="","",_xlfn.LET(_xlpm._prevRow,ROW()-1,IF(OR(INDEX($N:$N,_xlpm._prevRow)&lt;&gt;$N87,INDEX($M:$M,_xlpm._prevRow)&lt;&gt;$M87),1,INDEX($O:$O,_xlpm._prevRow)+IF(INDEX($S:$S,_xlpm._prevRow),1,0))))</f>
        <v/>
      </c>
      <c r="P87" s="20" t="str" cm="1">
        <f t="array" ca="1" aca="1" ref="P87">IF($O87="","",_xlfn.LET(_xlpm._isAssumption,$J87,_xlpm._sheetRow,$W87,_xlpm._sheetName,$X87,_xlpm._elementIDRange,IF(_xlpm._isAssumption,Table24[Element ID Column],Table25[Element ID Column]),_xlpm._numberOfElementsRange,IF(_xlpm._isAssumption,Table24[Number of Elements Column],Table25[Number of Elements Column]),SimpleLookup($O87,INDIRECT("'"&amp;_xlpm._sheetName&amp;"'!"&amp;INDEX(_xlpm._elementIDRange,_xlpm._sheetRow)&amp;":"&amp;INDEX(_xlpm._numberOfElementsRange,_xlpm._sheetRow)))))</f>
        <v/>
      </c>
      <c r="Q87" s="20" t="str" cm="1">
        <f t="array" ca="1" aca="1" ref="Q87">IF($O87="","",IF(OR(INDEX($O:$O,ROW()-1)&lt;&gt;$O87,INDEX($M:$M,ROW()-1)&lt;&gt;$M87),1,INDEX($Q:$Q,ROW()-1)+1))</f>
        <v/>
      </c>
      <c r="R87" s="20">
        <f ca="1" t="shared" si="24" ref="R87:R101">COUNTIFS(OFFSET($L$17,1,0,ROW()-ROW($L$17),1),TRUE,OFFSET($M$17,1,0,ROW()-ROW($M$17),1),$M87,OFFSET($J$17,1,0,ROW()-ROW($J$17),1),$J87)</f>
        <v>0</v>
      </c>
      <c r="S87" s="20" t="str">
        <f ca="1" t="shared" si="25" ref="S87:S101">IF($L87,$P87=$Q87,"")</f>
        <v/>
      </c>
      <c r="T87" s="20" t="b">
        <f ca="1">_xlfn.LET(_xlpm._isAssumption,$J87,_xlpm._numberOfElementsRange,IF(_xlpm._isAssumption,Table24['# Elements],Table25['# Elements]),_xlpm._sheetRow,$W87,IF($L87,AND($S87,$R87=$N87),FALSE))</f>
        <v>0</v>
      </c>
      <c r="U87" s="20" t="str" cm="1">
        <f t="array" ca="1" aca="1" ref="U87">IF($L87,_xlfn.LET(_xlpm._elementID,$O87,_xlpm._isAssumption,$J87,_xlpm._sheetRow,$W87,_xlpm._sheetName,$X87,_xlpm._elementRow,$Y87,_xlpm._resultColumnLetter,IF(_xlpm._isAssumption,INDEX(Table24[Comment Column],_xlpm._sheetRow),INDEX(Table25[Comment Column],_xlpm._sheetRow)),INDEX(INDIRECT("'"&amp;_xlpm._sheetName&amp;"'!"&amp;_xlpm._resultColumnLetter&amp;":"&amp;_xlpm._resultColumnLetter),_xlpm._elementRow)),"")</f>
        <v/>
      </c>
      <c r="V87" s="20" t="str" cm="1">
        <f t="array" ca="1" aca="1" ref="V87">IF($L87,_xlfn.LET(_xlpm._elementID,$O87,_xlpm._isAssumption,$J87,_xlpm._sheetRow,$W87,_xlpm._sheetName,$X87,_xlpm._resultColumnLetter,IF(_xlpm._isAssumption,INDEX(Table24[Sheet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7" s="20" t="str">
        <f ca="1">IF($L87=TRUE,_xlfn.LET(_xlpm._isAssumption,$J87,_xlpm._searchRange,IF(_xlpm._isAssumption,Table24[Task Sheet Shadow ID],Table25[Task Sheet Shadow ID]),MATCH($M87,_xlpm._searchRange,0)),"")</f>
        <v/>
      </c>
      <c r="X87" s="20" t="str" cm="1">
        <f t="array" ca="1" aca="1" ref="X87">IF($L87,_xlfn.LET(_xlpm._isAssumption,$J87,_xlpm._sheetRow,$W87,IF(_xlpm._isAssumption,INDEX(Table24[Sheet Name],_xlpm._sheetRow),INDEX(Table25[Sheet Name],_xlpm._sheetRow))),"")</f>
        <v/>
      </c>
      <c r="Y87" s="20" t="str" cm="1">
        <f t="array" ca="1" aca="1" ref="Y87">IF($L87,_xlfn.LET(_xlpm._elementID,$O87,_xlpm._isAssumption,$J87,_xlpm._sheetRow,$W87,_xlpm._sheetName,$X87,_xlpm._elementIDColumnLetter,IF(_xlpm._isAssumption,INDEX(Table24[Element ID Column],_xlpm._sheetRow),INDEX(Table25[Element ID Column],_xlpm._sheetRow)),MATCH(_xlpm._elementID,INDIRECT("'"&amp;_xlpm._sheetName&amp;"'!"&amp;_xlpm._elementIDColumnLetter&amp;":"&amp;_xlpm._elementIDColumnLetter),0)),"")</f>
        <v/>
      </c>
      <c r="Z87" s="20" t="str" cm="1">
        <f t="array" ca="1" aca="1" ref="Z87">IF($A87="","",_xlfn.LET(_xlpm._isAssumption,$J87,_xlpm._isAdditionalElement,$L87,_xlpm._sheetRow,$W87,_xlpm._sheetName,$X87,_xlpm._columnLetter,INDEX(IF(_xlpm._isAdditionalElement,Table24[Comment Column],Table25[Comment Column]),_xlpm._sheetRow),_xlpm._sheetReference,IF(_xlpm._isAssumption,IF(_xlpm._isAdditionalElement,CELL("address",INDEX(INDIRECT("'"&amp;_xlpm._sheetName&amp;"'!"&amp;_xlpm._columnLetter&amp;":"&amp;_xlpm._columnLetter),$Y87)),CELL("address",INDEX(Assumptions!$A:$A,MATCH($A87,Assumptions!$A:$A,0),1))),IF(_xlpm._isAdditionalElement,CELL("address",INDEX(INDIRECT("'"&amp;_xlpm._sheetName&amp;"'!"&amp;_xlpm._columnLetter&amp;":"&amp;_xlpm._columnLetter),$Y87)),CELL("address",INDEX(Countermeasures!$A:$A,MATCH($A87,Countermeasures!$A:$A,0),1)))),_xlpm._start,FIND("]",_xlpm._sheetReference),"'"&amp;SUBSTITUTE(SUBSTITUTE(RIGHT(_xlpm._sheetReference,LEN(_xlpm._sheetReference)-_xlpm._start),"'",""),"!","'!")))</f>
        <v/>
      </c>
      <c r="AA87" s="20" t="str" cm="1">
        <f t="array" ca="1" aca="1" ref="AA87">IF(NOT($L87),_xlfn.LET(_xlpm._value,IF($A87="","",IF($J87,SimpleLookup($A87,Assumptions!$A:$AK),SimpleLookup($A87,Countermeasures!$A:$AN))),IF(_xlpm._value="","",_xlpm._value)),"")</f>
        <v/>
      </c>
      <c r="AB87" s="20" t="str" cm="1">
        <f t="array" ca="1" aca="1" ref="AB87">LookupNames(InverseLookup($A87,Mitigation!$AD$2,Mitigation!$A$2,1,Helper!$B$5,","),'Attack Steps'!$A:$B)</f>
        <v/>
      </c>
      <c r="AC87" s="20" t="str" cm="1">
        <f t="array" ca="1" aca="1" ref="AC87">IF($L87,_xlfn.LET(_xlpm._in,$A87,_xlpm._lastDashNum,LEN(_xlpm._in)-LEN(SUBSTITUTE(_xlpm._in,"-","")),_xlpm._lastDashPos,FIND(CHAR(1),SUBSTITUTE(_xlpm._in,"-",CHAR(1),_xlpm._lastDashNum)),_xlpm._id,LEFT(_xlpm._in,_xlpm._lastDashPos-1),_xlpm._id&amp;"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7" s="20" t="str" cm="1">
        <f t="array" ca="1" aca="1" ref="AD87">_xlfn.LET(_xlpm._countermeasures,InverseLookup($A87,Countermeasures!$AG$2,Countermeasures!$A$2,1,Helper!$B$4,","),LookupNames(_xlpm._countermeasures,Countermeasures!$A:$B))</f>
        <v/>
      </c>
      <c r="AE87" s="20" t="str" cm="1">
        <f t="array" ca="1" aca="1" ref="AE87">IF($E87="","",_xlfn.LET(_xlpm._id,$E87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7" s="20" t="str" cm="1">
        <f t="array" ca="1" aca="1" ref="AF87">IF(OR($A87="",$L87),"",_xlfn.LET(_xlpm._answers,IF($J87,SimpleLookup($A87,Assumptions!$A:$F),SimpleLookup($A87,Countermeasures!$A:$D)),IF(_xlpm._answers="*",IF($J87,SimpleLookup($A87,Assumptions!$A:$C),SimpleLookup($A87,Countermeasures!$A:$C)),"")))</f>
        <v/>
      </c>
      <c r="AG87" s="20" t="str" cm="1">
        <f t="array" ca="1" aca="1" ref="AG87">IF(NOT($L87),"",_xlfn.LET(_xlpm._mappedInMitigation,IFERROR(VLOOKUP($V87,'Attack Steps'!$A:$O,COLUMNS('Attack Steps'!$A:$O),FALSE),""),CreateSearchString(_xlpm._mappedInMitigation)))</f>
        <v/>
      </c>
      <c r="AH87" s="20" t="b">
        <f ca="1">ROW()-ROW($AH$17)=Helper!$B$15</f>
        <v>0</v>
      </c>
      <c r="AI87" s="20" t="str">
        <f ca="1" t="shared" si="26" ref="AI87:AI101">IF(IFERROR(MATCH(TRUE,$AH:$AH,0)&gt;0,FALSE),"",IF(OFFSET($AH87,1,0)="","Please enlarge the table!",""))</f>
        <v/>
      </c>
      <c r="AJ87" s="20" cm="1">
        <f t="array" ca="1" aca="1" ref="AJ87">CreateID($AJ$17,$AJ:$AJ,$AI87&lt;&gt;"")</f>
        <v>0</v>
      </c>
    </row>
    <row r="88" spans="1:36" ht="15">
      <c r="A88" s="33" t="str">
        <f ca="1">_xlfn.LET(_xlpm._isAssumption,$J88,_xlpm._row,$K88,_xlpm._numActiveAssumptions,Helper!$B$8,_xlpm._numActiveCountermeasures,Helper!$B$9,_xlpm._numAdditionalAssumptions,Helper!$B$10,_xlpm._numAdditionalCountermeasures,Helper!$B$11,IF(_xlpm._isAssumption,IF(_xlpm._row&gt;_xlpm._numActiveAssumptions,$V88&amp;"-A"&amp;$Q88,INDEX(Assumptions!A:A,MATCH(_xlpm._row,Assumptions!$AG:$AG,0))),IF(_xlpm._row&gt;_xlpm._numActiveCountermeasures+_xlpm._numAdditionalCountermeasures,"",IF(_xlpm._row&gt;_xlpm._numActiveCountermeasures,$V88&amp;"-C"&amp;$Q88,INDEX(Countermeasures!$A:$A,MATCH(_xlpm._row,Countermeasures!$AI:$AI,0))))))</f>
        <v/>
      </c>
      <c r="B88" s="33" t="str" cm="1">
        <f t="array" ca="1" aca="1" ref="B88">IF($A88="","",_xlfn.LET(_xlpm._isAssumption,$J88,_xlpm._isAdditionalElement,$L88,IF(_xlpm._isAdditionalElement,IF(_xlpm._isAssumption,ParseElementsFromComment($U88,Definitions!$AR$4,Definitions!$AS$4,Definitions!$AR$6,$Q88),ParseElementsFromComment($U88,Definitions!$AR$5,Definitions!$AS$5,Definitions!$AR$6,$Q88)),_xlfn.LET(_xlpm._value,IF($A88="","",IF($J88,SimpleLookup($A88,Assumptions!$A:$B),SimpleLookup($A88,Countermeasures!$A:$B))),IF(_xlpm._value="","",_xlpm._value)))))</f>
        <v/>
      </c>
      <c r="C88" s="33" t="str" cm="1">
        <f t="array" ca="1" aca="1" ref="C88">IF($A88="","",IF($J88,IFERROR(SimpleLookup($A88,Assumptions!$A:$E),""),Definitions!$AO$4))</f>
        <v/>
      </c>
      <c r="D88" s="37" t="str">
        <f t="shared" ca="1" si="22"/>
        <v/>
      </c>
      <c r="E88" s="23"/>
      <c r="F88" s="59" t="str">
        <f t="shared" ca="1" si="23"/>
        <v/>
      </c>
      <c r="G88" s="122" t="str" cm="1">
        <f t="array" ca="1" aca="1" ref="G88">_xlfn.LET(_xlpm._val,IFERROR(SimpleLookup($A88,Countermeasures!$A:$R),IFERROR(SimpleLookup($A88,Assumptions!$A:$R),"")),IF(_xlpm._val="","",_xlpm._val))</f>
        <v/>
      </c>
      <c r="H88" s="33" t="str" cm="1">
        <f t="array" ca="1" aca="1" ref="H88">_xlfn.LET(_xlpm._value,IF($A88="","",IFERROR(IF($J88,SimpleLookup($A88,Assumptions!$A:$S),SimpleLookup($A88,Countermeasures!$A:$S)),"")),IF(_xlpm._value="","",_xlpm._value))</f>
        <v/>
      </c>
      <c r="I88" s="10" cm="1">
        <f t="array" ca="1" aca="1" ref="I88">IF(ROW()=ROW($I$17)+1,0,INDEX($I:$I,ROW()-1))+IF($A88="",0,1)</f>
        <v>34</v>
      </c>
      <c r="J88" s="21" t="b">
        <f ca="1">_xlfn.LET(_xlpm._row,ROW()-ROW($K$17),_xlpm._numActiveAssumptions,Helper!$B$8,_xlpm._numAdditionalAssumptions,SUM(Table24['# Elements]),_xlpm._row&lt;=_xlpm._numActiveAssumptions+_xlpm._numAdditionalAssumptions)</f>
        <v>0</v>
      </c>
      <c r="K88" s="21">
        <f ca="1">_xlfn.LET(_xlpm._row,ROW()-ROW($K$17),_xlpm._numActiveAssumptions,Helper!$B$8,_xlpm._numAdditionalAssumptions,Helper!$B$10,_xlpm._isAssumption,$J88,_xlpm._elementID,IF(_xlpm._isAssumption,_xlpm._row,_xlpm._row-_xlpm._numActiveAssumptions-_xlpm._numAdditionalAssumptions),_xlpm._elementID)</f>
        <v>53</v>
      </c>
      <c r="L8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8" s="20" cm="1">
        <f t="array" ca="1" aca="1" ref="M88">IF($L88,IF(ROW()=ROW($M$17)+1,1,INDEX($M:$M,ROW()-1)+IF(INDEX($T:$T,ROW()-1),1,0)),1)</f>
        <v>1</v>
      </c>
      <c r="N88" s="20" t="str" cm="1">
        <f t="array" ca="1" aca="1" ref="N88">IF($L88=TRUE,_xlfn.LET(_xlpm._isAssumption,$J88,_xlpm._indexRange,IF(_xlpm._isAssumption,Table24['# Elements],Table25['# Elements]),_xlpm._lookupRow,$W88,INDEX(_xlpm._indexRange,_xlpm._lookupRow)),"")</f>
        <v/>
      </c>
      <c r="O88" s="20" t="str" cm="1">
        <f t="array" ca="1" aca="1" ref="O88">IF($N88="","",_xlfn.LET(_xlpm._prevRow,ROW()-1,IF(OR(INDEX($N:$N,_xlpm._prevRow)&lt;&gt;$N88,INDEX($M:$M,_xlpm._prevRow)&lt;&gt;$M88),1,INDEX($O:$O,_xlpm._prevRow)+IF(INDEX($S:$S,_xlpm._prevRow),1,0))))</f>
        <v/>
      </c>
      <c r="P88" s="20" t="str" cm="1">
        <f t="array" ca="1" aca="1" ref="P88">IF($O88="","",_xlfn.LET(_xlpm._isAssumption,$J88,_xlpm._sheetRow,$W88,_xlpm._sheetName,$X88,_xlpm._elementIDRange,IF(_xlpm._isAssumption,Table24[Element ID Column],Table25[Element ID Column]),_xlpm._numberOfElementsRange,IF(_xlpm._isAssumption,Table24[Number of Elements Column],Table25[Number of Elements Column]),SimpleLookup($O88,INDIRECT("'"&amp;_xlpm._sheetName&amp;"'!"&amp;INDEX(_xlpm._elementIDRange,_xlpm._sheetRow)&amp;":"&amp;INDEX(_xlpm._numberOfElementsRange,_xlpm._sheetRow)))))</f>
        <v/>
      </c>
      <c r="Q88" s="20" t="str" cm="1">
        <f t="array" ca="1" aca="1" ref="Q88">IF($O88="","",IF(OR(INDEX($O:$O,ROW()-1)&lt;&gt;$O88,INDEX($M:$M,ROW()-1)&lt;&gt;$M88),1,INDEX($Q:$Q,ROW()-1)+1))</f>
        <v/>
      </c>
      <c r="R88" s="20">
        <f t="shared" ca="1" si="24"/>
        <v>0</v>
      </c>
      <c r="S88" s="20" t="str">
        <f t="shared" ca="1" si="25"/>
        <v/>
      </c>
      <c r="T88" s="20" t="b">
        <f ca="1">_xlfn.LET(_xlpm._isAssumption,$J88,_xlpm._numberOfElementsRange,IF(_xlpm._isAssumption,Table24['# Elements],Table25['# Elements]),_xlpm._sheetRow,$W88,IF($L88,AND($S88,$R88=$N88),FALSE))</f>
        <v>0</v>
      </c>
      <c r="U88" s="20" t="str" cm="1">
        <f t="array" ca="1" aca="1" ref="U88">IF($L88,_xlfn.LET(_xlpm._elementID,$O88,_xlpm._isAssumption,$J88,_xlpm._sheetRow,$W88,_xlpm._sheetName,$X88,_xlpm._elementRow,$Y88,_xlpm._resultColumnLetter,IF(_xlpm._isAssumption,INDEX(Table24[Comment Column],_xlpm._sheetRow),INDEX(Table25[Comment Column],_xlpm._sheetRow)),INDEX(INDIRECT("'"&amp;_xlpm._sheetName&amp;"'!"&amp;_xlpm._resultColumnLetter&amp;":"&amp;_xlpm._resultColumnLetter),_xlpm._elementRow)),"")</f>
        <v/>
      </c>
      <c r="V88" s="20" t="str" cm="1">
        <f t="array" ca="1" aca="1" ref="V88">IF($L88,_xlfn.LET(_xlpm._elementID,$O88,_xlpm._isAssumption,$J88,_xlpm._sheetRow,$W88,_xlpm._sheetName,$X88,_xlpm._resultColumnLetter,IF(_xlpm._isAssumption,INDEX(Table24[Sheet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8" s="20" t="str">
        <f ca="1">IF($L88=TRUE,_xlfn.LET(_xlpm._isAssumption,$J88,_xlpm._searchRange,IF(_xlpm._isAssumption,Table24[Task Sheet Shadow ID],Table25[Task Sheet Shadow ID]),MATCH($M88,_xlpm._searchRange,0)),"")</f>
        <v/>
      </c>
      <c r="X88" s="20" t="str" cm="1">
        <f t="array" ca="1" aca="1" ref="X88">IF($L88,_xlfn.LET(_xlpm._isAssumption,$J88,_xlpm._sheetRow,$W88,IF(_xlpm._isAssumption,INDEX(Table24[Sheet Name],_xlpm._sheetRow),INDEX(Table25[Sheet Name],_xlpm._sheetRow))),"")</f>
        <v/>
      </c>
      <c r="Y88" s="20" t="str" cm="1">
        <f t="array" ca="1" aca="1" ref="Y88">IF($L88,_xlfn.LET(_xlpm._elementID,$O88,_xlpm._isAssumption,$J88,_xlpm._sheetRow,$W88,_xlpm._sheetName,$X88,_xlpm._elementIDColumnLetter,IF(_xlpm._isAssumption,INDEX(Table24[Element ID Column],_xlpm._sheetRow),INDEX(Table25[Element ID Column],_xlpm._sheetRow)),MATCH(_xlpm._elementID,INDIRECT("'"&amp;_xlpm._sheetName&amp;"'!"&amp;_xlpm._elementIDColumnLetter&amp;":"&amp;_xlpm._elementIDColumnLetter),0)),"")</f>
        <v/>
      </c>
      <c r="Z88" s="20" t="str" cm="1">
        <f t="array" ca="1" aca="1" ref="Z88">IF($A88="","",_xlfn.LET(_xlpm._isAssumption,$J88,_xlpm._isAdditionalElement,$L88,_xlpm._sheetRow,$W88,_xlpm._sheetName,$X88,_xlpm._columnLetter,INDEX(IF(_xlpm._isAdditionalElement,Table24[Comment Column],Table25[Comment Column]),_xlpm._sheetRow),_xlpm._sheetReference,IF(_xlpm._isAssumption,IF(_xlpm._isAdditionalElement,CELL("address",INDEX(INDIRECT("'"&amp;_xlpm._sheetName&amp;"'!"&amp;_xlpm._columnLetter&amp;":"&amp;_xlpm._columnLetter),$Y88)),CELL("address",INDEX(Assumptions!$A:$A,MATCH($A88,Assumptions!$A:$A,0),1))),IF(_xlpm._isAdditionalElement,CELL("address",INDEX(INDIRECT("'"&amp;_xlpm._sheetName&amp;"'!"&amp;_xlpm._columnLetter&amp;":"&amp;_xlpm._columnLetter),$Y88)),CELL("address",INDEX(Countermeasures!$A:$A,MATCH($A88,Countermeasures!$A:$A,0),1)))),_xlpm._start,FIND("]",_xlpm._sheetReference),"'"&amp;SUBSTITUTE(SUBSTITUTE(RIGHT(_xlpm._sheetReference,LEN(_xlpm._sheetReference)-_xlpm._start),"'",""),"!","'!")))</f>
        <v/>
      </c>
      <c r="AA88" s="20" t="str" cm="1">
        <f t="array" ca="1" aca="1" ref="AA88">IF(NOT($L88),_xlfn.LET(_xlpm._value,IF($A88="","",IF($J88,SimpleLookup($A88,Assumptions!$A:$AK),SimpleLookup($A88,Countermeasures!$A:$AN))),IF(_xlpm._value="","",_xlpm._value)),"")</f>
        <v/>
      </c>
      <c r="AB88" s="20" t="str" cm="1">
        <f t="array" ca="1" aca="1" ref="AB88">LookupNames(InverseLookup($A88,Mitigation!$AD$2,Mitigation!$A$2,1,Helper!$B$5,","),'Attack Steps'!$A:$B)</f>
        <v/>
      </c>
      <c r="AC88" s="20" t="str" cm="1">
        <f t="array" ca="1" aca="1" ref="AC88">IF($L88,_xlfn.LET(_xlpm._in,$A88,_xlpm._lastDashNum,LEN(_xlpm._in)-LEN(SUBSTITUTE(_xlpm._in,"-","")),_xlpm._lastDashPos,FIND(CHAR(1),SUBSTITUTE(_xlpm._in,"-",CHAR(1),_xlpm._lastDashNum)),_xlpm._id,LEFT(_xlpm._in,_xlpm._lastDashPos-1),_xlpm._id&amp;"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8" s="20" t="str" cm="1">
        <f t="array" ca="1" aca="1" ref="AD88">_xlfn.LET(_xlpm._countermeasures,InverseLookup($A88,Countermeasures!$AG$2,Countermeasures!$A$2,1,Helper!$B$4,","),LookupNames(_xlpm._countermeasures,Countermeasures!$A:$B))</f>
        <v/>
      </c>
      <c r="AE88" s="20" t="str" cm="1">
        <f t="array" ca="1" aca="1" ref="AE88">IF($E88="","",_xlfn.LET(_xlpm._id,$E88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8" s="20" t="str" cm="1">
        <f t="array" ca="1" aca="1" ref="AF88">IF(OR($A88="",$L88),"",_xlfn.LET(_xlpm._answers,IF($J88,SimpleLookup($A88,Assumptions!$A:$F),SimpleLookup($A88,Countermeasures!$A:$D)),IF(_xlpm._answers="*",IF($J88,SimpleLookup($A88,Assumptions!$A:$C),SimpleLookup($A88,Countermeasures!$A:$C)),"")))</f>
        <v/>
      </c>
      <c r="AG88" s="20" t="str" cm="1">
        <f t="array" ca="1" aca="1" ref="AG88">IF(NOT($L88),"",_xlfn.LET(_xlpm._mappedInMitigation,IFERROR(VLOOKUP($V88,'Attack Steps'!$A:$O,COLUMNS('Attack Steps'!$A:$O),FALSE),""),CreateSearchString(_xlpm._mappedInMitigation)))</f>
        <v/>
      </c>
      <c r="AH88" s="20" t="b">
        <f ca="1">ROW()-ROW($AH$17)=Helper!$B$15</f>
        <v>0</v>
      </c>
      <c r="AI88" s="20" t="str">
        <f t="shared" ca="1" si="26"/>
        <v/>
      </c>
      <c r="AJ88" s="20" cm="1">
        <f t="array" ca="1" aca="1" ref="AJ88">CreateID($AJ$17,$AJ:$AJ,$AI88&lt;&gt;"")</f>
        <v>0</v>
      </c>
    </row>
    <row r="89" spans="1:36" ht="15">
      <c r="A89" s="33" t="str">
        <f ca="1">_xlfn.LET(_xlpm._isAssumption,$J89,_xlpm._row,$K89,_xlpm._numActiveAssumptions,Helper!$B$8,_xlpm._numActiveCountermeasures,Helper!$B$9,_xlpm._numAdditionalAssumptions,Helper!$B$10,_xlpm._numAdditionalCountermeasures,Helper!$B$11,IF(_xlpm._isAssumption,IF(_xlpm._row&gt;_xlpm._numActiveAssumptions,$V89&amp;"-A"&amp;$Q89,INDEX(Assumptions!A:A,MATCH(_xlpm._row,Assumptions!$AG:$AG,0))),IF(_xlpm._row&gt;_xlpm._numActiveCountermeasures+_xlpm._numAdditionalCountermeasures,"",IF(_xlpm._row&gt;_xlpm._numActiveCountermeasures,$V89&amp;"-C"&amp;$Q89,INDEX(Countermeasures!$A:$A,MATCH(_xlpm._row,Countermeasures!$AI:$AI,0))))))</f>
        <v/>
      </c>
      <c r="B89" s="33" t="str" cm="1">
        <f t="array" ca="1" aca="1" ref="B89">IF($A89="","",_xlfn.LET(_xlpm._isAssumption,$J89,_xlpm._isAdditionalElement,$L89,IF(_xlpm._isAdditionalElement,IF(_xlpm._isAssumption,ParseElementsFromComment($U89,Definitions!$AR$4,Definitions!$AS$4,Definitions!$AR$6,$Q89),ParseElementsFromComment($U89,Definitions!$AR$5,Definitions!$AS$5,Definitions!$AR$6,$Q89)),_xlfn.LET(_xlpm._value,IF($A89="","",IF($J89,SimpleLookup($A89,Assumptions!$A:$B),SimpleLookup($A89,Countermeasures!$A:$B))),IF(_xlpm._value="","",_xlpm._value)))))</f>
        <v/>
      </c>
      <c r="C89" s="33" t="str" cm="1">
        <f t="array" ca="1" aca="1" ref="C89">IF($A89="","",IF($J89,IFERROR(SimpleLookup($A89,Assumptions!$A:$E),""),Definitions!$AO$4))</f>
        <v/>
      </c>
      <c r="D89" s="37" t="str">
        <f t="shared" ca="1" si="22"/>
        <v/>
      </c>
      <c r="E89" s="23"/>
      <c r="F89" s="59" t="str">
        <f t="shared" ca="1" si="23"/>
        <v/>
      </c>
      <c r="G89" s="122" t="str" cm="1">
        <f t="array" ca="1" aca="1" ref="G89">_xlfn.LET(_xlpm._val,IFERROR(SimpleLookup($A89,Countermeasures!$A:$R),IFERROR(SimpleLookup($A89,Assumptions!$A:$R),"")),IF(_xlpm._val="","",_xlpm._val))</f>
        <v/>
      </c>
      <c r="H89" s="33" t="str" cm="1">
        <f t="array" ca="1" aca="1" ref="H89">_xlfn.LET(_xlpm._value,IF($A89="","",IFERROR(IF($J89,SimpleLookup($A89,Assumptions!$A:$S),SimpleLookup($A89,Countermeasures!$A:$S)),"")),IF(_xlpm._value="","",_xlpm._value))</f>
        <v/>
      </c>
      <c r="I89" s="10" cm="1">
        <f t="array" ca="1" aca="1" ref="I89">IF(ROW()=ROW($I$17)+1,0,INDEX($I:$I,ROW()-1))+IF($A89="",0,1)</f>
        <v>34</v>
      </c>
      <c r="J89" s="21" t="b">
        <f ca="1">_xlfn.LET(_xlpm._row,ROW()-ROW($K$17),_xlpm._numActiveAssumptions,Helper!$B$8,_xlpm._numAdditionalAssumptions,SUM(Table24['# Elements]),_xlpm._row&lt;=_xlpm._numActiveAssumptions+_xlpm._numAdditionalAssumptions)</f>
        <v>0</v>
      </c>
      <c r="K89" s="21">
        <f ca="1">_xlfn.LET(_xlpm._row,ROW()-ROW($K$17),_xlpm._numActiveAssumptions,Helper!$B$8,_xlpm._numAdditionalAssumptions,Helper!$B$10,_xlpm._isAssumption,$J89,_xlpm._elementID,IF(_xlpm._isAssumption,_xlpm._row,_xlpm._row-_xlpm._numActiveAssumptions-_xlpm._numAdditionalAssumptions),_xlpm._elementID)</f>
        <v>54</v>
      </c>
      <c r="L8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89" s="20" cm="1">
        <f t="array" ca="1" aca="1" ref="M89">IF($L89,IF(ROW()=ROW($M$17)+1,1,INDEX($M:$M,ROW()-1)+IF(INDEX($T:$T,ROW()-1),1,0)),1)</f>
        <v>1</v>
      </c>
      <c r="N89" s="20" t="str" cm="1">
        <f t="array" ca="1" aca="1" ref="N89">IF($L89=TRUE,_xlfn.LET(_xlpm._isAssumption,$J89,_xlpm._indexRange,IF(_xlpm._isAssumption,Table24['# Elements],Table25['# Elements]),_xlpm._lookupRow,$W89,INDEX(_xlpm._indexRange,_xlpm._lookupRow)),"")</f>
        <v/>
      </c>
      <c r="O89" s="20" t="str" cm="1">
        <f t="array" ca="1" aca="1" ref="O89">IF($N89="","",_xlfn.LET(_xlpm._prevRow,ROW()-1,IF(OR(INDEX($N:$N,_xlpm._prevRow)&lt;&gt;$N89,INDEX($M:$M,_xlpm._prevRow)&lt;&gt;$M89),1,INDEX($O:$O,_xlpm._prevRow)+IF(INDEX($S:$S,_xlpm._prevRow),1,0))))</f>
        <v/>
      </c>
      <c r="P89" s="20" t="str" cm="1">
        <f t="array" ca="1" aca="1" ref="P89">IF($O89="","",_xlfn.LET(_xlpm._isAssumption,$J89,_xlpm._sheetRow,$W89,_xlpm._sheetName,$X89,_xlpm._elementIDRange,IF(_xlpm._isAssumption,Table24[Element ID Column],Table25[Element ID Column]),_xlpm._numberOfElementsRange,IF(_xlpm._isAssumption,Table24[Number of Elements Column],Table25[Number of Elements Column]),SimpleLookup($O89,INDIRECT("'"&amp;_xlpm._sheetName&amp;"'!"&amp;INDEX(_xlpm._elementIDRange,_xlpm._sheetRow)&amp;":"&amp;INDEX(_xlpm._numberOfElementsRange,_xlpm._sheetRow)))))</f>
        <v/>
      </c>
      <c r="Q89" s="20" t="str" cm="1">
        <f t="array" ca="1" aca="1" ref="Q89">IF($O89="","",IF(OR(INDEX($O:$O,ROW()-1)&lt;&gt;$O89,INDEX($M:$M,ROW()-1)&lt;&gt;$M89),1,INDEX($Q:$Q,ROW()-1)+1))</f>
        <v/>
      </c>
      <c r="R89" s="20">
        <f t="shared" ca="1" si="24"/>
        <v>0</v>
      </c>
      <c r="S89" s="20" t="str">
        <f t="shared" ca="1" si="25"/>
        <v/>
      </c>
      <c r="T89" s="20" t="b">
        <f ca="1">_xlfn.LET(_xlpm._isAssumption,$J89,_xlpm._numberOfElementsRange,IF(_xlpm._isAssumption,Table24['# Elements],Table25['# Elements]),_xlpm._sheetRow,$W89,IF($L89,AND($S89,$R89=$N89),FALSE))</f>
        <v>0</v>
      </c>
      <c r="U89" s="20" t="str" cm="1">
        <f t="array" ca="1" aca="1" ref="U89">IF($L89,_xlfn.LET(_xlpm._elementID,$O89,_xlpm._isAssumption,$J89,_xlpm._sheetRow,$W89,_xlpm._sheetName,$X89,_xlpm._elementRow,$Y89,_xlpm._resultColumnLetter,IF(_xlpm._isAssumption,INDEX(Table24[Comment Column],_xlpm._sheetRow),INDEX(Table25[Comment Column],_xlpm._sheetRow)),INDEX(INDIRECT("'"&amp;_xlpm._sheetName&amp;"'!"&amp;_xlpm._resultColumnLetter&amp;":"&amp;_xlpm._resultColumnLetter),_xlpm._elementRow)),"")</f>
        <v/>
      </c>
      <c r="V89" s="20" t="str" cm="1">
        <f t="array" ca="1" aca="1" ref="V89">IF($L89,_xlfn.LET(_xlpm._elementID,$O89,_xlpm._isAssumption,$J89,_xlpm._sheetRow,$W89,_xlpm._sheetName,$X89,_xlpm._resultColumnLetter,IF(_xlpm._isAssumption,INDEX(Table24[Sheet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89" s="20" t="str">
        <f ca="1">IF($L89=TRUE,_xlfn.LET(_xlpm._isAssumption,$J89,_xlpm._searchRange,IF(_xlpm._isAssumption,Table24[Task Sheet Shadow ID],Table25[Task Sheet Shadow ID]),MATCH($M89,_xlpm._searchRange,0)),"")</f>
        <v/>
      </c>
      <c r="X89" s="20" t="str" cm="1">
        <f t="array" ca="1" aca="1" ref="X89">IF($L89,_xlfn.LET(_xlpm._isAssumption,$J89,_xlpm._sheetRow,$W89,IF(_xlpm._isAssumption,INDEX(Table24[Sheet Name],_xlpm._sheetRow),INDEX(Table25[Sheet Name],_xlpm._sheetRow))),"")</f>
        <v/>
      </c>
      <c r="Y89" s="20" t="str" cm="1">
        <f t="array" ca="1" aca="1" ref="Y89">IF($L89,_xlfn.LET(_xlpm._elementID,$O89,_xlpm._isAssumption,$J89,_xlpm._sheetRow,$W89,_xlpm._sheetName,$X89,_xlpm._elementIDColumnLetter,IF(_xlpm._isAssumption,INDEX(Table24[Element ID Column],_xlpm._sheetRow),INDEX(Table25[Element ID Column],_xlpm._sheetRow)),MATCH(_xlpm._elementID,INDIRECT("'"&amp;_xlpm._sheetName&amp;"'!"&amp;_xlpm._elementIDColumnLetter&amp;":"&amp;_xlpm._elementIDColumnLetter),0)),"")</f>
        <v/>
      </c>
      <c r="Z89" s="20" t="str" cm="1">
        <f t="array" ca="1" aca="1" ref="Z89">IF($A89="","",_xlfn.LET(_xlpm._isAssumption,$J89,_xlpm._isAdditionalElement,$L89,_xlpm._sheetRow,$W89,_xlpm._sheetName,$X89,_xlpm._columnLetter,INDEX(IF(_xlpm._isAdditionalElement,Table24[Comment Column],Table25[Comment Column]),_xlpm._sheetRow),_xlpm._sheetReference,IF(_xlpm._isAssumption,IF(_xlpm._isAdditionalElement,CELL("address",INDEX(INDIRECT("'"&amp;_xlpm._sheetName&amp;"'!"&amp;_xlpm._columnLetter&amp;":"&amp;_xlpm._columnLetter),$Y89)),CELL("address",INDEX(Assumptions!$A:$A,MATCH($A89,Assumptions!$A:$A,0),1))),IF(_xlpm._isAdditionalElement,CELL("address",INDEX(INDIRECT("'"&amp;_xlpm._sheetName&amp;"'!"&amp;_xlpm._columnLetter&amp;":"&amp;_xlpm._columnLetter),$Y89)),CELL("address",INDEX(Countermeasures!$A:$A,MATCH($A89,Countermeasures!$A:$A,0),1)))),_xlpm._start,FIND("]",_xlpm._sheetReference),"'"&amp;SUBSTITUTE(SUBSTITUTE(RIGHT(_xlpm._sheetReference,LEN(_xlpm._sheetReference)-_xlpm._start),"'",""),"!","'!")))</f>
        <v/>
      </c>
      <c r="AA89" s="20" t="str" cm="1">
        <f t="array" ca="1" aca="1" ref="AA89">IF(NOT($L89),_xlfn.LET(_xlpm._value,IF($A89="","",IF($J89,SimpleLookup($A89,Assumptions!$A:$AK),SimpleLookup($A89,Countermeasures!$A:$AN))),IF(_xlpm._value="","",_xlpm._value)),"")</f>
        <v/>
      </c>
      <c r="AB89" s="20" t="str" cm="1">
        <f t="array" ca="1" aca="1" ref="AB89">LookupNames(InverseLookup($A89,Mitigation!$AD$2,Mitigation!$A$2,1,Helper!$B$5,","),'Attack Steps'!$A:$B)</f>
        <v/>
      </c>
      <c r="AC89" s="20" t="str" cm="1">
        <f t="array" ca="1" aca="1" ref="AC89">IF($L89,_xlfn.LET(_xlpm._in,$A89,_xlpm._lastDashNum,LEN(_xlpm._in)-LEN(SUBSTITUTE(_xlpm._in,"-","")),_xlpm._lastDashPos,FIND(CHAR(1),SUBSTITUTE(_xlpm._in,"-",CHAR(1),_xlpm._lastDashNum)),_xlpm._id,LEFT(_xlpm._in,_xlpm._lastDashPos-1),_xlpm._id&amp;"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89" s="20" t="str" cm="1">
        <f t="array" ca="1" aca="1" ref="AD89">_xlfn.LET(_xlpm._countermeasures,InverseLookup($A89,Countermeasures!$AG$2,Countermeasures!$A$2,1,Helper!$B$4,","),LookupNames(_xlpm._countermeasures,Countermeasures!$A:$B))</f>
        <v/>
      </c>
      <c r="AE89" s="20" t="str" cm="1">
        <f t="array" ca="1" aca="1" ref="AE89">IF($E89="","",_xlfn.LET(_xlpm._id,$E89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89" s="20" t="str" cm="1">
        <f t="array" ca="1" aca="1" ref="AF89">IF(OR($A89="",$L89),"",_xlfn.LET(_xlpm._answers,IF($J89,SimpleLookup($A89,Assumptions!$A:$F),SimpleLookup($A89,Countermeasures!$A:$D)),IF(_xlpm._answers="*",IF($J89,SimpleLookup($A89,Assumptions!$A:$C),SimpleLookup($A89,Countermeasures!$A:$C)),"")))</f>
        <v/>
      </c>
      <c r="AG89" s="20" t="str" cm="1">
        <f t="array" ca="1" aca="1" ref="AG89">IF(NOT($L89),"",_xlfn.LET(_xlpm._mappedInMitigation,IFERROR(VLOOKUP($V89,'Attack Steps'!$A:$O,COLUMNS('Attack Steps'!$A:$O),FALSE),""),CreateSearchString(_xlpm._mappedInMitigation)))</f>
        <v/>
      </c>
      <c r="AH89" s="20" t="b">
        <f ca="1">ROW()-ROW($AH$17)=Helper!$B$15</f>
        <v>0</v>
      </c>
      <c r="AI89" s="20" t="str">
        <f t="shared" ca="1" si="26"/>
        <v/>
      </c>
      <c r="AJ89" s="20" cm="1">
        <f t="array" ca="1" aca="1" ref="AJ89">CreateID($AJ$17,$AJ:$AJ,$AI89&lt;&gt;"")</f>
        <v>0</v>
      </c>
    </row>
    <row r="90" spans="1:36" ht="15">
      <c r="A90" s="33" t="str">
        <f ca="1">_xlfn.LET(_xlpm._isAssumption,$J90,_xlpm._row,$K90,_xlpm._numActiveAssumptions,Helper!$B$8,_xlpm._numActiveCountermeasures,Helper!$B$9,_xlpm._numAdditionalAssumptions,Helper!$B$10,_xlpm._numAdditionalCountermeasures,Helper!$B$11,IF(_xlpm._isAssumption,IF(_xlpm._row&gt;_xlpm._numActiveAssumptions,$V90&amp;"-A"&amp;$Q90,INDEX(Assumptions!A:A,MATCH(_xlpm._row,Assumptions!$AG:$AG,0))),IF(_xlpm._row&gt;_xlpm._numActiveCountermeasures+_xlpm._numAdditionalCountermeasures,"",IF(_xlpm._row&gt;_xlpm._numActiveCountermeasures,$V90&amp;"-C"&amp;$Q90,INDEX(Countermeasures!$A:$A,MATCH(_xlpm._row,Countermeasures!$AI:$AI,0))))))</f>
        <v/>
      </c>
      <c r="B90" s="33" t="str" cm="1">
        <f t="array" ca="1" aca="1" ref="B90">IF($A90="","",_xlfn.LET(_xlpm._isAssumption,$J90,_xlpm._isAdditionalElement,$L90,IF(_xlpm._isAdditionalElement,IF(_xlpm._isAssumption,ParseElementsFromComment($U90,Definitions!$AR$4,Definitions!$AS$4,Definitions!$AR$6,$Q90),ParseElementsFromComment($U90,Definitions!$AR$5,Definitions!$AS$5,Definitions!$AR$6,$Q90)),_xlfn.LET(_xlpm._value,IF($A90="","",IF($J90,SimpleLookup($A90,Assumptions!$A:$B),SimpleLookup($A90,Countermeasures!$A:$B))),IF(_xlpm._value="","",_xlpm._value)))))</f>
        <v/>
      </c>
      <c r="C90" s="33" t="str" cm="1">
        <f t="array" ca="1" aca="1" ref="C90">IF($A90="","",IF($J90,IFERROR(SimpleLookup($A90,Assumptions!$A:$E),""),Definitions!$AO$4))</f>
        <v/>
      </c>
      <c r="D90" s="37" t="str">
        <f t="shared" ca="1" si="22"/>
        <v/>
      </c>
      <c r="E90" s="23"/>
      <c r="F90" s="59" t="str">
        <f t="shared" ca="1" si="23"/>
        <v/>
      </c>
      <c r="G90" s="122" t="str" cm="1">
        <f t="array" ca="1" aca="1" ref="G90">_xlfn.LET(_xlpm._val,IFERROR(SimpleLookup($A90,Countermeasures!$A:$R),IFERROR(SimpleLookup($A90,Assumptions!$A:$R),"")),IF(_xlpm._val="","",_xlpm._val))</f>
        <v/>
      </c>
      <c r="H90" s="33" t="str" cm="1">
        <f t="array" ca="1" aca="1" ref="H90">_xlfn.LET(_xlpm._value,IF($A90="","",IFERROR(IF($J90,SimpleLookup($A90,Assumptions!$A:$S),SimpleLookup($A90,Countermeasures!$A:$S)),"")),IF(_xlpm._value="","",_xlpm._value))</f>
        <v/>
      </c>
      <c r="I90" s="10" cm="1">
        <f t="array" ca="1" aca="1" ref="I90">IF(ROW()=ROW($I$17)+1,0,INDEX($I:$I,ROW()-1))+IF($A90="",0,1)</f>
        <v>34</v>
      </c>
      <c r="J90" s="21" t="b">
        <f ca="1">_xlfn.LET(_xlpm._row,ROW()-ROW($K$17),_xlpm._numActiveAssumptions,Helper!$B$8,_xlpm._numAdditionalAssumptions,SUM(Table24['# Elements]),_xlpm._row&lt;=_xlpm._numActiveAssumptions+_xlpm._numAdditionalAssumptions)</f>
        <v>0</v>
      </c>
      <c r="K90" s="21">
        <f ca="1">_xlfn.LET(_xlpm._row,ROW()-ROW($K$17),_xlpm._numActiveAssumptions,Helper!$B$8,_xlpm._numAdditionalAssumptions,Helper!$B$10,_xlpm._isAssumption,$J90,_xlpm._elementID,IF(_xlpm._isAssumption,_xlpm._row,_xlpm._row-_xlpm._numActiveAssumptions-_xlpm._numAdditionalAssumptions),_xlpm._elementID)</f>
        <v>55</v>
      </c>
      <c r="L9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0" s="20" cm="1">
        <f t="array" ca="1" aca="1" ref="M90">IF($L90,IF(ROW()=ROW($M$17)+1,1,INDEX($M:$M,ROW()-1)+IF(INDEX($T:$T,ROW()-1),1,0)),1)</f>
        <v>1</v>
      </c>
      <c r="N90" s="20" t="str" cm="1">
        <f t="array" ca="1" aca="1" ref="N90">IF($L90=TRUE,_xlfn.LET(_xlpm._isAssumption,$J90,_xlpm._indexRange,IF(_xlpm._isAssumption,Table24['# Elements],Table25['# Elements]),_xlpm._lookupRow,$W90,INDEX(_xlpm._indexRange,_xlpm._lookupRow)),"")</f>
        <v/>
      </c>
      <c r="O90" s="20" t="str" cm="1">
        <f t="array" ca="1" aca="1" ref="O90">IF($N90="","",_xlfn.LET(_xlpm._prevRow,ROW()-1,IF(OR(INDEX($N:$N,_xlpm._prevRow)&lt;&gt;$N90,INDEX($M:$M,_xlpm._prevRow)&lt;&gt;$M90),1,INDEX($O:$O,_xlpm._prevRow)+IF(INDEX($S:$S,_xlpm._prevRow),1,0))))</f>
        <v/>
      </c>
      <c r="P90" s="20" t="str" cm="1">
        <f t="array" ca="1" aca="1" ref="P90">IF($O90="","",_xlfn.LET(_xlpm._isAssumption,$J90,_xlpm._sheetRow,$W90,_xlpm._sheetName,$X90,_xlpm._elementIDRange,IF(_xlpm._isAssumption,Table24[Element ID Column],Table25[Element ID Column]),_xlpm._numberOfElementsRange,IF(_xlpm._isAssumption,Table24[Number of Elements Column],Table25[Number of Elements Column]),SimpleLookup($O90,INDIRECT("'"&amp;_xlpm._sheetName&amp;"'!"&amp;INDEX(_xlpm._elementIDRange,_xlpm._sheetRow)&amp;":"&amp;INDEX(_xlpm._numberOfElementsRange,_xlpm._sheetRow)))))</f>
        <v/>
      </c>
      <c r="Q90" s="20" t="str" cm="1">
        <f t="array" ca="1" aca="1" ref="Q90">IF($O90="","",IF(OR(INDEX($O:$O,ROW()-1)&lt;&gt;$O90,INDEX($M:$M,ROW()-1)&lt;&gt;$M90),1,INDEX($Q:$Q,ROW()-1)+1))</f>
        <v/>
      </c>
      <c r="R90" s="20">
        <f t="shared" ca="1" si="24"/>
        <v>0</v>
      </c>
      <c r="S90" s="20" t="str">
        <f t="shared" ca="1" si="25"/>
        <v/>
      </c>
      <c r="T90" s="20" t="b">
        <f ca="1">_xlfn.LET(_xlpm._isAssumption,$J90,_xlpm._numberOfElementsRange,IF(_xlpm._isAssumption,Table24['# Elements],Table25['# Elements]),_xlpm._sheetRow,$W90,IF($L90,AND($S90,$R90=$N90),FALSE))</f>
        <v>0</v>
      </c>
      <c r="U90" s="20" t="str" cm="1">
        <f t="array" ca="1" aca="1" ref="U90">IF($L90,_xlfn.LET(_xlpm._elementID,$O90,_xlpm._isAssumption,$J90,_xlpm._sheetRow,$W90,_xlpm._sheetName,$X90,_xlpm._elementRow,$Y90,_xlpm._resultColumnLetter,IF(_xlpm._isAssumption,INDEX(Table24[Comment Column],_xlpm._sheetRow),INDEX(Table25[Comment Column],_xlpm._sheetRow)),INDEX(INDIRECT("'"&amp;_xlpm._sheetName&amp;"'!"&amp;_xlpm._resultColumnLetter&amp;":"&amp;_xlpm._resultColumnLetter),_xlpm._elementRow)),"")</f>
        <v/>
      </c>
      <c r="V90" s="20" t="str" cm="1">
        <f t="array" ca="1" aca="1" ref="V90">IF($L90,_xlfn.LET(_xlpm._elementID,$O90,_xlpm._isAssumption,$J90,_xlpm._sheetRow,$W90,_xlpm._sheetName,$X90,_xlpm._resultColumnLetter,IF(_xlpm._isAssumption,INDEX(Table24[Sheet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0" s="20" t="str">
        <f ca="1">IF($L90=TRUE,_xlfn.LET(_xlpm._isAssumption,$J90,_xlpm._searchRange,IF(_xlpm._isAssumption,Table24[Task Sheet Shadow ID],Table25[Task Sheet Shadow ID]),MATCH($M90,_xlpm._searchRange,0)),"")</f>
        <v/>
      </c>
      <c r="X90" s="20" t="str" cm="1">
        <f t="array" ca="1" aca="1" ref="X90">IF($L90,_xlfn.LET(_xlpm._isAssumption,$J90,_xlpm._sheetRow,$W90,IF(_xlpm._isAssumption,INDEX(Table24[Sheet Name],_xlpm._sheetRow),INDEX(Table25[Sheet Name],_xlpm._sheetRow))),"")</f>
        <v/>
      </c>
      <c r="Y90" s="20" t="str" cm="1">
        <f t="array" ca="1" aca="1" ref="Y90">IF($L90,_xlfn.LET(_xlpm._elementID,$O90,_xlpm._isAssumption,$J90,_xlpm._sheetRow,$W90,_xlpm._sheetName,$X90,_xlpm._elementIDColumnLetter,IF(_xlpm._isAssumption,INDEX(Table24[Element ID Column],_xlpm._sheetRow),INDEX(Table25[Element ID Column],_xlpm._sheetRow)),MATCH(_xlpm._elementID,INDIRECT("'"&amp;_xlpm._sheetName&amp;"'!"&amp;_xlpm._elementIDColumnLetter&amp;":"&amp;_xlpm._elementIDColumnLetter),0)),"")</f>
        <v/>
      </c>
      <c r="Z90" s="20" t="str" cm="1">
        <f t="array" ca="1" aca="1" ref="Z90">IF($A90="","",_xlfn.LET(_xlpm._isAssumption,$J90,_xlpm._isAdditionalElement,$L90,_xlpm._sheetRow,$W90,_xlpm._sheetName,$X90,_xlpm._columnLetter,INDEX(IF(_xlpm._isAdditionalElement,Table24[Comment Column],Table25[Comment Column]),_xlpm._sheetRow),_xlpm._sheetReference,IF(_xlpm._isAssumption,IF(_xlpm._isAdditionalElement,CELL("address",INDEX(INDIRECT("'"&amp;_xlpm._sheetName&amp;"'!"&amp;_xlpm._columnLetter&amp;":"&amp;_xlpm._columnLetter),$Y90)),CELL("address",INDEX(Assumptions!$A:$A,MATCH($A90,Assumptions!$A:$A,0),1))),IF(_xlpm._isAdditionalElement,CELL("address",INDEX(INDIRECT("'"&amp;_xlpm._sheetName&amp;"'!"&amp;_xlpm._columnLetter&amp;":"&amp;_xlpm._columnLetter),$Y90)),CELL("address",INDEX(Countermeasures!$A:$A,MATCH($A90,Countermeasures!$A:$A,0),1)))),_xlpm._start,FIND("]",_xlpm._sheetReference),"'"&amp;SUBSTITUTE(SUBSTITUTE(RIGHT(_xlpm._sheetReference,LEN(_xlpm._sheetReference)-_xlpm._start),"'",""),"!","'!")))</f>
        <v/>
      </c>
      <c r="AA90" s="20" t="str" cm="1">
        <f t="array" ca="1" aca="1" ref="AA90">IF(NOT($L90),_xlfn.LET(_xlpm._value,IF($A90="","",IF($J90,SimpleLookup($A90,Assumptions!$A:$AK),SimpleLookup($A90,Countermeasures!$A:$AN))),IF(_xlpm._value="","",_xlpm._value)),"")</f>
        <v/>
      </c>
      <c r="AB90" s="20" t="str" cm="1">
        <f t="array" ca="1" aca="1" ref="AB90">LookupNames(InverseLookup($A90,Mitigation!$AD$2,Mitigation!$A$2,1,Helper!$B$5,","),'Attack Steps'!$A:$B)</f>
        <v/>
      </c>
      <c r="AC90" s="20" t="str" cm="1">
        <f t="array" ca="1" aca="1" ref="AC90">IF($L90,_xlfn.LET(_xlpm._in,$A90,_xlpm._lastDashNum,LEN(_xlpm._in)-LEN(SUBSTITUTE(_xlpm._in,"-","")),_xlpm._lastDashPos,FIND(CHAR(1),SUBSTITUTE(_xlpm._in,"-",CHAR(1),_xlpm._lastDashNum)),_xlpm._id,LEFT(_xlpm._in,_xlpm._lastDashPos-1),_xlpm._id&amp;"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0" s="20" t="str" cm="1">
        <f t="array" ca="1" aca="1" ref="AD90">_xlfn.LET(_xlpm._countermeasures,InverseLookup($A90,Countermeasures!$AG$2,Countermeasures!$A$2,1,Helper!$B$4,","),LookupNames(_xlpm._countermeasures,Countermeasures!$A:$B))</f>
        <v/>
      </c>
      <c r="AE90" s="20" t="str" cm="1">
        <f t="array" ca="1" aca="1" ref="AE90">IF($E90="","",_xlfn.LET(_xlpm._id,$E90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0" s="20" t="str" cm="1">
        <f t="array" ca="1" aca="1" ref="AF90">IF(OR($A90="",$L90),"",_xlfn.LET(_xlpm._answers,IF($J90,SimpleLookup($A90,Assumptions!$A:$F),SimpleLookup($A90,Countermeasures!$A:$D)),IF(_xlpm._answers="*",IF($J90,SimpleLookup($A90,Assumptions!$A:$C),SimpleLookup($A90,Countermeasures!$A:$C)),"")))</f>
        <v/>
      </c>
      <c r="AG90" s="20" t="str" cm="1">
        <f t="array" ca="1" aca="1" ref="AG90">IF(NOT($L90),"",_xlfn.LET(_xlpm._mappedInMitigation,IFERROR(VLOOKUP($V90,'Attack Steps'!$A:$O,COLUMNS('Attack Steps'!$A:$O),FALSE),""),CreateSearchString(_xlpm._mappedInMitigation)))</f>
        <v/>
      </c>
      <c r="AH90" s="20" t="b">
        <f ca="1">ROW()-ROW($AH$17)=Helper!$B$15</f>
        <v>0</v>
      </c>
      <c r="AI90" s="20" t="str">
        <f t="shared" ca="1" si="26"/>
        <v/>
      </c>
      <c r="AJ90" s="20" cm="1">
        <f t="array" ca="1" aca="1" ref="AJ90">CreateID($AJ$17,$AJ:$AJ,$AI90&lt;&gt;"")</f>
        <v>0</v>
      </c>
    </row>
    <row r="91" spans="1:36" ht="15">
      <c r="A91" s="33" t="str">
        <f ca="1">_xlfn.LET(_xlpm._isAssumption,$J91,_xlpm._row,$K91,_xlpm._numActiveAssumptions,Helper!$B$8,_xlpm._numActiveCountermeasures,Helper!$B$9,_xlpm._numAdditionalAssumptions,Helper!$B$10,_xlpm._numAdditionalCountermeasures,Helper!$B$11,IF(_xlpm._isAssumption,IF(_xlpm._row&gt;_xlpm._numActiveAssumptions,$V91&amp;"-A"&amp;$Q91,INDEX(Assumptions!A:A,MATCH(_xlpm._row,Assumptions!$AG:$AG,0))),IF(_xlpm._row&gt;_xlpm._numActiveCountermeasures+_xlpm._numAdditionalCountermeasures,"",IF(_xlpm._row&gt;_xlpm._numActiveCountermeasures,$V91&amp;"-C"&amp;$Q91,INDEX(Countermeasures!$A:$A,MATCH(_xlpm._row,Countermeasures!$AI:$AI,0))))))</f>
        <v/>
      </c>
      <c r="B91" s="33" t="str" cm="1">
        <f t="array" ca="1" aca="1" ref="B91">IF($A91="","",_xlfn.LET(_xlpm._isAssumption,$J91,_xlpm._isAdditionalElement,$L91,IF(_xlpm._isAdditionalElement,IF(_xlpm._isAssumption,ParseElementsFromComment($U91,Definitions!$AR$4,Definitions!$AS$4,Definitions!$AR$6,$Q91),ParseElementsFromComment($U91,Definitions!$AR$5,Definitions!$AS$5,Definitions!$AR$6,$Q91)),_xlfn.LET(_xlpm._value,IF($A91="","",IF($J91,SimpleLookup($A91,Assumptions!$A:$B),SimpleLookup($A91,Countermeasures!$A:$B))),IF(_xlpm._value="","",_xlpm._value)))))</f>
        <v/>
      </c>
      <c r="C91" s="33" t="str" cm="1">
        <f t="array" ca="1" aca="1" ref="C91">IF($A91="","",IF($J91,IFERROR(SimpleLookup($A91,Assumptions!$A:$E),""),Definitions!$AO$4))</f>
        <v/>
      </c>
      <c r="D91" s="37" t="str">
        <f t="shared" ca="1" si="22"/>
        <v/>
      </c>
      <c r="E91" s="23"/>
      <c r="F91" s="59" t="str">
        <f t="shared" ca="1" si="23"/>
        <v/>
      </c>
      <c r="G91" s="122" t="str" cm="1">
        <f t="array" ca="1" aca="1" ref="G91">_xlfn.LET(_xlpm._val,IFERROR(SimpleLookup($A91,Countermeasures!$A:$R),IFERROR(SimpleLookup($A91,Assumptions!$A:$R),"")),IF(_xlpm._val="","",_xlpm._val))</f>
        <v/>
      </c>
      <c r="H91" s="33" t="str" cm="1">
        <f t="array" ca="1" aca="1" ref="H91">_xlfn.LET(_xlpm._value,IF($A91="","",IFERROR(IF($J91,SimpleLookup($A91,Assumptions!$A:$S),SimpleLookup($A91,Countermeasures!$A:$S)),"")),IF(_xlpm._value="","",_xlpm._value))</f>
        <v/>
      </c>
      <c r="I91" s="10" cm="1">
        <f t="array" ca="1" aca="1" ref="I91">IF(ROW()=ROW($I$17)+1,0,INDEX($I:$I,ROW()-1))+IF($A91="",0,1)</f>
        <v>34</v>
      </c>
      <c r="J91" s="21" t="b">
        <f ca="1">_xlfn.LET(_xlpm._row,ROW()-ROW($K$17),_xlpm._numActiveAssumptions,Helper!$B$8,_xlpm._numAdditionalAssumptions,SUM(Table24['# Elements]),_xlpm._row&lt;=_xlpm._numActiveAssumptions+_xlpm._numAdditionalAssumptions)</f>
        <v>0</v>
      </c>
      <c r="K91" s="21">
        <f ca="1">_xlfn.LET(_xlpm._row,ROW()-ROW($K$17),_xlpm._numActiveAssumptions,Helper!$B$8,_xlpm._numAdditionalAssumptions,Helper!$B$10,_xlpm._isAssumption,$J91,_xlpm._elementID,IF(_xlpm._isAssumption,_xlpm._row,_xlpm._row-_xlpm._numActiveAssumptions-_xlpm._numAdditionalAssumptions),_xlpm._elementID)</f>
        <v>56</v>
      </c>
      <c r="L9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1" s="20" cm="1">
        <f t="array" ca="1" aca="1" ref="M91">IF($L91,IF(ROW()=ROW($M$17)+1,1,INDEX($M:$M,ROW()-1)+IF(INDEX($T:$T,ROW()-1),1,0)),1)</f>
        <v>1</v>
      </c>
      <c r="N91" s="20" t="str" cm="1">
        <f t="array" ca="1" aca="1" ref="N91">IF($L91=TRUE,_xlfn.LET(_xlpm._isAssumption,$J91,_xlpm._indexRange,IF(_xlpm._isAssumption,Table24['# Elements],Table25['# Elements]),_xlpm._lookupRow,$W91,INDEX(_xlpm._indexRange,_xlpm._lookupRow)),"")</f>
        <v/>
      </c>
      <c r="O91" s="20" t="str" cm="1">
        <f t="array" ca="1" aca="1" ref="O91">IF($N91="","",_xlfn.LET(_xlpm._prevRow,ROW()-1,IF(OR(INDEX($N:$N,_xlpm._prevRow)&lt;&gt;$N91,INDEX($M:$M,_xlpm._prevRow)&lt;&gt;$M91),1,INDEX($O:$O,_xlpm._prevRow)+IF(INDEX($S:$S,_xlpm._prevRow),1,0))))</f>
        <v/>
      </c>
      <c r="P91" s="20" t="str" cm="1">
        <f t="array" ca="1" aca="1" ref="P91">IF($O91="","",_xlfn.LET(_xlpm._isAssumption,$J91,_xlpm._sheetRow,$W91,_xlpm._sheetName,$X91,_xlpm._elementIDRange,IF(_xlpm._isAssumption,Table24[Element ID Column],Table25[Element ID Column]),_xlpm._numberOfElementsRange,IF(_xlpm._isAssumption,Table24[Number of Elements Column],Table25[Number of Elements Column]),SimpleLookup($O91,INDIRECT("'"&amp;_xlpm._sheetName&amp;"'!"&amp;INDEX(_xlpm._elementIDRange,_xlpm._sheetRow)&amp;":"&amp;INDEX(_xlpm._numberOfElementsRange,_xlpm._sheetRow)))))</f>
        <v/>
      </c>
      <c r="Q91" s="20" t="str" cm="1">
        <f t="array" ca="1" aca="1" ref="Q91">IF($O91="","",IF(OR(INDEX($O:$O,ROW()-1)&lt;&gt;$O91,INDEX($M:$M,ROW()-1)&lt;&gt;$M91),1,INDEX($Q:$Q,ROW()-1)+1))</f>
        <v/>
      </c>
      <c r="R91" s="20">
        <f t="shared" ca="1" si="24"/>
        <v>0</v>
      </c>
      <c r="S91" s="20" t="str">
        <f t="shared" ca="1" si="25"/>
        <v/>
      </c>
      <c r="T91" s="20" t="b">
        <f ca="1">_xlfn.LET(_xlpm._isAssumption,$J91,_xlpm._numberOfElementsRange,IF(_xlpm._isAssumption,Table24['# Elements],Table25['# Elements]),_xlpm._sheetRow,$W91,IF($L91,AND($S91,$R91=$N91),FALSE))</f>
        <v>0</v>
      </c>
      <c r="U91" s="20" t="str" cm="1">
        <f t="array" ca="1" aca="1" ref="U91">IF($L91,_xlfn.LET(_xlpm._elementID,$O91,_xlpm._isAssumption,$J91,_xlpm._sheetRow,$W91,_xlpm._sheetName,$X91,_xlpm._elementRow,$Y91,_xlpm._resultColumnLetter,IF(_xlpm._isAssumption,INDEX(Table24[Comment Column],_xlpm._sheetRow),INDEX(Table25[Comment Column],_xlpm._sheetRow)),INDEX(INDIRECT("'"&amp;_xlpm._sheetName&amp;"'!"&amp;_xlpm._resultColumnLetter&amp;":"&amp;_xlpm._resultColumnLetter),_xlpm._elementRow)),"")</f>
        <v/>
      </c>
      <c r="V91" s="20" t="str" cm="1">
        <f t="array" ca="1" aca="1" ref="V91">IF($L91,_xlfn.LET(_xlpm._elementID,$O91,_xlpm._isAssumption,$J91,_xlpm._sheetRow,$W91,_xlpm._sheetName,$X91,_xlpm._resultColumnLetter,IF(_xlpm._isAssumption,INDEX(Table24[Sheet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1" s="20" t="str">
        <f ca="1">IF($L91=TRUE,_xlfn.LET(_xlpm._isAssumption,$J91,_xlpm._searchRange,IF(_xlpm._isAssumption,Table24[Task Sheet Shadow ID],Table25[Task Sheet Shadow ID]),MATCH($M91,_xlpm._searchRange,0)),"")</f>
        <v/>
      </c>
      <c r="X91" s="20" t="str" cm="1">
        <f t="array" ca="1" aca="1" ref="X91">IF($L91,_xlfn.LET(_xlpm._isAssumption,$J91,_xlpm._sheetRow,$W91,IF(_xlpm._isAssumption,INDEX(Table24[Sheet Name],_xlpm._sheetRow),INDEX(Table25[Sheet Name],_xlpm._sheetRow))),"")</f>
        <v/>
      </c>
      <c r="Y91" s="20" t="str" cm="1">
        <f t="array" ca="1" aca="1" ref="Y91">IF($L91,_xlfn.LET(_xlpm._elementID,$O91,_xlpm._isAssumption,$J91,_xlpm._sheetRow,$W91,_xlpm._sheetName,$X91,_xlpm._elementIDColumnLetter,IF(_xlpm._isAssumption,INDEX(Table24[Element ID Column],_xlpm._sheetRow),INDEX(Table25[Element ID Column],_xlpm._sheetRow)),MATCH(_xlpm._elementID,INDIRECT("'"&amp;_xlpm._sheetName&amp;"'!"&amp;_xlpm._elementIDColumnLetter&amp;":"&amp;_xlpm._elementIDColumnLetter),0)),"")</f>
        <v/>
      </c>
      <c r="Z91" s="20" t="str" cm="1">
        <f t="array" ca="1" aca="1" ref="Z91">IF($A91="","",_xlfn.LET(_xlpm._isAssumption,$J91,_xlpm._isAdditionalElement,$L91,_xlpm._sheetRow,$W91,_xlpm._sheetName,$X91,_xlpm._columnLetter,INDEX(IF(_xlpm._isAdditionalElement,Table24[Comment Column],Table25[Comment Column]),_xlpm._sheetRow),_xlpm._sheetReference,IF(_xlpm._isAssumption,IF(_xlpm._isAdditionalElement,CELL("address",INDEX(INDIRECT("'"&amp;_xlpm._sheetName&amp;"'!"&amp;_xlpm._columnLetter&amp;":"&amp;_xlpm._columnLetter),$Y91)),CELL("address",INDEX(Assumptions!$A:$A,MATCH($A91,Assumptions!$A:$A,0),1))),IF(_xlpm._isAdditionalElement,CELL("address",INDEX(INDIRECT("'"&amp;_xlpm._sheetName&amp;"'!"&amp;_xlpm._columnLetter&amp;":"&amp;_xlpm._columnLetter),$Y91)),CELL("address",INDEX(Countermeasures!$A:$A,MATCH($A91,Countermeasures!$A:$A,0),1)))),_xlpm._start,FIND("]",_xlpm._sheetReference),"'"&amp;SUBSTITUTE(SUBSTITUTE(RIGHT(_xlpm._sheetReference,LEN(_xlpm._sheetReference)-_xlpm._start),"'",""),"!","'!")))</f>
        <v/>
      </c>
      <c r="AA91" s="20" t="str" cm="1">
        <f t="array" ca="1" aca="1" ref="AA91">IF(NOT($L91),_xlfn.LET(_xlpm._value,IF($A91="","",IF($J91,SimpleLookup($A91,Assumptions!$A:$AK),SimpleLookup($A91,Countermeasures!$A:$AN))),IF(_xlpm._value="","",_xlpm._value)),"")</f>
        <v/>
      </c>
      <c r="AB91" s="20" t="str" cm="1">
        <f t="array" ca="1" aca="1" ref="AB91">LookupNames(InverseLookup($A91,Mitigation!$AD$2,Mitigation!$A$2,1,Helper!$B$5,","),'Attack Steps'!$A:$B)</f>
        <v/>
      </c>
      <c r="AC91" s="20" t="str" cm="1">
        <f t="array" ca="1" aca="1" ref="AC91">IF($L91,_xlfn.LET(_xlpm._in,$A91,_xlpm._lastDashNum,LEN(_xlpm._in)-LEN(SUBSTITUTE(_xlpm._in,"-","")),_xlpm._lastDashPos,FIND(CHAR(1),SUBSTITUTE(_xlpm._in,"-",CHAR(1),_xlpm._lastDashNum)),_xlpm._id,LEFT(_xlpm._in,_xlpm._lastDashPos-1),_xlpm._id&amp;"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1" s="20" t="str" cm="1">
        <f t="array" ca="1" aca="1" ref="AD91">_xlfn.LET(_xlpm._countermeasures,InverseLookup($A91,Countermeasures!$AG$2,Countermeasures!$A$2,1,Helper!$B$4,","),LookupNames(_xlpm._countermeasures,Countermeasures!$A:$B))</f>
        <v/>
      </c>
      <c r="AE91" s="20" t="str" cm="1">
        <f t="array" ca="1" aca="1" ref="AE91">IF($E91="","",_xlfn.LET(_xlpm._id,$E91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1" s="20" t="str" cm="1">
        <f t="array" ca="1" aca="1" ref="AF91">IF(OR($A91="",$L91),"",_xlfn.LET(_xlpm._answers,IF($J91,SimpleLookup($A91,Assumptions!$A:$F),SimpleLookup($A91,Countermeasures!$A:$D)),IF(_xlpm._answers="*",IF($J91,SimpleLookup($A91,Assumptions!$A:$C),SimpleLookup($A91,Countermeasures!$A:$C)),"")))</f>
        <v/>
      </c>
      <c r="AG91" s="20" t="str" cm="1">
        <f t="array" ca="1" aca="1" ref="AG91">IF(NOT($L91),"",_xlfn.LET(_xlpm._mappedInMitigation,IFERROR(VLOOKUP($V91,'Attack Steps'!$A:$O,COLUMNS('Attack Steps'!$A:$O),FALSE),""),CreateSearchString(_xlpm._mappedInMitigation)))</f>
        <v/>
      </c>
      <c r="AH91" s="20" t="b">
        <f ca="1">ROW()-ROW($AH$17)=Helper!$B$15</f>
        <v>0</v>
      </c>
      <c r="AI91" s="20" t="str">
        <f t="shared" ca="1" si="26"/>
        <v/>
      </c>
      <c r="AJ91" s="20" cm="1">
        <f t="array" ca="1" aca="1" ref="AJ91">CreateID($AJ$17,$AJ:$AJ,$AI91&lt;&gt;"")</f>
        <v>0</v>
      </c>
    </row>
    <row r="92" spans="1:36" ht="15">
      <c r="A92" s="33" t="str">
        <f ca="1">_xlfn.LET(_xlpm._isAssumption,$J92,_xlpm._row,$K92,_xlpm._numActiveAssumptions,Helper!$B$8,_xlpm._numActiveCountermeasures,Helper!$B$9,_xlpm._numAdditionalAssumptions,Helper!$B$10,_xlpm._numAdditionalCountermeasures,Helper!$B$11,IF(_xlpm._isAssumption,IF(_xlpm._row&gt;_xlpm._numActiveAssumptions,$V92&amp;"-A"&amp;$Q92,INDEX(Assumptions!A:A,MATCH(_xlpm._row,Assumptions!$AG:$AG,0))),IF(_xlpm._row&gt;_xlpm._numActiveCountermeasures+_xlpm._numAdditionalCountermeasures,"",IF(_xlpm._row&gt;_xlpm._numActiveCountermeasures,$V92&amp;"-C"&amp;$Q92,INDEX(Countermeasures!$A:$A,MATCH(_xlpm._row,Countermeasures!$AI:$AI,0))))))</f>
        <v/>
      </c>
      <c r="B92" s="33" t="str" cm="1">
        <f t="array" ca="1" aca="1" ref="B92">IF($A92="","",_xlfn.LET(_xlpm._isAssumption,$J92,_xlpm._isAdditionalElement,$L92,IF(_xlpm._isAdditionalElement,IF(_xlpm._isAssumption,ParseElementsFromComment($U92,Definitions!$AR$4,Definitions!$AS$4,Definitions!$AR$6,$Q92),ParseElementsFromComment($U92,Definitions!$AR$5,Definitions!$AS$5,Definitions!$AR$6,$Q92)),_xlfn.LET(_xlpm._value,IF($A92="","",IF($J92,SimpleLookup($A92,Assumptions!$A:$B),SimpleLookup($A92,Countermeasures!$A:$B))),IF(_xlpm._value="","",_xlpm._value)))))</f>
        <v/>
      </c>
      <c r="C92" s="33" t="str" cm="1">
        <f t="array" ca="1" aca="1" ref="C92">IF($A92="","",IF($J92,IFERROR(SimpleLookup($A92,Assumptions!$A:$E),""),Definitions!$AO$4))</f>
        <v/>
      </c>
      <c r="D92" s="37" t="str">
        <f t="shared" ca="1" si="22"/>
        <v/>
      </c>
      <c r="E92" s="23"/>
      <c r="F92" s="59" t="str">
        <f t="shared" ca="1" si="23"/>
        <v/>
      </c>
      <c r="G92" s="122" t="str" cm="1">
        <f t="array" ca="1" aca="1" ref="G92">_xlfn.LET(_xlpm._val,IFERROR(SimpleLookup($A92,Countermeasures!$A:$R),IFERROR(SimpleLookup($A92,Assumptions!$A:$R),"")),IF(_xlpm._val="","",_xlpm._val))</f>
        <v/>
      </c>
      <c r="H92" s="33" t="str" cm="1">
        <f t="array" ca="1" aca="1" ref="H92">_xlfn.LET(_xlpm._value,IF($A92="","",IFERROR(IF($J92,SimpleLookup($A92,Assumptions!$A:$S),SimpleLookup($A92,Countermeasures!$A:$S)),"")),IF(_xlpm._value="","",_xlpm._value))</f>
        <v/>
      </c>
      <c r="I92" s="10" cm="1">
        <f t="array" ca="1" aca="1" ref="I92">IF(ROW()=ROW($I$17)+1,0,INDEX($I:$I,ROW()-1))+IF($A92="",0,1)</f>
        <v>34</v>
      </c>
      <c r="J92" s="21" t="b">
        <f ca="1">_xlfn.LET(_xlpm._row,ROW()-ROW($K$17),_xlpm._numActiveAssumptions,Helper!$B$8,_xlpm._numAdditionalAssumptions,SUM(Table24['# Elements]),_xlpm._row&lt;=_xlpm._numActiveAssumptions+_xlpm._numAdditionalAssumptions)</f>
        <v>0</v>
      </c>
      <c r="K92" s="21">
        <f ca="1">_xlfn.LET(_xlpm._row,ROW()-ROW($K$17),_xlpm._numActiveAssumptions,Helper!$B$8,_xlpm._numAdditionalAssumptions,Helper!$B$10,_xlpm._isAssumption,$J92,_xlpm._elementID,IF(_xlpm._isAssumption,_xlpm._row,_xlpm._row-_xlpm._numActiveAssumptions-_xlpm._numAdditionalAssumptions),_xlpm._elementID)</f>
        <v>57</v>
      </c>
      <c r="L92"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2" s="20" cm="1">
        <f t="array" ca="1" aca="1" ref="M92">IF($L92,IF(ROW()=ROW($M$17)+1,1,INDEX($M:$M,ROW()-1)+IF(INDEX($T:$T,ROW()-1),1,0)),1)</f>
        <v>1</v>
      </c>
      <c r="N92" s="20" t="str" cm="1">
        <f t="array" ca="1" aca="1" ref="N92">IF($L92=TRUE,_xlfn.LET(_xlpm._isAssumption,$J92,_xlpm._indexRange,IF(_xlpm._isAssumption,Table24['# Elements],Table25['# Elements]),_xlpm._lookupRow,$W92,INDEX(_xlpm._indexRange,_xlpm._lookupRow)),"")</f>
        <v/>
      </c>
      <c r="O92" s="20" t="str" cm="1">
        <f t="array" ca="1" aca="1" ref="O92">IF($N92="","",_xlfn.LET(_xlpm._prevRow,ROW()-1,IF(OR(INDEX($N:$N,_xlpm._prevRow)&lt;&gt;$N92,INDEX($M:$M,_xlpm._prevRow)&lt;&gt;$M92),1,INDEX($O:$O,_xlpm._prevRow)+IF(INDEX($S:$S,_xlpm._prevRow),1,0))))</f>
        <v/>
      </c>
      <c r="P92" s="20" t="str" cm="1">
        <f t="array" ca="1" aca="1" ref="P92">IF($O92="","",_xlfn.LET(_xlpm._isAssumption,$J92,_xlpm._sheetRow,$W92,_xlpm._sheetName,$X92,_xlpm._elementIDRange,IF(_xlpm._isAssumption,Table24[Element ID Column],Table25[Element ID Column]),_xlpm._numberOfElementsRange,IF(_xlpm._isAssumption,Table24[Number of Elements Column],Table25[Number of Elements Column]),SimpleLookup($O92,INDIRECT("'"&amp;_xlpm._sheetName&amp;"'!"&amp;INDEX(_xlpm._elementIDRange,_xlpm._sheetRow)&amp;":"&amp;INDEX(_xlpm._numberOfElementsRange,_xlpm._sheetRow)))))</f>
        <v/>
      </c>
      <c r="Q92" s="20" t="str" cm="1">
        <f t="array" ca="1" aca="1" ref="Q92">IF($O92="","",IF(OR(INDEX($O:$O,ROW()-1)&lt;&gt;$O92,INDEX($M:$M,ROW()-1)&lt;&gt;$M92),1,INDEX($Q:$Q,ROW()-1)+1))</f>
        <v/>
      </c>
      <c r="R92" s="20">
        <f t="shared" ca="1" si="24"/>
        <v>0</v>
      </c>
      <c r="S92" s="20" t="str">
        <f t="shared" ca="1" si="25"/>
        <v/>
      </c>
      <c r="T92" s="20" t="b">
        <f ca="1">_xlfn.LET(_xlpm._isAssumption,$J92,_xlpm._numberOfElementsRange,IF(_xlpm._isAssumption,Table24['# Elements],Table25['# Elements]),_xlpm._sheetRow,$W92,IF($L92,AND($S92,$R92=$N92),FALSE))</f>
        <v>0</v>
      </c>
      <c r="U92" s="20" t="str" cm="1">
        <f t="array" ca="1" aca="1" ref="U92">IF($L92,_xlfn.LET(_xlpm._elementID,$O92,_xlpm._isAssumption,$J92,_xlpm._sheetRow,$W92,_xlpm._sheetName,$X92,_xlpm._elementRow,$Y92,_xlpm._resultColumnLetter,IF(_xlpm._isAssumption,INDEX(Table24[Comment Column],_xlpm._sheetRow),INDEX(Table25[Comment Column],_xlpm._sheetRow)),INDEX(INDIRECT("'"&amp;_xlpm._sheetName&amp;"'!"&amp;_xlpm._resultColumnLetter&amp;":"&amp;_xlpm._resultColumnLetter),_xlpm._elementRow)),"")</f>
        <v/>
      </c>
      <c r="V92" s="20" t="str" cm="1">
        <f t="array" ca="1" aca="1" ref="V92">IF($L92,_xlfn.LET(_xlpm._elementID,$O92,_xlpm._isAssumption,$J92,_xlpm._sheetRow,$W92,_xlpm._sheetName,$X92,_xlpm._resultColumnLetter,IF(_xlpm._isAssumption,INDEX(Table24[Sheet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2" s="20" t="str">
        <f ca="1">IF($L92=TRUE,_xlfn.LET(_xlpm._isAssumption,$J92,_xlpm._searchRange,IF(_xlpm._isAssumption,Table24[Task Sheet Shadow ID],Table25[Task Sheet Shadow ID]),MATCH($M92,_xlpm._searchRange,0)),"")</f>
        <v/>
      </c>
      <c r="X92" s="20" t="str" cm="1">
        <f t="array" ca="1" aca="1" ref="X92">IF($L92,_xlfn.LET(_xlpm._isAssumption,$J92,_xlpm._sheetRow,$W92,IF(_xlpm._isAssumption,INDEX(Table24[Sheet Name],_xlpm._sheetRow),INDEX(Table25[Sheet Name],_xlpm._sheetRow))),"")</f>
        <v/>
      </c>
      <c r="Y92" s="20" t="str" cm="1">
        <f t="array" ca="1" aca="1" ref="Y92">IF($L92,_xlfn.LET(_xlpm._elementID,$O92,_xlpm._isAssumption,$J92,_xlpm._sheetRow,$W92,_xlpm._sheetName,$X92,_xlpm._elementIDColumnLetter,IF(_xlpm._isAssumption,INDEX(Table24[Element ID Column],_xlpm._sheetRow),INDEX(Table25[Element ID Column],_xlpm._sheetRow)),MATCH(_xlpm._elementID,INDIRECT("'"&amp;_xlpm._sheetName&amp;"'!"&amp;_xlpm._elementIDColumnLetter&amp;":"&amp;_xlpm._elementIDColumnLetter),0)),"")</f>
        <v/>
      </c>
      <c r="Z92" s="20" t="str" cm="1">
        <f t="array" ca="1" aca="1" ref="Z92">IF($A92="","",_xlfn.LET(_xlpm._isAssumption,$J92,_xlpm._isAdditionalElement,$L92,_xlpm._sheetRow,$W92,_xlpm._sheetName,$X92,_xlpm._columnLetter,INDEX(IF(_xlpm._isAdditionalElement,Table24[Comment Column],Table25[Comment Column]),_xlpm._sheetRow),_xlpm._sheetReference,IF(_xlpm._isAssumption,IF(_xlpm._isAdditionalElement,CELL("address",INDEX(INDIRECT("'"&amp;_xlpm._sheetName&amp;"'!"&amp;_xlpm._columnLetter&amp;":"&amp;_xlpm._columnLetter),$Y92)),CELL("address",INDEX(Assumptions!$A:$A,MATCH($A92,Assumptions!$A:$A,0),1))),IF(_xlpm._isAdditionalElement,CELL("address",INDEX(INDIRECT("'"&amp;_xlpm._sheetName&amp;"'!"&amp;_xlpm._columnLetter&amp;":"&amp;_xlpm._columnLetter),$Y92)),CELL("address",INDEX(Countermeasures!$A:$A,MATCH($A92,Countermeasures!$A:$A,0),1)))),_xlpm._start,FIND("]",_xlpm._sheetReference),"'"&amp;SUBSTITUTE(SUBSTITUTE(RIGHT(_xlpm._sheetReference,LEN(_xlpm._sheetReference)-_xlpm._start),"'",""),"!","'!")))</f>
        <v/>
      </c>
      <c r="AA92" s="20" t="str" cm="1">
        <f t="array" ca="1" aca="1" ref="AA92">IF(NOT($L92),_xlfn.LET(_xlpm._value,IF($A92="","",IF($J92,SimpleLookup($A92,Assumptions!$A:$AK),SimpleLookup($A92,Countermeasures!$A:$AN))),IF(_xlpm._value="","",_xlpm._value)),"")</f>
        <v/>
      </c>
      <c r="AB92" s="20" t="str" cm="1">
        <f t="array" ca="1" aca="1" ref="AB92">LookupNames(InverseLookup($A92,Mitigation!$AD$2,Mitigation!$A$2,1,Helper!$B$5,","),'Attack Steps'!$A:$B)</f>
        <v/>
      </c>
      <c r="AC92" s="20" t="str" cm="1">
        <f t="array" ca="1" aca="1" ref="AC92">IF($L92,_xlfn.LET(_xlpm._in,$A92,_xlpm._lastDashNum,LEN(_xlpm._in)-LEN(SUBSTITUTE(_xlpm._in,"-","")),_xlpm._lastDashPos,FIND(CHAR(1),SUBSTITUTE(_xlpm._in,"-",CHAR(1),_xlpm._lastDashNum)),_xlpm._id,LEFT(_xlpm._in,_xlpm._lastDashPos-1),_xlpm._id&amp;"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2" s="20" t="str" cm="1">
        <f t="array" ca="1" aca="1" ref="AD92">_xlfn.LET(_xlpm._countermeasures,InverseLookup($A92,Countermeasures!$AG$2,Countermeasures!$A$2,1,Helper!$B$4,","),LookupNames(_xlpm._countermeasures,Countermeasures!$A:$B))</f>
        <v/>
      </c>
      <c r="AE92" s="20" t="str" cm="1">
        <f t="array" ca="1" aca="1" ref="AE92">IF($E92="","",_xlfn.LET(_xlpm._id,$E92,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2" s="20" t="str" cm="1">
        <f t="array" ca="1" aca="1" ref="AF92">IF(OR($A92="",$L92),"",_xlfn.LET(_xlpm._answers,IF($J92,SimpleLookup($A92,Assumptions!$A:$F),SimpleLookup($A92,Countermeasures!$A:$D)),IF(_xlpm._answers="*",IF($J92,SimpleLookup($A92,Assumptions!$A:$C),SimpleLookup($A92,Countermeasures!$A:$C)),"")))</f>
        <v/>
      </c>
      <c r="AG92" s="20" t="str" cm="1">
        <f t="array" ca="1" aca="1" ref="AG92">IF(NOT($L92),"",_xlfn.LET(_xlpm._mappedInMitigation,IFERROR(VLOOKUP($V92,'Attack Steps'!$A:$O,COLUMNS('Attack Steps'!$A:$O),FALSE),""),CreateSearchString(_xlpm._mappedInMitigation)))</f>
        <v/>
      </c>
      <c r="AH92" s="20" t="b">
        <f ca="1">ROW()-ROW($AH$17)=Helper!$B$15</f>
        <v>0</v>
      </c>
      <c r="AI92" s="20" t="str">
        <f t="shared" ca="1" si="26"/>
        <v/>
      </c>
      <c r="AJ92" s="20" cm="1">
        <f t="array" ca="1" aca="1" ref="AJ92">CreateID($AJ$17,$AJ:$AJ,$AI92&lt;&gt;"")</f>
        <v>0</v>
      </c>
    </row>
    <row r="93" spans="1:36" ht="15">
      <c r="A93" s="33" t="str">
        <f ca="1">_xlfn.LET(_xlpm._isAssumption,$J93,_xlpm._row,$K93,_xlpm._numActiveAssumptions,Helper!$B$8,_xlpm._numActiveCountermeasures,Helper!$B$9,_xlpm._numAdditionalAssumptions,Helper!$B$10,_xlpm._numAdditionalCountermeasures,Helper!$B$11,IF(_xlpm._isAssumption,IF(_xlpm._row&gt;_xlpm._numActiveAssumptions,$V93&amp;"-A"&amp;$Q93,INDEX(Assumptions!A:A,MATCH(_xlpm._row,Assumptions!$AG:$AG,0))),IF(_xlpm._row&gt;_xlpm._numActiveCountermeasures+_xlpm._numAdditionalCountermeasures,"",IF(_xlpm._row&gt;_xlpm._numActiveCountermeasures,$V93&amp;"-C"&amp;$Q93,INDEX(Countermeasures!$A:$A,MATCH(_xlpm._row,Countermeasures!$AI:$AI,0))))))</f>
        <v/>
      </c>
      <c r="B93" s="33" t="str" cm="1">
        <f t="array" ca="1" aca="1" ref="B93">IF($A93="","",_xlfn.LET(_xlpm._isAssumption,$J93,_xlpm._isAdditionalElement,$L93,IF(_xlpm._isAdditionalElement,IF(_xlpm._isAssumption,ParseElementsFromComment($U93,Definitions!$AR$4,Definitions!$AS$4,Definitions!$AR$6,$Q93),ParseElementsFromComment($U93,Definitions!$AR$5,Definitions!$AS$5,Definitions!$AR$6,$Q93)),_xlfn.LET(_xlpm._value,IF($A93="","",IF($J93,SimpleLookup($A93,Assumptions!$A:$B),SimpleLookup($A93,Countermeasures!$A:$B))),IF(_xlpm._value="","",_xlpm._value)))))</f>
        <v/>
      </c>
      <c r="C93" s="33" t="str" cm="1">
        <f t="array" ca="1" aca="1" ref="C93">IF($A93="","",IF($J93,IFERROR(SimpleLookup($A93,Assumptions!$A:$E),""),Definitions!$AO$4))</f>
        <v/>
      </c>
      <c r="D93" s="37" t="str">
        <f t="shared" ca="1" si="22"/>
        <v/>
      </c>
      <c r="E93" s="23"/>
      <c r="F93" s="59" t="str">
        <f t="shared" ca="1" si="23"/>
        <v/>
      </c>
      <c r="G93" s="122" t="str" cm="1">
        <f t="array" ca="1" aca="1" ref="G93">_xlfn.LET(_xlpm._val,IFERROR(SimpleLookup($A93,Countermeasures!$A:$R),IFERROR(SimpleLookup($A93,Assumptions!$A:$R),"")),IF(_xlpm._val="","",_xlpm._val))</f>
        <v/>
      </c>
      <c r="H93" s="33" t="str" cm="1">
        <f t="array" ca="1" aca="1" ref="H93">_xlfn.LET(_xlpm._value,IF($A93="","",IFERROR(IF($J93,SimpleLookup($A93,Assumptions!$A:$S),SimpleLookup($A93,Countermeasures!$A:$S)),"")),IF(_xlpm._value="","",_xlpm._value))</f>
        <v/>
      </c>
      <c r="I93" s="10" cm="1">
        <f t="array" ca="1" aca="1" ref="I93">IF(ROW()=ROW($I$17)+1,0,INDEX($I:$I,ROW()-1))+IF($A93="",0,1)</f>
        <v>34</v>
      </c>
      <c r="J93" s="21" t="b">
        <f ca="1">_xlfn.LET(_xlpm._row,ROW()-ROW($K$17),_xlpm._numActiveAssumptions,Helper!$B$8,_xlpm._numAdditionalAssumptions,SUM(Table24['# Elements]),_xlpm._row&lt;=_xlpm._numActiveAssumptions+_xlpm._numAdditionalAssumptions)</f>
        <v>0</v>
      </c>
      <c r="K93" s="21">
        <f ca="1">_xlfn.LET(_xlpm._row,ROW()-ROW($K$17),_xlpm._numActiveAssumptions,Helper!$B$8,_xlpm._numAdditionalAssumptions,Helper!$B$10,_xlpm._isAssumption,$J93,_xlpm._elementID,IF(_xlpm._isAssumption,_xlpm._row,_xlpm._row-_xlpm._numActiveAssumptions-_xlpm._numAdditionalAssumptions),_xlpm._elementID)</f>
        <v>58</v>
      </c>
      <c r="L93"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3" s="20" cm="1">
        <f t="array" ca="1" aca="1" ref="M93">IF($L93,IF(ROW()=ROW($M$17)+1,1,INDEX($M:$M,ROW()-1)+IF(INDEX($T:$T,ROW()-1),1,0)),1)</f>
        <v>1</v>
      </c>
      <c r="N93" s="20" t="str" cm="1">
        <f t="array" ca="1" aca="1" ref="N93">IF($L93=TRUE,_xlfn.LET(_xlpm._isAssumption,$J93,_xlpm._indexRange,IF(_xlpm._isAssumption,Table24['# Elements],Table25['# Elements]),_xlpm._lookupRow,$W93,INDEX(_xlpm._indexRange,_xlpm._lookupRow)),"")</f>
        <v/>
      </c>
      <c r="O93" s="20" t="str" cm="1">
        <f t="array" ca="1" aca="1" ref="O93">IF($N93="","",_xlfn.LET(_xlpm._prevRow,ROW()-1,IF(OR(INDEX($N:$N,_xlpm._prevRow)&lt;&gt;$N93,INDEX($M:$M,_xlpm._prevRow)&lt;&gt;$M93),1,INDEX($O:$O,_xlpm._prevRow)+IF(INDEX($S:$S,_xlpm._prevRow),1,0))))</f>
        <v/>
      </c>
      <c r="P93" s="20" t="str" cm="1">
        <f t="array" ca="1" aca="1" ref="P93">IF($O93="","",_xlfn.LET(_xlpm._isAssumption,$J93,_xlpm._sheetRow,$W93,_xlpm._sheetName,$X93,_xlpm._elementIDRange,IF(_xlpm._isAssumption,Table24[Element ID Column],Table25[Element ID Column]),_xlpm._numberOfElementsRange,IF(_xlpm._isAssumption,Table24[Number of Elements Column],Table25[Number of Elements Column]),SimpleLookup($O93,INDIRECT("'"&amp;_xlpm._sheetName&amp;"'!"&amp;INDEX(_xlpm._elementIDRange,_xlpm._sheetRow)&amp;":"&amp;INDEX(_xlpm._numberOfElementsRange,_xlpm._sheetRow)))))</f>
        <v/>
      </c>
      <c r="Q93" s="20" t="str" cm="1">
        <f t="array" ca="1" aca="1" ref="Q93">IF($O93="","",IF(OR(INDEX($O:$O,ROW()-1)&lt;&gt;$O93,INDEX($M:$M,ROW()-1)&lt;&gt;$M93),1,INDEX($Q:$Q,ROW()-1)+1))</f>
        <v/>
      </c>
      <c r="R93" s="20">
        <f t="shared" ca="1" si="24"/>
        <v>0</v>
      </c>
      <c r="S93" s="20" t="str">
        <f t="shared" ca="1" si="25"/>
        <v/>
      </c>
      <c r="T93" s="20" t="b">
        <f ca="1">_xlfn.LET(_xlpm._isAssumption,$J93,_xlpm._numberOfElementsRange,IF(_xlpm._isAssumption,Table24['# Elements],Table25['# Elements]),_xlpm._sheetRow,$W93,IF($L93,AND($S93,$R93=$N93),FALSE))</f>
        <v>0</v>
      </c>
      <c r="U93" s="20" t="str" cm="1">
        <f t="array" ca="1" aca="1" ref="U93">IF($L93,_xlfn.LET(_xlpm._elementID,$O93,_xlpm._isAssumption,$J93,_xlpm._sheetRow,$W93,_xlpm._sheetName,$X93,_xlpm._elementRow,$Y93,_xlpm._resultColumnLetter,IF(_xlpm._isAssumption,INDEX(Table24[Comment Column],_xlpm._sheetRow),INDEX(Table25[Comment Column],_xlpm._sheetRow)),INDEX(INDIRECT("'"&amp;_xlpm._sheetName&amp;"'!"&amp;_xlpm._resultColumnLetter&amp;":"&amp;_xlpm._resultColumnLetter),_xlpm._elementRow)),"")</f>
        <v/>
      </c>
      <c r="V93" s="20" t="str" cm="1">
        <f t="array" ca="1" aca="1" ref="V93">IF($L93,_xlfn.LET(_xlpm._elementID,$O93,_xlpm._isAssumption,$J93,_xlpm._sheetRow,$W93,_xlpm._sheetName,$X93,_xlpm._resultColumnLetter,IF(_xlpm._isAssumption,INDEX(Table24[Sheet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3" s="20" t="str">
        <f ca="1">IF($L93=TRUE,_xlfn.LET(_xlpm._isAssumption,$J93,_xlpm._searchRange,IF(_xlpm._isAssumption,Table24[Task Sheet Shadow ID],Table25[Task Sheet Shadow ID]),MATCH($M93,_xlpm._searchRange,0)),"")</f>
        <v/>
      </c>
      <c r="X93" s="20" t="str" cm="1">
        <f t="array" ca="1" aca="1" ref="X93">IF($L93,_xlfn.LET(_xlpm._isAssumption,$J93,_xlpm._sheetRow,$W93,IF(_xlpm._isAssumption,INDEX(Table24[Sheet Name],_xlpm._sheetRow),INDEX(Table25[Sheet Name],_xlpm._sheetRow))),"")</f>
        <v/>
      </c>
      <c r="Y93" s="20" t="str" cm="1">
        <f t="array" ca="1" aca="1" ref="Y93">IF($L93,_xlfn.LET(_xlpm._elementID,$O93,_xlpm._isAssumption,$J93,_xlpm._sheetRow,$W93,_xlpm._sheetName,$X93,_xlpm._elementIDColumnLetter,IF(_xlpm._isAssumption,INDEX(Table24[Element ID Column],_xlpm._sheetRow),INDEX(Table25[Element ID Column],_xlpm._sheetRow)),MATCH(_xlpm._elementID,INDIRECT("'"&amp;_xlpm._sheetName&amp;"'!"&amp;_xlpm._elementIDColumnLetter&amp;":"&amp;_xlpm._elementIDColumnLetter),0)),"")</f>
        <v/>
      </c>
      <c r="Z93" s="20" t="str" cm="1">
        <f t="array" ca="1" aca="1" ref="Z93">IF($A93="","",_xlfn.LET(_xlpm._isAssumption,$J93,_xlpm._isAdditionalElement,$L93,_xlpm._sheetRow,$W93,_xlpm._sheetName,$X93,_xlpm._columnLetter,INDEX(IF(_xlpm._isAdditionalElement,Table24[Comment Column],Table25[Comment Column]),_xlpm._sheetRow),_xlpm._sheetReference,IF(_xlpm._isAssumption,IF(_xlpm._isAdditionalElement,CELL("address",INDEX(INDIRECT("'"&amp;_xlpm._sheetName&amp;"'!"&amp;_xlpm._columnLetter&amp;":"&amp;_xlpm._columnLetter),$Y93)),CELL("address",INDEX(Assumptions!$A:$A,MATCH($A93,Assumptions!$A:$A,0),1))),IF(_xlpm._isAdditionalElement,CELL("address",INDEX(INDIRECT("'"&amp;_xlpm._sheetName&amp;"'!"&amp;_xlpm._columnLetter&amp;":"&amp;_xlpm._columnLetter),$Y93)),CELL("address",INDEX(Countermeasures!$A:$A,MATCH($A93,Countermeasures!$A:$A,0),1)))),_xlpm._start,FIND("]",_xlpm._sheetReference),"'"&amp;SUBSTITUTE(SUBSTITUTE(RIGHT(_xlpm._sheetReference,LEN(_xlpm._sheetReference)-_xlpm._start),"'",""),"!","'!")))</f>
        <v/>
      </c>
      <c r="AA93" s="20" t="str" cm="1">
        <f t="array" ca="1" aca="1" ref="AA93">IF(NOT($L93),_xlfn.LET(_xlpm._value,IF($A93="","",IF($J93,SimpleLookup($A93,Assumptions!$A:$AK),SimpleLookup($A93,Countermeasures!$A:$AN))),IF(_xlpm._value="","",_xlpm._value)),"")</f>
        <v/>
      </c>
      <c r="AB93" s="20" t="str" cm="1">
        <f t="array" ca="1" aca="1" ref="AB93">LookupNames(InverseLookup($A93,Mitigation!$AD$2,Mitigation!$A$2,1,Helper!$B$5,","),'Attack Steps'!$A:$B)</f>
        <v/>
      </c>
      <c r="AC93" s="20" t="str" cm="1">
        <f t="array" ca="1" aca="1" ref="AC93">IF($L93,_xlfn.LET(_xlpm._in,$A93,_xlpm._lastDashNum,LEN(_xlpm._in)-LEN(SUBSTITUTE(_xlpm._in,"-","")),_xlpm._lastDashPos,FIND(CHAR(1),SUBSTITUTE(_xlpm._in,"-",CHAR(1),_xlpm._lastDashNum)),_xlpm._id,LEFT(_xlpm._in,_xlpm._lastDashPos-1),_xlpm._id&amp;"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3" s="20" t="str" cm="1">
        <f t="array" ca="1" aca="1" ref="AD93">_xlfn.LET(_xlpm._countermeasures,InverseLookup($A93,Countermeasures!$AG$2,Countermeasures!$A$2,1,Helper!$B$4,","),LookupNames(_xlpm._countermeasures,Countermeasures!$A:$B))</f>
        <v/>
      </c>
      <c r="AE93" s="20" t="str" cm="1">
        <f t="array" ca="1" aca="1" ref="AE93">IF($E93="","",_xlfn.LET(_xlpm._id,$E93,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3" s="20" t="str" cm="1">
        <f t="array" ca="1" aca="1" ref="AF93">IF(OR($A93="",$L93),"",_xlfn.LET(_xlpm._answers,IF($J93,SimpleLookup($A93,Assumptions!$A:$F),SimpleLookup($A93,Countermeasures!$A:$D)),IF(_xlpm._answers="*",IF($J93,SimpleLookup($A93,Assumptions!$A:$C),SimpleLookup($A93,Countermeasures!$A:$C)),"")))</f>
        <v/>
      </c>
      <c r="AG93" s="20" t="str" cm="1">
        <f t="array" ca="1" aca="1" ref="AG93">IF(NOT($L93),"",_xlfn.LET(_xlpm._mappedInMitigation,IFERROR(VLOOKUP($V93,'Attack Steps'!$A:$O,COLUMNS('Attack Steps'!$A:$O),FALSE),""),CreateSearchString(_xlpm._mappedInMitigation)))</f>
        <v/>
      </c>
      <c r="AH93" s="20" t="b">
        <f ca="1">ROW()-ROW($AH$17)=Helper!$B$15</f>
        <v>0</v>
      </c>
      <c r="AI93" s="20" t="str">
        <f t="shared" ca="1" si="26"/>
        <v/>
      </c>
      <c r="AJ93" s="20" cm="1">
        <f t="array" ca="1" aca="1" ref="AJ93">CreateID($AJ$17,$AJ:$AJ,$AI93&lt;&gt;"")</f>
        <v>0</v>
      </c>
    </row>
    <row r="94" spans="1:36" ht="15">
      <c r="A94" s="33" t="str">
        <f ca="1">_xlfn.LET(_xlpm._isAssumption,$J94,_xlpm._row,$K94,_xlpm._numActiveAssumptions,Helper!$B$8,_xlpm._numActiveCountermeasures,Helper!$B$9,_xlpm._numAdditionalAssumptions,Helper!$B$10,_xlpm._numAdditionalCountermeasures,Helper!$B$11,IF(_xlpm._isAssumption,IF(_xlpm._row&gt;_xlpm._numActiveAssumptions,$V94&amp;"-A"&amp;$Q94,INDEX(Assumptions!A:A,MATCH(_xlpm._row,Assumptions!$AG:$AG,0))),IF(_xlpm._row&gt;_xlpm._numActiveCountermeasures+_xlpm._numAdditionalCountermeasures,"",IF(_xlpm._row&gt;_xlpm._numActiveCountermeasures,$V94&amp;"-C"&amp;$Q94,INDEX(Countermeasures!$A:$A,MATCH(_xlpm._row,Countermeasures!$AI:$AI,0))))))</f>
        <v/>
      </c>
      <c r="B94" s="33" t="str" cm="1">
        <f t="array" ca="1" aca="1" ref="B94">IF($A94="","",_xlfn.LET(_xlpm._isAssumption,$J94,_xlpm._isAdditionalElement,$L94,IF(_xlpm._isAdditionalElement,IF(_xlpm._isAssumption,ParseElementsFromComment($U94,Definitions!$AR$4,Definitions!$AS$4,Definitions!$AR$6,$Q94),ParseElementsFromComment($U94,Definitions!$AR$5,Definitions!$AS$5,Definitions!$AR$6,$Q94)),_xlfn.LET(_xlpm._value,IF($A94="","",IF($J94,SimpleLookup($A94,Assumptions!$A:$B),SimpleLookup($A94,Countermeasures!$A:$B))),IF(_xlpm._value="","",_xlpm._value)))))</f>
        <v/>
      </c>
      <c r="C94" s="33" t="str" cm="1">
        <f t="array" ca="1" aca="1" ref="C94">IF($A94="","",IF($J94,IFERROR(SimpleLookup($A94,Assumptions!$A:$E),""),Definitions!$AO$4))</f>
        <v/>
      </c>
      <c r="D94" s="37" t="str">
        <f t="shared" ca="1" si="22"/>
        <v/>
      </c>
      <c r="E94" s="23"/>
      <c r="F94" s="59" t="str">
        <f t="shared" ca="1" si="23"/>
        <v/>
      </c>
      <c r="G94" s="122" t="str" cm="1">
        <f t="array" ca="1" aca="1" ref="G94">_xlfn.LET(_xlpm._val,IFERROR(SimpleLookup($A94,Countermeasures!$A:$R),IFERROR(SimpleLookup($A94,Assumptions!$A:$R),"")),IF(_xlpm._val="","",_xlpm._val))</f>
        <v/>
      </c>
      <c r="H94" s="33" t="str" cm="1">
        <f t="array" ca="1" aca="1" ref="H94">_xlfn.LET(_xlpm._value,IF($A94="","",IFERROR(IF($J94,SimpleLookup($A94,Assumptions!$A:$S),SimpleLookup($A94,Countermeasures!$A:$S)),"")),IF(_xlpm._value="","",_xlpm._value))</f>
        <v/>
      </c>
      <c r="I94" s="10" cm="1">
        <f t="array" ca="1" aca="1" ref="I94">IF(ROW()=ROW($I$17)+1,0,INDEX($I:$I,ROW()-1))+IF($A94="",0,1)</f>
        <v>34</v>
      </c>
      <c r="J94" s="21" t="b">
        <f ca="1">_xlfn.LET(_xlpm._row,ROW()-ROW($K$17),_xlpm._numActiveAssumptions,Helper!$B$8,_xlpm._numAdditionalAssumptions,SUM(Table24['# Elements]),_xlpm._row&lt;=_xlpm._numActiveAssumptions+_xlpm._numAdditionalAssumptions)</f>
        <v>0</v>
      </c>
      <c r="K94" s="21">
        <f ca="1">_xlfn.LET(_xlpm._row,ROW()-ROW($K$17),_xlpm._numActiveAssumptions,Helper!$B$8,_xlpm._numAdditionalAssumptions,Helper!$B$10,_xlpm._isAssumption,$J94,_xlpm._elementID,IF(_xlpm._isAssumption,_xlpm._row,_xlpm._row-_xlpm._numActiveAssumptions-_xlpm._numAdditionalAssumptions),_xlpm._elementID)</f>
        <v>59</v>
      </c>
      <c r="L94"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4" s="20" cm="1">
        <f t="array" ca="1" aca="1" ref="M94">IF($L94,IF(ROW()=ROW($M$17)+1,1,INDEX($M:$M,ROW()-1)+IF(INDEX($T:$T,ROW()-1),1,0)),1)</f>
        <v>1</v>
      </c>
      <c r="N94" s="20" t="str" cm="1">
        <f t="array" ca="1" aca="1" ref="N94">IF($L94=TRUE,_xlfn.LET(_xlpm._isAssumption,$J94,_xlpm._indexRange,IF(_xlpm._isAssumption,Table24['# Elements],Table25['# Elements]),_xlpm._lookupRow,$W94,INDEX(_xlpm._indexRange,_xlpm._lookupRow)),"")</f>
        <v/>
      </c>
      <c r="O94" s="20" t="str" cm="1">
        <f t="array" ca="1" aca="1" ref="O94">IF($N94="","",_xlfn.LET(_xlpm._prevRow,ROW()-1,IF(OR(INDEX($N:$N,_xlpm._prevRow)&lt;&gt;$N94,INDEX($M:$M,_xlpm._prevRow)&lt;&gt;$M94),1,INDEX($O:$O,_xlpm._prevRow)+IF(INDEX($S:$S,_xlpm._prevRow),1,0))))</f>
        <v/>
      </c>
      <c r="P94" s="20" t="str" cm="1">
        <f t="array" ca="1" aca="1" ref="P94">IF($O94="","",_xlfn.LET(_xlpm._isAssumption,$J94,_xlpm._sheetRow,$W94,_xlpm._sheetName,$X94,_xlpm._elementIDRange,IF(_xlpm._isAssumption,Table24[Element ID Column],Table25[Element ID Column]),_xlpm._numberOfElementsRange,IF(_xlpm._isAssumption,Table24[Number of Elements Column],Table25[Number of Elements Column]),SimpleLookup($O94,INDIRECT("'"&amp;_xlpm._sheetName&amp;"'!"&amp;INDEX(_xlpm._elementIDRange,_xlpm._sheetRow)&amp;":"&amp;INDEX(_xlpm._numberOfElementsRange,_xlpm._sheetRow)))))</f>
        <v/>
      </c>
      <c r="Q94" s="20" t="str" cm="1">
        <f t="array" ca="1" aca="1" ref="Q94">IF($O94="","",IF(OR(INDEX($O:$O,ROW()-1)&lt;&gt;$O94,INDEX($M:$M,ROW()-1)&lt;&gt;$M94),1,INDEX($Q:$Q,ROW()-1)+1))</f>
        <v/>
      </c>
      <c r="R94" s="20">
        <f t="shared" ca="1" si="24"/>
        <v>0</v>
      </c>
      <c r="S94" s="20" t="str">
        <f t="shared" ca="1" si="25"/>
        <v/>
      </c>
      <c r="T94" s="20" t="b">
        <f ca="1">_xlfn.LET(_xlpm._isAssumption,$J94,_xlpm._numberOfElementsRange,IF(_xlpm._isAssumption,Table24['# Elements],Table25['# Elements]),_xlpm._sheetRow,$W94,IF($L94,AND($S94,$R94=$N94),FALSE))</f>
        <v>0</v>
      </c>
      <c r="U94" s="20" t="str" cm="1">
        <f t="array" ca="1" aca="1" ref="U94">IF($L94,_xlfn.LET(_xlpm._elementID,$O94,_xlpm._isAssumption,$J94,_xlpm._sheetRow,$W94,_xlpm._sheetName,$X94,_xlpm._elementRow,$Y94,_xlpm._resultColumnLetter,IF(_xlpm._isAssumption,INDEX(Table24[Comment Column],_xlpm._sheetRow),INDEX(Table25[Comment Column],_xlpm._sheetRow)),INDEX(INDIRECT("'"&amp;_xlpm._sheetName&amp;"'!"&amp;_xlpm._resultColumnLetter&amp;":"&amp;_xlpm._resultColumnLetter),_xlpm._elementRow)),"")</f>
        <v/>
      </c>
      <c r="V94" s="20" t="str" cm="1">
        <f t="array" ca="1" aca="1" ref="V94">IF($L94,_xlfn.LET(_xlpm._elementID,$O94,_xlpm._isAssumption,$J94,_xlpm._sheetRow,$W94,_xlpm._sheetName,$X94,_xlpm._resultColumnLetter,IF(_xlpm._isAssumption,INDEX(Table24[Sheet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4" s="20" t="str">
        <f ca="1">IF($L94=TRUE,_xlfn.LET(_xlpm._isAssumption,$J94,_xlpm._searchRange,IF(_xlpm._isAssumption,Table24[Task Sheet Shadow ID],Table25[Task Sheet Shadow ID]),MATCH($M94,_xlpm._searchRange,0)),"")</f>
        <v/>
      </c>
      <c r="X94" s="20" t="str" cm="1">
        <f t="array" ca="1" aca="1" ref="X94">IF($L94,_xlfn.LET(_xlpm._isAssumption,$J94,_xlpm._sheetRow,$W94,IF(_xlpm._isAssumption,INDEX(Table24[Sheet Name],_xlpm._sheetRow),INDEX(Table25[Sheet Name],_xlpm._sheetRow))),"")</f>
        <v/>
      </c>
      <c r="Y94" s="20" t="str" cm="1">
        <f t="array" ca="1" aca="1" ref="Y94">IF($L94,_xlfn.LET(_xlpm._elementID,$O94,_xlpm._isAssumption,$J94,_xlpm._sheetRow,$W94,_xlpm._sheetName,$X94,_xlpm._elementIDColumnLetter,IF(_xlpm._isAssumption,INDEX(Table24[Element ID Column],_xlpm._sheetRow),INDEX(Table25[Element ID Column],_xlpm._sheetRow)),MATCH(_xlpm._elementID,INDIRECT("'"&amp;_xlpm._sheetName&amp;"'!"&amp;_xlpm._elementIDColumnLetter&amp;":"&amp;_xlpm._elementIDColumnLetter),0)),"")</f>
        <v/>
      </c>
      <c r="Z94" s="20" t="str" cm="1">
        <f t="array" ca="1" aca="1" ref="Z94">IF($A94="","",_xlfn.LET(_xlpm._isAssumption,$J94,_xlpm._isAdditionalElement,$L94,_xlpm._sheetRow,$W94,_xlpm._sheetName,$X94,_xlpm._columnLetter,INDEX(IF(_xlpm._isAdditionalElement,Table24[Comment Column],Table25[Comment Column]),_xlpm._sheetRow),_xlpm._sheetReference,IF(_xlpm._isAssumption,IF(_xlpm._isAdditionalElement,CELL("address",INDEX(INDIRECT("'"&amp;_xlpm._sheetName&amp;"'!"&amp;_xlpm._columnLetter&amp;":"&amp;_xlpm._columnLetter),$Y94)),CELL("address",INDEX(Assumptions!$A:$A,MATCH($A94,Assumptions!$A:$A,0),1))),IF(_xlpm._isAdditionalElement,CELL("address",INDEX(INDIRECT("'"&amp;_xlpm._sheetName&amp;"'!"&amp;_xlpm._columnLetter&amp;":"&amp;_xlpm._columnLetter),$Y94)),CELL("address",INDEX(Countermeasures!$A:$A,MATCH($A94,Countermeasures!$A:$A,0),1)))),_xlpm._start,FIND("]",_xlpm._sheetReference),"'"&amp;SUBSTITUTE(SUBSTITUTE(RIGHT(_xlpm._sheetReference,LEN(_xlpm._sheetReference)-_xlpm._start),"'",""),"!","'!")))</f>
        <v/>
      </c>
      <c r="AA94" s="20" t="str" cm="1">
        <f t="array" ca="1" aca="1" ref="AA94">IF(NOT($L94),_xlfn.LET(_xlpm._value,IF($A94="","",IF($J94,SimpleLookup($A94,Assumptions!$A:$AK),SimpleLookup($A94,Countermeasures!$A:$AN))),IF(_xlpm._value="","",_xlpm._value)),"")</f>
        <v/>
      </c>
      <c r="AB94" s="20" t="str" cm="1">
        <f t="array" ca="1" aca="1" ref="AB94">LookupNames(InverseLookup($A94,Mitigation!$AD$2,Mitigation!$A$2,1,Helper!$B$5,","),'Attack Steps'!$A:$B)</f>
        <v/>
      </c>
      <c r="AC94" s="20" t="str" cm="1">
        <f t="array" ca="1" aca="1" ref="AC94">IF($L94,_xlfn.LET(_xlpm._in,$A94,_xlpm._lastDashNum,LEN(_xlpm._in)-LEN(SUBSTITUTE(_xlpm._in,"-","")),_xlpm._lastDashPos,FIND(CHAR(1),SUBSTITUTE(_xlpm._in,"-",CHAR(1),_xlpm._lastDashNum)),_xlpm._id,LEFT(_xlpm._in,_xlpm._lastDashPos-1),_xlpm._id&amp;"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4" s="20" t="str" cm="1">
        <f t="array" ca="1" aca="1" ref="AD94">_xlfn.LET(_xlpm._countermeasures,InverseLookup($A94,Countermeasures!$AG$2,Countermeasures!$A$2,1,Helper!$B$4,","),LookupNames(_xlpm._countermeasures,Countermeasures!$A:$B))</f>
        <v/>
      </c>
      <c r="AE94" s="20" t="str" cm="1">
        <f t="array" ca="1" aca="1" ref="AE94">IF($E94="","",_xlfn.LET(_xlpm._id,$E94,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4" s="20" t="str" cm="1">
        <f t="array" ca="1" aca="1" ref="AF94">IF(OR($A94="",$L94),"",_xlfn.LET(_xlpm._answers,IF($J94,SimpleLookup($A94,Assumptions!$A:$F),SimpleLookup($A94,Countermeasures!$A:$D)),IF(_xlpm._answers="*",IF($J94,SimpleLookup($A94,Assumptions!$A:$C),SimpleLookup($A94,Countermeasures!$A:$C)),"")))</f>
        <v/>
      </c>
      <c r="AG94" s="20" t="str" cm="1">
        <f t="array" ca="1" aca="1" ref="AG94">IF(NOT($L94),"",_xlfn.LET(_xlpm._mappedInMitigation,IFERROR(VLOOKUP($V94,'Attack Steps'!$A:$O,COLUMNS('Attack Steps'!$A:$O),FALSE),""),CreateSearchString(_xlpm._mappedInMitigation)))</f>
        <v/>
      </c>
      <c r="AH94" s="20" t="b">
        <f ca="1">ROW()-ROW($AH$17)=Helper!$B$15</f>
        <v>0</v>
      </c>
      <c r="AI94" s="20" t="str">
        <f t="shared" ca="1" si="26"/>
        <v/>
      </c>
      <c r="AJ94" s="20" cm="1">
        <f t="array" ca="1" aca="1" ref="AJ94">CreateID($AJ$17,$AJ:$AJ,$AI94&lt;&gt;"")</f>
        <v>0</v>
      </c>
    </row>
    <row r="95" spans="1:36" ht="15">
      <c r="A95" s="33" t="str">
        <f ca="1">_xlfn.LET(_xlpm._isAssumption,$J95,_xlpm._row,$K95,_xlpm._numActiveAssumptions,Helper!$B$8,_xlpm._numActiveCountermeasures,Helper!$B$9,_xlpm._numAdditionalAssumptions,Helper!$B$10,_xlpm._numAdditionalCountermeasures,Helper!$B$11,IF(_xlpm._isAssumption,IF(_xlpm._row&gt;_xlpm._numActiveAssumptions,$V95&amp;"-A"&amp;$Q95,INDEX(Assumptions!A:A,MATCH(_xlpm._row,Assumptions!$AG:$AG,0))),IF(_xlpm._row&gt;_xlpm._numActiveCountermeasures+_xlpm._numAdditionalCountermeasures,"",IF(_xlpm._row&gt;_xlpm._numActiveCountermeasures,$V95&amp;"-C"&amp;$Q95,INDEX(Countermeasures!$A:$A,MATCH(_xlpm._row,Countermeasures!$AI:$AI,0))))))</f>
        <v/>
      </c>
      <c r="B95" s="33" t="str" cm="1">
        <f t="array" ca="1" aca="1" ref="B95">IF($A95="","",_xlfn.LET(_xlpm._isAssumption,$J95,_xlpm._isAdditionalElement,$L95,IF(_xlpm._isAdditionalElement,IF(_xlpm._isAssumption,ParseElementsFromComment($U95,Definitions!$AR$4,Definitions!$AS$4,Definitions!$AR$6,$Q95),ParseElementsFromComment($U95,Definitions!$AR$5,Definitions!$AS$5,Definitions!$AR$6,$Q95)),_xlfn.LET(_xlpm._value,IF($A95="","",IF($J95,SimpleLookup($A95,Assumptions!$A:$B),SimpleLookup($A95,Countermeasures!$A:$B))),IF(_xlpm._value="","",_xlpm._value)))))</f>
        <v/>
      </c>
      <c r="C95" s="33" t="str" cm="1">
        <f t="array" ca="1" aca="1" ref="C95">IF($A95="","",IF($J95,IFERROR(SimpleLookup($A95,Assumptions!$A:$E),""),Definitions!$AO$4))</f>
        <v/>
      </c>
      <c r="D95" s="37" t="str">
        <f t="shared" ca="1" si="22"/>
        <v/>
      </c>
      <c r="E95" s="23"/>
      <c r="F95" s="59" t="str">
        <f t="shared" ca="1" si="23"/>
        <v/>
      </c>
      <c r="G95" s="122" t="str" cm="1">
        <f t="array" ca="1" aca="1" ref="G95">_xlfn.LET(_xlpm._val,IFERROR(SimpleLookup($A95,Countermeasures!$A:$R),IFERROR(SimpleLookup($A95,Assumptions!$A:$R),"")),IF(_xlpm._val="","",_xlpm._val))</f>
        <v/>
      </c>
      <c r="H95" s="33" t="str" cm="1">
        <f t="array" ca="1" aca="1" ref="H95">_xlfn.LET(_xlpm._value,IF($A95="","",IFERROR(IF($J95,SimpleLookup($A95,Assumptions!$A:$S),SimpleLookup($A95,Countermeasures!$A:$S)),"")),IF(_xlpm._value="","",_xlpm._value))</f>
        <v/>
      </c>
      <c r="I95" s="10" cm="1">
        <f t="array" ca="1" aca="1" ref="I95">IF(ROW()=ROW($I$17)+1,0,INDEX($I:$I,ROW()-1))+IF($A95="",0,1)</f>
        <v>34</v>
      </c>
      <c r="J95" s="21" t="b">
        <f ca="1">_xlfn.LET(_xlpm._row,ROW()-ROW($K$17),_xlpm._numActiveAssumptions,Helper!$B$8,_xlpm._numAdditionalAssumptions,SUM(Table24['# Elements]),_xlpm._row&lt;=_xlpm._numActiveAssumptions+_xlpm._numAdditionalAssumptions)</f>
        <v>0</v>
      </c>
      <c r="K95" s="21">
        <f ca="1">_xlfn.LET(_xlpm._row,ROW()-ROW($K$17),_xlpm._numActiveAssumptions,Helper!$B$8,_xlpm._numAdditionalAssumptions,Helper!$B$10,_xlpm._isAssumption,$J95,_xlpm._elementID,IF(_xlpm._isAssumption,_xlpm._row,_xlpm._row-_xlpm._numActiveAssumptions-_xlpm._numAdditionalAssumptions),_xlpm._elementID)</f>
        <v>60</v>
      </c>
      <c r="L95"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5" s="20" cm="1">
        <f t="array" ca="1" aca="1" ref="M95">IF($L95,IF(ROW()=ROW($M$17)+1,1,INDEX($M:$M,ROW()-1)+IF(INDEX($T:$T,ROW()-1),1,0)),1)</f>
        <v>1</v>
      </c>
      <c r="N95" s="20" t="str" cm="1">
        <f t="array" ca="1" aca="1" ref="N95">IF($L95=TRUE,_xlfn.LET(_xlpm._isAssumption,$J95,_xlpm._indexRange,IF(_xlpm._isAssumption,Table24['# Elements],Table25['# Elements]),_xlpm._lookupRow,$W95,INDEX(_xlpm._indexRange,_xlpm._lookupRow)),"")</f>
        <v/>
      </c>
      <c r="O95" s="20" t="str" cm="1">
        <f t="array" ca="1" aca="1" ref="O95">IF($N95="","",_xlfn.LET(_xlpm._prevRow,ROW()-1,IF(OR(INDEX($N:$N,_xlpm._prevRow)&lt;&gt;$N95,INDEX($M:$M,_xlpm._prevRow)&lt;&gt;$M95),1,INDEX($O:$O,_xlpm._prevRow)+IF(INDEX($S:$S,_xlpm._prevRow),1,0))))</f>
        <v/>
      </c>
      <c r="P95" s="20" t="str" cm="1">
        <f t="array" ca="1" aca="1" ref="P95">IF($O95="","",_xlfn.LET(_xlpm._isAssumption,$J95,_xlpm._sheetRow,$W95,_xlpm._sheetName,$X95,_xlpm._elementIDRange,IF(_xlpm._isAssumption,Table24[Element ID Column],Table25[Element ID Column]),_xlpm._numberOfElementsRange,IF(_xlpm._isAssumption,Table24[Number of Elements Column],Table25[Number of Elements Column]),SimpleLookup($O95,INDIRECT("'"&amp;_xlpm._sheetName&amp;"'!"&amp;INDEX(_xlpm._elementIDRange,_xlpm._sheetRow)&amp;":"&amp;INDEX(_xlpm._numberOfElementsRange,_xlpm._sheetRow)))))</f>
        <v/>
      </c>
      <c r="Q95" s="20" t="str" cm="1">
        <f t="array" ca="1" aca="1" ref="Q95">IF($O95="","",IF(OR(INDEX($O:$O,ROW()-1)&lt;&gt;$O95,INDEX($M:$M,ROW()-1)&lt;&gt;$M95),1,INDEX($Q:$Q,ROW()-1)+1))</f>
        <v/>
      </c>
      <c r="R95" s="20">
        <f t="shared" ca="1" si="24"/>
        <v>0</v>
      </c>
      <c r="S95" s="20" t="str">
        <f t="shared" ca="1" si="25"/>
        <v/>
      </c>
      <c r="T95" s="20" t="b">
        <f ca="1">_xlfn.LET(_xlpm._isAssumption,$J95,_xlpm._numberOfElementsRange,IF(_xlpm._isAssumption,Table24['# Elements],Table25['# Elements]),_xlpm._sheetRow,$W95,IF($L95,AND($S95,$R95=$N95),FALSE))</f>
        <v>0</v>
      </c>
      <c r="U95" s="20" t="str" cm="1">
        <f t="array" ca="1" aca="1" ref="U95">IF($L95,_xlfn.LET(_xlpm._elementID,$O95,_xlpm._isAssumption,$J95,_xlpm._sheetRow,$W95,_xlpm._sheetName,$X95,_xlpm._elementRow,$Y95,_xlpm._resultColumnLetter,IF(_xlpm._isAssumption,INDEX(Table24[Comment Column],_xlpm._sheetRow),INDEX(Table25[Comment Column],_xlpm._sheetRow)),INDEX(INDIRECT("'"&amp;_xlpm._sheetName&amp;"'!"&amp;_xlpm._resultColumnLetter&amp;":"&amp;_xlpm._resultColumnLetter),_xlpm._elementRow)),"")</f>
        <v/>
      </c>
      <c r="V95" s="20" t="str" cm="1">
        <f t="array" ca="1" aca="1" ref="V95">IF($L95,_xlfn.LET(_xlpm._elementID,$O95,_xlpm._isAssumption,$J95,_xlpm._sheetRow,$W95,_xlpm._sheetName,$X95,_xlpm._resultColumnLetter,IF(_xlpm._isAssumption,INDEX(Table24[Sheet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5" s="20" t="str">
        <f ca="1">IF($L95=TRUE,_xlfn.LET(_xlpm._isAssumption,$J95,_xlpm._searchRange,IF(_xlpm._isAssumption,Table24[Task Sheet Shadow ID],Table25[Task Sheet Shadow ID]),MATCH($M95,_xlpm._searchRange,0)),"")</f>
        <v/>
      </c>
      <c r="X95" s="20" t="str" cm="1">
        <f t="array" ca="1" aca="1" ref="X95">IF($L95,_xlfn.LET(_xlpm._isAssumption,$J95,_xlpm._sheetRow,$W95,IF(_xlpm._isAssumption,INDEX(Table24[Sheet Name],_xlpm._sheetRow),INDEX(Table25[Sheet Name],_xlpm._sheetRow))),"")</f>
        <v/>
      </c>
      <c r="Y95" s="20" t="str" cm="1">
        <f t="array" ca="1" aca="1" ref="Y95">IF($L95,_xlfn.LET(_xlpm._elementID,$O95,_xlpm._isAssumption,$J95,_xlpm._sheetRow,$W95,_xlpm._sheetName,$X95,_xlpm._elementIDColumnLetter,IF(_xlpm._isAssumption,INDEX(Table24[Element ID Column],_xlpm._sheetRow),INDEX(Table25[Element ID Column],_xlpm._sheetRow)),MATCH(_xlpm._elementID,INDIRECT("'"&amp;_xlpm._sheetName&amp;"'!"&amp;_xlpm._elementIDColumnLetter&amp;":"&amp;_xlpm._elementIDColumnLetter),0)),"")</f>
        <v/>
      </c>
      <c r="Z95" s="20" t="str" cm="1">
        <f t="array" ca="1" aca="1" ref="Z95">IF($A95="","",_xlfn.LET(_xlpm._isAssumption,$J95,_xlpm._isAdditionalElement,$L95,_xlpm._sheetRow,$W95,_xlpm._sheetName,$X95,_xlpm._columnLetter,INDEX(IF(_xlpm._isAdditionalElement,Table24[Comment Column],Table25[Comment Column]),_xlpm._sheetRow),_xlpm._sheetReference,IF(_xlpm._isAssumption,IF(_xlpm._isAdditionalElement,CELL("address",INDEX(INDIRECT("'"&amp;_xlpm._sheetName&amp;"'!"&amp;_xlpm._columnLetter&amp;":"&amp;_xlpm._columnLetter),$Y95)),CELL("address",INDEX(Assumptions!$A:$A,MATCH($A95,Assumptions!$A:$A,0),1))),IF(_xlpm._isAdditionalElement,CELL("address",INDEX(INDIRECT("'"&amp;_xlpm._sheetName&amp;"'!"&amp;_xlpm._columnLetter&amp;":"&amp;_xlpm._columnLetter),$Y95)),CELL("address",INDEX(Countermeasures!$A:$A,MATCH($A95,Countermeasures!$A:$A,0),1)))),_xlpm._start,FIND("]",_xlpm._sheetReference),"'"&amp;SUBSTITUTE(SUBSTITUTE(RIGHT(_xlpm._sheetReference,LEN(_xlpm._sheetReference)-_xlpm._start),"'",""),"!","'!")))</f>
        <v/>
      </c>
      <c r="AA95" s="20" t="str" cm="1">
        <f t="array" ca="1" aca="1" ref="AA95">IF(NOT($L95),_xlfn.LET(_xlpm._value,IF($A95="","",IF($J95,SimpleLookup($A95,Assumptions!$A:$AK),SimpleLookup($A95,Countermeasures!$A:$AN))),IF(_xlpm._value="","",_xlpm._value)),"")</f>
        <v/>
      </c>
      <c r="AB95" s="20" t="str" cm="1">
        <f t="array" ca="1" aca="1" ref="AB95">LookupNames(InverseLookup($A95,Mitigation!$AD$2,Mitigation!$A$2,1,Helper!$B$5,","),'Attack Steps'!$A:$B)</f>
        <v/>
      </c>
      <c r="AC95" s="20" t="str" cm="1">
        <f t="array" ca="1" aca="1" ref="AC95">IF($L95,_xlfn.LET(_xlpm._in,$A95,_xlpm._lastDashNum,LEN(_xlpm._in)-LEN(SUBSTITUTE(_xlpm._in,"-","")),_xlpm._lastDashPos,FIND(CHAR(1),SUBSTITUTE(_xlpm._in,"-",CHAR(1),_xlpm._lastDashNum)),_xlpm._id,LEFT(_xlpm._in,_xlpm._lastDashPos-1),_xlpm._id&amp;"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5" s="20" t="str" cm="1">
        <f t="array" ca="1" aca="1" ref="AD95">_xlfn.LET(_xlpm._countermeasures,InverseLookup($A95,Countermeasures!$AG$2,Countermeasures!$A$2,1,Helper!$B$4,","),LookupNames(_xlpm._countermeasures,Countermeasures!$A:$B))</f>
        <v/>
      </c>
      <c r="AE95" s="20" t="str" cm="1">
        <f t="array" ca="1" aca="1" ref="AE95">IF($E95="","",_xlfn.LET(_xlpm._id,$E95,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5" s="20" t="str" cm="1">
        <f t="array" ca="1" aca="1" ref="AF95">IF(OR($A95="",$L95),"",_xlfn.LET(_xlpm._answers,IF($J95,SimpleLookup($A95,Assumptions!$A:$F),SimpleLookup($A95,Countermeasures!$A:$D)),IF(_xlpm._answers="*",IF($J95,SimpleLookup($A95,Assumptions!$A:$C),SimpleLookup($A95,Countermeasures!$A:$C)),"")))</f>
        <v/>
      </c>
      <c r="AG95" s="20" t="str" cm="1">
        <f t="array" ca="1" aca="1" ref="AG95">IF(NOT($L95),"",_xlfn.LET(_xlpm._mappedInMitigation,IFERROR(VLOOKUP($V95,'Attack Steps'!$A:$O,COLUMNS('Attack Steps'!$A:$O),FALSE),""),CreateSearchString(_xlpm._mappedInMitigation)))</f>
        <v/>
      </c>
      <c r="AH95" s="20" t="b">
        <f ca="1">ROW()-ROW($AH$17)=Helper!$B$15</f>
        <v>0</v>
      </c>
      <c r="AI95" s="20" t="str">
        <f t="shared" ca="1" si="26"/>
        <v/>
      </c>
      <c r="AJ95" s="20" cm="1">
        <f t="array" ca="1" aca="1" ref="AJ95">CreateID($AJ$17,$AJ:$AJ,$AI95&lt;&gt;"")</f>
        <v>0</v>
      </c>
    </row>
    <row r="96" spans="1:36" ht="15">
      <c r="A96" s="33" t="str">
        <f ca="1">_xlfn.LET(_xlpm._isAssumption,$J96,_xlpm._row,$K96,_xlpm._numActiveAssumptions,Helper!$B$8,_xlpm._numActiveCountermeasures,Helper!$B$9,_xlpm._numAdditionalAssumptions,Helper!$B$10,_xlpm._numAdditionalCountermeasures,Helper!$B$11,IF(_xlpm._isAssumption,IF(_xlpm._row&gt;_xlpm._numActiveAssumptions,$V96&amp;"-A"&amp;$Q96,INDEX(Assumptions!A:A,MATCH(_xlpm._row,Assumptions!$AG:$AG,0))),IF(_xlpm._row&gt;_xlpm._numActiveCountermeasures+_xlpm._numAdditionalCountermeasures,"",IF(_xlpm._row&gt;_xlpm._numActiveCountermeasures,$V96&amp;"-C"&amp;$Q96,INDEX(Countermeasures!$A:$A,MATCH(_xlpm._row,Countermeasures!$AI:$AI,0))))))</f>
        <v/>
      </c>
      <c r="B96" s="33" t="str" cm="1">
        <f t="array" ca="1" aca="1" ref="B96">IF($A96="","",_xlfn.LET(_xlpm._isAssumption,$J96,_xlpm._isAdditionalElement,$L96,IF(_xlpm._isAdditionalElement,IF(_xlpm._isAssumption,ParseElementsFromComment($U96,Definitions!$AR$4,Definitions!$AS$4,Definitions!$AR$6,$Q96),ParseElementsFromComment($U96,Definitions!$AR$5,Definitions!$AS$5,Definitions!$AR$6,$Q96)),_xlfn.LET(_xlpm._value,IF($A96="","",IF($J96,SimpleLookup($A96,Assumptions!$A:$B),SimpleLookup($A96,Countermeasures!$A:$B))),IF(_xlpm._value="","",_xlpm._value)))))</f>
        <v/>
      </c>
      <c r="C96" s="33" t="str" cm="1">
        <f t="array" ca="1" aca="1" ref="C96">IF($A96="","",IF($J96,IFERROR(SimpleLookup($A96,Assumptions!$A:$E),""),Definitions!$AO$4))</f>
        <v/>
      </c>
      <c r="D96" s="37" t="str">
        <f t="shared" ca="1" si="22"/>
        <v/>
      </c>
      <c r="E96" s="23"/>
      <c r="F96" s="59" t="str">
        <f t="shared" ca="1" si="23"/>
        <v/>
      </c>
      <c r="G96" s="122" t="str" cm="1">
        <f t="array" ca="1" aca="1" ref="G96">_xlfn.LET(_xlpm._val,IFERROR(SimpleLookup($A96,Countermeasures!$A:$R),IFERROR(SimpleLookup($A96,Assumptions!$A:$R),"")),IF(_xlpm._val="","",_xlpm._val))</f>
        <v/>
      </c>
      <c r="H96" s="33" t="str" cm="1">
        <f t="array" ca="1" aca="1" ref="H96">_xlfn.LET(_xlpm._value,IF($A96="","",IFERROR(IF($J96,SimpleLookup($A96,Assumptions!$A:$S),SimpleLookup($A96,Countermeasures!$A:$S)),"")),IF(_xlpm._value="","",_xlpm._value))</f>
        <v/>
      </c>
      <c r="I96" s="10" cm="1">
        <f t="array" ca="1" aca="1" ref="I96">IF(ROW()=ROW($I$17)+1,0,INDEX($I:$I,ROW()-1))+IF($A96="",0,1)</f>
        <v>34</v>
      </c>
      <c r="J96" s="21" t="b">
        <f ca="1">_xlfn.LET(_xlpm._row,ROW()-ROW($K$17),_xlpm._numActiveAssumptions,Helper!$B$8,_xlpm._numAdditionalAssumptions,SUM(Table24['# Elements]),_xlpm._row&lt;=_xlpm._numActiveAssumptions+_xlpm._numAdditionalAssumptions)</f>
        <v>0</v>
      </c>
      <c r="K96" s="21">
        <f ca="1">_xlfn.LET(_xlpm._row,ROW()-ROW($K$17),_xlpm._numActiveAssumptions,Helper!$B$8,_xlpm._numAdditionalAssumptions,Helper!$B$10,_xlpm._isAssumption,$J96,_xlpm._elementID,IF(_xlpm._isAssumption,_xlpm._row,_xlpm._row-_xlpm._numActiveAssumptions-_xlpm._numAdditionalAssumptions),_xlpm._elementID)</f>
        <v>61</v>
      </c>
      <c r="L96"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6" s="20" cm="1">
        <f t="array" ca="1" aca="1" ref="M96">IF($L96,IF(ROW()=ROW($M$17)+1,1,INDEX($M:$M,ROW()-1)+IF(INDEX($T:$T,ROW()-1),1,0)),1)</f>
        <v>1</v>
      </c>
      <c r="N96" s="20" t="str" cm="1">
        <f t="array" ca="1" aca="1" ref="N96">IF($L96=TRUE,_xlfn.LET(_xlpm._isAssumption,$J96,_xlpm._indexRange,IF(_xlpm._isAssumption,Table24['# Elements],Table25['# Elements]),_xlpm._lookupRow,$W96,INDEX(_xlpm._indexRange,_xlpm._lookupRow)),"")</f>
        <v/>
      </c>
      <c r="O96" s="20" t="str" cm="1">
        <f t="array" ca="1" aca="1" ref="O96">IF($N96="","",_xlfn.LET(_xlpm._prevRow,ROW()-1,IF(OR(INDEX($N:$N,_xlpm._prevRow)&lt;&gt;$N96,INDEX($M:$M,_xlpm._prevRow)&lt;&gt;$M96),1,INDEX($O:$O,_xlpm._prevRow)+IF(INDEX($S:$S,_xlpm._prevRow),1,0))))</f>
        <v/>
      </c>
      <c r="P96" s="20" t="str" cm="1">
        <f t="array" ca="1" aca="1" ref="P96">IF($O96="","",_xlfn.LET(_xlpm._isAssumption,$J96,_xlpm._sheetRow,$W96,_xlpm._sheetName,$X96,_xlpm._elementIDRange,IF(_xlpm._isAssumption,Table24[Element ID Column],Table25[Element ID Column]),_xlpm._numberOfElementsRange,IF(_xlpm._isAssumption,Table24[Number of Elements Column],Table25[Number of Elements Column]),SimpleLookup($O96,INDIRECT("'"&amp;_xlpm._sheetName&amp;"'!"&amp;INDEX(_xlpm._elementIDRange,_xlpm._sheetRow)&amp;":"&amp;INDEX(_xlpm._numberOfElementsRange,_xlpm._sheetRow)))))</f>
        <v/>
      </c>
      <c r="Q96" s="20" t="str" cm="1">
        <f t="array" ca="1" aca="1" ref="Q96">IF($O96="","",IF(OR(INDEX($O:$O,ROW()-1)&lt;&gt;$O96,INDEX($M:$M,ROW()-1)&lt;&gt;$M96),1,INDEX($Q:$Q,ROW()-1)+1))</f>
        <v/>
      </c>
      <c r="R96" s="20">
        <f t="shared" ca="1" si="24"/>
        <v>0</v>
      </c>
      <c r="S96" s="20" t="str">
        <f t="shared" ca="1" si="25"/>
        <v/>
      </c>
      <c r="T96" s="20" t="b">
        <f ca="1">_xlfn.LET(_xlpm._isAssumption,$J96,_xlpm._numberOfElementsRange,IF(_xlpm._isAssumption,Table24['# Elements],Table25['# Elements]),_xlpm._sheetRow,$W96,IF($L96,AND($S96,$R96=$N96),FALSE))</f>
        <v>0</v>
      </c>
      <c r="U96" s="20" t="str" cm="1">
        <f t="array" ca="1" aca="1" ref="U96">IF($L96,_xlfn.LET(_xlpm._elementID,$O96,_xlpm._isAssumption,$J96,_xlpm._sheetRow,$W96,_xlpm._sheetName,$X96,_xlpm._elementRow,$Y96,_xlpm._resultColumnLetter,IF(_xlpm._isAssumption,INDEX(Table24[Comment Column],_xlpm._sheetRow),INDEX(Table25[Comment Column],_xlpm._sheetRow)),INDEX(INDIRECT("'"&amp;_xlpm._sheetName&amp;"'!"&amp;_xlpm._resultColumnLetter&amp;":"&amp;_xlpm._resultColumnLetter),_xlpm._elementRow)),"")</f>
        <v/>
      </c>
      <c r="V96" s="20" t="str" cm="1">
        <f t="array" ca="1" aca="1" ref="V96">IF($L96,_xlfn.LET(_xlpm._elementID,$O96,_xlpm._isAssumption,$J96,_xlpm._sheetRow,$W96,_xlpm._sheetName,$X96,_xlpm._resultColumnLetter,IF(_xlpm._isAssumption,INDEX(Table24[Sheet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6" s="20" t="str">
        <f ca="1">IF($L96=TRUE,_xlfn.LET(_xlpm._isAssumption,$J96,_xlpm._searchRange,IF(_xlpm._isAssumption,Table24[Task Sheet Shadow ID],Table25[Task Sheet Shadow ID]),MATCH($M96,_xlpm._searchRange,0)),"")</f>
        <v/>
      </c>
      <c r="X96" s="20" t="str" cm="1">
        <f t="array" ca="1" aca="1" ref="X96">IF($L96,_xlfn.LET(_xlpm._isAssumption,$J96,_xlpm._sheetRow,$W96,IF(_xlpm._isAssumption,INDEX(Table24[Sheet Name],_xlpm._sheetRow),INDEX(Table25[Sheet Name],_xlpm._sheetRow))),"")</f>
        <v/>
      </c>
      <c r="Y96" s="20" t="str" cm="1">
        <f t="array" ca="1" aca="1" ref="Y96">IF($L96,_xlfn.LET(_xlpm._elementID,$O96,_xlpm._isAssumption,$J96,_xlpm._sheetRow,$W96,_xlpm._sheetName,$X96,_xlpm._elementIDColumnLetter,IF(_xlpm._isAssumption,INDEX(Table24[Element ID Column],_xlpm._sheetRow),INDEX(Table25[Element ID Column],_xlpm._sheetRow)),MATCH(_xlpm._elementID,INDIRECT("'"&amp;_xlpm._sheetName&amp;"'!"&amp;_xlpm._elementIDColumnLetter&amp;":"&amp;_xlpm._elementIDColumnLetter),0)),"")</f>
        <v/>
      </c>
      <c r="Z96" s="20" t="str" cm="1">
        <f t="array" ca="1" aca="1" ref="Z96">IF($A96="","",_xlfn.LET(_xlpm._isAssumption,$J96,_xlpm._isAdditionalElement,$L96,_xlpm._sheetRow,$W96,_xlpm._sheetName,$X96,_xlpm._columnLetter,INDEX(IF(_xlpm._isAdditionalElement,Table24[Comment Column],Table25[Comment Column]),_xlpm._sheetRow),_xlpm._sheetReference,IF(_xlpm._isAssumption,IF(_xlpm._isAdditionalElement,CELL("address",INDEX(INDIRECT("'"&amp;_xlpm._sheetName&amp;"'!"&amp;_xlpm._columnLetter&amp;":"&amp;_xlpm._columnLetter),$Y96)),CELL("address",INDEX(Assumptions!$A:$A,MATCH($A96,Assumptions!$A:$A,0),1))),IF(_xlpm._isAdditionalElement,CELL("address",INDEX(INDIRECT("'"&amp;_xlpm._sheetName&amp;"'!"&amp;_xlpm._columnLetter&amp;":"&amp;_xlpm._columnLetter),$Y96)),CELL("address",INDEX(Countermeasures!$A:$A,MATCH($A96,Countermeasures!$A:$A,0),1)))),_xlpm._start,FIND("]",_xlpm._sheetReference),"'"&amp;SUBSTITUTE(SUBSTITUTE(RIGHT(_xlpm._sheetReference,LEN(_xlpm._sheetReference)-_xlpm._start),"'",""),"!","'!")))</f>
        <v/>
      </c>
      <c r="AA96" s="20" t="str" cm="1">
        <f t="array" ca="1" aca="1" ref="AA96">IF(NOT($L96),_xlfn.LET(_xlpm._value,IF($A96="","",IF($J96,SimpleLookup($A96,Assumptions!$A:$AK),SimpleLookup($A96,Countermeasures!$A:$AN))),IF(_xlpm._value="","",_xlpm._value)),"")</f>
        <v/>
      </c>
      <c r="AB96" s="20" t="str" cm="1">
        <f t="array" ca="1" aca="1" ref="AB96">LookupNames(InverseLookup($A96,Mitigation!$AD$2,Mitigation!$A$2,1,Helper!$B$5,","),'Attack Steps'!$A:$B)</f>
        <v/>
      </c>
      <c r="AC96" s="20" t="str" cm="1">
        <f t="array" ca="1" aca="1" ref="AC96">IF($L96,_xlfn.LET(_xlpm._in,$A96,_xlpm._lastDashNum,LEN(_xlpm._in)-LEN(SUBSTITUTE(_xlpm._in,"-","")),_xlpm._lastDashPos,FIND(CHAR(1),SUBSTITUTE(_xlpm._in,"-",CHAR(1),_xlpm._lastDashNum)),_xlpm._id,LEFT(_xlpm._in,_xlpm._lastDashPos-1),_xlpm._id&amp;"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6" s="20" t="str" cm="1">
        <f t="array" ca="1" aca="1" ref="AD96">_xlfn.LET(_xlpm._countermeasures,InverseLookup($A96,Countermeasures!$AG$2,Countermeasures!$A$2,1,Helper!$B$4,","),LookupNames(_xlpm._countermeasures,Countermeasures!$A:$B))</f>
        <v/>
      </c>
      <c r="AE96" s="20" t="str" cm="1">
        <f t="array" ca="1" aca="1" ref="AE96">IF($E96="","",_xlfn.LET(_xlpm._id,$E96,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6" s="20" t="str" cm="1">
        <f t="array" ca="1" aca="1" ref="AF96">IF(OR($A96="",$L96),"",_xlfn.LET(_xlpm._answers,IF($J96,SimpleLookup($A96,Assumptions!$A:$F),SimpleLookup($A96,Countermeasures!$A:$D)),IF(_xlpm._answers="*",IF($J96,SimpleLookup($A96,Assumptions!$A:$C),SimpleLookup($A96,Countermeasures!$A:$C)),"")))</f>
        <v/>
      </c>
      <c r="AG96" s="20" t="str" cm="1">
        <f t="array" ca="1" aca="1" ref="AG96">IF(NOT($L96),"",_xlfn.LET(_xlpm._mappedInMitigation,IFERROR(VLOOKUP($V96,'Attack Steps'!$A:$O,COLUMNS('Attack Steps'!$A:$O),FALSE),""),CreateSearchString(_xlpm._mappedInMitigation)))</f>
        <v/>
      </c>
      <c r="AH96" s="20" t="b">
        <f ca="1">ROW()-ROW($AH$17)=Helper!$B$15</f>
        <v>0</v>
      </c>
      <c r="AI96" s="20" t="str">
        <f t="shared" ca="1" si="26"/>
        <v/>
      </c>
      <c r="AJ96" s="20" cm="1">
        <f t="array" ca="1" aca="1" ref="AJ96">CreateID($AJ$17,$AJ:$AJ,$AI96&lt;&gt;"")</f>
        <v>0</v>
      </c>
    </row>
    <row r="97" spans="1:36" ht="15">
      <c r="A97" s="33" t="str">
        <f ca="1">_xlfn.LET(_xlpm._isAssumption,$J97,_xlpm._row,$K97,_xlpm._numActiveAssumptions,Helper!$B$8,_xlpm._numActiveCountermeasures,Helper!$B$9,_xlpm._numAdditionalAssumptions,Helper!$B$10,_xlpm._numAdditionalCountermeasures,Helper!$B$11,IF(_xlpm._isAssumption,IF(_xlpm._row&gt;_xlpm._numActiveAssumptions,$V97&amp;"-A"&amp;$Q97,INDEX(Assumptions!A:A,MATCH(_xlpm._row,Assumptions!$AG:$AG,0))),IF(_xlpm._row&gt;_xlpm._numActiveCountermeasures+_xlpm._numAdditionalCountermeasures,"",IF(_xlpm._row&gt;_xlpm._numActiveCountermeasures,$V97&amp;"-C"&amp;$Q97,INDEX(Countermeasures!$A:$A,MATCH(_xlpm._row,Countermeasures!$AI:$AI,0))))))</f>
        <v/>
      </c>
      <c r="B97" s="33" t="str" cm="1">
        <f t="array" ca="1" aca="1" ref="B97">IF($A97="","",_xlfn.LET(_xlpm._isAssumption,$J97,_xlpm._isAdditionalElement,$L97,IF(_xlpm._isAdditionalElement,IF(_xlpm._isAssumption,ParseElementsFromComment($U97,Definitions!$AR$4,Definitions!$AS$4,Definitions!$AR$6,$Q97),ParseElementsFromComment($U97,Definitions!$AR$5,Definitions!$AS$5,Definitions!$AR$6,$Q97)),_xlfn.LET(_xlpm._value,IF($A97="","",IF($J97,SimpleLookup($A97,Assumptions!$A:$B),SimpleLookup($A97,Countermeasures!$A:$B))),IF(_xlpm._value="","",_xlpm._value)))))</f>
        <v/>
      </c>
      <c r="C97" s="33" t="str" cm="1">
        <f t="array" ca="1" aca="1" ref="C97">IF($A97="","",IF($J97,IFERROR(SimpleLookup($A97,Assumptions!$A:$E),""),Definitions!$AO$4))</f>
        <v/>
      </c>
      <c r="D97" s="37" t="str">
        <f t="shared" ca="1" si="22"/>
        <v/>
      </c>
      <c r="E97" s="23"/>
      <c r="F97" s="59" t="str">
        <f t="shared" ca="1" si="23"/>
        <v/>
      </c>
      <c r="G97" s="122" t="str" cm="1">
        <f t="array" ca="1" aca="1" ref="G97">_xlfn.LET(_xlpm._val,IFERROR(SimpleLookup($A97,Countermeasures!$A:$R),IFERROR(SimpleLookup($A97,Assumptions!$A:$R),"")),IF(_xlpm._val="","",_xlpm._val))</f>
        <v/>
      </c>
      <c r="H97" s="33" t="str" cm="1">
        <f t="array" ca="1" aca="1" ref="H97">_xlfn.LET(_xlpm._value,IF($A97="","",IFERROR(IF($J97,SimpleLookup($A97,Assumptions!$A:$S),SimpleLookup($A97,Countermeasures!$A:$S)),"")),IF(_xlpm._value="","",_xlpm._value))</f>
        <v/>
      </c>
      <c r="I97" s="10" cm="1">
        <f t="array" ca="1" aca="1" ref="I97">IF(ROW()=ROW($I$17)+1,0,INDEX($I:$I,ROW()-1))+IF($A97="",0,1)</f>
        <v>34</v>
      </c>
      <c r="J97" s="21" t="b">
        <f ca="1">_xlfn.LET(_xlpm._row,ROW()-ROW($K$17),_xlpm._numActiveAssumptions,Helper!$B$8,_xlpm._numAdditionalAssumptions,SUM(Table24['# Elements]),_xlpm._row&lt;=_xlpm._numActiveAssumptions+_xlpm._numAdditionalAssumptions)</f>
        <v>0</v>
      </c>
      <c r="K97" s="21">
        <f ca="1">_xlfn.LET(_xlpm._row,ROW()-ROW($K$17),_xlpm._numActiveAssumptions,Helper!$B$8,_xlpm._numAdditionalAssumptions,Helper!$B$10,_xlpm._isAssumption,$J97,_xlpm._elementID,IF(_xlpm._isAssumption,_xlpm._row,_xlpm._row-_xlpm._numActiveAssumptions-_xlpm._numAdditionalAssumptions),_xlpm._elementID)</f>
        <v>62</v>
      </c>
      <c r="L97"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7" s="20" cm="1">
        <f t="array" ca="1" aca="1" ref="M97">IF($L97,IF(ROW()=ROW($M$17)+1,1,INDEX($M:$M,ROW()-1)+IF(INDEX($T:$T,ROW()-1),1,0)),1)</f>
        <v>1</v>
      </c>
      <c r="N97" s="20" t="str" cm="1">
        <f t="array" ca="1" aca="1" ref="N97">IF($L97=TRUE,_xlfn.LET(_xlpm._isAssumption,$J97,_xlpm._indexRange,IF(_xlpm._isAssumption,Table24['# Elements],Table25['# Elements]),_xlpm._lookupRow,$W97,INDEX(_xlpm._indexRange,_xlpm._lookupRow)),"")</f>
        <v/>
      </c>
      <c r="O97" s="20" t="str" cm="1">
        <f t="array" ca="1" aca="1" ref="O97">IF($N97="","",_xlfn.LET(_xlpm._prevRow,ROW()-1,IF(OR(INDEX($N:$N,_xlpm._prevRow)&lt;&gt;$N97,INDEX($M:$M,_xlpm._prevRow)&lt;&gt;$M97),1,INDEX($O:$O,_xlpm._prevRow)+IF(INDEX($S:$S,_xlpm._prevRow),1,0))))</f>
        <v/>
      </c>
      <c r="P97" s="20" t="str" cm="1">
        <f t="array" ca="1" aca="1" ref="P97">IF($O97="","",_xlfn.LET(_xlpm._isAssumption,$J97,_xlpm._sheetRow,$W97,_xlpm._sheetName,$X97,_xlpm._elementIDRange,IF(_xlpm._isAssumption,Table24[Element ID Column],Table25[Element ID Column]),_xlpm._numberOfElementsRange,IF(_xlpm._isAssumption,Table24[Number of Elements Column],Table25[Number of Elements Column]),SimpleLookup($O97,INDIRECT("'"&amp;_xlpm._sheetName&amp;"'!"&amp;INDEX(_xlpm._elementIDRange,_xlpm._sheetRow)&amp;":"&amp;INDEX(_xlpm._numberOfElementsRange,_xlpm._sheetRow)))))</f>
        <v/>
      </c>
      <c r="Q97" s="20" t="str" cm="1">
        <f t="array" ca="1" aca="1" ref="Q97">IF($O97="","",IF(OR(INDEX($O:$O,ROW()-1)&lt;&gt;$O97,INDEX($M:$M,ROW()-1)&lt;&gt;$M97),1,INDEX($Q:$Q,ROW()-1)+1))</f>
        <v/>
      </c>
      <c r="R97" s="20">
        <f t="shared" ca="1" si="24"/>
        <v>0</v>
      </c>
      <c r="S97" s="20" t="str">
        <f t="shared" ca="1" si="25"/>
        <v/>
      </c>
      <c r="T97" s="20" t="b">
        <f ca="1">_xlfn.LET(_xlpm._isAssumption,$J97,_xlpm._numberOfElementsRange,IF(_xlpm._isAssumption,Table24['# Elements],Table25['# Elements]),_xlpm._sheetRow,$W97,IF($L97,AND($S97,$R97=$N97),FALSE))</f>
        <v>0</v>
      </c>
      <c r="U97" s="20" t="str" cm="1">
        <f t="array" ca="1" aca="1" ref="U97">IF($L97,_xlfn.LET(_xlpm._elementID,$O97,_xlpm._isAssumption,$J97,_xlpm._sheetRow,$W97,_xlpm._sheetName,$X97,_xlpm._elementRow,$Y97,_xlpm._resultColumnLetter,IF(_xlpm._isAssumption,INDEX(Table24[Comment Column],_xlpm._sheetRow),INDEX(Table25[Comment Column],_xlpm._sheetRow)),INDEX(INDIRECT("'"&amp;_xlpm._sheetName&amp;"'!"&amp;_xlpm._resultColumnLetter&amp;":"&amp;_xlpm._resultColumnLetter),_xlpm._elementRow)),"")</f>
        <v/>
      </c>
      <c r="V97" s="20" t="str" cm="1">
        <f t="array" ca="1" aca="1" ref="V97">IF($L97,_xlfn.LET(_xlpm._elementID,$O97,_xlpm._isAssumption,$J97,_xlpm._sheetRow,$W97,_xlpm._sheetName,$X97,_xlpm._resultColumnLetter,IF(_xlpm._isAssumption,INDEX(Table24[Sheet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7" s="20" t="str">
        <f ca="1">IF($L97=TRUE,_xlfn.LET(_xlpm._isAssumption,$J97,_xlpm._searchRange,IF(_xlpm._isAssumption,Table24[Task Sheet Shadow ID],Table25[Task Sheet Shadow ID]),MATCH($M97,_xlpm._searchRange,0)),"")</f>
        <v/>
      </c>
      <c r="X97" s="20" t="str" cm="1">
        <f t="array" ca="1" aca="1" ref="X97">IF($L97,_xlfn.LET(_xlpm._isAssumption,$J97,_xlpm._sheetRow,$W97,IF(_xlpm._isAssumption,INDEX(Table24[Sheet Name],_xlpm._sheetRow),INDEX(Table25[Sheet Name],_xlpm._sheetRow))),"")</f>
        <v/>
      </c>
      <c r="Y97" s="20" t="str" cm="1">
        <f t="array" ca="1" aca="1" ref="Y97">IF($L97,_xlfn.LET(_xlpm._elementID,$O97,_xlpm._isAssumption,$J97,_xlpm._sheetRow,$W97,_xlpm._sheetName,$X97,_xlpm._elementIDColumnLetter,IF(_xlpm._isAssumption,INDEX(Table24[Element ID Column],_xlpm._sheetRow),INDEX(Table25[Element ID Column],_xlpm._sheetRow)),MATCH(_xlpm._elementID,INDIRECT("'"&amp;_xlpm._sheetName&amp;"'!"&amp;_xlpm._elementIDColumnLetter&amp;":"&amp;_xlpm._elementIDColumnLetter),0)),"")</f>
        <v/>
      </c>
      <c r="Z97" s="20" t="str" cm="1">
        <f t="array" ca="1" aca="1" ref="Z97">IF($A97="","",_xlfn.LET(_xlpm._isAssumption,$J97,_xlpm._isAdditionalElement,$L97,_xlpm._sheetRow,$W97,_xlpm._sheetName,$X97,_xlpm._columnLetter,INDEX(IF(_xlpm._isAdditionalElement,Table24[Comment Column],Table25[Comment Column]),_xlpm._sheetRow),_xlpm._sheetReference,IF(_xlpm._isAssumption,IF(_xlpm._isAdditionalElement,CELL("address",INDEX(INDIRECT("'"&amp;_xlpm._sheetName&amp;"'!"&amp;_xlpm._columnLetter&amp;":"&amp;_xlpm._columnLetter),$Y97)),CELL("address",INDEX(Assumptions!$A:$A,MATCH($A97,Assumptions!$A:$A,0),1))),IF(_xlpm._isAdditionalElement,CELL("address",INDEX(INDIRECT("'"&amp;_xlpm._sheetName&amp;"'!"&amp;_xlpm._columnLetter&amp;":"&amp;_xlpm._columnLetter),$Y97)),CELL("address",INDEX(Countermeasures!$A:$A,MATCH($A97,Countermeasures!$A:$A,0),1)))),_xlpm._start,FIND("]",_xlpm._sheetReference),"'"&amp;SUBSTITUTE(SUBSTITUTE(RIGHT(_xlpm._sheetReference,LEN(_xlpm._sheetReference)-_xlpm._start),"'",""),"!","'!")))</f>
        <v/>
      </c>
      <c r="AA97" s="20" t="str" cm="1">
        <f t="array" ca="1" aca="1" ref="AA97">IF(NOT($L97),_xlfn.LET(_xlpm._value,IF($A97="","",IF($J97,SimpleLookup($A97,Assumptions!$A:$AK),SimpleLookup($A97,Countermeasures!$A:$AN))),IF(_xlpm._value="","",_xlpm._value)),"")</f>
        <v/>
      </c>
      <c r="AB97" s="20" t="str" cm="1">
        <f t="array" ca="1" aca="1" ref="AB97">LookupNames(InverseLookup($A97,Mitigation!$AD$2,Mitigation!$A$2,1,Helper!$B$5,","),'Attack Steps'!$A:$B)</f>
        <v/>
      </c>
      <c r="AC97" s="20" t="str" cm="1">
        <f t="array" ca="1" aca="1" ref="AC97">IF($L97,_xlfn.LET(_xlpm._in,$A97,_xlpm._lastDashNum,LEN(_xlpm._in)-LEN(SUBSTITUTE(_xlpm._in,"-","")),_xlpm._lastDashPos,FIND(CHAR(1),SUBSTITUTE(_xlpm._in,"-",CHAR(1),_xlpm._lastDashNum)),_xlpm._id,LEFT(_xlpm._in,_xlpm._lastDashPos-1),_xlpm._id&amp;"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7" s="20" t="str" cm="1">
        <f t="array" ca="1" aca="1" ref="AD97">_xlfn.LET(_xlpm._countermeasures,InverseLookup($A97,Countermeasures!$AG$2,Countermeasures!$A$2,1,Helper!$B$4,","),LookupNames(_xlpm._countermeasures,Countermeasures!$A:$B))</f>
        <v/>
      </c>
      <c r="AE97" s="20" t="str" cm="1">
        <f t="array" ca="1" aca="1" ref="AE97">IF($E97="","",_xlfn.LET(_xlpm._id,$E97,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7" s="20" t="str" cm="1">
        <f t="array" ca="1" aca="1" ref="AF97">IF(OR($A97="",$L97),"",_xlfn.LET(_xlpm._answers,IF($J97,SimpleLookup($A97,Assumptions!$A:$F),SimpleLookup($A97,Countermeasures!$A:$D)),IF(_xlpm._answers="*",IF($J97,SimpleLookup($A97,Assumptions!$A:$C),SimpleLookup($A97,Countermeasures!$A:$C)),"")))</f>
        <v/>
      </c>
      <c r="AG97" s="20" t="str" cm="1">
        <f t="array" ca="1" aca="1" ref="AG97">IF(NOT($L97),"",_xlfn.LET(_xlpm._mappedInMitigation,IFERROR(VLOOKUP($V97,'Attack Steps'!$A:$O,COLUMNS('Attack Steps'!$A:$O),FALSE),""),CreateSearchString(_xlpm._mappedInMitigation)))</f>
        <v/>
      </c>
      <c r="AH97" s="20" t="b">
        <f ca="1">ROW()-ROW($AH$17)=Helper!$B$15</f>
        <v>0</v>
      </c>
      <c r="AI97" s="20" t="str">
        <f t="shared" ca="1" si="26"/>
        <v/>
      </c>
      <c r="AJ97" s="20" cm="1">
        <f t="array" ca="1" aca="1" ref="AJ97">CreateID($AJ$17,$AJ:$AJ,$AI97&lt;&gt;"")</f>
        <v>0</v>
      </c>
    </row>
    <row r="98" spans="1:36" ht="15">
      <c r="A98" s="33" t="str">
        <f ca="1">_xlfn.LET(_xlpm._isAssumption,$J98,_xlpm._row,$K98,_xlpm._numActiveAssumptions,Helper!$B$8,_xlpm._numActiveCountermeasures,Helper!$B$9,_xlpm._numAdditionalAssumptions,Helper!$B$10,_xlpm._numAdditionalCountermeasures,Helper!$B$11,IF(_xlpm._isAssumption,IF(_xlpm._row&gt;_xlpm._numActiveAssumptions,$V98&amp;"-A"&amp;$Q98,INDEX(Assumptions!A:A,MATCH(_xlpm._row,Assumptions!$AG:$AG,0))),IF(_xlpm._row&gt;_xlpm._numActiveCountermeasures+_xlpm._numAdditionalCountermeasures,"",IF(_xlpm._row&gt;_xlpm._numActiveCountermeasures,$V98&amp;"-C"&amp;$Q98,INDEX(Countermeasures!$A:$A,MATCH(_xlpm._row,Countermeasures!$AI:$AI,0))))))</f>
        <v/>
      </c>
      <c r="B98" s="33" t="str" cm="1">
        <f t="array" ca="1" aca="1" ref="B98">IF($A98="","",_xlfn.LET(_xlpm._isAssumption,$J98,_xlpm._isAdditionalElement,$L98,IF(_xlpm._isAdditionalElement,IF(_xlpm._isAssumption,ParseElementsFromComment($U98,Definitions!$AR$4,Definitions!$AS$4,Definitions!$AR$6,$Q98),ParseElementsFromComment($U98,Definitions!$AR$5,Definitions!$AS$5,Definitions!$AR$6,$Q98)),_xlfn.LET(_xlpm._value,IF($A98="","",IF($J98,SimpleLookup($A98,Assumptions!$A:$B),SimpleLookup($A98,Countermeasures!$A:$B))),IF(_xlpm._value="","",_xlpm._value)))))</f>
        <v/>
      </c>
      <c r="C98" s="33" t="str" cm="1">
        <f t="array" ca="1" aca="1" ref="C98">IF($A98="","",IF($J98,IFERROR(SimpleLookup($A98,Assumptions!$A:$E),""),Definitions!$AO$4))</f>
        <v/>
      </c>
      <c r="D98" s="37" t="str">
        <f t="shared" ca="1" si="22"/>
        <v/>
      </c>
      <c r="E98" s="23"/>
      <c r="F98" s="59" t="str">
        <f t="shared" ca="1" si="23"/>
        <v/>
      </c>
      <c r="G98" s="122" t="str" cm="1">
        <f t="array" ca="1" aca="1" ref="G98">_xlfn.LET(_xlpm._val,IFERROR(SimpleLookup($A98,Countermeasures!$A:$R),IFERROR(SimpleLookup($A98,Assumptions!$A:$R),"")),IF(_xlpm._val="","",_xlpm._val))</f>
        <v/>
      </c>
      <c r="H98" s="33" t="str" cm="1">
        <f t="array" ca="1" aca="1" ref="H98">_xlfn.LET(_xlpm._value,IF($A98="","",IFERROR(IF($J98,SimpleLookup($A98,Assumptions!$A:$S),SimpleLookup($A98,Countermeasures!$A:$S)),"")),IF(_xlpm._value="","",_xlpm._value))</f>
        <v/>
      </c>
      <c r="I98" s="10" cm="1">
        <f t="array" ca="1" aca="1" ref="I98">IF(ROW()=ROW($I$17)+1,0,INDEX($I:$I,ROW()-1))+IF($A98="",0,1)</f>
        <v>34</v>
      </c>
      <c r="J98" s="21" t="b">
        <f ca="1">_xlfn.LET(_xlpm._row,ROW()-ROW($K$17),_xlpm._numActiveAssumptions,Helper!$B$8,_xlpm._numAdditionalAssumptions,SUM(Table24['# Elements]),_xlpm._row&lt;=_xlpm._numActiveAssumptions+_xlpm._numAdditionalAssumptions)</f>
        <v>0</v>
      </c>
      <c r="K98" s="21">
        <f ca="1">_xlfn.LET(_xlpm._row,ROW()-ROW($K$17),_xlpm._numActiveAssumptions,Helper!$B$8,_xlpm._numAdditionalAssumptions,Helper!$B$10,_xlpm._isAssumption,$J98,_xlpm._elementID,IF(_xlpm._isAssumption,_xlpm._row,_xlpm._row-_xlpm._numActiveAssumptions-_xlpm._numAdditionalAssumptions),_xlpm._elementID)</f>
        <v>63</v>
      </c>
      <c r="L98"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8" s="20" cm="1">
        <f t="array" ca="1" aca="1" ref="M98">IF($L98,IF(ROW()=ROW($M$17)+1,1,INDEX($M:$M,ROW()-1)+IF(INDEX($T:$T,ROW()-1),1,0)),1)</f>
        <v>1</v>
      </c>
      <c r="N98" s="20" t="str" cm="1">
        <f t="array" ca="1" aca="1" ref="N98">IF($L98=TRUE,_xlfn.LET(_xlpm._isAssumption,$J98,_xlpm._indexRange,IF(_xlpm._isAssumption,Table24['# Elements],Table25['# Elements]),_xlpm._lookupRow,$W98,INDEX(_xlpm._indexRange,_xlpm._lookupRow)),"")</f>
        <v/>
      </c>
      <c r="O98" s="20" t="str" cm="1">
        <f t="array" ca="1" aca="1" ref="O98">IF($N98="","",_xlfn.LET(_xlpm._prevRow,ROW()-1,IF(OR(INDEX($N:$N,_xlpm._prevRow)&lt;&gt;$N98,INDEX($M:$M,_xlpm._prevRow)&lt;&gt;$M98),1,INDEX($O:$O,_xlpm._prevRow)+IF(INDEX($S:$S,_xlpm._prevRow),1,0))))</f>
        <v/>
      </c>
      <c r="P98" s="20" t="str" cm="1">
        <f t="array" ca="1" aca="1" ref="P98">IF($O98="","",_xlfn.LET(_xlpm._isAssumption,$J98,_xlpm._sheetRow,$W98,_xlpm._sheetName,$X98,_xlpm._elementIDRange,IF(_xlpm._isAssumption,Table24[Element ID Column],Table25[Element ID Column]),_xlpm._numberOfElementsRange,IF(_xlpm._isAssumption,Table24[Number of Elements Column],Table25[Number of Elements Column]),SimpleLookup($O98,INDIRECT("'"&amp;_xlpm._sheetName&amp;"'!"&amp;INDEX(_xlpm._elementIDRange,_xlpm._sheetRow)&amp;":"&amp;INDEX(_xlpm._numberOfElementsRange,_xlpm._sheetRow)))))</f>
        <v/>
      </c>
      <c r="Q98" s="20" t="str" cm="1">
        <f t="array" ca="1" aca="1" ref="Q98">IF($O98="","",IF(OR(INDEX($O:$O,ROW()-1)&lt;&gt;$O98,INDEX($M:$M,ROW()-1)&lt;&gt;$M98),1,INDEX($Q:$Q,ROW()-1)+1))</f>
        <v/>
      </c>
      <c r="R98" s="20">
        <f t="shared" ca="1" si="24"/>
        <v>0</v>
      </c>
      <c r="S98" s="20" t="str">
        <f t="shared" ca="1" si="25"/>
        <v/>
      </c>
      <c r="T98" s="20" t="b">
        <f ca="1">_xlfn.LET(_xlpm._isAssumption,$J98,_xlpm._numberOfElementsRange,IF(_xlpm._isAssumption,Table24['# Elements],Table25['# Elements]),_xlpm._sheetRow,$W98,IF($L98,AND($S98,$R98=$N98),FALSE))</f>
        <v>0</v>
      </c>
      <c r="U98" s="20" t="str" cm="1">
        <f t="array" ca="1" aca="1" ref="U98">IF($L98,_xlfn.LET(_xlpm._elementID,$O98,_xlpm._isAssumption,$J98,_xlpm._sheetRow,$W98,_xlpm._sheetName,$X98,_xlpm._elementRow,$Y98,_xlpm._resultColumnLetter,IF(_xlpm._isAssumption,INDEX(Table24[Comment Column],_xlpm._sheetRow),INDEX(Table25[Comment Column],_xlpm._sheetRow)),INDEX(INDIRECT("'"&amp;_xlpm._sheetName&amp;"'!"&amp;_xlpm._resultColumnLetter&amp;":"&amp;_xlpm._resultColumnLetter),_xlpm._elementRow)),"")</f>
        <v/>
      </c>
      <c r="V98" s="20" t="str" cm="1">
        <f t="array" ca="1" aca="1" ref="V98">IF($L98,_xlfn.LET(_xlpm._elementID,$O98,_xlpm._isAssumption,$J98,_xlpm._sheetRow,$W98,_xlpm._sheetName,$X98,_xlpm._resultColumnLetter,IF(_xlpm._isAssumption,INDEX(Table24[Sheet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8" s="20" t="str">
        <f ca="1">IF($L98=TRUE,_xlfn.LET(_xlpm._isAssumption,$J98,_xlpm._searchRange,IF(_xlpm._isAssumption,Table24[Task Sheet Shadow ID],Table25[Task Sheet Shadow ID]),MATCH($M98,_xlpm._searchRange,0)),"")</f>
        <v/>
      </c>
      <c r="X98" s="20" t="str" cm="1">
        <f t="array" ca="1" aca="1" ref="X98">IF($L98,_xlfn.LET(_xlpm._isAssumption,$J98,_xlpm._sheetRow,$W98,IF(_xlpm._isAssumption,INDEX(Table24[Sheet Name],_xlpm._sheetRow),INDEX(Table25[Sheet Name],_xlpm._sheetRow))),"")</f>
        <v/>
      </c>
      <c r="Y98" s="20" t="str" cm="1">
        <f t="array" ca="1" aca="1" ref="Y98">IF($L98,_xlfn.LET(_xlpm._elementID,$O98,_xlpm._isAssumption,$J98,_xlpm._sheetRow,$W98,_xlpm._sheetName,$X98,_xlpm._elementIDColumnLetter,IF(_xlpm._isAssumption,INDEX(Table24[Element ID Column],_xlpm._sheetRow),INDEX(Table25[Element ID Column],_xlpm._sheetRow)),MATCH(_xlpm._elementID,INDIRECT("'"&amp;_xlpm._sheetName&amp;"'!"&amp;_xlpm._elementIDColumnLetter&amp;":"&amp;_xlpm._elementIDColumnLetter),0)),"")</f>
        <v/>
      </c>
      <c r="Z98" s="20" t="str" cm="1">
        <f t="array" ca="1" aca="1" ref="Z98">IF($A98="","",_xlfn.LET(_xlpm._isAssumption,$J98,_xlpm._isAdditionalElement,$L98,_xlpm._sheetRow,$W98,_xlpm._sheetName,$X98,_xlpm._columnLetter,INDEX(IF(_xlpm._isAdditionalElement,Table24[Comment Column],Table25[Comment Column]),_xlpm._sheetRow),_xlpm._sheetReference,IF(_xlpm._isAssumption,IF(_xlpm._isAdditionalElement,CELL("address",INDEX(INDIRECT("'"&amp;_xlpm._sheetName&amp;"'!"&amp;_xlpm._columnLetter&amp;":"&amp;_xlpm._columnLetter),$Y98)),CELL("address",INDEX(Assumptions!$A:$A,MATCH($A98,Assumptions!$A:$A,0),1))),IF(_xlpm._isAdditionalElement,CELL("address",INDEX(INDIRECT("'"&amp;_xlpm._sheetName&amp;"'!"&amp;_xlpm._columnLetter&amp;":"&amp;_xlpm._columnLetter),$Y98)),CELL("address",INDEX(Countermeasures!$A:$A,MATCH($A98,Countermeasures!$A:$A,0),1)))),_xlpm._start,FIND("]",_xlpm._sheetReference),"'"&amp;SUBSTITUTE(SUBSTITUTE(RIGHT(_xlpm._sheetReference,LEN(_xlpm._sheetReference)-_xlpm._start),"'",""),"!","'!")))</f>
        <v/>
      </c>
      <c r="AA98" s="20" t="str" cm="1">
        <f t="array" ca="1" aca="1" ref="AA98">IF(NOT($L98),_xlfn.LET(_xlpm._value,IF($A98="","",IF($J98,SimpleLookup($A98,Assumptions!$A:$AK),SimpleLookup($A98,Countermeasures!$A:$AN))),IF(_xlpm._value="","",_xlpm._value)),"")</f>
        <v/>
      </c>
      <c r="AB98" s="20" t="str" cm="1">
        <f t="array" ca="1" aca="1" ref="AB98">LookupNames(InverseLookup($A98,Mitigation!$AD$2,Mitigation!$A$2,1,Helper!$B$5,","),'Attack Steps'!$A:$B)</f>
        <v/>
      </c>
      <c r="AC98" s="20" t="str" cm="1">
        <f t="array" ca="1" aca="1" ref="AC98">IF($L98,_xlfn.LET(_xlpm._in,$A98,_xlpm._lastDashNum,LEN(_xlpm._in)-LEN(SUBSTITUTE(_xlpm._in,"-","")),_xlpm._lastDashPos,FIND(CHAR(1),SUBSTITUTE(_xlpm._in,"-",CHAR(1),_xlpm._lastDashNum)),_xlpm._id,LEFT(_xlpm._in,_xlpm._lastDashPos-1),_xlpm._id&amp;"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8" s="20" t="str" cm="1">
        <f t="array" ca="1" aca="1" ref="AD98">_xlfn.LET(_xlpm._countermeasures,InverseLookup($A98,Countermeasures!$AG$2,Countermeasures!$A$2,1,Helper!$B$4,","),LookupNames(_xlpm._countermeasures,Countermeasures!$A:$B))</f>
        <v/>
      </c>
      <c r="AE98" s="20" t="str" cm="1">
        <f t="array" ca="1" aca="1" ref="AE98">IF($E98="","",_xlfn.LET(_xlpm._id,$E98,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8" s="20" t="str" cm="1">
        <f t="array" ca="1" aca="1" ref="AF98">IF(OR($A98="",$L98),"",_xlfn.LET(_xlpm._answers,IF($J98,SimpleLookup($A98,Assumptions!$A:$F),SimpleLookup($A98,Countermeasures!$A:$D)),IF(_xlpm._answers="*",IF($J98,SimpleLookup($A98,Assumptions!$A:$C),SimpleLookup($A98,Countermeasures!$A:$C)),"")))</f>
        <v/>
      </c>
      <c r="AG98" s="20" t="str" cm="1">
        <f t="array" ca="1" aca="1" ref="AG98">IF(NOT($L98),"",_xlfn.LET(_xlpm._mappedInMitigation,IFERROR(VLOOKUP($V98,'Attack Steps'!$A:$O,COLUMNS('Attack Steps'!$A:$O),FALSE),""),CreateSearchString(_xlpm._mappedInMitigation)))</f>
        <v/>
      </c>
      <c r="AH98" s="20" t="b">
        <f ca="1">ROW()-ROW($AH$17)=Helper!$B$15</f>
        <v>0</v>
      </c>
      <c r="AI98" s="20" t="str">
        <f t="shared" ca="1" si="26"/>
        <v/>
      </c>
      <c r="AJ98" s="20" cm="1">
        <f t="array" ca="1" aca="1" ref="AJ98">CreateID($AJ$17,$AJ:$AJ,$AI98&lt;&gt;"")</f>
        <v>0</v>
      </c>
    </row>
    <row r="99" spans="1:36" ht="15">
      <c r="A99" s="33" t="str">
        <f ca="1">_xlfn.LET(_xlpm._isAssumption,$J99,_xlpm._row,$K99,_xlpm._numActiveAssumptions,Helper!$B$8,_xlpm._numActiveCountermeasures,Helper!$B$9,_xlpm._numAdditionalAssumptions,Helper!$B$10,_xlpm._numAdditionalCountermeasures,Helper!$B$11,IF(_xlpm._isAssumption,IF(_xlpm._row&gt;_xlpm._numActiveAssumptions,$V99&amp;"-A"&amp;$Q99,INDEX(Assumptions!A:A,MATCH(_xlpm._row,Assumptions!$AG:$AG,0))),IF(_xlpm._row&gt;_xlpm._numActiveCountermeasures+_xlpm._numAdditionalCountermeasures,"",IF(_xlpm._row&gt;_xlpm._numActiveCountermeasures,$V99&amp;"-C"&amp;$Q99,INDEX(Countermeasures!$A:$A,MATCH(_xlpm._row,Countermeasures!$AI:$AI,0))))))</f>
        <v/>
      </c>
      <c r="B99" s="33" t="str" cm="1">
        <f t="array" ca="1" aca="1" ref="B99">IF($A99="","",_xlfn.LET(_xlpm._isAssumption,$J99,_xlpm._isAdditionalElement,$L99,IF(_xlpm._isAdditionalElement,IF(_xlpm._isAssumption,ParseElementsFromComment($U99,Definitions!$AR$4,Definitions!$AS$4,Definitions!$AR$6,$Q99),ParseElementsFromComment($U99,Definitions!$AR$5,Definitions!$AS$5,Definitions!$AR$6,$Q99)),_xlfn.LET(_xlpm._value,IF($A99="","",IF($J99,SimpleLookup($A99,Assumptions!$A:$B),SimpleLookup($A99,Countermeasures!$A:$B))),IF(_xlpm._value="","",_xlpm._value)))))</f>
        <v/>
      </c>
      <c r="C99" s="33" t="str" cm="1">
        <f t="array" ca="1" aca="1" ref="C99">IF($A99="","",IF($J99,IFERROR(SimpleLookup($A99,Assumptions!$A:$E),""),Definitions!$AO$4))</f>
        <v/>
      </c>
      <c r="D99" s="37" t="str">
        <f t="shared" ca="1" si="22"/>
        <v/>
      </c>
      <c r="E99" s="23"/>
      <c r="F99" s="59" t="str">
        <f t="shared" ca="1" si="23"/>
        <v/>
      </c>
      <c r="G99" s="122" t="str" cm="1">
        <f t="array" ca="1" aca="1" ref="G99">_xlfn.LET(_xlpm._val,IFERROR(SimpleLookup($A99,Countermeasures!$A:$R),IFERROR(SimpleLookup($A99,Assumptions!$A:$R),"")),IF(_xlpm._val="","",_xlpm._val))</f>
        <v/>
      </c>
      <c r="H99" s="33" t="str" cm="1">
        <f t="array" ca="1" aca="1" ref="H99">_xlfn.LET(_xlpm._value,IF($A99="","",IFERROR(IF($J99,SimpleLookup($A99,Assumptions!$A:$S),SimpleLookup($A99,Countermeasures!$A:$S)),"")),IF(_xlpm._value="","",_xlpm._value))</f>
        <v/>
      </c>
      <c r="I99" s="10" cm="1">
        <f t="array" ca="1" aca="1" ref="I99">IF(ROW()=ROW($I$17)+1,0,INDEX($I:$I,ROW()-1))+IF($A99="",0,1)</f>
        <v>34</v>
      </c>
      <c r="J99" s="21" t="b">
        <f ca="1">_xlfn.LET(_xlpm._row,ROW()-ROW($K$17),_xlpm._numActiveAssumptions,Helper!$B$8,_xlpm._numAdditionalAssumptions,SUM(Table24['# Elements]),_xlpm._row&lt;=_xlpm._numActiveAssumptions+_xlpm._numAdditionalAssumptions)</f>
        <v>0</v>
      </c>
      <c r="K99" s="21">
        <f ca="1">_xlfn.LET(_xlpm._row,ROW()-ROW($K$17),_xlpm._numActiveAssumptions,Helper!$B$8,_xlpm._numAdditionalAssumptions,Helper!$B$10,_xlpm._isAssumption,$J99,_xlpm._elementID,IF(_xlpm._isAssumption,_xlpm._row,_xlpm._row-_xlpm._numActiveAssumptions-_xlpm._numAdditionalAssumptions),_xlpm._elementID)</f>
        <v>64</v>
      </c>
      <c r="L99"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99" s="20" cm="1">
        <f t="array" ca="1" aca="1" ref="M99">IF($L99,IF(ROW()=ROW($M$17)+1,1,INDEX($M:$M,ROW()-1)+IF(INDEX($T:$T,ROW()-1),1,0)),1)</f>
        <v>1</v>
      </c>
      <c r="N99" s="20" t="str" cm="1">
        <f t="array" ca="1" aca="1" ref="N99">IF($L99=TRUE,_xlfn.LET(_xlpm._isAssumption,$J99,_xlpm._indexRange,IF(_xlpm._isAssumption,Table24['# Elements],Table25['# Elements]),_xlpm._lookupRow,$W99,INDEX(_xlpm._indexRange,_xlpm._lookupRow)),"")</f>
        <v/>
      </c>
      <c r="O99" s="20" t="str" cm="1">
        <f t="array" ca="1" aca="1" ref="O99">IF($N99="","",_xlfn.LET(_xlpm._prevRow,ROW()-1,IF(OR(INDEX($N:$N,_xlpm._prevRow)&lt;&gt;$N99,INDEX($M:$M,_xlpm._prevRow)&lt;&gt;$M99),1,INDEX($O:$O,_xlpm._prevRow)+IF(INDEX($S:$S,_xlpm._prevRow),1,0))))</f>
        <v/>
      </c>
      <c r="P99" s="20" t="str" cm="1">
        <f t="array" ca="1" aca="1" ref="P99">IF($O99="","",_xlfn.LET(_xlpm._isAssumption,$J99,_xlpm._sheetRow,$W99,_xlpm._sheetName,$X99,_xlpm._elementIDRange,IF(_xlpm._isAssumption,Table24[Element ID Column],Table25[Element ID Column]),_xlpm._numberOfElementsRange,IF(_xlpm._isAssumption,Table24[Number of Elements Column],Table25[Number of Elements Column]),SimpleLookup($O99,INDIRECT("'"&amp;_xlpm._sheetName&amp;"'!"&amp;INDEX(_xlpm._elementIDRange,_xlpm._sheetRow)&amp;":"&amp;INDEX(_xlpm._numberOfElementsRange,_xlpm._sheetRow)))))</f>
        <v/>
      </c>
      <c r="Q99" s="20" t="str" cm="1">
        <f t="array" ca="1" aca="1" ref="Q99">IF($O99="","",IF(OR(INDEX($O:$O,ROW()-1)&lt;&gt;$O99,INDEX($M:$M,ROW()-1)&lt;&gt;$M99),1,INDEX($Q:$Q,ROW()-1)+1))</f>
        <v/>
      </c>
      <c r="R99" s="20">
        <f t="shared" ca="1" si="24"/>
        <v>0</v>
      </c>
      <c r="S99" s="20" t="str">
        <f t="shared" ca="1" si="25"/>
        <v/>
      </c>
      <c r="T99" s="20" t="b">
        <f ca="1">_xlfn.LET(_xlpm._isAssumption,$J99,_xlpm._numberOfElementsRange,IF(_xlpm._isAssumption,Table24['# Elements],Table25['# Elements]),_xlpm._sheetRow,$W99,IF($L99,AND($S99,$R99=$N99),FALSE))</f>
        <v>0</v>
      </c>
      <c r="U99" s="20" t="str" cm="1">
        <f t="array" ca="1" aca="1" ref="U99">IF($L99,_xlfn.LET(_xlpm._elementID,$O99,_xlpm._isAssumption,$J99,_xlpm._sheetRow,$W99,_xlpm._sheetName,$X99,_xlpm._elementRow,$Y99,_xlpm._resultColumnLetter,IF(_xlpm._isAssumption,INDEX(Table24[Comment Column],_xlpm._sheetRow),INDEX(Table25[Comment Column],_xlpm._sheetRow)),INDEX(INDIRECT("'"&amp;_xlpm._sheetName&amp;"'!"&amp;_xlpm._resultColumnLetter&amp;":"&amp;_xlpm._resultColumnLetter),_xlpm._elementRow)),"")</f>
        <v/>
      </c>
      <c r="V99" s="20" t="str" cm="1">
        <f t="array" ca="1" aca="1" ref="V99">IF($L99,_xlfn.LET(_xlpm._elementID,$O99,_xlpm._isAssumption,$J99,_xlpm._sheetRow,$W99,_xlpm._sheetName,$X99,_xlpm._resultColumnLetter,IF(_xlpm._isAssumption,INDEX(Table24[Sheet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99" s="20" t="str">
        <f ca="1">IF($L99=TRUE,_xlfn.LET(_xlpm._isAssumption,$J99,_xlpm._searchRange,IF(_xlpm._isAssumption,Table24[Task Sheet Shadow ID],Table25[Task Sheet Shadow ID]),MATCH($M99,_xlpm._searchRange,0)),"")</f>
        <v/>
      </c>
      <c r="X99" s="20" t="str" cm="1">
        <f t="array" ca="1" aca="1" ref="X99">IF($L99,_xlfn.LET(_xlpm._isAssumption,$J99,_xlpm._sheetRow,$W99,IF(_xlpm._isAssumption,INDEX(Table24[Sheet Name],_xlpm._sheetRow),INDEX(Table25[Sheet Name],_xlpm._sheetRow))),"")</f>
        <v/>
      </c>
      <c r="Y99" s="20" t="str" cm="1">
        <f t="array" ca="1" aca="1" ref="Y99">IF($L99,_xlfn.LET(_xlpm._elementID,$O99,_xlpm._isAssumption,$J99,_xlpm._sheetRow,$W99,_xlpm._sheetName,$X99,_xlpm._elementIDColumnLetter,IF(_xlpm._isAssumption,INDEX(Table24[Element ID Column],_xlpm._sheetRow),INDEX(Table25[Element ID Column],_xlpm._sheetRow)),MATCH(_xlpm._elementID,INDIRECT("'"&amp;_xlpm._sheetName&amp;"'!"&amp;_xlpm._elementIDColumnLetter&amp;":"&amp;_xlpm._elementIDColumnLetter),0)),"")</f>
        <v/>
      </c>
      <c r="Z99" s="20" t="str" cm="1">
        <f t="array" ca="1" aca="1" ref="Z99">IF($A99="","",_xlfn.LET(_xlpm._isAssumption,$J99,_xlpm._isAdditionalElement,$L99,_xlpm._sheetRow,$W99,_xlpm._sheetName,$X99,_xlpm._columnLetter,INDEX(IF(_xlpm._isAdditionalElement,Table24[Comment Column],Table25[Comment Column]),_xlpm._sheetRow),_xlpm._sheetReference,IF(_xlpm._isAssumption,IF(_xlpm._isAdditionalElement,CELL("address",INDEX(INDIRECT("'"&amp;_xlpm._sheetName&amp;"'!"&amp;_xlpm._columnLetter&amp;":"&amp;_xlpm._columnLetter),$Y99)),CELL("address",INDEX(Assumptions!$A:$A,MATCH($A99,Assumptions!$A:$A,0),1))),IF(_xlpm._isAdditionalElement,CELL("address",INDEX(INDIRECT("'"&amp;_xlpm._sheetName&amp;"'!"&amp;_xlpm._columnLetter&amp;":"&amp;_xlpm._columnLetter),$Y99)),CELL("address",INDEX(Countermeasures!$A:$A,MATCH($A99,Countermeasures!$A:$A,0),1)))),_xlpm._start,FIND("]",_xlpm._sheetReference),"'"&amp;SUBSTITUTE(SUBSTITUTE(RIGHT(_xlpm._sheetReference,LEN(_xlpm._sheetReference)-_xlpm._start),"'",""),"!","'!")))</f>
        <v/>
      </c>
      <c r="AA99" s="20" t="str" cm="1">
        <f t="array" ca="1" aca="1" ref="AA99">IF(NOT($L99),_xlfn.LET(_xlpm._value,IF($A99="","",IF($J99,SimpleLookup($A99,Assumptions!$A:$AK),SimpleLookup($A99,Countermeasures!$A:$AN))),IF(_xlpm._value="","",_xlpm._value)),"")</f>
        <v/>
      </c>
      <c r="AB99" s="20" t="str" cm="1">
        <f t="array" ca="1" aca="1" ref="AB99">LookupNames(InverseLookup($A99,Mitigation!$AD$2,Mitigation!$A$2,1,Helper!$B$5,","),'Attack Steps'!$A:$B)</f>
        <v/>
      </c>
      <c r="AC99" s="20" t="str" cm="1">
        <f t="array" ca="1" aca="1" ref="AC99">IF($L99,_xlfn.LET(_xlpm._in,$A99,_xlpm._lastDashNum,LEN(_xlpm._in)-LEN(SUBSTITUTE(_xlpm._in,"-","")),_xlpm._lastDashPos,FIND(CHAR(1),SUBSTITUTE(_xlpm._in,"-",CHAR(1),_xlpm._lastDashNum)),_xlpm._id,LEFT(_xlpm._in,_xlpm._lastDashPos-1),_xlpm._id&amp;"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99" s="20" t="str" cm="1">
        <f t="array" ca="1" aca="1" ref="AD99">_xlfn.LET(_xlpm._countermeasures,InverseLookup($A99,Countermeasures!$AG$2,Countermeasures!$A$2,1,Helper!$B$4,","),LookupNames(_xlpm._countermeasures,Countermeasures!$A:$B))</f>
        <v/>
      </c>
      <c r="AE99" s="20" t="str" cm="1">
        <f t="array" ca="1" aca="1" ref="AE99">IF($E99="","",_xlfn.LET(_xlpm._id,$E99,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99" s="20" t="str" cm="1">
        <f t="array" ca="1" aca="1" ref="AF99">IF(OR($A99="",$L99),"",_xlfn.LET(_xlpm._answers,IF($J99,SimpleLookup($A99,Assumptions!$A:$F),SimpleLookup($A99,Countermeasures!$A:$D)),IF(_xlpm._answers="*",IF($J99,SimpleLookup($A99,Assumptions!$A:$C),SimpleLookup($A99,Countermeasures!$A:$C)),"")))</f>
        <v/>
      </c>
      <c r="AG99" s="20" t="str" cm="1">
        <f t="array" ca="1" aca="1" ref="AG99">IF(NOT($L99),"",_xlfn.LET(_xlpm._mappedInMitigation,IFERROR(VLOOKUP($V99,'Attack Steps'!$A:$O,COLUMNS('Attack Steps'!$A:$O),FALSE),""),CreateSearchString(_xlpm._mappedInMitigation)))</f>
        <v/>
      </c>
      <c r="AH99" s="20" t="b">
        <f ca="1">ROW()-ROW($AH$17)=Helper!$B$15</f>
        <v>0</v>
      </c>
      <c r="AI99" s="20" t="str">
        <f t="shared" ca="1" si="26"/>
        <v/>
      </c>
      <c r="AJ99" s="20" cm="1">
        <f t="array" ca="1" aca="1" ref="AJ99">CreateID($AJ$17,$AJ:$AJ,$AI99&lt;&gt;"")</f>
        <v>0</v>
      </c>
    </row>
    <row r="100" spans="1:36" ht="15">
      <c r="A100" s="33" t="str">
        <f ca="1">_xlfn.LET(_xlpm._isAssumption,$J100,_xlpm._row,$K100,_xlpm._numActiveAssumptions,Helper!$B$8,_xlpm._numActiveCountermeasures,Helper!$B$9,_xlpm._numAdditionalAssumptions,Helper!$B$10,_xlpm._numAdditionalCountermeasures,Helper!$B$11,IF(_xlpm._isAssumption,IF(_xlpm._row&gt;_xlpm._numActiveAssumptions,$V100&amp;"-A"&amp;$Q100,INDEX(Assumptions!A:A,MATCH(_xlpm._row,Assumptions!$AG:$AG,0))),IF(_xlpm._row&gt;_xlpm._numActiveCountermeasures+_xlpm._numAdditionalCountermeasures,"",IF(_xlpm._row&gt;_xlpm._numActiveCountermeasures,$V100&amp;"-C"&amp;$Q100,INDEX(Countermeasures!$A:$A,MATCH(_xlpm._row,Countermeasures!$AI:$AI,0))))))</f>
        <v/>
      </c>
      <c r="B100" s="33" t="str" cm="1">
        <f t="array" ca="1" aca="1" ref="B100">IF($A100="","",_xlfn.LET(_xlpm._isAssumption,$J100,_xlpm._isAdditionalElement,$L100,IF(_xlpm._isAdditionalElement,IF(_xlpm._isAssumption,ParseElementsFromComment($U100,Definitions!$AR$4,Definitions!$AS$4,Definitions!$AR$6,$Q100),ParseElementsFromComment($U100,Definitions!$AR$5,Definitions!$AS$5,Definitions!$AR$6,$Q100)),_xlfn.LET(_xlpm._value,IF($A100="","",IF($J100,SimpleLookup($A100,Assumptions!$A:$B),SimpleLookup($A100,Countermeasures!$A:$B))),IF(_xlpm._value="","",_xlpm._value)))))</f>
        <v/>
      </c>
      <c r="C100" s="33" t="str" cm="1">
        <f t="array" ca="1" aca="1" ref="C100">IF($A100="","",IF($J100,IFERROR(SimpleLookup($A100,Assumptions!$A:$E),""),Definitions!$AO$4))</f>
        <v/>
      </c>
      <c r="D100" s="37" t="str">
        <f t="shared" ca="1" si="22"/>
        <v/>
      </c>
      <c r="E100" s="23"/>
      <c r="F100" s="59" t="str">
        <f t="shared" ca="1" si="23"/>
        <v/>
      </c>
      <c r="G100" s="122" t="str" cm="1">
        <f t="array" ca="1" aca="1" ref="G100">_xlfn.LET(_xlpm._val,IFERROR(SimpleLookup($A100,Countermeasures!$A:$R),IFERROR(SimpleLookup($A100,Assumptions!$A:$R),"")),IF(_xlpm._val="","",_xlpm._val))</f>
        <v/>
      </c>
      <c r="H100" s="33" t="str" cm="1">
        <f t="array" ca="1" aca="1" ref="H100">_xlfn.LET(_xlpm._value,IF($A100="","",IFERROR(IF($J100,SimpleLookup($A100,Assumptions!$A:$S),SimpleLookup($A100,Countermeasures!$A:$S)),"")),IF(_xlpm._value="","",_xlpm._value))</f>
        <v/>
      </c>
      <c r="I100" s="10" cm="1">
        <f t="array" ca="1" aca="1" ref="I100">IF(ROW()=ROW($I$17)+1,0,INDEX($I:$I,ROW()-1))+IF($A100="",0,1)</f>
        <v>34</v>
      </c>
      <c r="J100" s="21" t="b">
        <f ca="1">_xlfn.LET(_xlpm._row,ROW()-ROW($K$17),_xlpm._numActiveAssumptions,Helper!$B$8,_xlpm._numAdditionalAssumptions,SUM(Table24['# Elements]),_xlpm._row&lt;=_xlpm._numActiveAssumptions+_xlpm._numAdditionalAssumptions)</f>
        <v>0</v>
      </c>
      <c r="K100" s="21">
        <f ca="1">_xlfn.LET(_xlpm._row,ROW()-ROW($K$17),_xlpm._numActiveAssumptions,Helper!$B$8,_xlpm._numAdditionalAssumptions,Helper!$B$10,_xlpm._isAssumption,$J100,_xlpm._elementID,IF(_xlpm._isAssumption,_xlpm._row,_xlpm._row-_xlpm._numActiveAssumptions-_xlpm._numAdditionalAssumptions),_xlpm._elementID)</f>
        <v>65</v>
      </c>
      <c r="L100"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100" s="20" cm="1">
        <f t="array" ca="1" aca="1" ref="M100">IF($L100,IF(ROW()=ROW($M$17)+1,1,INDEX($M:$M,ROW()-1)+IF(INDEX($T:$T,ROW()-1),1,0)),1)</f>
        <v>1</v>
      </c>
      <c r="N100" s="20" t="str" cm="1">
        <f t="array" ca="1" aca="1" ref="N100">IF($L100=TRUE,_xlfn.LET(_xlpm._isAssumption,$J100,_xlpm._indexRange,IF(_xlpm._isAssumption,Table24['# Elements],Table25['# Elements]),_xlpm._lookupRow,$W100,INDEX(_xlpm._indexRange,_xlpm._lookupRow)),"")</f>
        <v/>
      </c>
      <c r="O100" s="20" t="str" cm="1">
        <f t="array" ca="1" aca="1" ref="O100">IF($N100="","",_xlfn.LET(_xlpm._prevRow,ROW()-1,IF(OR(INDEX($N:$N,_xlpm._prevRow)&lt;&gt;$N100,INDEX($M:$M,_xlpm._prevRow)&lt;&gt;$M100),1,INDEX($O:$O,_xlpm._prevRow)+IF(INDEX($S:$S,_xlpm._prevRow),1,0))))</f>
        <v/>
      </c>
      <c r="P100" s="20" t="str" cm="1">
        <f t="array" ca="1" aca="1" ref="P100">IF($O100="","",_xlfn.LET(_xlpm._isAssumption,$J100,_xlpm._sheetRow,$W100,_xlpm._sheetName,$X100,_xlpm._elementIDRange,IF(_xlpm._isAssumption,Table24[Element ID Column],Table25[Element ID Column]),_xlpm._numberOfElementsRange,IF(_xlpm._isAssumption,Table24[Number of Elements Column],Table25[Number of Elements Column]),SimpleLookup($O100,INDIRECT("'"&amp;_xlpm._sheetName&amp;"'!"&amp;INDEX(_xlpm._elementIDRange,_xlpm._sheetRow)&amp;":"&amp;INDEX(_xlpm._numberOfElementsRange,_xlpm._sheetRow)))))</f>
        <v/>
      </c>
      <c r="Q100" s="20" t="str" cm="1">
        <f t="array" ca="1" aca="1" ref="Q100">IF($O100="","",IF(OR(INDEX($O:$O,ROW()-1)&lt;&gt;$O100,INDEX($M:$M,ROW()-1)&lt;&gt;$M100),1,INDEX($Q:$Q,ROW()-1)+1))</f>
        <v/>
      </c>
      <c r="R100" s="20">
        <f t="shared" ca="1" si="24"/>
        <v>0</v>
      </c>
      <c r="S100" s="20" t="str">
        <f t="shared" ca="1" si="25"/>
        <v/>
      </c>
      <c r="T100" s="20" t="b">
        <f ca="1">_xlfn.LET(_xlpm._isAssumption,$J100,_xlpm._numberOfElementsRange,IF(_xlpm._isAssumption,Table24['# Elements],Table25['# Elements]),_xlpm._sheetRow,$W100,IF($L100,AND($S100,$R100=$N100),FALSE))</f>
        <v>0</v>
      </c>
      <c r="U100" s="20" t="str" cm="1">
        <f t="array" ca="1" aca="1" ref="U100">IF($L100,_xlfn.LET(_xlpm._elementID,$O100,_xlpm._isAssumption,$J100,_xlpm._sheetRow,$W100,_xlpm._sheetName,$X100,_xlpm._elementRow,$Y100,_xlpm._resultColumnLetter,IF(_xlpm._isAssumption,INDEX(Table24[Comment Column],_xlpm._sheetRow),INDEX(Table25[Comment Column],_xlpm._sheetRow)),INDEX(INDIRECT("'"&amp;_xlpm._sheetName&amp;"'!"&amp;_xlpm._resultColumnLetter&amp;":"&amp;_xlpm._resultColumnLetter),_xlpm._elementRow)),"")</f>
        <v/>
      </c>
      <c r="V100" s="20" t="str" cm="1">
        <f t="array" ca="1" aca="1" ref="V100">IF($L100,_xlfn.LET(_xlpm._elementID,$O100,_xlpm._isAssumption,$J100,_xlpm._sheetRow,$W100,_xlpm._sheetName,$X100,_xlpm._resultColumnLetter,IF(_xlpm._isAssumption,INDEX(Table24[Sheet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100" s="20" t="str">
        <f ca="1">IF($L100=TRUE,_xlfn.LET(_xlpm._isAssumption,$J100,_xlpm._searchRange,IF(_xlpm._isAssumption,Table24[Task Sheet Shadow ID],Table25[Task Sheet Shadow ID]),MATCH($M100,_xlpm._searchRange,0)),"")</f>
        <v/>
      </c>
      <c r="X100" s="20" t="str" cm="1">
        <f t="array" ca="1" aca="1" ref="X100">IF($L100,_xlfn.LET(_xlpm._isAssumption,$J100,_xlpm._sheetRow,$W100,IF(_xlpm._isAssumption,INDEX(Table24[Sheet Name],_xlpm._sheetRow),INDEX(Table25[Sheet Name],_xlpm._sheetRow))),"")</f>
        <v/>
      </c>
      <c r="Y100" s="20" t="str" cm="1">
        <f t="array" ca="1" aca="1" ref="Y100">IF($L100,_xlfn.LET(_xlpm._elementID,$O100,_xlpm._isAssumption,$J100,_xlpm._sheetRow,$W100,_xlpm._sheetName,$X100,_xlpm._elementIDColumnLetter,IF(_xlpm._isAssumption,INDEX(Table24[Element ID Column],_xlpm._sheetRow),INDEX(Table25[Element ID Column],_xlpm._sheetRow)),MATCH(_xlpm._elementID,INDIRECT("'"&amp;_xlpm._sheetName&amp;"'!"&amp;_xlpm._elementIDColumnLetter&amp;":"&amp;_xlpm._elementIDColumnLetter),0)),"")</f>
        <v/>
      </c>
      <c r="Z100" s="20" t="str" cm="1">
        <f t="array" ca="1" aca="1" ref="Z100">IF($A100="","",_xlfn.LET(_xlpm._isAssumption,$J100,_xlpm._isAdditionalElement,$L100,_xlpm._sheetRow,$W100,_xlpm._sheetName,$X100,_xlpm._columnLetter,INDEX(IF(_xlpm._isAdditionalElement,Table24[Comment Column],Table25[Comment Column]),_xlpm._sheetRow),_xlpm._sheetReference,IF(_xlpm._isAssumption,IF(_xlpm._isAdditionalElement,CELL("address",INDEX(INDIRECT("'"&amp;_xlpm._sheetName&amp;"'!"&amp;_xlpm._columnLetter&amp;":"&amp;_xlpm._columnLetter),$Y100)),CELL("address",INDEX(Assumptions!$A:$A,MATCH($A100,Assumptions!$A:$A,0),1))),IF(_xlpm._isAdditionalElement,CELL("address",INDEX(INDIRECT("'"&amp;_xlpm._sheetName&amp;"'!"&amp;_xlpm._columnLetter&amp;":"&amp;_xlpm._columnLetter),$Y100)),CELL("address",INDEX(Countermeasures!$A:$A,MATCH($A100,Countermeasures!$A:$A,0),1)))),_xlpm._start,FIND("]",_xlpm._sheetReference),"'"&amp;SUBSTITUTE(SUBSTITUTE(RIGHT(_xlpm._sheetReference,LEN(_xlpm._sheetReference)-_xlpm._start),"'",""),"!","'!")))</f>
        <v/>
      </c>
      <c r="AA100" s="20" t="str" cm="1">
        <f t="array" ca="1" aca="1" ref="AA100">IF(NOT($L100),_xlfn.LET(_xlpm._value,IF($A100="","",IF($J100,SimpleLookup($A100,Assumptions!$A:$AK),SimpleLookup($A100,Countermeasures!$A:$AN))),IF(_xlpm._value="","",_xlpm._value)),"")</f>
        <v/>
      </c>
      <c r="AB100" s="20" t="str" cm="1">
        <f t="array" ca="1" aca="1" ref="AB100">LookupNames(InverseLookup($A100,Mitigation!$AD$2,Mitigation!$A$2,1,Helper!$B$5,","),'Attack Steps'!$A:$B)</f>
        <v/>
      </c>
      <c r="AC100" s="20" t="str" cm="1">
        <f t="array" ca="1" aca="1" ref="AC100">IF($L100,_xlfn.LET(_xlpm._in,$A100,_xlpm._lastDashNum,LEN(_xlpm._in)-LEN(SUBSTITUTE(_xlpm._in,"-","")),_xlpm._lastDashPos,FIND(CHAR(1),SUBSTITUTE(_xlpm._in,"-",CHAR(1),_xlpm._lastDashNum)),_xlpm._id,LEFT(_xlpm._in,_xlpm._lastDashPos-1),_xlpm._id&amp;"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100" s="20" t="str" cm="1">
        <f t="array" ca="1" aca="1" ref="AD100">_xlfn.LET(_xlpm._countermeasures,InverseLookup($A100,Countermeasures!$AG$2,Countermeasures!$A$2,1,Helper!$B$4,","),LookupNames(_xlpm._countermeasures,Countermeasures!$A:$B))</f>
        <v/>
      </c>
      <c r="AE100" s="20" t="str" cm="1">
        <f t="array" ca="1" aca="1" ref="AE100">IF($E100="","",_xlfn.LET(_xlpm._id,$E100,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100" s="20" t="str" cm="1">
        <f t="array" ca="1" aca="1" ref="AF100">IF(OR($A100="",$L100),"",_xlfn.LET(_xlpm._answers,IF($J100,SimpleLookup($A100,Assumptions!$A:$F),SimpleLookup($A100,Countermeasures!$A:$D)),IF(_xlpm._answers="*",IF($J100,SimpleLookup($A100,Assumptions!$A:$C),SimpleLookup($A100,Countermeasures!$A:$C)),"")))</f>
        <v/>
      </c>
      <c r="AG100" s="20" t="str" cm="1">
        <f t="array" ca="1" aca="1" ref="AG100">IF(NOT($L100),"",_xlfn.LET(_xlpm._mappedInMitigation,IFERROR(VLOOKUP($V100,'Attack Steps'!$A:$O,COLUMNS('Attack Steps'!$A:$O),FALSE),""),CreateSearchString(_xlpm._mappedInMitigation)))</f>
        <v/>
      </c>
      <c r="AH100" s="20" t="b">
        <f ca="1">ROW()-ROW($AH$17)=Helper!$B$15</f>
        <v>0</v>
      </c>
      <c r="AI100" s="20" t="str">
        <f t="shared" ca="1" si="26"/>
        <v/>
      </c>
      <c r="AJ100" s="20" cm="1">
        <f t="array" ca="1" aca="1" ref="AJ100">CreateID($AJ$17,$AJ:$AJ,$AI100&lt;&gt;"")</f>
        <v>0</v>
      </c>
    </row>
    <row r="101" spans="1:36" ht="15">
      <c r="A101" s="33" t="str">
        <f ca="1">_xlfn.LET(_xlpm._isAssumption,$J101,_xlpm._row,$K101,_xlpm._numActiveAssumptions,Helper!$B$8,_xlpm._numActiveCountermeasures,Helper!$B$9,_xlpm._numAdditionalAssumptions,Helper!$B$10,_xlpm._numAdditionalCountermeasures,Helper!$B$11,IF(_xlpm._isAssumption,IF(_xlpm._row&gt;_xlpm._numActiveAssumptions,$V101&amp;"-A"&amp;$Q101,INDEX(Assumptions!A:A,MATCH(_xlpm._row,Assumptions!$AG:$AG,0))),IF(_xlpm._row&gt;_xlpm._numActiveCountermeasures+_xlpm._numAdditionalCountermeasures,"",IF(_xlpm._row&gt;_xlpm._numActiveCountermeasures,$V101&amp;"-C"&amp;$Q101,INDEX(Countermeasures!$A:$A,MATCH(_xlpm._row,Countermeasures!$AI:$AI,0))))))</f>
        <v/>
      </c>
      <c r="B101" s="33" t="str" cm="1">
        <f t="array" ca="1" aca="1" ref="B101">IF($A101="","",_xlfn.LET(_xlpm._isAssumption,$J101,_xlpm._isAdditionalElement,$L101,IF(_xlpm._isAdditionalElement,IF(_xlpm._isAssumption,ParseElementsFromComment($U101,Definitions!$AR$4,Definitions!$AS$4,Definitions!$AR$6,$Q101),ParseElementsFromComment($U101,Definitions!$AR$5,Definitions!$AS$5,Definitions!$AR$6,$Q101)),_xlfn.LET(_xlpm._value,IF($A101="","",IF($J101,SimpleLookup($A101,Assumptions!$A:$B),SimpleLookup($A101,Countermeasures!$A:$B))),IF(_xlpm._value="","",_xlpm._value)))))</f>
        <v/>
      </c>
      <c r="C101" s="33" t="str" cm="1">
        <f t="array" ca="1" aca="1" ref="C101">IF($A101="","",IF($J101,IFERROR(SimpleLookup($A101,Assumptions!$A:$E),""),Definitions!$AO$4))</f>
        <v/>
      </c>
      <c r="D101" s="37" t="str">
        <f t="shared" ca="1" si="22"/>
        <v/>
      </c>
      <c r="E101" s="23"/>
      <c r="F101" s="59" t="str">
        <f t="shared" ca="1" si="23"/>
        <v/>
      </c>
      <c r="G101" s="122" t="str" cm="1">
        <f t="array" ca="1" aca="1" ref="G101">_xlfn.LET(_xlpm._val,IFERROR(SimpleLookup($A101,Countermeasures!$A:$R),IFERROR(SimpleLookup($A101,Assumptions!$A:$R),"")),IF(_xlpm._val="","",_xlpm._val))</f>
        <v/>
      </c>
      <c r="H101" s="33" t="str" cm="1">
        <f t="array" ca="1" aca="1" ref="H101">_xlfn.LET(_xlpm._value,IF($A101="","",IFERROR(IF($J101,SimpleLookup($A101,Assumptions!$A:$S),SimpleLookup($A101,Countermeasures!$A:$S)),"")),IF(_xlpm._value="","",_xlpm._value))</f>
        <v/>
      </c>
      <c r="I101" s="10" cm="1">
        <f t="array" ca="1" aca="1" ref="I101">IF(ROW()=ROW($I$17)+1,0,INDEX($I:$I,ROW()-1))+IF($A101="",0,1)</f>
        <v>34</v>
      </c>
      <c r="J101" s="21" t="b">
        <f ca="1">_xlfn.LET(_xlpm._row,ROW()-ROW($K$17),_xlpm._numActiveAssumptions,Helper!$B$8,_xlpm._numAdditionalAssumptions,SUM(Table24['# Elements]),_xlpm._row&lt;=_xlpm._numActiveAssumptions+_xlpm._numAdditionalAssumptions)</f>
        <v>0</v>
      </c>
      <c r="K101" s="21">
        <f ca="1">_xlfn.LET(_xlpm._row,ROW()-ROW($K$17),_xlpm._numActiveAssumptions,Helper!$B$8,_xlpm._numAdditionalAssumptions,Helper!$B$10,_xlpm._isAssumption,$J101,_xlpm._elementID,IF(_xlpm._isAssumption,_xlpm._row,_xlpm._row-_xlpm._numActiveAssumptions-_xlpm._numAdditionalAssumptions),_xlpm._elementID)</f>
        <v>66</v>
      </c>
      <c r="L101" s="20" t="b">
        <f ca="1">_xlfn.LET(_xlpm._row,ROW()-ROW($K$17),_xlpm._numActiveAssumptions,Helper!$B$8,_xlpm._numActiveCountermeasures,Helper!$B$9,_xlpm._numAdditionalAssumptions,Helper!$B$10,_xlpm._numAdditionalCountermeasures,Helper!$B$11,OR(AND(_xlpm._row&gt;_xlpm._numActiveAssumptions,_xlpm._row&lt;=_xlpm._numActiveAssumptions+_xlpm._numAdditionalAssumptions),AND(_xlpm._row&gt;_xlpm._numActiveAssumptions+_xlpm._numAdditionalAssumptions+_xlpm._numActiveCountermeasures,_xlpm._row&lt;=_xlpm._numActiveAssumptions+_xlpm._numAdditionalAssumptions+_xlpm._numActiveCountermeasures+_xlpm._numAdditionalCountermeasures)))</f>
        <v>0</v>
      </c>
      <c r="M101" s="20" cm="1">
        <f t="array" ca="1" aca="1" ref="M101">IF($L101,IF(ROW()=ROW($M$17)+1,1,INDEX($M:$M,ROW()-1)+IF(INDEX($T:$T,ROW()-1),1,0)),1)</f>
        <v>1</v>
      </c>
      <c r="N101" s="20" t="str" cm="1">
        <f t="array" ca="1" aca="1" ref="N101">IF($L101=TRUE,_xlfn.LET(_xlpm._isAssumption,$J101,_xlpm._indexRange,IF(_xlpm._isAssumption,Table24['# Elements],Table25['# Elements]),_xlpm._lookupRow,$W101,INDEX(_xlpm._indexRange,_xlpm._lookupRow)),"")</f>
        <v/>
      </c>
      <c r="O101" s="20" t="str" cm="1">
        <f t="array" ca="1" aca="1" ref="O101">IF($N101="","",_xlfn.LET(_xlpm._prevRow,ROW()-1,IF(OR(INDEX($N:$N,_xlpm._prevRow)&lt;&gt;$N101,INDEX($M:$M,_xlpm._prevRow)&lt;&gt;$M101),1,INDEX($O:$O,_xlpm._prevRow)+IF(INDEX($S:$S,_xlpm._prevRow),1,0))))</f>
        <v/>
      </c>
      <c r="P101" s="20" t="str" cm="1">
        <f t="array" ca="1" aca="1" ref="P101">IF($O101="","",_xlfn.LET(_xlpm._isAssumption,$J101,_xlpm._sheetRow,$W101,_xlpm._sheetName,$X101,_xlpm._elementIDRange,IF(_xlpm._isAssumption,Table24[Element ID Column],Table25[Element ID Column]),_xlpm._numberOfElementsRange,IF(_xlpm._isAssumption,Table24[Number of Elements Column],Table25[Number of Elements Column]),SimpleLookup($O101,INDIRECT("'"&amp;_xlpm._sheetName&amp;"'!"&amp;INDEX(_xlpm._elementIDRange,_xlpm._sheetRow)&amp;":"&amp;INDEX(_xlpm._numberOfElementsRange,_xlpm._sheetRow)))))</f>
        <v/>
      </c>
      <c r="Q101" s="20" t="str" cm="1">
        <f t="array" ca="1" aca="1" ref="Q101">IF($O101="","",IF(OR(INDEX($O:$O,ROW()-1)&lt;&gt;$O101,INDEX($M:$M,ROW()-1)&lt;&gt;$M101),1,INDEX($Q:$Q,ROW()-1)+1))</f>
        <v/>
      </c>
      <c r="R101" s="20">
        <f t="shared" ca="1" si="24"/>
        <v>0</v>
      </c>
      <c r="S101" s="20" t="str">
        <f t="shared" ca="1" si="25"/>
        <v/>
      </c>
      <c r="T101" s="20" t="b">
        <f ca="1">_xlfn.LET(_xlpm._isAssumption,$J101,_xlpm._numberOfElementsRange,IF(_xlpm._isAssumption,Table24['# Elements],Table25['# Elements]),_xlpm._sheetRow,$W101,IF($L101,AND($S101,$R101=$N101),FALSE))</f>
        <v>0</v>
      </c>
      <c r="U101" s="20" t="str" cm="1">
        <f t="array" ca="1" aca="1" ref="U101">IF($L101,_xlfn.LET(_xlpm._elementID,$O101,_xlpm._isAssumption,$J101,_xlpm._sheetRow,$W101,_xlpm._sheetName,$X101,_xlpm._elementRow,$Y101,_xlpm._resultColumnLetter,IF(_xlpm._isAssumption,INDEX(Table24[Comment Column],_xlpm._sheetRow),INDEX(Table25[Comment Column],_xlpm._sheetRow)),INDEX(INDIRECT("'"&amp;_xlpm._sheetName&amp;"'!"&amp;_xlpm._resultColumnLetter&amp;":"&amp;_xlpm._resultColumnLetter),_xlpm._elementRow)),"")</f>
        <v/>
      </c>
      <c r="V101" s="20" t="str" cm="1">
        <f t="array" ca="1" aca="1" ref="V101">IF($L101,_xlfn.LET(_xlpm._elementID,$O101,_xlpm._isAssumption,$J101,_xlpm._sheetRow,$W101,_xlpm._sheetName,$X101,_xlpm._resultColumnLetter,IF(_xlpm._isAssumption,INDEX(Table24[Sheet ID Column],_xlpm._sheetRow),INDEX(Table25[Sheet ID Column],_xlpm._sheetRow)),_xlpm._elementIDColumnLetter,IF(_xlpm._isAssumption,INDEX(Table24[Element ID Column],_xlpm._sheetRow),INDEX(Table25[Element ID Column],_xlpm._sheetRow)),INDEX(INDIRECT("'"&amp;_xlpm._sheetName&amp;"'!"&amp;_xlpm._resultColumnLetter&amp;":"&amp;_xlpm._resultColumnLetter),MATCH(_xlpm._elementID,INDIRECT("'"&amp;_xlpm._sheetName&amp;"'!"&amp;_xlpm._elementIDColumnLetter&amp;":"&amp;_xlpm._elementIDColumnLetter),0))),"")</f>
        <v/>
      </c>
      <c r="W101" s="20" t="str">
        <f ca="1">IF($L101=TRUE,_xlfn.LET(_xlpm._isAssumption,$J101,_xlpm._searchRange,IF(_xlpm._isAssumption,Table24[Task Sheet Shadow ID],Table25[Task Sheet Shadow ID]),MATCH($M101,_xlpm._searchRange,0)),"")</f>
        <v/>
      </c>
      <c r="X101" s="20" t="str" cm="1">
        <f t="array" ca="1" aca="1" ref="X101">IF($L101,_xlfn.LET(_xlpm._isAssumption,$J101,_xlpm._sheetRow,$W101,IF(_xlpm._isAssumption,INDEX(Table24[Sheet Name],_xlpm._sheetRow),INDEX(Table25[Sheet Name],_xlpm._sheetRow))),"")</f>
        <v/>
      </c>
      <c r="Y101" s="20" t="str" cm="1">
        <f t="array" ca="1" aca="1" ref="Y101">IF($L101,_xlfn.LET(_xlpm._elementID,$O101,_xlpm._isAssumption,$J101,_xlpm._sheetRow,$W101,_xlpm._sheetName,$X101,_xlpm._elementIDColumnLetter,IF(_xlpm._isAssumption,INDEX(Table24[Element ID Column],_xlpm._sheetRow),INDEX(Table25[Element ID Column],_xlpm._sheetRow)),MATCH(_xlpm._elementID,INDIRECT("'"&amp;_xlpm._sheetName&amp;"'!"&amp;_xlpm._elementIDColumnLetter&amp;":"&amp;_xlpm._elementIDColumnLetter),0)),"")</f>
        <v/>
      </c>
      <c r="Z101" s="20" t="str" cm="1">
        <f t="array" ca="1" aca="1" ref="Z101">IF($A101="","",_xlfn.LET(_xlpm._isAssumption,$J101,_xlpm._isAdditionalElement,$L101,_xlpm._sheetRow,$W101,_xlpm._sheetName,$X101,_xlpm._columnLetter,INDEX(IF(_xlpm._isAdditionalElement,Table24[Comment Column],Table25[Comment Column]),_xlpm._sheetRow),_xlpm._sheetReference,IF(_xlpm._isAssumption,IF(_xlpm._isAdditionalElement,CELL("address",INDEX(INDIRECT("'"&amp;_xlpm._sheetName&amp;"'!"&amp;_xlpm._columnLetter&amp;":"&amp;_xlpm._columnLetter),$Y101)),CELL("address",INDEX(Assumptions!$A:$A,MATCH($A101,Assumptions!$A:$A,0),1))),IF(_xlpm._isAdditionalElement,CELL("address",INDEX(INDIRECT("'"&amp;_xlpm._sheetName&amp;"'!"&amp;_xlpm._columnLetter&amp;":"&amp;_xlpm._columnLetter),$Y101)),CELL("address",INDEX(Countermeasures!$A:$A,MATCH($A101,Countermeasures!$A:$A,0),1)))),_xlpm._start,FIND("]",_xlpm._sheetReference),"'"&amp;SUBSTITUTE(SUBSTITUTE(RIGHT(_xlpm._sheetReference,LEN(_xlpm._sheetReference)-_xlpm._start),"'",""),"!","'!")))</f>
        <v/>
      </c>
      <c r="AA101" s="20" t="str" cm="1">
        <f t="array" ca="1" aca="1" ref="AA101">IF(NOT($L101),_xlfn.LET(_xlpm._value,IF($A101="","",IF($J101,SimpleLookup($A101,Assumptions!$A:$AK),SimpleLookup($A101,Countermeasures!$A:$AN))),IF(_xlpm._value="","",_xlpm._value)),"")</f>
        <v/>
      </c>
      <c r="AB101" s="20" t="str" cm="1">
        <f t="array" ca="1" aca="1" ref="AB101">LookupNames(InverseLookup($A101,Mitigation!$AD$2,Mitigation!$A$2,1,Helper!$B$5,","),'Attack Steps'!$A:$B)</f>
        <v/>
      </c>
      <c r="AC101" s="20" t="str" cm="1">
        <f t="array" ca="1" aca="1" ref="AC101">IF($L101,_xlfn.LET(_xlpm._in,$A101,_xlpm._lastDashNum,LEN(_xlpm._in)-LEN(SUBSTITUTE(_xlpm._in,"-","")),_xlpm._lastDashPos,FIND(CHAR(1),SUBSTITUTE(_xlpm._in,"-",CHAR(1),_xlpm._lastDashNum)),_xlpm._id,LEFT(_xlpm._in,_xlpm._lastDashPos-1),_xlpm._id&amp;" "&amp;IFERROR(SimpleLookup(_xlpm._id,Questions!$A:$B),IFERROR(SimpleLookup(_xlpm._id,Mitigation!$A:$B),IFERROR(SimpleLookup(_xlpm._id,'Risk Treatment'!$C:$D),"Error: Unknown ID: "&amp;_xlpm._id)))),"")</f>
        <v/>
      </c>
      <c r="AD101" s="20" t="str" cm="1">
        <f t="array" ca="1" aca="1" ref="AD101">_xlfn.LET(_xlpm._countermeasures,InverseLookup($A101,Countermeasures!$AG$2,Countermeasures!$A$2,1,Helper!$B$4,","),LookupNames(_xlpm._countermeasures,Countermeasures!$A:$B))</f>
        <v/>
      </c>
      <c r="AE101" s="20" t="str" cm="1">
        <f t="array" ca="1" aca="1" ref="AE101">IF($E101="","",_xlfn.LET(_xlpm._id,$E101,_xlpm._sheetReference,IF(IFERROR(MATCH(_xlpm._id,Countermeasures!$A:$A,0)&gt;0,FALSE),CELL("address",INDEX(Countermeasures!$A:$A,MATCH(_xlpm._id,Countermeasures!$A:$A,0))),IF(IFERROR(MATCH(_xlpm._id,Questionnaire!$A:$A,0)&gt;0,FALSE),CELL("address",INDEX(Questionnaire!$A:$A,MATCH(_xlpm._id,Questionnaire!$A:$A,0))),IF(IFERROR(MATCH(_xlpm._id,Mitigation!$A:$A,0)&gt;0,FALSE),CELL("address",INDEX(Mitigation!$A:$A,MATCH(_xlpm._id,Mitigation!$A:$A,0))),IF(IFERROR(MATCH(_xlpm._id,'Risk Treatment'!$C:$C,0)&gt;0,FALSE),CELL("address",INDEX('Risk Treatment'!$C:$C,MATCH(_xlpm._id,'Risk Treatment'!$C:$C,0))),IF(IFERROR(MATCH(_xlpm._id,Assumptions!$A:$A,0)&gt;0,FALSE),CELL("address",INDEX(Assumptions!$A:$A,MATCH(_xlpm._id,Assumptions!$A:$A,0))),""))))),_xlpm._start,IF(_xlpm._sheetReference="",0,FIND("]",_xlpm._sheetReference)),IF(_xlpm._sheetReference="","","'"&amp;SUBSTITUTE(SUBSTITUTE(RIGHT(_xlpm._sheetReference,LEN(_xlpm._sheetReference)-_xlpm._start),"'",""),"!","'!"))))</f>
        <v/>
      </c>
      <c r="AF101" s="20" t="str" cm="1">
        <f t="array" ca="1" aca="1" ref="AF101">IF(OR($A101="",$L101),"",_xlfn.LET(_xlpm._answers,IF($J101,SimpleLookup($A101,Assumptions!$A:$F),SimpleLookup($A101,Countermeasures!$A:$D)),IF(_xlpm._answers="*",IF($J101,SimpleLookup($A101,Assumptions!$A:$C),SimpleLookup($A101,Countermeasures!$A:$C)),"")))</f>
        <v/>
      </c>
      <c r="AG101" s="20" t="str" cm="1">
        <f t="array" ca="1" aca="1" ref="AG101">IF(NOT($L101),"",_xlfn.LET(_xlpm._mappedInMitigation,IFERROR(VLOOKUP($V101,'Attack Steps'!$A:$O,COLUMNS('Attack Steps'!$A:$O),FALSE),""),CreateSearchString(_xlpm._mappedInMitigation)))</f>
        <v/>
      </c>
      <c r="AH101" s="20" t="b">
        <f ca="1">ROW()-ROW($AH$17)=Helper!$B$15</f>
        <v>0</v>
      </c>
      <c r="AI101" s="20" t="str">
        <f t="shared" ca="1" si="26"/>
        <v/>
      </c>
      <c r="AJ101" s="20" cm="1">
        <f t="array" ca="1" aca="1" ref="AJ101">CreateID($AJ$17,$AJ:$AJ,$AI101&lt;&gt;"")</f>
        <v>0</v>
      </c>
    </row>
  </sheetData>
  <sheetProtection password="E8B3" sheet="1" objects="1" scenarios="1"/>
  <conditionalFormatting sqref="A1:H1048576">
    <cfRule type="expression" priority="392" dxfId="17">
      <formula>AND($J1=TRUE,$J2=FALSE)</formula>
    </cfRule>
  </conditionalFormatting>
  <conditionalFormatting sqref="A1048556:H1048576">
    <cfRule type="expression" priority="426" dxfId="17">
      <formula>AND($J1048556=TRUE,$J1=FALSE)</formula>
    </cfRule>
  </conditionalFormatting>
  <conditionalFormatting sqref="A1:H1048576">
    <cfRule type="expression" priority="1" dxfId="41">
      <formula>AND(ROW(A1)&gt;ROW($A$17),ROW(A1)-ROW($A$17)&lt;=Helper!$B$15,$A1="")</formula>
    </cfRule>
  </conditionalFormatting>
  <pageMargins left="0.7" right="0.7" top="0.75" bottom="0.75" header="0.3" footer="0.3"/>
  <pageSetup orientation="portrait" paperSize="9" r:id="rId4"/>
  <tableParts>
    <tablePart r:id="rId1"/>
    <tablePart r:id="rId2"/>
    <tablePart r:id="rId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600001-44BE-4993-9DE6-878422F50B2A}">
  <sheetPr>
    <tabColor theme="3"/>
  </sheetPr>
  <dimension ref="A1:H15"/>
  <sheetViews>
    <sheetView windowProtection="1" workbookViewId="0" topLeftCell="A8">
      <selection pane="topLeft" activeCell="F3" sqref="F3"/>
    </sheetView>
  </sheetViews>
  <sheetFormatPr defaultColWidth="9.14428571428571" defaultRowHeight="15"/>
  <cols>
    <col min="1" max="1" width="9.14285714285714" style="2"/>
    <col min="2" max="2" width="60.7142857142857" style="2" customWidth="1"/>
    <col min="3" max="3" width="17.8571428571429" style="2" customWidth="1"/>
    <col min="4" max="4" width="60.7142857142857" style="12" customWidth="1"/>
    <col min="5" max="5" width="60.7142857142857" style="8" customWidth="1"/>
    <col min="6" max="6" width="45.7142857142857" style="2" customWidth="1"/>
    <col min="7" max="7" width="12.5714285714286" style="2" hidden="1" customWidth="1"/>
    <col min="8" max="8" width="9.42857142857143" style="2" hidden="1" customWidth="1"/>
    <col min="9" max="16384" width="9.14285714285714" style="2"/>
  </cols>
  <sheetData>
    <row r="1" spans="1:6" s="115"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$16,A$2,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$16,B$2,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$16,C$2,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$16,D$2,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$16,E$2,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$16,F$2,README!$E:$E,README!$I$36,README!$B$36)</f>
        <v>◈</v>
      </c>
    </row>
    <row r="2" spans="1:8" ht="15">
      <c r="A2" s="13" t="s">
        <v>635</v>
      </c>
      <c r="B2" s="13" t="s">
        <v>640</v>
      </c>
      <c r="C2" s="16" t="s">
        <v>636</v>
      </c>
      <c r="D2" s="56" t="s">
        <v>643</v>
      </c>
      <c r="E2" s="16" t="s">
        <v>649</v>
      </c>
      <c r="F2" s="13" t="s">
        <v>3</v>
      </c>
      <c r="G2" s="13" t="s">
        <v>54</v>
      </c>
      <c r="H2" s="13" t="s">
        <v>230</v>
      </c>
    </row>
    <row r="3" spans="1:8" ht="30">
      <c r="A3" s="13" t="s">
        <v>602</v>
      </c>
      <c r="B3" s="13" t="s">
        <v>1616</v>
      </c>
      <c r="C3" s="16" t="str" cm="1">
        <f t="array" ca="1" aca="1" ref="C3">_xlfn.LET(_xlpm._countermeasures,InverseLookup($A3,Countermeasures!$AJ$2,Countermeasures!$A$2,1,Helper!$B$4,","),_xlpm._assumptions,InverseLookup($A3,Assumptions!$AH$3,Assumptions!$A$3,1,Helper!$B$6,","),_xlpm._indirectCountermeasures,InverseLookup($A3,Countermeasures!$AQ$2,Countermeasures!$A$2,1,Helper!$B$4,","),_xlpm._indirectAssumptions,InverseLookup($A3,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
      </c>
      <c r="D3" s="36" t="str" cm="1">
        <f t="array" ca="1" aca="1" ref="D3">_xlfn.LET(_xlpm._countermeasures,RemoveDelimiter(GetValuesIgnoreErrors(SanitizeInput($C3),Countermeasures!$A:$B," ",","&amp;CHAR(10),TRUE),","&amp;CHAR(10)),_xlpm._assumptions,RemoveDelimiter(GetValuesIgnoreErrors(SanitizeInput($C3),Assumptions!$A:$AI," ",","&amp;CHAR(10),TRUE),","&amp;CHAR(10)),_xlpm._delimiter,CHAR(10)&amp;REPT(CHAR(150),65)&amp;CHAR(10),_xlpm._countermeasures&amp;IF(OR(_xlpm._countermeasures="",_xlpm._assumptions=""),"",_xlpm._delimiter)&amp;_xlpm._assumptions)</f>
        <v/>
      </c>
      <c r="E3" s="16" t="str" cm="1">
        <f t="array" ca="1" aca="1" ref="E3">RemoveDelimiter(InverseLookup($A3,'Risk Treatment'!$AF$4,'Risk Treatment'!$AG$4,1,10000,","&amp;CHAR(10)),","&amp;CHAR(10))</f>
        <v/>
      </c>
      <c r="F3" s="23"/>
      <c r="G3" s="23" cm="1">
        <f t="array" ref="G3">CreateID($G$2,$G:$G,$A3&lt;&gt;"")</f>
        <v>1</v>
      </c>
      <c r="H3" s="23" cm="1">
        <f t="array" ref="H3">CreateTaskID($H$2,$H:$H,Tasks!$B$17,$F3)</f>
        <v>0</v>
      </c>
    </row>
    <row r="4" spans="1:8" ht="75">
      <c r="A4" s="13" t="s">
        <v>600</v>
      </c>
      <c r="B4" s="13" t="s">
        <v>1617</v>
      </c>
      <c r="C4" s="33" t="str" cm="1">
        <f t="array" ca="1" aca="1" ref="C4">_xlfn.LET(_xlpm._countermeasures,InverseLookup($A4,Countermeasures!$AJ$2,Countermeasures!$A$2,1,Helper!$B$4,","),_xlpm._assumptions,InverseLookup($A4,Assumptions!$AH$3,Assumptions!$A$3,1,Helper!$B$6,","),_xlpm._indirectCountermeasures,InverseLookup($A4,Countermeasures!$AQ$2,Countermeasures!$A$2,1,Helper!$B$4,","),_xlpm._indirectAssumptions,InverseLookup($A4,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A34</v>
      </c>
      <c r="D4" s="37" t="str" cm="1">
        <f t="array" ca="1" aca="1" ref="D4">_xlfn.LET(_xlpm._countermeasures,RemoveDelimiter(GetValuesIgnoreErrors(SanitizeInput($C4),Countermeasures!$A:$B," ",","&amp;CHAR(10),TRUE),","&amp;CHAR(10)),_xlpm._assumptions,RemoveDelimiter(GetValuesIgnoreErrors(SanitizeInput($C4),Assumptions!$A:$AI," ",","&amp;CHAR(10),TRUE),","&amp;CHAR(10)),_xlpm._delimiter,CHAR(10)&amp;REPT(CHAR(150),65)&amp;CHAR(10),_xlpm._countermeasures&amp;IF(OR(_xlpm._countermeasures="",_xlpm._assumptions=""),"",_xlpm._delimiter)&amp;_xlpm._assumptions)</f>
        <v>A34 SDR 2.10 - The product is delivered with a secure by default configuration [acontis techonlogies GmbH]</v>
      </c>
      <c r="E4" s="33" t="str" cm="1">
        <f t="array" ca="1" aca="1" ref="E4">RemoveDelimiter(InverseLookup($A4,'Risk Treatment'!$AF$4,'Risk Treatment'!$AG$4,1,10000,","&amp;CHAR(10)),","&amp;CHAR(10))</f>
        <v/>
      </c>
      <c r="F4" s="23"/>
      <c r="G4" s="23" cm="1">
        <f t="array" ref="G4">CreateID($G$2,$G:$G,$A4&lt;&gt;"")</f>
        <v>2</v>
      </c>
      <c r="H4" s="23" cm="1">
        <f t="array" ref="H4">CreateTaskID($H$2,$H:$H,Tasks!$B$17,$F4)</f>
        <v>0</v>
      </c>
    </row>
    <row r="5" spans="1:8" ht="90">
      <c r="A5" s="13" t="s">
        <v>605</v>
      </c>
      <c r="B5" s="13" t="s">
        <v>1618</v>
      </c>
      <c r="C5" s="33" t="str" cm="1">
        <f t="array" ca="1" aca="1" ref="C5">_xlfn.LET(_xlpm._countermeasures,InverseLookup($A5,Countermeasures!$AJ$2,Countermeasures!$A$2,1,Helper!$B$4,","),_xlpm._assumptions,InverseLookup($A5,Assumptions!$AH$3,Assumptions!$A$3,1,Helper!$B$6,","),_xlpm._indirectCountermeasures,InverseLookup($A5,Countermeasures!$AQ$2,Countermeasures!$A$2,1,Helper!$B$4,","),_xlpm._indirectAssumptions,InverseLookup($A5,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CM23</v>
      </c>
      <c r="D5" s="37" t="str" cm="1">
        <f t="array" ca="1" aca="1" ref="D5">_xlfn.LET(_xlpm._countermeasures,RemoveDelimiter(GetValuesIgnoreErrors(SanitizeInput($C5),Countermeasures!$A:$B," ",","&amp;CHAR(10),TRUE),","&amp;CHAR(10)),_xlpm._assumptions,RemoveDelimiter(GetValuesIgnoreErrors(SanitizeInput($C5),Assumptions!$A:$AI," ",","&amp;CHAR(10),TRUE),","&amp;CHAR(10)),_xlpm._delimiter,CHAR(10)&amp;REPT(CHAR(150),65)&amp;CHAR(10),_xlpm._countermeasures&amp;IF(OR(_xlpm._countermeasures="",_xlpm._assumptions=""),"",_xlpm._delimiter)&amp;_xlpm._assumptions)</f>
        <v>CM23 Hardware exchange</v>
      </c>
      <c r="E5" s="33" t="str" cm="1">
        <f t="array" ca="1" aca="1" ref="E5">RemoveDelimiter(InverseLookup($A5,'Risk Treatment'!$AF$4,'Risk Treatment'!$AG$4,1,10000,","&amp;CHAR(10)),","&amp;CHAR(10))</f>
        <v/>
      </c>
      <c r="F5" s="23"/>
      <c r="G5" s="23" cm="1">
        <f t="array" ref="G5">CreateID($G$2,$G:$G,$A5&lt;&gt;"")</f>
        <v>3</v>
      </c>
      <c r="H5" s="23" cm="1">
        <f t="array" ref="H5">CreateTaskID($H$2,$H:$H,Tasks!$B$17,$F5)</f>
        <v>0</v>
      </c>
    </row>
    <row r="6" spans="1:8" ht="60">
      <c r="A6" s="13" t="s">
        <v>607</v>
      </c>
      <c r="B6" s="13" t="s">
        <v>1619</v>
      </c>
      <c r="C6" s="16" t="str" cm="1">
        <f t="array" ca="1" aca="1" ref="C6">_xlfn.LET(_xlpm._countermeasures,InverseLookup($A6,Countermeasures!$AJ$2,Countermeasures!$A$2,1,Helper!$B$4,","),_xlpm._assumptions,InverseLookup($A6,Assumptions!$AH$3,Assumptions!$A$3,1,Helper!$B$6,","),_xlpm._indirectCountermeasures,InverseLookup($A6,Countermeasures!$AQ$2,Countermeasures!$A$2,1,Helper!$B$4,","),_xlpm._indirectAssumptions,InverseLookup($A6,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A12, A36</v>
      </c>
      <c r="D6" s="36" t="str" cm="1">
        <f t="array" ca="1" aca="1" ref="D6">_xlfn.LET(_xlpm._countermeasures,RemoveDelimiter(GetValuesIgnoreErrors(SanitizeInput($C6),Countermeasures!$A:$B," ",","&amp;CHAR(10),TRUE),","&amp;CHAR(10)),_xlpm._assumptions,RemoveDelimiter(GetValuesIgnoreErrors(SanitizeInput($C6),Assumptions!$A:$AI," ",","&amp;CHAR(10),TRUE),","&amp;CHAR(10)),_xlpm._delimiter,CHAR(10)&amp;REPT(CHAR(150),65)&amp;CHAR(10),_xlpm._countermeasures&amp;IF(OR(_xlpm._countermeasures="",_xlpm._assumptions=""),"",_xlpm._delimiter)&amp;_xlpm._assumptions)</f>
        <v>A12 SDR 1.10 – Device operates in trustworthy operational environment [Customer],
A36 SDR 1.18 - Well-protected trustworthy wireless network [Customer]</v>
      </c>
      <c r="E6" s="16" t="str" cm="1">
        <f t="array" ca="1" aca="1" ref="E6">RemoveDelimiter(InverseLookup($A6,'Risk Treatment'!$AF$4,'Risk Treatment'!$AG$4,1,10000,","&amp;CHAR(10)),","&amp;CHAR(10))</f>
        <v/>
      </c>
      <c r="F6" s="23"/>
      <c r="G6" s="23" cm="1">
        <f t="array" ref="G6">CreateID($G$2,$G:$G,$A6&lt;&gt;"")</f>
        <v>4</v>
      </c>
      <c r="H6" s="23" cm="1">
        <f t="array" ref="H6">CreateTaskID($H$2,$H:$H,Tasks!$B$17,$F6)</f>
        <v>0</v>
      </c>
    </row>
    <row r="7" spans="1:8" ht="84.75">
      <c r="A7" s="13" t="s">
        <v>608</v>
      </c>
      <c r="B7" s="13" t="s">
        <v>1620</v>
      </c>
      <c r="C7" s="16" t="str" cm="1">
        <f t="array" ca="1" aca="1" ref="C7">_xlfn.LET(_xlpm._countermeasures,InverseLookup($A7,Countermeasures!$AJ$2,Countermeasures!$A$2,1,Helper!$B$4,","),_xlpm._assumptions,InverseLookup($A7,Assumptions!$AH$3,Assumptions!$A$3,1,Helper!$B$6,","),_xlpm._indirectCountermeasures,InverseLookup($A7,Countermeasures!$AQ$2,Countermeasures!$A$2,1,Helper!$B$4,","),_xlpm._indirectAssumptions,InverseLookup($A7,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A3, A4, A12, A24, A36</v>
      </c>
      <c r="D7" s="36" t="str" cm="1">
        <f t="array" ca="1" aca="1" ref="D7">_xlfn.LET(_xlpm._countermeasures,RemoveDelimiter(GetValuesIgnoreErrors(SanitizeInput($C7),Countermeasures!$A:$B," ",","&amp;CHAR(10),TRUE),","&amp;CHAR(10)),_xlpm._assumptions,RemoveDelimiter(GetValuesIgnoreErrors(SanitizeInput($C7),Assumptions!$A:$AI," ",","&amp;CHAR(10),TRUE),","&amp;CHAR(10)),_xlpm._delimiter,CHAR(10)&amp;REPT(CHAR(150),65)&amp;CHAR(10),_xlpm._countermeasures&amp;IF(OR(_xlpm._countermeasures="",_xlpm._assumptions=""),"",_xlpm._delimiter)&amp;_xlpm._assumptions)</f>
        <v>A3 SDR 1.2 – Handling of personal data [Customer],
A4 SDR 2.1 – No legal or contractual obligations for data confidentiality [acontis techonlogies GmbH],
A12 SDR 1.10 – Device operates in trustworthy operational environment [Customer],
A24 SDR 1.21 - Product not storing secrets [Customer],
A36 SDR 1.18 - Well-protected trustworthy wireless network [Customer]</v>
      </c>
      <c r="E7" s="16" t="str" cm="1">
        <f t="array" ca="1" aca="1" ref="E7">RemoveDelimiter(InverseLookup($A7,'Risk Treatment'!$AF$4,'Risk Treatment'!$AG$4,1,10000,","&amp;CHAR(10)),","&amp;CHAR(10))</f>
        <v/>
      </c>
      <c r="F7" s="23"/>
      <c r="G7" s="23" cm="1">
        <f t="array" ref="G7">CreateID($G$2,$G:$G,$A7&lt;&gt;"")</f>
        <v>5</v>
      </c>
      <c r="H7" s="23" cm="1">
        <f t="array" ref="H7">CreateTaskID($H$2,$H:$H,Tasks!$B$17,$F7)</f>
        <v>0</v>
      </c>
    </row>
    <row r="8" spans="1:8" ht="84.75">
      <c r="A8" s="13" t="s">
        <v>604</v>
      </c>
      <c r="B8" s="13" t="s">
        <v>1621</v>
      </c>
      <c r="C8" s="16" t="str" cm="1">
        <f t="array" ca="1" aca="1" ref="C8">_xlfn.LET(_xlpm._countermeasures,InverseLookup($A8,Countermeasures!$AJ$2,Countermeasures!$A$2,1,Helper!$B$4,","),_xlpm._assumptions,InverseLookup($A8,Assumptions!$AH$3,Assumptions!$A$3,1,Helper!$B$6,","),_xlpm._indirectCountermeasures,InverseLookup($A8,Countermeasures!$AQ$2,Countermeasures!$A$2,1,Helper!$B$4,","),_xlpm._indirectAssumptions,InverseLookup($A8,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C13, C14, C16, A12, A36</v>
      </c>
      <c r="D8" s="36" t="str" cm="1">
        <f t="array" ca="1" aca="1" ref="D8">_xlfn.LET(_xlpm._countermeasures,RemoveDelimiter(GetValuesIgnoreErrors(SanitizeInput($C8),Countermeasures!$A:$B," ",","&amp;CHAR(10),TRUE),","&amp;CHAR(10)),_xlpm._assumptions,RemoveDelimiter(GetValuesIgnoreErrors(SanitizeInput($C8),Assumptions!$A:$AI," ",","&amp;CHAR(10),TRUE),","&amp;CHAR(10)),_xlpm._delimiter,CHAR(10)&amp;REPT(CHAR(150),65)&amp;CHAR(10),_xlpm._countermeasures&amp;IF(OR(_xlpm._countermeasures="",_xlpm._assumptions=""),"",_xlpm._delimiter)&amp;_xlpm._assumptions)</f>
        <v>C13 CR 3.3 – Security functionality verification,
C14 CR 3.4 – Software and information integrity,
C16 CR 3.6 – Deterministic output
–––––––––––––––––––––––––––––––––––––––––––––––––––––––––––––––––
A12 SDR 1.10 – Device operates in trustworthy operational environment [Customer],
A36 SDR 1.18 - Well-protected trustworthy wireless network [Customer]</v>
      </c>
      <c r="E8" s="16" t="str" cm="1">
        <f t="array" ca="1" aca="1" ref="E8">RemoveDelimiter(InverseLookup($A8,'Risk Treatment'!$AF$4,'Risk Treatment'!$AG$4,1,10000,","&amp;CHAR(10)),","&amp;CHAR(10))</f>
        <v/>
      </c>
      <c r="F8" s="23"/>
      <c r="G8" s="23" cm="1">
        <f t="array" ref="G8">CreateID($G$2,$G:$G,$A8&lt;&gt;"")</f>
        <v>6</v>
      </c>
      <c r="H8" s="23" cm="1">
        <f t="array" ref="H8">CreateTaskID($H$2,$H:$H,Tasks!$B$17,$F8)</f>
        <v>0</v>
      </c>
    </row>
    <row r="9" spans="1:8" ht="60.75">
      <c r="A9" s="13" t="s">
        <v>609</v>
      </c>
      <c r="B9" s="13" t="s">
        <v>1622</v>
      </c>
      <c r="C9" s="16" t="str" cm="1">
        <f t="array" ca="1" aca="1" ref="C9">_xlfn.LET(_xlpm._countermeasures,InverseLookup($A9,Countermeasures!$AJ$2,Countermeasures!$A$2,1,Helper!$B$4,","),_xlpm._assumptions,InverseLookup($A9,Assumptions!$AH$3,Assumptions!$A$3,1,Helper!$B$6,","),_xlpm._indirectCountermeasures,InverseLookup($A9,Countermeasures!$AQ$2,Countermeasures!$A$2,1,Helper!$B$4,","),_xlpm._indirectAssumptions,InverseLookup($A9,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C7, C33, C34, A3</v>
      </c>
      <c r="D9" s="36" t="str" cm="1">
        <f t="array" ca="1" aca="1" ref="D9">_xlfn.LET(_xlpm._countermeasures,RemoveDelimiter(GetValuesIgnoreErrors(SanitizeInput($C9),Countermeasures!$A:$B," ",","&amp;CHAR(10),TRUE),","&amp;CHAR(10)),_xlpm._assumptions,RemoveDelimiter(GetValuesIgnoreErrors(SanitizeInput($C9),Assumptions!$A:$AI," ",","&amp;CHAR(10),TRUE),","&amp;CHAR(10)),_xlpm._delimiter,CHAR(10)&amp;REPT(CHAR(150),65)&amp;CHAR(10),_xlpm._countermeasures&amp;IF(OR(_xlpm._countermeasures="",_xlpm._assumptions=""),"",_xlpm._delimiter)&amp;_xlpm._assumptions)</f>
        <v>C7 CR 1.12 – System use notification,
C33 SCR 1.1 - Processed personal data,
C34 SCR 1.2 - Telemetry data
–––––––––––––––––––––––––––––––––––––––––––––––––––––––––––––––––
A3 SDR 1.2 – Handling of personal data [Customer]</v>
      </c>
      <c r="E9" s="16" t="str" cm="1">
        <f t="array" ca="1" aca="1" ref="E9">RemoveDelimiter(InverseLookup($A9,'Risk Treatment'!$AF$4,'Risk Treatment'!$AG$4,1,10000,","&amp;CHAR(10)),","&amp;CHAR(10))</f>
        <v/>
      </c>
      <c r="F9" s="23"/>
      <c r="G9" s="23" cm="1">
        <f t="array" ref="G9">CreateID($G$2,$G:$G,$A9&lt;&gt;"")</f>
        <v>7</v>
      </c>
      <c r="H9" s="23" cm="1">
        <f t="array" ref="H9">CreateTaskID($H$2,$H:$H,Tasks!$B$17,$F9)</f>
        <v>0</v>
      </c>
    </row>
    <row r="10" spans="1:8" ht="45">
      <c r="A10" s="13" t="s">
        <v>603</v>
      </c>
      <c r="B10" s="13" t="s">
        <v>1623</v>
      </c>
      <c r="C10" s="16" t="str" cm="1">
        <f t="array" ca="1" aca="1" ref="C10">_xlfn.LET(_xlpm._countermeasures,InverseLookup($A10,Countermeasures!$AJ$2,Countermeasures!$A$2,1,Helper!$B$4,","),_xlpm._assumptions,InverseLookup($A10,Assumptions!$AH$3,Assumptions!$A$3,1,Helper!$B$6,","),_xlpm._indirectCountermeasures,InverseLookup($A10,Countermeasures!$AQ$2,Countermeasures!$A$2,1,Helper!$B$4,","),_xlpm._indirectAssumptions,InverseLookup($A10,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
      </c>
      <c r="D10" s="36" t="str" cm="1">
        <f t="array" ca="1" aca="1" ref="D10">_xlfn.LET(_xlpm._countermeasures,RemoveDelimiter(GetValuesIgnoreErrors(SanitizeInput($C10),Countermeasures!$A:$B," ",","&amp;CHAR(10),TRUE),","&amp;CHAR(10)),_xlpm._assumptions,RemoveDelimiter(GetValuesIgnoreErrors(SanitizeInput($C10),Assumptions!$A:$AI," ",","&amp;CHAR(10),TRUE),","&amp;CHAR(10)),_xlpm._delimiter,CHAR(10)&amp;REPT(CHAR(150),65)&amp;CHAR(10),_xlpm._countermeasures&amp;IF(OR(_xlpm._countermeasures="",_xlpm._assumptions=""),"",_xlpm._delimiter)&amp;_xlpm._assumptions)</f>
        <v/>
      </c>
      <c r="E10" s="16" t="str" cm="1">
        <f t="array" ca="1" aca="1" ref="E10">RemoveDelimiter(InverseLookup($A10,'Risk Treatment'!$AF$4,'Risk Treatment'!$AG$4,1,10000,","&amp;CHAR(10)),","&amp;CHAR(10))</f>
        <v/>
      </c>
      <c r="F10" s="23"/>
      <c r="G10" s="23" cm="1">
        <f t="array" ref="G10">CreateID($G$2,$G:$G,$A10&lt;&gt;"")</f>
        <v>8</v>
      </c>
      <c r="H10" s="23" cm="1">
        <f t="array" ref="H10">CreateTaskID($H$2,$H:$H,Tasks!$B$17,$F10)</f>
        <v>0</v>
      </c>
    </row>
    <row r="11" spans="1:8" ht="45">
      <c r="A11" s="13" t="s">
        <v>606</v>
      </c>
      <c r="B11" s="13" t="s">
        <v>1624</v>
      </c>
      <c r="C11" s="16" t="str" cm="1">
        <f t="array" ca="1" aca="1" ref="C11">_xlfn.LET(_xlpm._countermeasures,InverseLookup($A11,Countermeasures!$AJ$2,Countermeasures!$A$2,1,Helper!$B$4,","),_xlpm._assumptions,InverseLookup($A11,Assumptions!$AH$3,Assumptions!$A$3,1,Helper!$B$6,","),_xlpm._indirectCountermeasures,InverseLookup($A11,Countermeasures!$AQ$2,Countermeasures!$A$2,1,Helper!$B$4,","),_xlpm._indirectAssumptions,InverseLookup($A11,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C11, A31</v>
      </c>
      <c r="D11" s="36" t="str" cm="1">
        <f t="array" ca="1" aca="1" ref="D11">_xlfn.LET(_xlpm._countermeasures,RemoveDelimiter(GetValuesIgnoreErrors(SanitizeInput($C11),Countermeasures!$A:$B," ",","&amp;CHAR(10),TRUE),","&amp;CHAR(10)),_xlpm._assumptions,RemoveDelimiter(GetValuesIgnoreErrors(SanitizeInput($C11),Assumptions!$A:$AI," ",","&amp;CHAR(10),TRUE),","&amp;CHAR(10)),_xlpm._delimiter,CHAR(10)&amp;REPT(CHAR(150),65)&amp;CHAR(10),_xlpm._countermeasures&amp;IF(OR(_xlpm._countermeasures="",_xlpm._assumptions=""),"",_xlpm._delimiter)&amp;_xlpm._assumptions)</f>
        <v>C11 CR 2.10 – Response to audit processing failures
–––––––––––––––––––––––––––––––––––––––––––––––––––––––––––––––––
A31 SDR 1.5 - The product's availability is not relevant for safety [Customer]</v>
      </c>
      <c r="E11" s="16" t="str" cm="1">
        <f t="array" ca="1" aca="1" ref="E11">RemoveDelimiter(InverseLookup($A11,'Risk Treatment'!$AF$4,'Risk Treatment'!$AG$4,1,10000,","&amp;CHAR(10)),","&amp;CHAR(10))</f>
        <v/>
      </c>
      <c r="F11" s="23"/>
      <c r="G11" s="23" cm="1">
        <f t="array" ref="G11">CreateID($G$2,$G:$G,$A11&lt;&gt;"")</f>
        <v>9</v>
      </c>
      <c r="H11" s="23" cm="1">
        <f t="array" ref="H11">CreateTaskID($H$2,$H:$H,Tasks!$B$17,$F11)</f>
        <v>0</v>
      </c>
    </row>
    <row r="12" spans="1:8" ht="72.75">
      <c r="A12" s="13" t="s">
        <v>637</v>
      </c>
      <c r="B12" s="13" t="s">
        <v>641</v>
      </c>
      <c r="C12" s="16" t="str" cm="1">
        <f t="array" ca="1" aca="1" ref="C12">_xlfn.LET(_xlpm._countermeasures,InverseLookup($A12,Countermeasures!$AJ$2,Countermeasures!$A$2,1,Helper!$B$4,","),_xlpm._assumptions,InverseLookup($A12,Assumptions!$AH$3,Assumptions!$A$3,1,Helper!$B$6,","),_xlpm._indirectCountermeasures,InverseLookup($A12,Countermeasures!$AQ$2,Countermeasures!$A$2,1,Helper!$B$4,","),_xlpm._indirectAssumptions,InverseLookup($A12,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C15, C19, C23, C24, A38</v>
      </c>
      <c r="D12" s="36" t="str" cm="1">
        <f t="array" ca="1" aca="1" ref="D12">_xlfn.LET(_xlpm._countermeasures,RemoveDelimiter(GetValuesIgnoreErrors(SanitizeInput($C12),Countermeasures!$A:$B," ",","&amp;CHAR(10),TRUE),","&amp;CHAR(10)),_xlpm._assumptions,RemoveDelimiter(GetValuesIgnoreErrors(SanitizeInput($C12),Assumptions!$A:$AI," ",","&amp;CHAR(10),TRUE),","&amp;CHAR(10)),_xlpm._delimiter,CHAR(10)&amp;REPT(CHAR(150),65)&amp;CHAR(10),_xlpm._countermeasures&amp;IF(OR(_xlpm._countermeasures="",_xlpm._assumptions=""),"",_xlpm._delimiter)&amp;_xlpm._assumptions)</f>
        <v>C15 CR 3.5 – Input validation,
C19 CR 5.1 – Network segmentation,
C23 CR 7.6 – Network and security configuration settings,
C24 CR 7.7 – Least functionality
–––––––––––––––––––––––––––––––––––––––––––––––––––––––––––––––––
A38 SDR 1.20 - Least privilege for provided credentials [Customer]</v>
      </c>
      <c r="E12" s="16" t="str" cm="1">
        <f t="array" ca="1" aca="1" ref="E12">RemoveDelimiter(InverseLookup($A12,'Risk Treatment'!$AF$4,'Risk Treatment'!$AG$4,1,10000,","&amp;CHAR(10)),","&amp;CHAR(10))</f>
        <v/>
      </c>
      <c r="F12" s="23"/>
      <c r="G12" s="23" cm="1">
        <f t="array" ref="G12">CreateID($G$2,$G:$G,$A12&lt;&gt;"")</f>
        <v>10</v>
      </c>
      <c r="H12" s="23" cm="1">
        <f t="array" ref="H12">CreateTaskID($H$2,$H:$H,Tasks!$B$17,$F12)</f>
        <v>0</v>
      </c>
    </row>
    <row r="13" spans="1:8" ht="45">
      <c r="A13" s="13" t="s">
        <v>601</v>
      </c>
      <c r="B13" s="13" t="s">
        <v>642</v>
      </c>
      <c r="C13" s="16" t="str" cm="1">
        <f t="array" ca="1" aca="1" ref="C13">_xlfn.LET(_xlpm._countermeasures,InverseLookup($A13,Countermeasures!$AJ$2,Countermeasures!$A$2,1,Helper!$B$4,","),_xlpm._assumptions,InverseLookup($A13,Assumptions!$AH$3,Assumptions!$A$3,1,Helper!$B$6,","),_xlpm._indirectCountermeasures,InverseLookup($A13,Countermeasures!$AQ$2,Countermeasures!$A$2,1,Helper!$B$4,","),_xlpm._indirectAssumptions,InverseLookup($A13,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C15</v>
      </c>
      <c r="D13" s="36" t="str" cm="1">
        <f t="array" ca="1" aca="1" ref="D13">_xlfn.LET(_xlpm._countermeasures,RemoveDelimiter(GetValuesIgnoreErrors(SanitizeInput($C13),Countermeasures!$A:$B," ",","&amp;CHAR(10),TRUE),","&amp;CHAR(10)),_xlpm._assumptions,RemoveDelimiter(GetValuesIgnoreErrors(SanitizeInput($C13),Assumptions!$A:$AI," ",","&amp;CHAR(10),TRUE),","&amp;CHAR(10)),_xlpm._delimiter,CHAR(10)&amp;REPT(CHAR(150),65)&amp;CHAR(10),_xlpm._countermeasures&amp;IF(OR(_xlpm._countermeasures="",_xlpm._assumptions=""),"",_xlpm._delimiter)&amp;_xlpm._assumptions)</f>
        <v>C15 CR 3.5 – Input validation</v>
      </c>
      <c r="E13" s="16" t="str" cm="1">
        <f t="array" ca="1" aca="1" ref="E13">RemoveDelimiter(InverseLookup($A13,'Risk Treatment'!$AF$4,'Risk Treatment'!$AG$4,1,10000,","&amp;CHAR(10)),","&amp;CHAR(10))</f>
        <v/>
      </c>
      <c r="F13" s="23"/>
      <c r="G13" s="23" cm="1">
        <f t="array" ref="G13">CreateID($G$2,$G:$G,$A13&lt;&gt;"")</f>
        <v>11</v>
      </c>
      <c r="H13" s="23" cm="1">
        <f t="array" ref="H13">CreateTaskID($H$2,$H:$H,Tasks!$B$17,$F13)</f>
        <v>0</v>
      </c>
    </row>
    <row r="14" spans="1:8" ht="60">
      <c r="A14" s="13" t="s">
        <v>1613</v>
      </c>
      <c r="B14" s="13" t="s">
        <v>1625</v>
      </c>
      <c r="C14" s="16" t="str" cm="1">
        <f t="array" ca="1" aca="1" ref="C14">_xlfn.LET(_xlpm._countermeasures,InverseLookup($A14,Countermeasures!$AJ$2,Countermeasures!$A$2,1,Helper!$B$4,","),_xlpm._assumptions,InverseLookup($A14,Assumptions!$AH$3,Assumptions!$A$3,1,Helper!$B$6,","),_xlpm._indirectCountermeasures,InverseLookup($A14,Countermeasures!$AQ$2,Countermeasures!$A$2,1,Helper!$B$4,","),_xlpm._indirectAssumptions,InverseLookup($A14,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C10, C12</v>
      </c>
      <c r="D14" s="36" t="str" cm="1">
        <f t="array" ca="1" aca="1" ref="D14">_xlfn.LET(_xlpm._countermeasures,RemoveDelimiter(GetValuesIgnoreErrors(SanitizeInput($C14),Countermeasures!$A:$B," ",","&amp;CHAR(10),TRUE),","&amp;CHAR(10)),_xlpm._assumptions,RemoveDelimiter(GetValuesIgnoreErrors(SanitizeInput($C14),Assumptions!$A:$AI," ",","&amp;CHAR(10),TRUE),","&amp;CHAR(10)),_xlpm._delimiter,CHAR(10)&amp;REPT(CHAR(150),65)&amp;CHAR(10),_xlpm._countermeasures&amp;IF(OR(_xlpm._countermeasures="",_xlpm._assumptions=""),"",_xlpm._delimiter)&amp;_xlpm._assumptions)</f>
        <v>C10 CR 2.8 – Auditable events,
C12 CR 2.11 – Timestamps</v>
      </c>
      <c r="E14" s="16" t="str" cm="1">
        <f t="array" ca="1" aca="1" ref="E14">RemoveDelimiter(InverseLookup($A14,'Risk Treatment'!$AF$4,'Risk Treatment'!$AG$4,1,10000,","&amp;CHAR(10)),","&amp;CHAR(10))</f>
        <v/>
      </c>
      <c r="F14" s="23"/>
      <c r="G14" s="23" cm="1">
        <f t="array" ref="G14">CreateID($G$2,$G:$G,$A14&lt;&gt;"")</f>
        <v>12</v>
      </c>
      <c r="H14" s="23" cm="1">
        <f t="array" ref="H14">CreateTaskID($H$2,$H:$H,Tasks!$B$17,$F14)</f>
        <v>0</v>
      </c>
    </row>
    <row r="15" spans="1:8" ht="60">
      <c r="A15" s="13" t="s">
        <v>1614</v>
      </c>
      <c r="B15" s="13" t="s">
        <v>1615</v>
      </c>
      <c r="C15" s="16" t="str" cm="1">
        <f t="array" ca="1" aca="1" ref="C15">_xlfn.LET(_xlpm._countermeasures,InverseLookup($A15,Countermeasures!$AJ$2,Countermeasures!$A$2,1,Helper!$B$4,","),_xlpm._assumptions,InverseLookup($A15,Assumptions!$AH$3,Assumptions!$A$3,1,Helper!$B$6,","),_xlpm._indirectCountermeasures,InverseLookup($A15,Countermeasures!$AQ$2,Countermeasures!$A$2,1,Helper!$B$4,","),_xlpm._indirectAssumptions,InverseLookup($A15,Assumptions!$AN$3,Assumptions!$A$3,1,Helper!$B$6,","),_xlpm._sortedCountermeasures,SortList(_xlpm._countermeasures&amp;_xlpm._indirectCountermeasures,Countermeasures!$A:$T,Helper!$B$4,"",",",TRUE),_xlpm._sortedAssumptions,SortList(_xlpm._assumptions&amp;_xlpm._indirectAssumptions,Assumptions!$A:$T,Helper!$B$6,"",",",TRUE),SUBSTITUTE(RemoveDelimiter(_xlpm._sortedCountermeasures&amp;_xlpm._sortedAssumptions,","),",",", "))</f>
        <v/>
      </c>
      <c r="D15" s="36" t="str" cm="1">
        <f t="array" ca="1" aca="1" ref="D15">_xlfn.LET(_xlpm._countermeasures,RemoveDelimiter(GetValuesIgnoreErrors(SanitizeInput($C15),Countermeasures!$A:$B," ",","&amp;CHAR(10),TRUE),","&amp;CHAR(10)),_xlpm._assumptions,RemoveDelimiter(GetValuesIgnoreErrors(SanitizeInput($C15),Assumptions!$A:$AI," ",","&amp;CHAR(10),TRUE),","&amp;CHAR(10)),_xlpm._delimiter,CHAR(10)&amp;REPT(CHAR(150),65)&amp;CHAR(10),_xlpm._countermeasures&amp;IF(OR(_xlpm._countermeasures="",_xlpm._assumptions=""),"",_xlpm._delimiter)&amp;_xlpm._assumptions)</f>
        <v/>
      </c>
      <c r="E15" s="16" t="str" cm="1">
        <f t="array" ca="1" aca="1" ref="E15">RemoveDelimiter(InverseLookup($A15,'Risk Treatment'!$AF$4,'Risk Treatment'!$AG$4,1,10000,","&amp;CHAR(10)),","&amp;CHAR(10))</f>
        <v/>
      </c>
      <c r="F15" s="23"/>
      <c r="G15" s="23" cm="1">
        <f t="array" ref="G15">CreateID($G$2,$G:$G,$A15&lt;&gt;"")</f>
        <v>13</v>
      </c>
      <c r="H15" s="23" cm="1">
        <f t="array" ref="H15">CreateTaskID($H$2,$H:$H,Tasks!$B$17,$F15)</f>
        <v>0</v>
      </c>
    </row>
  </sheetData>
  <sheetProtection password="ED83" sheet="1" objects="1" scenarios="1"/>
  <conditionalFormatting sqref="F2:F1048576">
    <cfRule type="expression" priority="1" dxfId="685">
      <formula>IFERROR(FIND(Tasks!$B$17,F2)&gt;0,FALSE)</formula>
    </cfRule>
  </conditionalFormatting>
  <pageMargins left="0.7" right="0.7" top="0.75" bottom="0.75" header="0.3" footer="0.3"/>
  <pageSetup orientation="portrait" paperSize="9" r:id="rId2"/>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115E6A-5FFD-4600-A3C1-F71A7DD7417F}">
  <sheetPr>
    <tabColor theme="1" tint="0.15"/>
  </sheetPr>
  <dimension ref="A1:AF72"/>
  <sheetViews>
    <sheetView windowProtection="1" workbookViewId="0" topLeftCell="A1">
      <pane xSplit="3" ySplit="5" topLeftCell="E6" activePane="bottomRight" state="frozen"/>
      <selection pane="topLeft" activeCell="A1" sqref="A1"/>
      <selection pane="bottomLeft" activeCell="A5" sqref="A5"/>
      <selection pane="topRight" activeCell="E1" sqref="E1"/>
      <selection pane="bottomRight" activeCell="C1" sqref="C1"/>
    </sheetView>
  </sheetViews>
  <sheetFormatPr defaultColWidth="9.14428571428571" defaultRowHeight="15" outlineLevelCol="1"/>
  <cols>
    <col min="1" max="1" width="4.71428571428571" style="115" customWidth="1"/>
    <col min="2" max="2" width="15.7142857142857" style="4" customWidth="1"/>
    <col min="3" max="3" width="60.7142857142857" style="4" customWidth="1"/>
    <col min="4" max="4" width="60.7142857142857" style="4" hidden="1" customWidth="1" outlineLevel="1"/>
    <col min="5" max="5" width="15.7142857142857" style="4" customWidth="1" collapsed="1"/>
    <col min="6" max="6" width="35.7142857142857" style="4" hidden="1" customWidth="1" outlineLevel="1"/>
    <col min="7" max="7" width="15.7142857142857" style="4" customWidth="1" collapsed="1"/>
    <col min="8" max="8" width="45.7142857142857" style="4" customWidth="1"/>
    <col min="9" max="9" width="15.7142857142857" style="4" customWidth="1"/>
    <col min="10" max="10" width="45.7142857142857" style="4" customWidth="1"/>
    <col min="11" max="11" width="60.7142857142857" style="4" hidden="1" customWidth="1" outlineLevel="1"/>
    <col min="12" max="12" width="15.7142857142857" style="4" customWidth="1" collapsed="1"/>
    <col min="13" max="13" width="35.7142857142857" style="4" hidden="1" customWidth="1" outlineLevel="1"/>
    <col min="14" max="14" width="15.7142857142857" style="4" customWidth="1" collapsed="1"/>
    <col min="15" max="18" width="15.7142857142857" style="4" customWidth="1"/>
    <col min="19" max="19" width="60.7142857142857" style="4" customWidth="1"/>
    <col min="20" max="20" width="45.7142857142857" style="4" customWidth="1"/>
    <col min="21" max="21" width="12.5714285714286" style="2" hidden="1" customWidth="1"/>
    <col min="22" max="22" width="9.14285714285714" style="2" hidden="1" customWidth="1"/>
    <col min="23" max="23" width="15" style="2" hidden="1" customWidth="1"/>
    <col min="24" max="24" width="24.7142857142857" style="2" hidden="1" customWidth="1"/>
    <col min="25" max="25" width="20.8571428571429" style="2" hidden="1" customWidth="1"/>
    <col min="26" max="26" width="17.2857142857143" style="2" hidden="1" customWidth="1"/>
    <col min="27" max="27" width="23" style="2" hidden="1" customWidth="1"/>
    <col min="28" max="28" width="26.8571428571429" style="2" hidden="1" customWidth="1"/>
    <col min="29" max="29" width="9.14285714285714" style="2" hidden="1" customWidth="1"/>
    <col min="30" max="30" width="34.1428571428571" style="2" hidden="1" customWidth="1"/>
    <col min="31" max="31" width="19.1428571428571" style="2" hidden="1" customWidth="1"/>
    <col min="32" max="32" width="10.4285714285714" style="2" hidden="1" customWidth="1"/>
    <col min="33" max="16384" width="9.14285714285714" style="2"/>
  </cols>
  <sheetData>
    <row r="1" spans="1:3"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B1,README!$E:$E,README!$I$36,README!$B$36)</f>
        <v>◈</v>
      </c>
      <c r="B1" s="124" t="s">
        <v>1473</v>
      </c>
      <c r="C1" s="123"/>
    </row>
    <row r="2" spans="1:3" ht="30">
      <c r="A2" s="115" t="str" cm="1">
        <f t="array" ca="1" aca="1" ref="A2">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B2,README!$E:$E,README!$I$36,README!$B$36)</f>
        <v>◈</v>
      </c>
      <c r="B2" s="125" t="s">
        <v>1472</v>
      </c>
      <c r="C2" s="126" t="str" cm="1">
        <f t="array" ca="1" aca="1" ref="C2">RemoveDelimiter(FilterElementsFromList(Helper!$J$3,Helper!$J$4,FALSE,", "),", ")</f>
        <v>A3, A4, A10, A11, A12, A15, A16, A17, A18, A21, A24, A30, A31, A34, A36, A38, A42, A43, C0, C2, C7, C10, C11, C12, C13, C14, C15, C16, C19, C23, C24, C33, C34, CM23</v>
      </c>
    </row>
    <row r="3" spans="1:3" ht="15">
      <c r="A3" s="115" t="str" cm="1">
        <f t="array" ca="1" aca="1" ref="A3">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B3,README!$E:$E,README!$I$36,README!$B$36)</f>
        <v>◈</v>
      </c>
      <c r="B3" s="124" t="s">
        <v>1414</v>
      </c>
      <c r="C3" s="123"/>
    </row>
    <row r="4" spans="2:20" s="115" customFormat="1" ht="15">
      <c r="B4" s="114" t="str" cm="1">
        <f t="array" ca="1" aca="1" ref="B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B$5,README!$E:$E,README!$I$36,README!$B$36)</f>
        <v>◈</v>
      </c>
      <c r="C4" s="114" t="str" cm="1">
        <f t="array" ca="1" aca="1" ref="C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C$5,README!$E:$E,README!$I$36,README!$B$36)</f>
        <v>◈</v>
      </c>
      <c r="D4" s="114" t="str" cm="1">
        <f t="array" ca="1" aca="1" ref="D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D$5,README!$E:$E,README!$I$36,README!$B$36)</f>
        <v>◈</v>
      </c>
      <c r="E4" s="114" t="str" cm="1">
        <f t="array" ca="1" aca="1" ref="E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E$5,README!$E:$E,README!$I$36,README!$B$36)</f>
        <v>◈</v>
      </c>
      <c r="F4" s="114" t="str" cm="1">
        <f t="array" ca="1" aca="1" ref="F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F$5,README!$E:$E,README!$I$36,README!$B$36)</f>
        <v>◈</v>
      </c>
      <c r="G4" s="114" t="str" cm="1">
        <f t="array" ca="1" aca="1" ref="G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G$5,README!$E:$E,README!$I$36,README!$B$36)</f>
        <v>◈</v>
      </c>
      <c r="H4" s="114"/>
      <c r="I4" s="114" t="str" cm="1">
        <f t="array" ca="1" aca="1" ref="I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I$5,README!$E:$E,README!$I$36,README!$B$36)</f>
        <v>◈</v>
      </c>
      <c r="J4" s="114" t="str" cm="1">
        <f t="array" ca="1" aca="1" ref="J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J$5,README!$E:$E,README!$I$36,README!$B$36)</f>
        <v>◈</v>
      </c>
      <c r="K4" s="114" t="str" cm="1">
        <f t="array" ca="1" aca="1" ref="K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K$5,README!$E:$E,README!$I$36,README!$B$36)</f>
        <v>◈</v>
      </c>
      <c r="L4" s="114" t="str" cm="1">
        <f t="array" ca="1" aca="1" ref="L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L$5,README!$E:$E,README!$I$36,README!$B$36)</f>
        <v>◈</v>
      </c>
      <c r="M4" s="114" t="str" cm="1">
        <f t="array" ca="1" aca="1" ref="M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M$5,README!$E:$E,README!$I$36,README!$B$36)</f>
        <v>◈</v>
      </c>
      <c r="N4" s="114" t="str" cm="1">
        <f t="array" ca="1" aca="1" ref="N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N$5,README!$E:$E,README!$I$36,README!$B$36)</f>
        <v>◈</v>
      </c>
      <c r="O4" s="114" t="str" cm="1">
        <f t="array" ca="1" aca="1" ref="O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O$5,README!$E:$E,README!$I$36,README!$B$36)</f>
        <v>◈</v>
      </c>
      <c r="P4" s="114" t="str" cm="1">
        <f t="array" ca="1" aca="1" ref="P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P$5,README!$E:$E,README!$I$36,README!$B$36)</f>
        <v>◈</v>
      </c>
      <c r="Q4" s="114" t="str" cm="1">
        <f t="array" ca="1" aca="1" ref="Q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Q$5,README!$E:$E,README!$I$36,README!$B$36)</f>
        <v>◈</v>
      </c>
      <c r="R4" s="114" t="str" cm="1">
        <f t="array" ca="1" aca="1" ref="R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R$5,README!$E:$E,README!$I$36,README!$B$36)</f>
        <v>◈</v>
      </c>
      <c r="S4" s="114" t="str" cm="1">
        <f t="array" ca="1" aca="1" ref="S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S$5,README!$E:$E,README!$I$36,README!$B$36)</f>
        <v>◈</v>
      </c>
      <c r="T4" s="114" t="str" cm="1">
        <f t="array" ca="1" aca="1" ref="T4">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$21,T$5,README!$E:$E,README!$I$36,README!$B$36)</f>
        <v>◈</v>
      </c>
    </row>
    <row r="5" spans="2:32" ht="30">
      <c r="B5" s="16" t="s">
        <v>176</v>
      </c>
      <c r="C5" s="16" t="s">
        <v>105</v>
      </c>
      <c r="D5" s="16" t="s">
        <v>157</v>
      </c>
      <c r="E5" s="16" t="s">
        <v>187</v>
      </c>
      <c r="F5" s="16" t="s">
        <v>575</v>
      </c>
      <c r="G5" s="16" t="s">
        <v>188</v>
      </c>
      <c r="H5" s="16" t="s">
        <v>1411</v>
      </c>
      <c r="I5" s="16" t="s">
        <v>1412</v>
      </c>
      <c r="J5" s="16" t="s">
        <v>1413</v>
      </c>
      <c r="K5" s="16" t="s">
        <v>468</v>
      </c>
      <c r="L5" s="16" t="s">
        <v>447</v>
      </c>
      <c r="M5" s="16" t="s">
        <v>574</v>
      </c>
      <c r="N5" s="16" t="s">
        <v>446</v>
      </c>
      <c r="O5" s="16" t="s">
        <v>566</v>
      </c>
      <c r="P5" s="16" t="s">
        <v>475</v>
      </c>
      <c r="Q5" s="13" t="s">
        <v>476</v>
      </c>
      <c r="R5" s="16" t="s">
        <v>477</v>
      </c>
      <c r="S5" s="13" t="s">
        <v>478</v>
      </c>
      <c r="T5" s="13" t="s">
        <v>3</v>
      </c>
      <c r="U5" s="10" t="s">
        <v>54</v>
      </c>
      <c r="V5" s="10" t="s">
        <v>230</v>
      </c>
      <c r="W5" s="10" t="s">
        <v>1429</v>
      </c>
      <c r="X5" s="10" t="s">
        <v>1466</v>
      </c>
      <c r="Y5" s="10" t="s">
        <v>1432</v>
      </c>
      <c r="Z5" s="10" t="s">
        <v>1433</v>
      </c>
      <c r="AA5" s="10" t="s">
        <v>1434</v>
      </c>
      <c r="AB5" s="10" t="s">
        <v>1467</v>
      </c>
      <c r="AC5" s="10" t="s">
        <v>104</v>
      </c>
      <c r="AD5" s="10" t="s">
        <v>1288</v>
      </c>
      <c r="AE5" s="10" t="s">
        <v>1289</v>
      </c>
      <c r="AF5" s="10" t="s">
        <v>479</v>
      </c>
    </row>
    <row r="6" spans="2:32" ht="15">
      <c r="B6" s="16" t="str">
        <f ca="1">OFFSET(Risks!$A$2,ROW()-ROW($B$5),0)</f>
        <v>R1-3</v>
      </c>
      <c r="C6" s="16" t="str" cm="1">
        <f t="array" ca="1" aca="1" ref="C6">IF($B6="","",IFERROR(SimpleLookup($B6,'Risk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6" s="36" t="str" cm="1">
        <f t="array" ca="1" aca="1" ref="D6">IF($B6="","",IFERROR(SimpleLookup($B6,'Risk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6" s="16" t="str" cm="1">
        <f t="array" ca="1" aca="1" ref="E6">IF($B6="","",IFERROR(SimpleLookup($B6,'Risk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6" s="34" t="str" cm="1">
        <f t="array" ca="1" aca="1" ref="F6">IF($B6="","",IFERROR(SimpleLookup($B6,'Risk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6" s="16" t="str" cm="1">
        <f t="array" ca="1" aca="1" ref="G6">IF($B6="","",IFERROR(SimpleLookup($B6,'Risk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6" s="16" t="str" cm="1">
        <f t="array" ca="1" aca="1" ref="H6">IF($B6="","",IFERROR(SimpleLookup($B6,'Risk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6" s="16" t="str" cm="1">
        <f t="array" ca="1" aca="1" ref="I6">IF($B6="","",IFERROR(SimpleLookup($B6,'Risk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6" s="16" t="e" cm="1">
        <f t="array" ca="1" aca="1" ref="J6">_xlfn.LET(_xlpm._assignedMitigations,IF($B6="","",IFERROR(RemoveDelimiter(GetValuesWithFallback($Z6,Countermeasures!$A:$B,Assumptions!$A:$B," ",","&amp;CHAR(10),TRUE),","&amp;CHAR(10)),"Error: Unknown risk ID "&amp;$B6)),_xlpm._inlineMitigations,$AE6,_xlpm._assignedMitigations&amp;IF(OR(_xlpm._assignedMitigations="",_xlpm._inlineMitigations=""),"",","&amp;CHAR(10))&amp;_xlpm._inlineMitigations)</f>
        <v>#N/A</v>
      </c>
      <c r="K6" s="36" t="str" cm="1">
        <f t="array" ca="1" aca="1" ref="K6">IF($AC6=-1,"",RemoveDelimiter(GetValues(INDEX(Risks!BN:BN,$AC6),'DS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6" s="16" t="str" cm="1">
        <f t="array" ca="1" aca="1" ref="L6">IF($AC6=-1,"",INDEX(Risks!BP:BP,$AC6))</f>
        <v>Critical</v>
      </c>
      <c r="M6" s="19" t="str" cm="1">
        <f t="array" ca="1" aca="1" ref="M6">_xlfn.LET(_xlpm._calculatedRAP,IFERROR(SimpleLookup($B6,Risks!$A:$BG),""),_xlpm._inlineRAP,IFERROR(SimpleLookup($B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_xlpm._mitigationSheetName&amp;" sheet "&amp;_xlfn.UNICHAR(8702)&amp;" Comment column:"&amp;CHAR(10)&amp;$AE6)))</f>
        <v>Elapsed Time [4]: AS3
Expertise [6]: AS3
Knowledge of TOE [3]: AS3
Window of Opportunity [0]: AS1, AS3
Equipment [0]: AS1, AS3</v>
      </c>
      <c r="N6" s="16" t="str" cm="1">
        <f t="array" ca="1" aca="1" ref="N6">IF($AC6=-1,"",INDEX(Risks!CN:CN,$AC6))</f>
        <v>Enhanced-Basic</v>
      </c>
      <c r="O6" s="16" t="str" cm="1">
        <f t="array" ca="1" aca="1" ref="O6">IF($AC6=-1,"",INDEX(Risks!CO:CO,$AC6))</f>
        <v>Very High</v>
      </c>
      <c r="P6" s="16" t="str">
        <f ca="1">IF($C6="","",IF($AF6&lt;=Definitions!$AF$6,Definitions!$M$4,""))</f>
        <v/>
      </c>
      <c r="Q6" s="13"/>
      <c r="R6" s="16" t="str">
        <f ca="1" t="shared" si="0" ref="R6:R37">IF($Q6="",$P6,$Q6)</f>
        <v/>
      </c>
      <c r="S6" s="13"/>
      <c r="T6" s="13"/>
      <c r="U6" s="10" cm="1">
        <f t="array" ca="1" aca="1" ref="U6">GenerateShadowID(ROW(),$U$5,$U:$U,0,B6&lt;&gt;"")</f>
        <v>1</v>
      </c>
      <c r="V6" s="10" cm="1">
        <f t="array" ref="V6">CreateTaskID($V$5,$V:$V,Tasks!$B$17,$T6)</f>
        <v>0</v>
      </c>
      <c r="W6" s="14" t="e" cm="1">
        <f t="array" ca="1" aca="1" ref="W6">IF($B6="","",SimpleLookup($B6,'Risk Treatment'!$C:$AW))</f>
        <v>#N/A</v>
      </c>
      <c r="X6" s="127" t="e" cm="1">
        <f t="array" ca="1" aca="1" ref="X6">IF($B6="","",_xlfn.LET(_xlpm._attackSteps,SimpleLookup($B6,'Risk Treatment'!$C:$Y),GetValues(_xlpm._attackSteps,Mitigation!$A:$AG,"",CHAR(1),FALSE)))</f>
        <v>#N/A</v>
      </c>
      <c r="Y6" s="14" t="e" cm="1">
        <f t="array" ca="1" aca="1" ref="Y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CHAR(1))</f>
        <v>#N/A</v>
      </c>
      <c r="Z6" s="14" t="e" cm="1">
        <f t="array" ca="1" aca="1" ref="Z6">FilterElementsFromList($W6,Helper!$J$4,TRUE,",")</f>
        <v>#N/A</v>
      </c>
      <c r="AA6" s="14" t="e" cm="1">
        <f t="array" ca="1" aca="1" ref="AA6">FilterElementsFromList($Y6,Helper!$J$4,TRUE,",")</f>
        <v>#N/A</v>
      </c>
      <c r="AB6" s="20" t="e" cm="1">
        <f t="array" ca="1" aca="1" ref="AB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CreateSearchString($AA6),CHAR(1),","&amp;CHAR(10))</f>
        <v>#N/A</v>
      </c>
      <c r="AC6" s="128">
        <f ca="1">IFERROR(MATCH($B6,Risks!$A:$A,0),-1)</f>
        <v>3</v>
      </c>
      <c r="AD6" s="20" t="str" cm="1">
        <f t="array" ca="1" aca="1" ref="AD6">IF($B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Risks!$A:CA,Definitions!$Y:$Y,Definitions!$AB:$AB,1)&amp;CHAR(10)&amp;_xlpm._factorFunction($B6,Risks!$A:CB,Definitions!$Y:$Y,Definitions!$AB:$AB,2)&amp;CHAR(10)&amp;_xlpm._factorFunction($B6,Risks!$A:CC,Definitions!$Y:$Y,Definitions!$AB:$AB,3)&amp;CHAR(10)&amp;_xlpm._factorFunction($B6,Risks!$A:CD,Definitions!$Y:$Y,Definitions!$AB:$AB,4)&amp;CHAR(10)&amp;_xlpm._factorFunction($B6,Risks!$A:CE,Definitions!$Y:$Y,Definitions!$AB:$AB,5)))</f>
        <v>Elapsed Time [4]: AS3
Expertise [6]: AS3
Knowledge of TOE [3]: AS3
Window of Opportunity [0]: AS1, AS3
Equipment [0]: AS1, AS3</v>
      </c>
      <c r="AE6" s="20" t="e" cm="1">
        <f t="array" ca="1" aca="1" ref="AE6">RemoveDelimiter(SUBSTITUTE(SUBSTITUTE($AB6,"{",""),"}",""),","&amp;CHAR(10))</f>
        <v>#N/A</v>
      </c>
      <c r="AF6" s="20" cm="1">
        <f t="array" ca="1" aca="1" ref="AF6">IF($O6="",0,SimpleLookup($O6,Definitions!$AE:$AF))</f>
        <v>4</v>
      </c>
    </row>
    <row r="7" spans="2:32" ht="15">
      <c r="B7" s="16" t="str">
        <f ca="1">OFFSET(Risks!$A$2,ROW()-ROW($B$5),0)</f>
        <v>R2-3</v>
      </c>
      <c r="C7" s="33" t="str" cm="1">
        <f t="array" ca="1" aca="1" ref="C7">IF($B7="","",IFERROR(SimpleLookup($B7,'Risk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7" s="37" t="str" cm="1">
        <f t="array" ca="1" aca="1" ref="D7">IF($B7="","",IFERROR(SimpleLookup($B7,'Risk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7" s="16" t="str" cm="1">
        <f t="array" ca="1" aca="1" ref="E7">IF($B7="","",IFERROR(SimpleLookup($B7,'Risk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7" s="34" t="str" cm="1">
        <f t="array" ca="1" aca="1" ref="F7">IF($B7="","",IFERROR(SimpleLookup($B7,'Risk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7" s="16" t="str" cm="1">
        <f t="array" ca="1" aca="1" ref="G7">IF($B7="","",IFERROR(SimpleLookup($B7,'Risk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7" s="16" t="str" cm="1">
        <f t="array" ca="1" aca="1" ref="H7">IF($B7="","",IFERROR(SimpleLookup($B7,'Risk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7" s="33" t="str" cm="1">
        <f t="array" ca="1" aca="1" ref="I7">IF($B7="","",IFERROR(SimpleLookup($B7,'Risk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7" s="33" t="e" cm="1">
        <f t="array" ca="1" aca="1" ref="J7">_xlfn.LET(_xlpm._assignedMitigations,IF($B7="","",IFERROR(RemoveDelimiter(GetValuesWithFallback($Z7,Countermeasures!$A:$B,Assumptions!$A:$B," ",","&amp;CHAR(10),TRUE),","&amp;CHAR(10)),"Error: Unknown risk ID "&amp;$B7)),_xlpm._inlineMitigations,$AE7,_xlpm._assignedMitigations&amp;IF(OR(_xlpm._assignedMitigations="",_xlpm._inlineMitigations=""),"",","&amp;CHAR(10))&amp;_xlpm._inlineMitigations)</f>
        <v>#N/A</v>
      </c>
      <c r="K7" s="37" t="str" cm="1">
        <f t="array" ca="1" aca="1" ref="K7">IF($AC7=-1,"",RemoveDelimiter(GetValues(INDEX(Risks!BN:BN,$AC7),'DS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7" s="33" t="str" cm="1">
        <f t="array" ca="1" aca="1" ref="L7">IF($AC7=-1,"",INDEX(Risks!BP:BP,$AC7))</f>
        <v>Critical</v>
      </c>
      <c r="M7" s="34" t="str" cm="1">
        <f t="array" ca="1" aca="1" ref="M7">_xlfn.LET(_xlpm._calculatedRAP,IFERROR(SimpleLookup($B7,Risks!$A:$BG),""),_xlpm._inlineRAP,IFERROR(SimpleLookup($B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7,_xlpm._mitigationSheetName&amp;" sheet "&amp;_xlfn.UNICHAR(8702)&amp;" Comment column:"&amp;CHAR(10)&amp;$AE7)))</f>
        <v>Elapsed Time [4]: AS3
Expertise [6]: AS3
Knowledge of TOE [3]: AS3
Window of Opportunity [1]: AS2
Equipment [0]: AS2, AS3</v>
      </c>
      <c r="N7" s="33" t="str" cm="1">
        <f t="array" ca="1" aca="1" ref="N7">IF($AC7=-1,"",INDEX(Risks!CN:CN,$AC7))</f>
        <v>Moderate</v>
      </c>
      <c r="O7" s="33" t="str" cm="1">
        <f t="array" ca="1" aca="1" ref="O7">IF($AC7=-1,"",INDEX(Risks!CO:CO,$AC7))</f>
        <v>Very High</v>
      </c>
      <c r="P7" s="33" t="str">
        <f ca="1">IF($C7="","",IF($AF7&lt;=Definitions!$AF$6,Definitions!$M$4,""))</f>
        <v/>
      </c>
      <c r="Q7" s="23"/>
      <c r="R7" s="33" t="str">
        <f t="shared" ca="1" si="0"/>
        <v/>
      </c>
      <c r="S7" s="23"/>
      <c r="T7" s="13"/>
      <c r="U7" s="10" cm="1">
        <f t="array" ca="1" aca="1" ref="U7">GenerateShadowID(ROW(),$U$5,$U:$U,0,B7&lt;&gt;"")</f>
        <v>2</v>
      </c>
      <c r="V7" s="10" cm="1">
        <f t="array" ref="V7">CreateTaskID($V$5,$V:$V,Tasks!$B$17,$T7)</f>
        <v>0</v>
      </c>
      <c r="W7" s="14" t="e" cm="1">
        <f t="array" ca="1" aca="1" ref="W7">IF($B7="","",SimpleLookup($B7,'Risk Treatment'!$C:$AW))</f>
        <v>#N/A</v>
      </c>
      <c r="X7" s="14" t="e" cm="1">
        <f t="array" ca="1" aca="1" ref="X7">IF($B7="","",_xlfn.LET(_xlpm._attackSteps,SimpleLookup($B7,'Risk Treatment'!$C:$Y),GetValues(_xlpm._attackSteps,Mitigation!$A:$AG,"",CHAR(1),FALSE)))</f>
        <v>#N/A</v>
      </c>
      <c r="Y7" s="14" t="e" cm="1">
        <f t="array" ca="1" aca="1" ref="Y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7,CHAR(1))</f>
        <v>#N/A</v>
      </c>
      <c r="Z7" s="14" t="e" cm="1">
        <f t="array" ca="1" aca="1" ref="Z7">FilterElementsFromList($W7,Helper!$J$4,TRUE,",")</f>
        <v>#N/A</v>
      </c>
      <c r="AA7" s="14" t="e" cm="1">
        <f t="array" ca="1" aca="1" ref="AA7">FilterElementsFromList($Y7,Helper!$J$4,TRUE,",")</f>
        <v>#N/A</v>
      </c>
      <c r="AB7" s="20" t="e" cm="1">
        <f t="array" ca="1" aca="1" ref="AB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7,CreateSearchString($AA7),CHAR(1),","&amp;CHAR(10))</f>
        <v>#N/A</v>
      </c>
      <c r="AC7" s="20">
        <f ca="1">IFERROR(MATCH($B7,Risks!$A:$A,0),-1)</f>
        <v>4</v>
      </c>
      <c r="AD7" s="20" t="str" cm="1">
        <f t="array" ca="1" aca="1" ref="AD7">IF($B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7,Risks!$A:CA,Definitions!$Y:$Y,Definitions!$AB:$AB,1)&amp;CHAR(10)&amp;_xlpm._factorFunction($B7,Risks!$A:CB,Definitions!$Y:$Y,Definitions!$AB:$AB,2)&amp;CHAR(10)&amp;_xlpm._factorFunction($B7,Risks!$A:CC,Definitions!$Y:$Y,Definitions!$AB:$AB,3)&amp;CHAR(10)&amp;_xlpm._factorFunction($B7,Risks!$A:CD,Definitions!$Y:$Y,Definitions!$AB:$AB,4)&amp;CHAR(10)&amp;_xlpm._factorFunction($B7,Risks!$A:CE,Definitions!$Y:$Y,Definitions!$AB:$AB,5)))</f>
        <v>Elapsed Time [4]: AS3
Expertise [6]: AS3
Knowledge of TOE [3]: AS3
Window of Opportunity [1]: AS2
Equipment [0]: AS2, AS3</v>
      </c>
      <c r="AE7" s="20" t="e" cm="1">
        <f t="array" ca="1" aca="1" ref="AE7">RemoveDelimiter(SUBSTITUTE(SUBSTITUTE($AB7,"{",""),"}",""),","&amp;CHAR(10))</f>
        <v>#N/A</v>
      </c>
      <c r="AF7" s="20" cm="1">
        <f t="array" ca="1" aca="1" ref="AF7">IF($O7="",0,SimpleLookup($O7,Definitions!$AE:$AF))</f>
        <v>4</v>
      </c>
    </row>
    <row r="8" spans="2:32" ht="15">
      <c r="B8" s="16" t="str">
        <f ca="1">OFFSET(Risks!$A$2,ROW()-ROW($B$5),0)</f>
        <v>R1-4</v>
      </c>
      <c r="C8" s="33" t="str" cm="1">
        <f t="array" ca="1" aca="1" ref="C8">IF($B8="","",IFERROR(SimpleLookup($B8,'Risk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8" s="37" t="str" cm="1">
        <f t="array" ca="1" aca="1" ref="D8">IF($B8="","",IFERROR(SimpleLookup($B8,'Risk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8" s="16" t="str" cm="1">
        <f t="array" ca="1" aca="1" ref="E8">IF($B8="","",IFERROR(SimpleLookup($B8,'Risk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8" s="34" t="str" cm="1">
        <f t="array" ca="1" aca="1" ref="F8">IF($B8="","",IFERROR(SimpleLookup($B8,'Risk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8" s="16" t="str" cm="1">
        <f t="array" ca="1" aca="1" ref="G8">IF($B8="","",IFERROR(SimpleLookup($B8,'Risk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8" s="16" t="str" cm="1">
        <f t="array" ca="1" aca="1" ref="H8">IF($B8="","",IFERROR(SimpleLookup($B8,'Risk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8" s="33" t="str" cm="1">
        <f t="array" ca="1" aca="1" ref="I8">IF($B8="","",IFERROR(SimpleLookup($B8,'Risk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8" s="33" t="e" cm="1">
        <f t="array" ca="1" aca="1" ref="J8">_xlfn.LET(_xlpm._assignedMitigations,IF($B8="","",IFERROR(RemoveDelimiter(GetValuesWithFallback($Z8,Countermeasures!$A:$B,Assumptions!$A:$B," ",","&amp;CHAR(10),TRUE),","&amp;CHAR(10)),"Error: Unknown risk ID "&amp;$B8)),_xlpm._inlineMitigations,$AE8,_xlpm._assignedMitigations&amp;IF(OR(_xlpm._assignedMitigations="",_xlpm._inlineMitigations=""),"",","&amp;CHAR(10))&amp;_xlpm._inlineMitigations)</f>
        <v>#N/A</v>
      </c>
      <c r="K8" s="37" t="str" cm="1">
        <f t="array" ca="1" aca="1" ref="K8">IF($AC8=-1,"",RemoveDelimiter(GetValues(INDEX(Risks!BN:BN,$AC8),'DS Overview'!$A:$B," ",","&amp;CHAR(10),TRUE),","&amp;CHAR(10)))</f>
        <v>DS6 Life-threatening injury caused by unavailable product,
DS7 Critical environmental damage caused by unavailable product,
DS8 Loss of Critical financial damage caused by unavailable product</v>
      </c>
      <c r="L8" s="33" t="str" cm="1">
        <f t="array" ca="1" aca="1" ref="L8">IF($AC8=-1,"",INDEX(Risks!BP:BP,$AC8))</f>
        <v>Critical</v>
      </c>
      <c r="M8" s="34" t="str" cm="1">
        <f t="array" ca="1" aca="1" ref="M8">_xlfn.LET(_xlpm._calculatedRAP,IFERROR(SimpleLookup($B8,Risks!$A:$BG),""),_xlpm._inlineRAP,IFERROR(SimpleLookup($B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8,_xlpm._mitigationSheetName&amp;" sheet "&amp;_xlfn.UNICHAR(8702)&amp;" Comment column:"&amp;CHAR(10)&amp;$AE8)))</f>
        <v>Elapsed Time [0]: AS1, AS4
Expertise [3]: AS4
Knowledge of TOE [0]: AS1, AS4
Window of Opportunity [0]: AS1, AS4
Equipment [0]: AS1, AS4</v>
      </c>
      <c r="N8" s="33" t="str" cm="1">
        <f t="array" ca="1" aca="1" ref="N8">IF($AC8=-1,"",INDEX(Risks!CN:CN,$AC8))</f>
        <v>Basic</v>
      </c>
      <c r="O8" s="33" t="str" cm="1">
        <f t="array" ca="1" aca="1" ref="O8">IF($AC8=-1,"",INDEX(Risks!CO:CO,$AC8))</f>
        <v>Very High</v>
      </c>
      <c r="P8" s="33" t="str">
        <f ca="1">IF($C8="","",IF($AF8&lt;=Definitions!$AF$6,Definitions!$M$4,""))</f>
        <v/>
      </c>
      <c r="Q8" s="23"/>
      <c r="R8" s="33" t="str">
        <f t="shared" ca="1" si="0"/>
        <v/>
      </c>
      <c r="S8" s="23"/>
      <c r="T8" s="13"/>
      <c r="U8" s="10" cm="1">
        <f t="array" ca="1" aca="1" ref="U8">GenerateShadowID(ROW(),$U$5,$U:$U,0,B8&lt;&gt;"")</f>
        <v>3</v>
      </c>
      <c r="V8" s="10" cm="1">
        <f t="array" ref="V8">CreateTaskID($V$5,$V:$V,Tasks!$B$17,$T8)</f>
        <v>0</v>
      </c>
      <c r="W8" s="14" t="e" cm="1">
        <f t="array" ca="1" aca="1" ref="W8">IF($B8="","",SimpleLookup($B8,'Risk Treatment'!$C:$AW))</f>
        <v>#N/A</v>
      </c>
      <c r="X8" s="14" t="e" cm="1">
        <f t="array" ca="1" aca="1" ref="X8">IF($B8="","",_xlfn.LET(_xlpm._attackSteps,SimpleLookup($B8,'Risk Treatment'!$C:$Y),GetValues(_xlpm._attackSteps,Mitigation!$A:$AG,"",CHAR(1),FALSE)))</f>
        <v>#N/A</v>
      </c>
      <c r="Y8" s="14" t="e" cm="1">
        <f t="array" ca="1" aca="1" ref="Y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8,CHAR(1))</f>
        <v>#N/A</v>
      </c>
      <c r="Z8" s="14" t="e" cm="1">
        <f t="array" ca="1" aca="1" ref="Z8">FilterElementsFromList($W8,Helper!$J$4,TRUE,",")</f>
        <v>#N/A</v>
      </c>
      <c r="AA8" s="14" t="e" cm="1">
        <f t="array" ca="1" aca="1" ref="AA8">FilterElementsFromList($Y8,Helper!$J$4,TRUE,",")</f>
        <v>#N/A</v>
      </c>
      <c r="AB8" s="20" t="e" cm="1">
        <f t="array" ca="1" aca="1" ref="AB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8,CreateSearchString($AA8),CHAR(1),","&amp;CHAR(10))</f>
        <v>#N/A</v>
      </c>
      <c r="AC8" s="20">
        <f ca="1">IFERROR(MATCH($B8,Risks!$A:$A,0),-1)</f>
        <v>5</v>
      </c>
      <c r="AD8" s="20" t="str" cm="1">
        <f t="array" ca="1" aca="1" ref="AD8">IF($B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8,Risks!$A:CA,Definitions!$Y:$Y,Definitions!$AB:$AB,1)&amp;CHAR(10)&amp;_xlpm._factorFunction($B8,Risks!$A:CB,Definitions!$Y:$Y,Definitions!$AB:$AB,2)&amp;CHAR(10)&amp;_xlpm._factorFunction($B8,Risks!$A:CC,Definitions!$Y:$Y,Definitions!$AB:$AB,3)&amp;CHAR(10)&amp;_xlpm._factorFunction($B8,Risks!$A:CD,Definitions!$Y:$Y,Definitions!$AB:$AB,4)&amp;CHAR(10)&amp;_xlpm._factorFunction($B8,Risks!$A:CE,Definitions!$Y:$Y,Definitions!$AB:$AB,5)))</f>
        <v>Elapsed Time [0]: AS1, AS4
Expertise [3]: AS4
Knowledge of TOE [0]: AS1, AS4
Window of Opportunity [0]: AS1, AS4
Equipment [0]: AS1, AS4</v>
      </c>
      <c r="AE8" s="20" t="e" cm="1">
        <f t="array" ca="1" aca="1" ref="AE8">RemoveDelimiter(SUBSTITUTE(SUBSTITUTE($AB8,"{",""),"}",""),","&amp;CHAR(10))</f>
        <v>#N/A</v>
      </c>
      <c r="AF8" s="20" cm="1">
        <f t="array" ca="1" aca="1" ref="AF8">IF($O8="",0,SimpleLookup($O8,Definitions!$AE:$AF))</f>
        <v>4</v>
      </c>
    </row>
    <row r="9" spans="2:32" ht="15">
      <c r="B9" s="16" t="str">
        <f ca="1">OFFSET(Risks!$A$2,ROW()-ROW($B$5),0)</f>
        <v>R2-4</v>
      </c>
      <c r="C9" s="33" t="str" cm="1">
        <f t="array" ca="1" aca="1" ref="C9">IF($B9="","",IFERROR(SimpleLookup($B9,'Risk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9" s="37" t="str" cm="1">
        <f t="array" ca="1" aca="1" ref="D9">IF($B9="","",IFERROR(SimpleLookup($B9,'Risk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9" s="16" t="str" cm="1">
        <f t="array" ca="1" aca="1" ref="E9">IF($B9="","",IFERROR(SimpleLookup($B9,'Risk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9" s="34" t="str" cm="1">
        <f t="array" ca="1" aca="1" ref="F9">IF($B9="","",IFERROR(SimpleLookup($B9,'Risk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9" s="16" t="str" cm="1">
        <f t="array" ca="1" aca="1" ref="G9">IF($B9="","",IFERROR(SimpleLookup($B9,'Risk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9" s="16" t="str" cm="1">
        <f t="array" ca="1" aca="1" ref="H9">IF($B9="","",IFERROR(SimpleLookup($B9,'Risk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9" s="33" t="str" cm="1">
        <f t="array" ca="1" aca="1" ref="I9">IF($B9="","",IFERROR(SimpleLookup($B9,'Risk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9" s="33" t="e" cm="1">
        <f t="array" ca="1" aca="1" ref="J9">_xlfn.LET(_xlpm._assignedMitigations,IF($B9="","",IFERROR(RemoveDelimiter(GetValuesWithFallback($Z9,Countermeasures!$A:$B,Assumptions!$A:$B," ",","&amp;CHAR(10),TRUE),","&amp;CHAR(10)),"Error: Unknown risk ID "&amp;$B9)),_xlpm._inlineMitigations,$AE9,_xlpm._assignedMitigations&amp;IF(OR(_xlpm._assignedMitigations="",_xlpm._inlineMitigations=""),"",","&amp;CHAR(10))&amp;_xlpm._inlineMitigations)</f>
        <v>#N/A</v>
      </c>
      <c r="K9" s="37" t="str" cm="1">
        <f t="array" ca="1" aca="1" ref="K9">IF($AC9=-1,"",RemoveDelimiter(GetValues(INDEX(Risks!BN:BN,$AC9),'DS Overview'!$A:$B," ",","&amp;CHAR(10),TRUE),","&amp;CHAR(10)))</f>
        <v>DS6 Life-threatening injury caused by unavailable product,
DS7 Critical environmental damage caused by unavailable product,
DS8 Loss of Critical financial damage caused by unavailable product</v>
      </c>
      <c r="L9" s="33" t="str" cm="1">
        <f t="array" ca="1" aca="1" ref="L9">IF($AC9=-1,"",INDEX(Risks!BP:BP,$AC9))</f>
        <v>Critical</v>
      </c>
      <c r="M9" s="34" t="str" cm="1">
        <f t="array" ca="1" aca="1" ref="M9">_xlfn.LET(_xlpm._calculatedRAP,IFERROR(SimpleLookup($B9,Risks!$A:$BG),""),_xlpm._inlineRAP,IFERROR(SimpleLookup($B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9,_xlpm._mitigationSheetName&amp;" sheet "&amp;_xlfn.UNICHAR(8702)&amp;" Comment column:"&amp;CHAR(10)&amp;$AE9)))</f>
        <v>Elapsed Time [0]: AS2, AS4
Expertise [3]: AS2, AS4
Knowledge of TOE [0]: AS2, AS4
Window of Opportunity [1]: AS2
Equipment [0]: AS2, AS4</v>
      </c>
      <c r="N9" s="33" t="str" cm="1">
        <f t="array" ca="1" aca="1" ref="N9">IF($AC9=-1,"",INDEX(Risks!CN:CN,$AC9))</f>
        <v>Basic</v>
      </c>
      <c r="O9" s="33" t="str" cm="1">
        <f t="array" ca="1" aca="1" ref="O9">IF($AC9=-1,"",INDEX(Risks!CO:CO,$AC9))</f>
        <v>Very High</v>
      </c>
      <c r="P9" s="33" t="str">
        <f ca="1">IF($C9="","",IF($AF9&lt;=Definitions!$AF$6,Definitions!$M$4,""))</f>
        <v/>
      </c>
      <c r="Q9" s="23"/>
      <c r="R9" s="33" t="str">
        <f t="shared" ca="1" si="0"/>
        <v/>
      </c>
      <c r="S9" s="23"/>
      <c r="T9" s="13"/>
      <c r="U9" s="10" cm="1">
        <f t="array" ca="1" aca="1" ref="U9">GenerateShadowID(ROW(),$U$5,$U:$U,0,B9&lt;&gt;"")</f>
        <v>4</v>
      </c>
      <c r="V9" s="10" cm="1">
        <f t="array" ref="V9">CreateTaskID($V$5,$V:$V,Tasks!$B$17,$T9)</f>
        <v>0</v>
      </c>
      <c r="W9" s="14" t="e" cm="1">
        <f t="array" ca="1" aca="1" ref="W9">IF($B9="","",SimpleLookup($B9,'Risk Treatment'!$C:$AW))</f>
        <v>#N/A</v>
      </c>
      <c r="X9" s="14" t="e" cm="1">
        <f t="array" ca="1" aca="1" ref="X9">IF($B9="","",_xlfn.LET(_xlpm._attackSteps,SimpleLookup($B9,'Risk Treatment'!$C:$Y),GetValues(_xlpm._attackSteps,Mitigation!$A:$AG,"",CHAR(1),FALSE)))</f>
        <v>#N/A</v>
      </c>
      <c r="Y9" s="14" t="e" cm="1">
        <f t="array" ca="1" aca="1" ref="Y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9,CHAR(1))</f>
        <v>#N/A</v>
      </c>
      <c r="Z9" s="14" t="e" cm="1">
        <f t="array" ca="1" aca="1" ref="Z9">FilterElementsFromList($W9,Helper!$J$4,TRUE,",")</f>
        <v>#N/A</v>
      </c>
      <c r="AA9" s="14" t="e" cm="1">
        <f t="array" ca="1" aca="1" ref="AA9">FilterElementsFromList($Y9,Helper!$J$4,TRUE,",")</f>
        <v>#N/A</v>
      </c>
      <c r="AB9" s="20" t="e" cm="1">
        <f t="array" ca="1" aca="1" ref="AB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9,CreateSearchString($AA9),CHAR(1),","&amp;CHAR(10))</f>
        <v>#N/A</v>
      </c>
      <c r="AC9" s="20">
        <f ca="1">IFERROR(MATCH($B9,Risks!$A:$A,0),-1)</f>
        <v>6</v>
      </c>
      <c r="AD9" s="20" t="str" cm="1">
        <f t="array" ca="1" aca="1" ref="AD9">IF($B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9,Risks!$A:CA,Definitions!$Y:$Y,Definitions!$AB:$AB,1)&amp;CHAR(10)&amp;_xlpm._factorFunction($B9,Risks!$A:CB,Definitions!$Y:$Y,Definitions!$AB:$AB,2)&amp;CHAR(10)&amp;_xlpm._factorFunction($B9,Risks!$A:CC,Definitions!$Y:$Y,Definitions!$AB:$AB,3)&amp;CHAR(10)&amp;_xlpm._factorFunction($B9,Risks!$A:CD,Definitions!$Y:$Y,Definitions!$AB:$AB,4)&amp;CHAR(10)&amp;_xlpm._factorFunction($B9,Risks!$A:CE,Definitions!$Y:$Y,Definitions!$AB:$AB,5)))</f>
        <v>Elapsed Time [0]: AS2, AS4
Expertise [3]: AS2, AS4
Knowledge of TOE [0]: AS2, AS4
Window of Opportunity [1]: AS2
Equipment [0]: AS2, AS4</v>
      </c>
      <c r="AE9" s="20" t="e" cm="1">
        <f t="array" ca="1" aca="1" ref="AE9">RemoveDelimiter(SUBSTITUTE(SUBSTITUTE($AB9,"{",""),"}",""),","&amp;CHAR(10))</f>
        <v>#N/A</v>
      </c>
      <c r="AF9" s="20" cm="1">
        <f t="array" ca="1" aca="1" ref="AF9">IF($O9="",0,SimpleLookup($O9,Definitions!$AE:$AF))</f>
        <v>4</v>
      </c>
    </row>
    <row r="10" spans="2:32" ht="15">
      <c r="B10" s="16" t="str">
        <f ca="1">OFFSET(Risks!$A$2,ROW()-ROW($B$5),0)</f>
        <v>R1-6</v>
      </c>
      <c r="C10" s="33" t="str" cm="1">
        <f t="array" ca="1" aca="1" ref="C10">IF($B10="","",IFERROR(SimpleLookup($B10,'Risk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0" s="37" t="str" cm="1">
        <f t="array" ca="1" aca="1" ref="D10">IF($B10="","",IFERROR(SimpleLookup($B10,'Risk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0" s="16" t="str" cm="1">
        <f t="array" ca="1" aca="1" ref="E10">IF($B10="","",IFERROR(SimpleLookup($B10,'Risk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0" s="34" t="str" cm="1">
        <f t="array" ca="1" aca="1" ref="F10">IF($B10="","",IFERROR(SimpleLookup($B10,'Risk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0" s="16" t="str" cm="1">
        <f t="array" ca="1" aca="1" ref="G10">IF($B10="","",IFERROR(SimpleLookup($B10,'Risk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0" s="16" t="str" cm="1">
        <f t="array" ca="1" aca="1" ref="H10">IF($B10="","",IFERROR(SimpleLookup($B10,'Risk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0" s="33" t="str" cm="1">
        <f t="array" ca="1" aca="1" ref="I10">IF($B10="","",IFERROR(SimpleLookup($B10,'Risk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0" s="33" t="e" cm="1">
        <f t="array" ca="1" aca="1" ref="J10">_xlfn.LET(_xlpm._assignedMitigations,IF($B10="","",IFERROR(RemoveDelimiter(GetValuesWithFallback($Z10,Countermeasures!$A:$B,Assumptions!$A:$B," ",","&amp;CHAR(10),TRUE),","&amp;CHAR(10)),"Error: Unknown risk ID "&amp;$B10)),_xlpm._inlineMitigations,$AE10,_xlpm._assignedMitigations&amp;IF(OR(_xlpm._assignedMitigations="",_xlpm._inlineMitigations=""),"",","&amp;CHAR(10))&amp;_xlpm._inlineMitigations)</f>
        <v>#N/A</v>
      </c>
      <c r="K10" s="37" t="str" cm="1">
        <f t="array" ca="1" aca="1" ref="K10">IF($AC10=-1,"",RemoveDelimiter(GetValues(INDEX(Risks!BN:BN,$AC10),'DS Overview'!$A:$B," ",","&amp;CHAR(10),TRUE),","&amp;CHAR(10)))</f>
        <v>DS10 Life-threatening injury caused by manipulated product,
DS14 Critical environmental damage caused by manipulated product,
DS15 Critical environmental damage caused by attacks on customer's assets by manipulated product</v>
      </c>
      <c r="L10" s="33" t="str" cm="1">
        <f t="array" ca="1" aca="1" ref="L10">IF($AC10=-1,"",INDEX(Risks!BP:BP,$AC10))</f>
        <v>Critical</v>
      </c>
      <c r="M10" s="34" t="str" cm="1">
        <f t="array" ca="1" aca="1" ref="M10">_xlfn.LET(_xlpm._calculatedRAP,IFERROR(SimpleLookup($B10,Risks!$A:$BG),""),_xlpm._inlineRAP,IFERROR(SimpleLookup($B10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10,_xlpm._mitigationSheetName&amp;" sheet "&amp;_xlfn.UNICHAR(8702)&amp;" Comment column:"&amp;CHAR(10)&amp;$AE10)))</f>
        <v>Elapsed Time [1]: AS6
Expertise [6]: AS6
Knowledge of TOE [3]: AS6
Window of Opportunity [0]: AS1, AS6
Equipment [0]: AS1, AS6</v>
      </c>
      <c r="N10" s="33" t="str" cm="1">
        <f t="array" ca="1" aca="1" ref="N10">IF($AC10=-1,"",INDEX(Risks!CN:CN,$AC10))</f>
        <v>Enhanced-Basic</v>
      </c>
      <c r="O10" s="33" t="str" cm="1">
        <f t="array" ca="1" aca="1" ref="O10">IF($AC10=-1,"",INDEX(Risks!CO:CO,$AC10))</f>
        <v>Very High</v>
      </c>
      <c r="P10" s="33" t="str">
        <f ca="1">IF($C10="","",IF($AF10&lt;=Definitions!$AF$6,Definitions!$M$4,""))</f>
        <v/>
      </c>
      <c r="Q10" s="23"/>
      <c r="R10" s="33" t="str">
        <f t="shared" ca="1" si="0"/>
        <v/>
      </c>
      <c r="S10" s="23"/>
      <c r="T10" s="13"/>
      <c r="U10" s="10" cm="1">
        <f t="array" ca="1" aca="1" ref="U10">GenerateShadowID(ROW(),$U$5,$U:$U,0,B10&lt;&gt;"")</f>
        <v>5</v>
      </c>
      <c r="V10" s="10" cm="1">
        <f t="array" ref="V10">CreateTaskID($V$5,$V:$V,Tasks!$B$17,$T10)</f>
        <v>0</v>
      </c>
      <c r="W10" s="14" t="e" cm="1">
        <f t="array" ca="1" aca="1" ref="W10">IF($B10="","",SimpleLookup($B10,'Risk Treatment'!$C:$AW))</f>
        <v>#N/A</v>
      </c>
      <c r="X10" s="14" t="e" cm="1">
        <f t="array" ca="1" aca="1" ref="X10">IF($B10="","",_xlfn.LET(_xlpm._attackSteps,SimpleLookup($B10,'Risk Treatment'!$C:$Y),GetValues(_xlpm._attackSteps,Mitigation!$A:$AG,"",CHAR(1),FALSE)))</f>
        <v>#N/A</v>
      </c>
      <c r="Y10" s="14" t="e" cm="1">
        <f t="array" ca="1" aca="1" ref="Y1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10,CHAR(1))</f>
        <v>#N/A</v>
      </c>
      <c r="Z10" s="14" t="e" cm="1">
        <f t="array" ca="1" aca="1" ref="Z10">FilterElementsFromList($W10,Helper!$J$4,TRUE,",")</f>
        <v>#N/A</v>
      </c>
      <c r="AA10" s="14" t="e" cm="1">
        <f t="array" ca="1" aca="1" ref="AA10">FilterElementsFromList($Y10,Helper!$J$4,TRUE,",")</f>
        <v>#N/A</v>
      </c>
      <c r="AB10" s="20" t="e" cm="1">
        <f t="array" ca="1" aca="1" ref="AB1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10,CreateSearchString($AA10),CHAR(1),","&amp;CHAR(10))</f>
        <v>#N/A</v>
      </c>
      <c r="AC10" s="20">
        <f ca="1">IFERROR(MATCH($B10,Risks!$A:$A,0),-1)</f>
        <v>7</v>
      </c>
      <c r="AD10" s="20" t="str" cm="1">
        <f t="array" ca="1" aca="1" ref="AD10">IF($B10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10,Risks!$A:CA,Definitions!$Y:$Y,Definitions!$AB:$AB,1)&amp;CHAR(10)&amp;_xlpm._factorFunction($B10,Risks!$A:CB,Definitions!$Y:$Y,Definitions!$AB:$AB,2)&amp;CHAR(10)&amp;_xlpm._factorFunction($B10,Risks!$A:CC,Definitions!$Y:$Y,Definitions!$AB:$AB,3)&amp;CHAR(10)&amp;_xlpm._factorFunction($B10,Risks!$A:CD,Definitions!$Y:$Y,Definitions!$AB:$AB,4)&amp;CHAR(10)&amp;_xlpm._factorFunction($B10,Risks!$A:CE,Definitions!$Y:$Y,Definitions!$AB:$AB,5)))</f>
        <v>Elapsed Time [1]: AS6
Expertise [6]: AS6
Knowledge of TOE [3]: AS6
Window of Opportunity [0]: AS1, AS6
Equipment [0]: AS1, AS6</v>
      </c>
      <c r="AE10" s="20" t="e" cm="1">
        <f t="array" ca="1" aca="1" ref="AE10">RemoveDelimiter(SUBSTITUTE(SUBSTITUTE($AB10,"{",""),"}",""),","&amp;CHAR(10))</f>
        <v>#N/A</v>
      </c>
      <c r="AF10" s="20" cm="1">
        <f t="array" ca="1" aca="1" ref="AF10">IF($O10="",0,SimpleLookup($O10,Definitions!$AE:$AF))</f>
        <v>4</v>
      </c>
    </row>
    <row r="11" spans="2:32" ht="15">
      <c r="B11" s="16" t="str">
        <f ca="1">OFFSET(Risks!$A$2,ROW()-ROW($B$5),0)</f>
        <v>R2-6</v>
      </c>
      <c r="C11" s="33" t="str" cm="1">
        <f t="array" ca="1" aca="1" ref="C11">IF($B11="","",IFERROR(SimpleLookup($B11,'Risk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1" s="37" t="str" cm="1">
        <f t="array" ca="1" aca="1" ref="D11">IF($B11="","",IFERROR(SimpleLookup($B11,'Risk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1" s="16" t="str" cm="1">
        <f t="array" ca="1" aca="1" ref="E11">IF($B11="","",IFERROR(SimpleLookup($B11,'Risk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1" s="34" t="str" cm="1">
        <f t="array" ca="1" aca="1" ref="F11">IF($B11="","",IFERROR(SimpleLookup($B11,'Risk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1" s="16" t="str" cm="1">
        <f t="array" ca="1" aca="1" ref="G11">IF($B11="","",IFERROR(SimpleLookup($B11,'Risk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1" s="16" t="str" cm="1">
        <f t="array" ca="1" aca="1" ref="H11">IF($B11="","",IFERROR(SimpleLookup($B11,'Risk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1" s="33" t="str" cm="1">
        <f t="array" ca="1" aca="1" ref="I11">IF($B11="","",IFERROR(SimpleLookup($B11,'Risk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1" s="33" t="e" cm="1">
        <f t="array" ca="1" aca="1" ref="J11">_xlfn.LET(_xlpm._assignedMitigations,IF($B11="","",IFERROR(RemoveDelimiter(GetValuesWithFallback($Z11,Countermeasures!$A:$B,Assumptions!$A:$B," ",","&amp;CHAR(10),TRUE),","&amp;CHAR(10)),"Error: Unknown risk ID "&amp;$B11)),_xlpm._inlineMitigations,$AE11,_xlpm._assignedMitigations&amp;IF(OR(_xlpm._assignedMitigations="",_xlpm._inlineMitigations=""),"",","&amp;CHAR(10))&amp;_xlpm._inlineMitigations)</f>
        <v>#N/A</v>
      </c>
      <c r="K11" s="37" t="str" cm="1">
        <f t="array" ca="1" aca="1" ref="K11">IF($AC11=-1,"",RemoveDelimiter(GetValues(INDEX(Risks!BN:BN,$AC11),'DS Overview'!$A:$B," ",","&amp;CHAR(10),TRUE),","&amp;CHAR(10)))</f>
        <v>DS10 Life-threatening injury caused by manipulated product,
DS14 Critical environmental damage caused by manipulated product,
DS15 Critical environmental damage caused by attacks on customer's assets by manipulated product</v>
      </c>
      <c r="L11" s="33" t="str" cm="1">
        <f t="array" ca="1" aca="1" ref="L11">IF($AC11=-1,"",INDEX(Risks!BP:BP,$AC11))</f>
        <v>Critical</v>
      </c>
      <c r="M11" s="34" t="str" cm="1">
        <f t="array" ca="1" aca="1" ref="M11">_xlfn.LET(_xlpm._calculatedRAP,IFERROR(SimpleLookup($B11,Risks!$A:$BG),""),_xlpm._inlineRAP,IFERROR(SimpleLookup($B11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11,_xlpm._mitigationSheetName&amp;" sheet "&amp;_xlfn.UNICHAR(8702)&amp;" Comment column:"&amp;CHAR(10)&amp;$AE11)))</f>
        <v>Elapsed Time [1]: AS6
Expertise [6]: AS6
Knowledge of TOE [3]: AS6
Window of Opportunity [1]: AS2
Equipment [0]: AS2, AS6</v>
      </c>
      <c r="N11" s="33" t="str" cm="1">
        <f t="array" ca="1" aca="1" ref="N11">IF($AC11=-1,"",INDEX(Risks!CN:CN,$AC11))</f>
        <v>Enhanced-Basic</v>
      </c>
      <c r="O11" s="33" t="str" cm="1">
        <f t="array" ca="1" aca="1" ref="O11">IF($AC11=-1,"",INDEX(Risks!CO:CO,$AC11))</f>
        <v>Very High</v>
      </c>
      <c r="P11" s="33" t="str">
        <f ca="1">IF($C11="","",IF($AF11&lt;=Definitions!$AF$6,Definitions!$M$4,""))</f>
        <v/>
      </c>
      <c r="Q11" s="23"/>
      <c r="R11" s="33" t="str">
        <f t="shared" ca="1" si="0"/>
        <v/>
      </c>
      <c r="S11" s="23"/>
      <c r="T11" s="13"/>
      <c r="U11" s="10" cm="1">
        <f t="array" ca="1" aca="1" ref="U11">GenerateShadowID(ROW(),$U$5,$U:$U,0,B11&lt;&gt;"")</f>
        <v>6</v>
      </c>
      <c r="V11" s="10" cm="1">
        <f t="array" ref="V11">CreateTaskID($V$5,$V:$V,Tasks!$B$17,$T11)</f>
        <v>0</v>
      </c>
      <c r="W11" s="14" t="e" cm="1">
        <f t="array" ca="1" aca="1" ref="W11">IF($B11="","",SimpleLookup($B11,'Risk Treatment'!$C:$AW))</f>
        <v>#N/A</v>
      </c>
      <c r="X11" s="14" t="e" cm="1">
        <f t="array" ca="1" aca="1" ref="X11">IF($B11="","",_xlfn.LET(_xlpm._attackSteps,SimpleLookup($B11,'Risk Treatment'!$C:$Y),GetValues(_xlpm._attackSteps,Mitigation!$A:$AG,"",CHAR(1),FALSE)))</f>
        <v>#N/A</v>
      </c>
      <c r="Y11" s="14" t="e" cm="1">
        <f t="array" ca="1" aca="1" ref="Y1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11,CHAR(1))</f>
        <v>#N/A</v>
      </c>
      <c r="Z11" s="14" t="e" cm="1">
        <f t="array" ca="1" aca="1" ref="Z11">FilterElementsFromList($W11,Helper!$J$4,TRUE,",")</f>
        <v>#N/A</v>
      </c>
      <c r="AA11" s="14" t="e" cm="1">
        <f t="array" ca="1" aca="1" ref="AA11">FilterElementsFromList($Y11,Helper!$J$4,TRUE,",")</f>
        <v>#N/A</v>
      </c>
      <c r="AB11" s="20" t="e" cm="1">
        <f t="array" ca="1" aca="1" ref="AB1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11,CreateSearchString($AA11),CHAR(1),","&amp;CHAR(10))</f>
        <v>#N/A</v>
      </c>
      <c r="AC11" s="20">
        <f ca="1">IFERROR(MATCH($B11,Risks!$A:$A,0),-1)</f>
        <v>8</v>
      </c>
      <c r="AD11" s="20" t="str" cm="1">
        <f t="array" ca="1" aca="1" ref="AD11">IF($B11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11,Risks!$A:CA,Definitions!$Y:$Y,Definitions!$AB:$AB,1)&amp;CHAR(10)&amp;_xlpm._factorFunction($B11,Risks!$A:CB,Definitions!$Y:$Y,Definitions!$AB:$AB,2)&amp;CHAR(10)&amp;_xlpm._factorFunction($B11,Risks!$A:CC,Definitions!$Y:$Y,Definitions!$AB:$AB,3)&amp;CHAR(10)&amp;_xlpm._factorFunction($B11,Risks!$A:CD,Definitions!$Y:$Y,Definitions!$AB:$AB,4)&amp;CHAR(10)&amp;_xlpm._factorFunction($B11,Risks!$A:CE,Definitions!$Y:$Y,Definitions!$AB:$AB,5)))</f>
        <v>Elapsed Time [1]: AS6
Expertise [6]: AS6
Knowledge of TOE [3]: AS6
Window of Opportunity [1]: AS2
Equipment [0]: AS2, AS6</v>
      </c>
      <c r="AE11" s="20" t="e" cm="1">
        <f t="array" ca="1" aca="1" ref="AE11">RemoveDelimiter(SUBSTITUTE(SUBSTITUTE($AB11,"{",""),"}",""),","&amp;CHAR(10))</f>
        <v>#N/A</v>
      </c>
      <c r="AF11" s="20" cm="1">
        <f t="array" ca="1" aca="1" ref="AF11">IF($O11="",0,SimpleLookup($O11,Definitions!$AE:$AF))</f>
        <v>4</v>
      </c>
    </row>
    <row r="12" spans="2:32" ht="15">
      <c r="B12" s="16" t="str">
        <f ca="1">OFFSET(Risks!$A$2,ROW()-ROW($B$5),0)</f>
        <v>R1-7</v>
      </c>
      <c r="C12" s="33" t="str" cm="1">
        <f t="array" ca="1" aca="1" ref="C12">IF($B12="","",IFERROR(SimpleLookup($B12,'Risk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2" s="37" t="str" cm="1">
        <f t="array" ca="1" aca="1" ref="D12">IF($B12="","",IFERROR(SimpleLookup($B12,'Risk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2" s="16" t="str" cm="1">
        <f t="array" ca="1" aca="1" ref="E12">IF($B12="","",IFERROR(SimpleLookup($B12,'Risk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2" s="34" t="str" cm="1">
        <f t="array" ca="1" aca="1" ref="F12">IF($B12="","",IFERROR(SimpleLookup($B12,'Risk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2" s="16" t="str" cm="1">
        <f t="array" ca="1" aca="1" ref="G12">IF($B12="","",IFERROR(SimpleLookup($B12,'Risk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2" s="16" t="str" cm="1">
        <f t="array" ca="1" aca="1" ref="H12">IF($B12="","",IFERROR(SimpleLookup($B12,'Risk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2" s="33" t="str" cm="1">
        <f t="array" ca="1" aca="1" ref="I12">IF($B12="","",IFERROR(SimpleLookup($B12,'Risk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2" s="33" t="e" cm="1">
        <f t="array" ca="1" aca="1" ref="J12">_xlfn.LET(_xlpm._assignedMitigations,IF($B12="","",IFERROR(RemoveDelimiter(GetValuesWithFallback($Z12,Countermeasures!$A:$B,Assumptions!$A:$B," ",","&amp;CHAR(10),TRUE),","&amp;CHAR(10)),"Error: Unknown risk ID "&amp;$B12)),_xlpm._inlineMitigations,$AE12,_xlpm._assignedMitigations&amp;IF(OR(_xlpm._assignedMitigations="",_xlpm._inlineMitigations=""),"",","&amp;CHAR(10))&amp;_xlpm._inlineMitigations)</f>
        <v>#N/A</v>
      </c>
      <c r="K12" s="37" t="str" cm="1">
        <f t="array" ca="1" aca="1" ref="K12">IF($AC12=-1,"",RemoveDelimiter(GetValues(INDEX(Risks!BN:BN,$AC12),'DS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12" s="33" t="str" cm="1">
        <f t="array" ca="1" aca="1" ref="L12">IF($AC12=-1,"",INDEX(Risks!BP:BP,$AC12))</f>
        <v>Critical</v>
      </c>
      <c r="M12" s="34" t="str" cm="1">
        <f t="array" ca="1" aca="1" ref="M12">_xlfn.LET(_xlpm._calculatedRAP,IFERROR(SimpleLookup($B12,Risks!$A:$BG),""),_xlpm._inlineRAP,IFERROR(SimpleLookup($B12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12,_xlpm._mitigationSheetName&amp;" sheet "&amp;_xlfn.UNICHAR(8702)&amp;" Comment column:"&amp;CHAR(10)&amp;$AE12)))</f>
        <v>Elapsed Time [1]: AS7
Expertise [6]: AS7
Knowledge of TOE [3]: AS7
Window of Opportunity [0]: AS1, AS7
Equipment [0]: AS1, AS7</v>
      </c>
      <c r="N12" s="33" t="str" cm="1">
        <f t="array" ca="1" aca="1" ref="N12">IF($AC12=-1,"",INDEX(Risks!CN:CN,$AC12))</f>
        <v>Enhanced-Basic</v>
      </c>
      <c r="O12" s="33" t="str" cm="1">
        <f t="array" ca="1" aca="1" ref="O12">IF($AC12=-1,"",INDEX(Risks!CO:CO,$AC12))</f>
        <v>Very High</v>
      </c>
      <c r="P12" s="33" t="str">
        <f ca="1">IF($C12="","",IF($AF12&lt;=Definitions!$AF$6,Definitions!$M$4,""))</f>
        <v/>
      </c>
      <c r="Q12" s="23"/>
      <c r="R12" s="33" t="str">
        <f t="shared" ca="1" si="0"/>
        <v/>
      </c>
      <c r="S12" s="23"/>
      <c r="T12" s="13"/>
      <c r="U12" s="10" cm="1">
        <f t="array" ca="1" aca="1" ref="U12">GenerateShadowID(ROW(),$U$5,$U:$U,0,B12&lt;&gt;"")</f>
        <v>7</v>
      </c>
      <c r="V12" s="10" cm="1">
        <f t="array" ref="V12">CreateTaskID($V$5,$V:$V,Tasks!$B$17,$T12)</f>
        <v>0</v>
      </c>
      <c r="W12" s="14" t="e" cm="1">
        <f t="array" ca="1" aca="1" ref="W12">IF($B12="","",SimpleLookup($B12,'Risk Treatment'!$C:$AW))</f>
        <v>#N/A</v>
      </c>
      <c r="X12" s="14" t="e" cm="1">
        <f t="array" ca="1" aca="1" ref="X12">IF($B12="","",_xlfn.LET(_xlpm._attackSteps,SimpleLookup($B12,'Risk Treatment'!$C:$Y),GetValues(_xlpm._attackSteps,Mitigation!$A:$AG,"",CHAR(1),FALSE)))</f>
        <v>#N/A</v>
      </c>
      <c r="Y12" s="14" t="e" cm="1">
        <f t="array" ca="1" aca="1" ref="Y1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12,CHAR(1))</f>
        <v>#N/A</v>
      </c>
      <c r="Z12" s="14" t="e" cm="1">
        <f t="array" ca="1" aca="1" ref="Z12">FilterElementsFromList($W12,Helper!$J$4,TRUE,",")</f>
        <v>#N/A</v>
      </c>
      <c r="AA12" s="14" t="e" cm="1">
        <f t="array" ca="1" aca="1" ref="AA12">FilterElementsFromList($Y12,Helper!$J$4,TRUE,",")</f>
        <v>#N/A</v>
      </c>
      <c r="AB12" s="20" t="e" cm="1">
        <f t="array" ca="1" aca="1" ref="AB1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12,CreateSearchString($AA12),CHAR(1),","&amp;CHAR(10))</f>
        <v>#N/A</v>
      </c>
      <c r="AC12" s="20">
        <f ca="1">IFERROR(MATCH($B12,Risks!$A:$A,0),-1)</f>
        <v>9</v>
      </c>
      <c r="AD12" s="20" t="str" cm="1">
        <f t="array" ca="1" aca="1" ref="AD12">IF($B12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12,Risks!$A:CA,Definitions!$Y:$Y,Definitions!$AB:$AB,1)&amp;CHAR(10)&amp;_xlpm._factorFunction($B12,Risks!$A:CB,Definitions!$Y:$Y,Definitions!$AB:$AB,2)&amp;CHAR(10)&amp;_xlpm._factorFunction($B12,Risks!$A:CC,Definitions!$Y:$Y,Definitions!$AB:$AB,3)&amp;CHAR(10)&amp;_xlpm._factorFunction($B12,Risks!$A:CD,Definitions!$Y:$Y,Definitions!$AB:$AB,4)&amp;CHAR(10)&amp;_xlpm._factorFunction($B12,Risks!$A:CE,Definitions!$Y:$Y,Definitions!$AB:$AB,5)))</f>
        <v>Elapsed Time [1]: AS7
Expertise [6]: AS7
Knowledge of TOE [3]: AS7
Window of Opportunity [0]: AS1, AS7
Equipment [0]: AS1, AS7</v>
      </c>
      <c r="AE12" s="20" t="e" cm="1">
        <f t="array" ca="1" aca="1" ref="AE12">RemoveDelimiter(SUBSTITUTE(SUBSTITUTE($AB12,"{",""),"}",""),","&amp;CHAR(10))</f>
        <v>#N/A</v>
      </c>
      <c r="AF12" s="20" cm="1">
        <f t="array" ca="1" aca="1" ref="AF12">IF($O12="",0,SimpleLookup($O12,Definitions!$AE:$AF))</f>
        <v>4</v>
      </c>
    </row>
    <row r="13" spans="2:32" ht="15">
      <c r="B13" s="16" t="str">
        <f ca="1">OFFSET(Risks!$A$2,ROW()-ROW($B$5),0)</f>
        <v>R2-7</v>
      </c>
      <c r="C13" s="33" t="str" cm="1">
        <f t="array" ca="1" aca="1" ref="C13">IF($B13="","",IFERROR(SimpleLookup($B13,'Risk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3" s="37" t="str" cm="1">
        <f t="array" ca="1" aca="1" ref="D13">IF($B13="","",IFERROR(SimpleLookup($B13,'Risk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3" s="16" t="str" cm="1">
        <f t="array" ca="1" aca="1" ref="E13">IF($B13="","",IFERROR(SimpleLookup($B13,'Risk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3" s="34" t="str" cm="1">
        <f t="array" ca="1" aca="1" ref="F13">IF($B13="","",IFERROR(SimpleLookup($B13,'Risk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3" s="16" t="str" cm="1">
        <f t="array" ca="1" aca="1" ref="G13">IF($B13="","",IFERROR(SimpleLookup($B13,'Risk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3" s="16" t="str" cm="1">
        <f t="array" ca="1" aca="1" ref="H13">IF($B13="","",IFERROR(SimpleLookup($B13,'Risk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3" s="33" t="str" cm="1">
        <f t="array" ca="1" aca="1" ref="I13">IF($B13="","",IFERROR(SimpleLookup($B13,'Risk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3" s="33" t="e" cm="1">
        <f t="array" ca="1" aca="1" ref="J13">_xlfn.LET(_xlpm._assignedMitigations,IF($B13="","",IFERROR(RemoveDelimiter(GetValuesWithFallback($Z13,Countermeasures!$A:$B,Assumptions!$A:$B," ",","&amp;CHAR(10),TRUE),","&amp;CHAR(10)),"Error: Unknown risk ID "&amp;$B13)),_xlpm._inlineMitigations,$AE13,_xlpm._assignedMitigations&amp;IF(OR(_xlpm._assignedMitigations="",_xlpm._inlineMitigations=""),"",","&amp;CHAR(10))&amp;_xlpm._inlineMitigations)</f>
        <v>#N/A</v>
      </c>
      <c r="K13" s="37" t="str" cm="1">
        <f t="array" ca="1" aca="1" ref="K13">IF($AC13=-1,"",RemoveDelimiter(GetValues(INDEX(Risks!BN:BN,$AC13),'DS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13" s="33" t="str" cm="1">
        <f t="array" ca="1" aca="1" ref="L13">IF($AC13=-1,"",INDEX(Risks!BP:BP,$AC13))</f>
        <v>Critical</v>
      </c>
      <c r="M13" s="34" t="str" cm="1">
        <f t="array" ca="1" aca="1" ref="M13">_xlfn.LET(_xlpm._calculatedRAP,IFERROR(SimpleLookup($B13,Risks!$A:$BG),""),_xlpm._inlineRAP,IFERROR(SimpleLookup($B13,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13,_xlpm._mitigationSheetName&amp;" sheet "&amp;_xlfn.UNICHAR(8702)&amp;" Comment column:"&amp;CHAR(10)&amp;$AE13)))</f>
        <v>Elapsed Time [1]: AS7
Expertise [6]: AS7
Knowledge of TOE [3]: AS7
Window of Opportunity [1]: AS2
Equipment [0]: AS2, AS7</v>
      </c>
      <c r="N13" s="33" t="str" cm="1">
        <f t="array" ca="1" aca="1" ref="N13">IF($AC13=-1,"",INDEX(Risks!CN:CN,$AC13))</f>
        <v>Enhanced-Basic</v>
      </c>
      <c r="O13" s="33" t="str" cm="1">
        <f t="array" ca="1" aca="1" ref="O13">IF($AC13=-1,"",INDEX(Risks!CO:CO,$AC13))</f>
        <v>Very High</v>
      </c>
      <c r="P13" s="33" t="str">
        <f ca="1">IF($C13="","",IF($AF13&lt;=Definitions!$AF$6,Definitions!$M$4,""))</f>
        <v/>
      </c>
      <c r="Q13" s="23"/>
      <c r="R13" s="33" t="str">
        <f t="shared" ca="1" si="0"/>
        <v/>
      </c>
      <c r="S13" s="23"/>
      <c r="T13" s="13"/>
      <c r="U13" s="10" cm="1">
        <f t="array" ca="1" aca="1" ref="U13">GenerateShadowID(ROW(),$U$5,$U:$U,0,B13&lt;&gt;"")</f>
        <v>8</v>
      </c>
      <c r="V13" s="10" cm="1">
        <f t="array" ref="V13">CreateTaskID($V$5,$V:$V,Tasks!$B$17,$T13)</f>
        <v>0</v>
      </c>
      <c r="W13" s="14" t="e" cm="1">
        <f t="array" ca="1" aca="1" ref="W13">IF($B13="","",SimpleLookup($B13,'Risk Treatment'!$C:$AW))</f>
        <v>#N/A</v>
      </c>
      <c r="X13" s="14" t="e" cm="1">
        <f t="array" ca="1" aca="1" ref="X13">IF($B13="","",_xlfn.LET(_xlpm._attackSteps,SimpleLookup($B13,'Risk Treatment'!$C:$Y),GetValues(_xlpm._attackSteps,Mitigation!$A:$AG,"",CHAR(1),FALSE)))</f>
        <v>#N/A</v>
      </c>
      <c r="Y13" s="14" t="e" cm="1">
        <f t="array" ca="1" aca="1" ref="Y13">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13,CHAR(1))</f>
        <v>#N/A</v>
      </c>
      <c r="Z13" s="14" t="e" cm="1">
        <f t="array" ca="1" aca="1" ref="Z13">FilterElementsFromList($W13,Helper!$J$4,TRUE,",")</f>
        <v>#N/A</v>
      </c>
      <c r="AA13" s="14" t="e" cm="1">
        <f t="array" ca="1" aca="1" ref="AA13">FilterElementsFromList($Y13,Helper!$J$4,TRUE,",")</f>
        <v>#N/A</v>
      </c>
      <c r="AB13" s="20" t="e" cm="1">
        <f t="array" ca="1" aca="1" ref="AB13">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13,CreateSearchString($AA13),CHAR(1),","&amp;CHAR(10))</f>
        <v>#N/A</v>
      </c>
      <c r="AC13" s="20">
        <f ca="1">IFERROR(MATCH($B13,Risks!$A:$A,0),-1)</f>
        <v>10</v>
      </c>
      <c r="AD13" s="20" t="str" cm="1">
        <f t="array" ca="1" aca="1" ref="AD13">IF($B13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13,Risks!$A:CA,Definitions!$Y:$Y,Definitions!$AB:$AB,1)&amp;CHAR(10)&amp;_xlpm._factorFunction($B13,Risks!$A:CB,Definitions!$Y:$Y,Definitions!$AB:$AB,2)&amp;CHAR(10)&amp;_xlpm._factorFunction($B13,Risks!$A:CC,Definitions!$Y:$Y,Definitions!$AB:$AB,3)&amp;CHAR(10)&amp;_xlpm._factorFunction($B13,Risks!$A:CD,Definitions!$Y:$Y,Definitions!$AB:$AB,4)&amp;CHAR(10)&amp;_xlpm._factorFunction($B13,Risks!$A:CE,Definitions!$Y:$Y,Definitions!$AB:$AB,5)))</f>
        <v>Elapsed Time [1]: AS7
Expertise [6]: AS7
Knowledge of TOE [3]: AS7
Window of Opportunity [1]: AS2
Equipment [0]: AS2, AS7</v>
      </c>
      <c r="AE13" s="20" t="e" cm="1">
        <f t="array" ca="1" aca="1" ref="AE13">RemoveDelimiter(SUBSTITUTE(SUBSTITUTE($AB13,"{",""),"}",""),","&amp;CHAR(10))</f>
        <v>#N/A</v>
      </c>
      <c r="AF13" s="20" cm="1">
        <f t="array" ca="1" aca="1" ref="AF13">IF($O13="",0,SimpleLookup($O13,Definitions!$AE:$AF))</f>
        <v>4</v>
      </c>
    </row>
    <row r="14" spans="2:32" ht="15">
      <c r="B14" s="16" t="str">
        <f ca="1">OFFSET(Risks!$A$2,ROW()-ROW($B$5),0)</f>
        <v>R1-3-10</v>
      </c>
      <c r="C14" s="33" t="str" cm="1">
        <f t="array" ca="1" aca="1" ref="C14">IF($B14="","",IFERROR(SimpleLookup($B14,'Risk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4" s="37" t="str" cm="1">
        <f t="array" ca="1" aca="1" ref="D14">IF($B14="","",IFERROR(SimpleLookup($B14,'Risk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4" s="16" t="str" cm="1">
        <f t="array" ca="1" aca="1" ref="E14">IF($B14="","",IFERROR(SimpleLookup($B14,'Risk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4" s="34" t="str" cm="1">
        <f t="array" ca="1" aca="1" ref="F14">IF($B14="","",IFERROR(SimpleLookup($B14,'Risk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4" s="16" t="str" cm="1">
        <f t="array" ca="1" aca="1" ref="G14">IF($B14="","",IFERROR(SimpleLookup($B14,'Risk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4" s="16" t="str" cm="1">
        <f t="array" ca="1" aca="1" ref="H14">IF($B14="","",IFERROR(SimpleLookup($B14,'Risk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4" s="33" t="str" cm="1">
        <f t="array" ca="1" aca="1" ref="I14">IF($B14="","",IFERROR(SimpleLookup($B14,'Risk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4" s="33" t="e" cm="1">
        <f t="array" ca="1" aca="1" ref="J14">_xlfn.LET(_xlpm._assignedMitigations,IF($B14="","",IFERROR(RemoveDelimiter(GetValuesWithFallback($Z14,Countermeasures!$A:$B,Assumptions!$A:$B," ",","&amp;CHAR(10),TRUE),","&amp;CHAR(10)),"Error: Unknown risk ID "&amp;$B14)),_xlpm._inlineMitigations,$AE14,_xlpm._assignedMitigations&amp;IF(OR(_xlpm._assignedMitigations="",_xlpm._inlineMitigations=""),"",","&amp;CHAR(10))&amp;_xlpm._inlineMitigations)</f>
        <v>#N/A</v>
      </c>
      <c r="K14" s="37" t="str" cm="1">
        <f t="array" ca="1" aca="1" ref="K14">IF($AC14=-1,"",RemoveDelimiter(GetValues(INDEX(Risks!BN:BN,$AC14),'DS Overview'!$A:$B," ",","&amp;CHAR(10),TRUE),","&amp;CHAR(10)))</f>
        <v>DS10 Life-threatening injury caused by manipulated product,
DS14 Critical environmental damage caused by manipulated product,
DS15 Critical environmental damage caused by attacks on customer's assets by manipulated product</v>
      </c>
      <c r="L14" s="33" t="str" cm="1">
        <f t="array" ca="1" aca="1" ref="L14">IF($AC14=-1,"",INDEX(Risks!BP:BP,$AC14))</f>
        <v>Critical</v>
      </c>
      <c r="M14" s="34" t="str" cm="1">
        <f t="array" ca="1" aca="1" ref="M14">_xlfn.LET(_xlpm._calculatedRAP,IFERROR(SimpleLookup($B14,Risks!$A:$BG),""),_xlpm._inlineRAP,IFERROR(SimpleLookup($B14,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14,_xlpm._mitigationSheetName&amp;" sheet "&amp;_xlfn.UNICHAR(8702)&amp;" Comment column:"&amp;CHAR(10)&amp;$AE14)))</f>
        <v>Elapsed Time [4]: AS3
Expertise [6]: AS3, AS10
Knowledge of TOE [3]: AS3, AS10
Window of Opportunity [0]: AS1, AS3, AS10
Equipment [0]: AS1, AS3, AS10</v>
      </c>
      <c r="N14" s="33" t="str" cm="1">
        <f t="array" ca="1" aca="1" ref="N14">IF($AC14=-1,"",INDEX(Risks!CN:CN,$AC14))</f>
        <v>Enhanced-Basic</v>
      </c>
      <c r="O14" s="33" t="str" cm="1">
        <f t="array" ca="1" aca="1" ref="O14">IF($AC14=-1,"",INDEX(Risks!CO:CO,$AC14))</f>
        <v>Very High</v>
      </c>
      <c r="P14" s="33" t="str">
        <f ca="1">IF($C14="","",IF($AF14&lt;=Definitions!$AF$6,Definitions!$M$4,""))</f>
        <v/>
      </c>
      <c r="Q14" s="23"/>
      <c r="R14" s="33" t="str">
        <f t="shared" ca="1" si="0"/>
        <v/>
      </c>
      <c r="S14" s="23"/>
      <c r="T14" s="13"/>
      <c r="U14" s="10" cm="1">
        <f t="array" ca="1" aca="1" ref="U14">GenerateShadowID(ROW(),$U$5,$U:$U,0,B14&lt;&gt;"")</f>
        <v>9</v>
      </c>
      <c r="V14" s="10" cm="1">
        <f t="array" ref="V14">CreateTaskID($V$5,$V:$V,Tasks!$B$17,$T14)</f>
        <v>0</v>
      </c>
      <c r="W14" s="14" t="e" cm="1">
        <f t="array" ca="1" aca="1" ref="W14">IF($B14="","",SimpleLookup($B14,'Risk Treatment'!$C:$AW))</f>
        <v>#N/A</v>
      </c>
      <c r="X14" s="14" t="e" cm="1">
        <f t="array" ca="1" aca="1" ref="X14">IF($B14="","",_xlfn.LET(_xlpm._attackSteps,SimpleLookup($B14,'Risk Treatment'!$C:$Y),GetValues(_xlpm._attackSteps,Mitigation!$A:$AG,"",CHAR(1),FALSE)))</f>
        <v>#N/A</v>
      </c>
      <c r="Y14" s="14" t="e" cm="1">
        <f t="array" ca="1" aca="1" ref="Y14">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14,CHAR(1))</f>
        <v>#N/A</v>
      </c>
      <c r="Z14" s="14" t="e" cm="1">
        <f t="array" ca="1" aca="1" ref="Z14">FilterElementsFromList($W14,Helper!$J$4,TRUE,",")</f>
        <v>#N/A</v>
      </c>
      <c r="AA14" s="14" t="e" cm="1">
        <f t="array" ca="1" aca="1" ref="AA14">FilterElementsFromList($Y14,Helper!$J$4,TRUE,",")</f>
        <v>#N/A</v>
      </c>
      <c r="AB14" s="20" t="e" cm="1">
        <f t="array" ca="1" aca="1" ref="AB14">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14,CreateSearchString($AA14),CHAR(1),","&amp;CHAR(10))</f>
        <v>#N/A</v>
      </c>
      <c r="AC14" s="20">
        <f ca="1">IFERROR(MATCH($B14,Risks!$A:$A,0),-1)</f>
        <v>11</v>
      </c>
      <c r="AD14" s="20" t="str" cm="1">
        <f t="array" ca="1" aca="1" ref="AD14">IF($B14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14,Risks!$A:CA,Definitions!$Y:$Y,Definitions!$AB:$AB,1)&amp;CHAR(10)&amp;_xlpm._factorFunction($B14,Risks!$A:CB,Definitions!$Y:$Y,Definitions!$AB:$AB,2)&amp;CHAR(10)&amp;_xlpm._factorFunction($B14,Risks!$A:CC,Definitions!$Y:$Y,Definitions!$AB:$AB,3)&amp;CHAR(10)&amp;_xlpm._factorFunction($B14,Risks!$A:CD,Definitions!$Y:$Y,Definitions!$AB:$AB,4)&amp;CHAR(10)&amp;_xlpm._factorFunction($B14,Risks!$A:CE,Definitions!$Y:$Y,Definitions!$AB:$AB,5)))</f>
        <v>Elapsed Time [4]: AS3
Expertise [6]: AS3, AS10
Knowledge of TOE [3]: AS3, AS10
Window of Opportunity [0]: AS1, AS3, AS10
Equipment [0]: AS1, AS3, AS10</v>
      </c>
      <c r="AE14" s="20" t="e" cm="1">
        <f t="array" ca="1" aca="1" ref="AE14">RemoveDelimiter(SUBSTITUTE(SUBSTITUTE($AB14,"{",""),"}",""),","&amp;CHAR(10))</f>
        <v>#N/A</v>
      </c>
      <c r="AF14" s="20" cm="1">
        <f t="array" ca="1" aca="1" ref="AF14">IF($O14="",0,SimpleLookup($O14,Definitions!$AE:$AF))</f>
        <v>4</v>
      </c>
    </row>
    <row r="15" spans="2:32" ht="15">
      <c r="B15" s="16" t="str">
        <f ca="1">OFFSET(Risks!$A$2,ROW()-ROW($B$5),0)</f>
        <v>R2-3-10</v>
      </c>
      <c r="C15" s="33" t="str" cm="1">
        <f t="array" ca="1" aca="1" ref="C15">IF($B15="","",IFERROR(SimpleLookup($B15,'Risk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5" s="37" t="str" cm="1">
        <f t="array" ca="1" aca="1" ref="D15">IF($B15="","",IFERROR(SimpleLookup($B15,'Risk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5" s="16" t="str" cm="1">
        <f t="array" ca="1" aca="1" ref="E15">IF($B15="","",IFERROR(SimpleLookup($B15,'Risk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5" s="34" t="str" cm="1">
        <f t="array" ca="1" aca="1" ref="F15">IF($B15="","",IFERROR(SimpleLookup($B15,'Risk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5" s="16" t="str" cm="1">
        <f t="array" ca="1" aca="1" ref="G15">IF($B15="","",IFERROR(SimpleLookup($B15,'Risk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5" s="16" t="str" cm="1">
        <f t="array" ca="1" aca="1" ref="H15">IF($B15="","",IFERROR(SimpleLookup($B15,'Risk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5" s="33" t="str" cm="1">
        <f t="array" ca="1" aca="1" ref="I15">IF($B15="","",IFERROR(SimpleLookup($B15,'Risk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5" s="33" t="e" cm="1">
        <f t="array" ca="1" aca="1" ref="J15">_xlfn.LET(_xlpm._assignedMitigations,IF($B15="","",IFERROR(RemoveDelimiter(GetValuesWithFallback($Z15,Countermeasures!$A:$B,Assumptions!$A:$B," ",","&amp;CHAR(10),TRUE),","&amp;CHAR(10)),"Error: Unknown risk ID "&amp;$B15)),_xlpm._inlineMitigations,$AE15,_xlpm._assignedMitigations&amp;IF(OR(_xlpm._assignedMitigations="",_xlpm._inlineMitigations=""),"",","&amp;CHAR(10))&amp;_xlpm._inlineMitigations)</f>
        <v>#N/A</v>
      </c>
      <c r="K15" s="37" t="str" cm="1">
        <f t="array" ca="1" aca="1" ref="K15">IF($AC15=-1,"",RemoveDelimiter(GetValues(INDEX(Risks!BN:BN,$AC15),'DS Overview'!$A:$B," ",","&amp;CHAR(10),TRUE),","&amp;CHAR(10)))</f>
        <v>DS10 Life-threatening injury caused by manipulated product,
DS14 Critical environmental damage caused by manipulated product,
DS15 Critical environmental damage caused by attacks on customer's assets by manipulated product</v>
      </c>
      <c r="L15" s="33" t="str" cm="1">
        <f t="array" ca="1" aca="1" ref="L15">IF($AC15=-1,"",INDEX(Risks!BP:BP,$AC15))</f>
        <v>Critical</v>
      </c>
      <c r="M15" s="34" t="str" cm="1">
        <f t="array" ca="1" aca="1" ref="M15">_xlfn.LET(_xlpm._calculatedRAP,IFERROR(SimpleLookup($B15,Risks!$A:$BG),""),_xlpm._inlineRAP,IFERROR(SimpleLookup($B15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15,_xlpm._mitigationSheetName&amp;" sheet "&amp;_xlfn.UNICHAR(8702)&amp;" Comment column:"&amp;CHAR(10)&amp;$AE15)))</f>
        <v>Elapsed Time [4]: AS3
Expertise [6]: AS3, AS10
Knowledge of TOE [3]: AS3, AS10
Window of Opportunity [1]: AS2
Equipment [0]: AS2, AS3, AS10</v>
      </c>
      <c r="N15" s="33" t="str" cm="1">
        <f t="array" ca="1" aca="1" ref="N15">IF($AC15=-1,"",INDEX(Risks!CN:CN,$AC15))</f>
        <v>Moderate</v>
      </c>
      <c r="O15" s="33" t="str" cm="1">
        <f t="array" ca="1" aca="1" ref="O15">IF($AC15=-1,"",INDEX(Risks!CO:CO,$AC15))</f>
        <v>Very High</v>
      </c>
      <c r="P15" s="33" t="str">
        <f ca="1">IF($C15="","",IF($AF15&lt;=Definitions!$AF$6,Definitions!$M$4,""))</f>
        <v/>
      </c>
      <c r="Q15" s="23"/>
      <c r="R15" s="33" t="str">
        <f t="shared" ca="1" si="0"/>
        <v/>
      </c>
      <c r="S15" s="23"/>
      <c r="T15" s="13"/>
      <c r="U15" s="10" cm="1">
        <f t="array" ca="1" aca="1" ref="U15">GenerateShadowID(ROW(),$U$5,$U:$U,0,B15&lt;&gt;"")</f>
        <v>10</v>
      </c>
      <c r="V15" s="10" cm="1">
        <f t="array" ref="V15">CreateTaskID($V$5,$V:$V,Tasks!$B$17,$T15)</f>
        <v>0</v>
      </c>
      <c r="W15" s="14" t="e" cm="1">
        <f t="array" ca="1" aca="1" ref="W15">IF($B15="","",SimpleLookup($B15,'Risk Treatment'!$C:$AW))</f>
        <v>#N/A</v>
      </c>
      <c r="X15" s="14" t="e" cm="1">
        <f t="array" ca="1" aca="1" ref="X15">IF($B15="","",_xlfn.LET(_xlpm._attackSteps,SimpleLookup($B15,'Risk Treatment'!$C:$Y),GetValues(_xlpm._attackSteps,Mitigation!$A:$AG,"",CHAR(1),FALSE)))</f>
        <v>#N/A</v>
      </c>
      <c r="Y15" s="14" t="e" cm="1">
        <f t="array" ca="1" aca="1" ref="Y15">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15,CHAR(1))</f>
        <v>#N/A</v>
      </c>
      <c r="Z15" s="14" t="e" cm="1">
        <f t="array" ca="1" aca="1" ref="Z15">FilterElementsFromList($W15,Helper!$J$4,TRUE,",")</f>
        <v>#N/A</v>
      </c>
      <c r="AA15" s="14" t="e" cm="1">
        <f t="array" ca="1" aca="1" ref="AA15">FilterElementsFromList($Y15,Helper!$J$4,TRUE,",")</f>
        <v>#N/A</v>
      </c>
      <c r="AB15" s="20" t="e" cm="1">
        <f t="array" ca="1" aca="1" ref="AB15">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15,CreateSearchString($AA15),CHAR(1),","&amp;CHAR(10))</f>
        <v>#N/A</v>
      </c>
      <c r="AC15" s="20">
        <f ca="1">IFERROR(MATCH($B15,Risks!$A:$A,0),-1)</f>
        <v>12</v>
      </c>
      <c r="AD15" s="20" t="str" cm="1">
        <f t="array" ca="1" aca="1" ref="AD15">IF($B15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15,Risks!$A:CA,Definitions!$Y:$Y,Definitions!$AB:$AB,1)&amp;CHAR(10)&amp;_xlpm._factorFunction($B15,Risks!$A:CB,Definitions!$Y:$Y,Definitions!$AB:$AB,2)&amp;CHAR(10)&amp;_xlpm._factorFunction($B15,Risks!$A:CC,Definitions!$Y:$Y,Definitions!$AB:$AB,3)&amp;CHAR(10)&amp;_xlpm._factorFunction($B15,Risks!$A:CD,Definitions!$Y:$Y,Definitions!$AB:$AB,4)&amp;CHAR(10)&amp;_xlpm._factorFunction($B15,Risks!$A:CE,Definitions!$Y:$Y,Definitions!$AB:$AB,5)))</f>
        <v>Elapsed Time [4]: AS3
Expertise [6]: AS3, AS10
Knowledge of TOE [3]: AS3, AS10
Window of Opportunity [1]: AS2
Equipment [0]: AS2, AS3, AS10</v>
      </c>
      <c r="AE15" s="20" t="e" cm="1">
        <f t="array" ca="1" aca="1" ref="AE15">RemoveDelimiter(SUBSTITUTE(SUBSTITUTE($AB15,"{",""),"}",""),","&amp;CHAR(10))</f>
        <v>#N/A</v>
      </c>
      <c r="AF15" s="20" cm="1">
        <f t="array" ca="1" aca="1" ref="AF15">IF($O15="",0,SimpleLookup($O15,Definitions!$AE:$AF))</f>
        <v>4</v>
      </c>
    </row>
    <row r="16" spans="2:32" ht="15">
      <c r="B16" s="16" t="str">
        <f ca="1">OFFSET(Risks!$A$2,ROW()-ROW($B$5),0)</f>
        <v>R1-3-11</v>
      </c>
      <c r="C16" s="33" t="str" cm="1">
        <f t="array" ca="1" aca="1" ref="C16">IF($B16="","",IFERROR(SimpleLookup($B16,'Risk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6" s="37" t="str" cm="1">
        <f t="array" ca="1" aca="1" ref="D16">IF($B16="","",IFERROR(SimpleLookup($B16,'Risk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6" s="16" t="str" cm="1">
        <f t="array" ca="1" aca="1" ref="E16">IF($B16="","",IFERROR(SimpleLookup($B16,'Risk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6" s="34" t="str" cm="1">
        <f t="array" ca="1" aca="1" ref="F16">IF($B16="","",IFERROR(SimpleLookup($B16,'Risk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6" s="16" t="str" cm="1">
        <f t="array" ca="1" aca="1" ref="G16">IF($B16="","",IFERROR(SimpleLookup($B16,'Risk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6" s="16" t="str" cm="1">
        <f t="array" ca="1" aca="1" ref="H16">IF($B16="","",IFERROR(SimpleLookup($B16,'Risk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6" s="33" t="str" cm="1">
        <f t="array" ca="1" aca="1" ref="I16">IF($B16="","",IFERROR(SimpleLookup($B16,'Risk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6" s="33" t="e" cm="1">
        <f t="array" ca="1" aca="1" ref="J16">_xlfn.LET(_xlpm._assignedMitigations,IF($B16="","",IFERROR(RemoveDelimiter(GetValuesWithFallback($Z16,Countermeasures!$A:$B,Assumptions!$A:$B," ",","&amp;CHAR(10),TRUE),","&amp;CHAR(10)),"Error: Unknown risk ID "&amp;$B16)),_xlpm._inlineMitigations,$AE16,_xlpm._assignedMitigations&amp;IF(OR(_xlpm._assignedMitigations="",_xlpm._inlineMitigations=""),"",","&amp;CHAR(10))&amp;_xlpm._inlineMitigations)</f>
        <v>#N/A</v>
      </c>
      <c r="K16" s="37" t="str" cm="1">
        <f t="array" ca="1" aca="1" ref="K16">IF($AC16=-1,"",RemoveDelimiter(GetValues(INDEX(Risks!BN:BN,$AC16),'DS Overview'!$A:$B," ",","&amp;CHAR(10),TRUE),","&amp;CHAR(10)))</f>
        <v>DS14 Critical environmental damage caused by manipulated product</v>
      </c>
      <c r="L16" s="33" t="str" cm="1">
        <f t="array" ca="1" aca="1" ref="L16">IF($AC16=-1,"",INDEX(Risks!BP:BP,$AC16))</f>
        <v>Critical</v>
      </c>
      <c r="M16" s="34" t="str" cm="1">
        <f t="array" ca="1" aca="1" ref="M16">_xlfn.LET(_xlpm._calculatedRAP,IFERROR(SimpleLookup($B16,Risks!$A:$BG),""),_xlpm._inlineRAP,IFERROR(SimpleLookup($B16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16,_xlpm._mitigationSheetName&amp;" sheet "&amp;_xlfn.UNICHAR(8702)&amp;" Comment column:"&amp;CHAR(10)&amp;$AE16)))</f>
        <v>Elapsed Time [4]: AS3
Expertise [6]: AS3
Knowledge of TOE [3]: AS3
Window of Opportunity [0]: AS1, AS3, AS11
Equipment [0]: AS1, AS3, AS11</v>
      </c>
      <c r="N16" s="33" t="str" cm="1">
        <f t="array" ca="1" aca="1" ref="N16">IF($AC16=-1,"",INDEX(Risks!CN:CN,$AC16))</f>
        <v>Enhanced-Basic</v>
      </c>
      <c r="O16" s="33" t="str" cm="1">
        <f t="array" ca="1" aca="1" ref="O16">IF($AC16=-1,"",INDEX(Risks!CO:CO,$AC16))</f>
        <v>Very High</v>
      </c>
      <c r="P16" s="33" t="str">
        <f ca="1">IF($C16="","",IF($AF16&lt;=Definitions!$AF$6,Definitions!$M$4,""))</f>
        <v/>
      </c>
      <c r="Q16" s="23"/>
      <c r="R16" s="33" t="str">
        <f t="shared" ca="1" si="0"/>
        <v/>
      </c>
      <c r="S16" s="23"/>
      <c r="T16" s="13"/>
      <c r="U16" s="10" cm="1">
        <f t="array" ca="1" aca="1" ref="U16">GenerateShadowID(ROW(),$U$5,$U:$U,0,B16&lt;&gt;"")</f>
        <v>11</v>
      </c>
      <c r="V16" s="10" cm="1">
        <f t="array" ref="V16">CreateTaskID($V$5,$V:$V,Tasks!$B$17,$T16)</f>
        <v>0</v>
      </c>
      <c r="W16" s="14" t="e" cm="1">
        <f t="array" ca="1" aca="1" ref="W16">IF($B16="","",SimpleLookup($B16,'Risk Treatment'!$C:$AW))</f>
        <v>#N/A</v>
      </c>
      <c r="X16" s="14" t="e" cm="1">
        <f t="array" ca="1" aca="1" ref="X16">IF($B16="","",_xlfn.LET(_xlpm._attackSteps,SimpleLookup($B16,'Risk Treatment'!$C:$Y),GetValues(_xlpm._attackSteps,Mitigation!$A:$AG,"",CHAR(1),FALSE)))</f>
        <v>#N/A</v>
      </c>
      <c r="Y16" s="14" t="e" cm="1">
        <f t="array" ca="1" aca="1" ref="Y1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16,CHAR(1))</f>
        <v>#N/A</v>
      </c>
      <c r="Z16" s="14" t="e" cm="1">
        <f t="array" ca="1" aca="1" ref="Z16">FilterElementsFromList($W16,Helper!$J$4,TRUE,",")</f>
        <v>#N/A</v>
      </c>
      <c r="AA16" s="14" t="e" cm="1">
        <f t="array" ca="1" aca="1" ref="AA16">FilterElementsFromList($Y16,Helper!$J$4,TRUE,",")</f>
        <v>#N/A</v>
      </c>
      <c r="AB16" s="20" t="e" cm="1">
        <f t="array" ca="1" aca="1" ref="AB1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16,CreateSearchString($AA16),CHAR(1),","&amp;CHAR(10))</f>
        <v>#N/A</v>
      </c>
      <c r="AC16" s="20">
        <f ca="1">IFERROR(MATCH($B16,Risks!$A:$A,0),-1)</f>
        <v>13</v>
      </c>
      <c r="AD16" s="20" t="str" cm="1">
        <f t="array" ca="1" aca="1" ref="AD16">IF($B16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16,Risks!$A:CA,Definitions!$Y:$Y,Definitions!$AB:$AB,1)&amp;CHAR(10)&amp;_xlpm._factorFunction($B16,Risks!$A:CB,Definitions!$Y:$Y,Definitions!$AB:$AB,2)&amp;CHAR(10)&amp;_xlpm._factorFunction($B16,Risks!$A:CC,Definitions!$Y:$Y,Definitions!$AB:$AB,3)&amp;CHAR(10)&amp;_xlpm._factorFunction($B16,Risks!$A:CD,Definitions!$Y:$Y,Definitions!$AB:$AB,4)&amp;CHAR(10)&amp;_xlpm._factorFunction($B16,Risks!$A:CE,Definitions!$Y:$Y,Definitions!$AB:$AB,5)))</f>
        <v>Elapsed Time [4]: AS3
Expertise [6]: AS3
Knowledge of TOE [3]: AS3
Window of Opportunity [0]: AS1, AS3, AS11
Equipment [0]: AS1, AS3, AS11</v>
      </c>
      <c r="AE16" s="20" t="e" cm="1">
        <f t="array" ca="1" aca="1" ref="AE16">RemoveDelimiter(SUBSTITUTE(SUBSTITUTE($AB16,"{",""),"}",""),","&amp;CHAR(10))</f>
        <v>#N/A</v>
      </c>
      <c r="AF16" s="20" cm="1">
        <f t="array" ca="1" aca="1" ref="AF16">IF($O16="",0,SimpleLookup($O16,Definitions!$AE:$AF))</f>
        <v>4</v>
      </c>
    </row>
    <row r="17" spans="2:32" ht="15">
      <c r="B17" s="16" t="str">
        <f ca="1">OFFSET(Risks!$A$2,ROW()-ROW($B$5),0)</f>
        <v>R2-3-11</v>
      </c>
      <c r="C17" s="33" t="str" cm="1">
        <f t="array" ca="1" aca="1" ref="C17">IF($B17="","",IFERROR(SimpleLookup($B17,'Risk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7" s="37" t="str" cm="1">
        <f t="array" ca="1" aca="1" ref="D17">IF($B17="","",IFERROR(SimpleLookup($B17,'Risk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7" s="16" t="str" cm="1">
        <f t="array" ca="1" aca="1" ref="E17">IF($B17="","",IFERROR(SimpleLookup($B17,'Risk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7" s="34" t="str" cm="1">
        <f t="array" ca="1" aca="1" ref="F17">IF($B17="","",IFERROR(SimpleLookup($B17,'Risk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7" s="16" t="str" cm="1">
        <f t="array" ca="1" aca="1" ref="G17">IF($B17="","",IFERROR(SimpleLookup($B17,'Risk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7" s="16" t="str" cm="1">
        <f t="array" ca="1" aca="1" ref="H17">IF($B17="","",IFERROR(SimpleLookup($B17,'Risk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7" s="33" t="str" cm="1">
        <f t="array" ca="1" aca="1" ref="I17">IF($B17="","",IFERROR(SimpleLookup($B17,'Risk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7" s="33" t="e" cm="1">
        <f t="array" ca="1" aca="1" ref="J17">_xlfn.LET(_xlpm._assignedMitigations,IF($B17="","",IFERROR(RemoveDelimiter(GetValuesWithFallback($Z17,Countermeasures!$A:$B,Assumptions!$A:$B," ",","&amp;CHAR(10),TRUE),","&amp;CHAR(10)),"Error: Unknown risk ID "&amp;$B17)),_xlpm._inlineMitigations,$AE17,_xlpm._assignedMitigations&amp;IF(OR(_xlpm._assignedMitigations="",_xlpm._inlineMitigations=""),"",","&amp;CHAR(10))&amp;_xlpm._inlineMitigations)</f>
        <v>#N/A</v>
      </c>
      <c r="K17" s="37" t="str" cm="1">
        <f t="array" ca="1" aca="1" ref="K17">IF($AC17=-1,"",RemoveDelimiter(GetValues(INDEX(Risks!BN:BN,$AC17),'DS Overview'!$A:$B," ",","&amp;CHAR(10),TRUE),","&amp;CHAR(10)))</f>
        <v>DS14 Critical environmental damage caused by manipulated product</v>
      </c>
      <c r="L17" s="33" t="str" cm="1">
        <f t="array" ca="1" aca="1" ref="L17">IF($AC17=-1,"",INDEX(Risks!BP:BP,$AC17))</f>
        <v>Critical</v>
      </c>
      <c r="M17" s="34" t="str" cm="1">
        <f t="array" ca="1" aca="1" ref="M17">_xlfn.LET(_xlpm._calculatedRAP,IFERROR(SimpleLookup($B17,Risks!$A:$BG),""),_xlpm._inlineRAP,IFERROR(SimpleLookup($B17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17,_xlpm._mitigationSheetName&amp;" sheet "&amp;_xlfn.UNICHAR(8702)&amp;" Comment column:"&amp;CHAR(10)&amp;$AE17)))</f>
        <v>Elapsed Time [4]: AS3
Expertise [6]: AS3
Knowledge of TOE [3]: AS3
Window of Opportunity [1]: AS2
Equipment [0]: AS2, AS3, AS11</v>
      </c>
      <c r="N17" s="33" t="str" cm="1">
        <f t="array" ca="1" aca="1" ref="N17">IF($AC17=-1,"",INDEX(Risks!CN:CN,$AC17))</f>
        <v>Moderate</v>
      </c>
      <c r="O17" s="33" t="str" cm="1">
        <f t="array" ca="1" aca="1" ref="O17">IF($AC17=-1,"",INDEX(Risks!CO:CO,$AC17))</f>
        <v>Very High</v>
      </c>
      <c r="P17" s="33" t="str">
        <f ca="1">IF($C17="","",IF($AF17&lt;=Definitions!$AF$6,Definitions!$M$4,""))</f>
        <v/>
      </c>
      <c r="Q17" s="23"/>
      <c r="R17" s="33" t="str">
        <f t="shared" ca="1" si="0"/>
        <v/>
      </c>
      <c r="S17" s="23"/>
      <c r="T17" s="13"/>
      <c r="U17" s="10" cm="1">
        <f t="array" ca="1" aca="1" ref="U17">GenerateShadowID(ROW(),$U$5,$U:$U,0,B17&lt;&gt;"")</f>
        <v>12</v>
      </c>
      <c r="V17" s="10" cm="1">
        <f t="array" ref="V17">CreateTaskID($V$5,$V:$V,Tasks!$B$17,$T17)</f>
        <v>0</v>
      </c>
      <c r="W17" s="14" t="e" cm="1">
        <f t="array" ca="1" aca="1" ref="W17">IF($B17="","",SimpleLookup($B17,'Risk Treatment'!$C:$AW))</f>
        <v>#N/A</v>
      </c>
      <c r="X17" s="14" t="e" cm="1">
        <f t="array" ca="1" aca="1" ref="X17">IF($B17="","",_xlfn.LET(_xlpm._attackSteps,SimpleLookup($B17,'Risk Treatment'!$C:$Y),GetValues(_xlpm._attackSteps,Mitigation!$A:$AG,"",CHAR(1),FALSE)))</f>
        <v>#N/A</v>
      </c>
      <c r="Y17" s="14" t="e" cm="1">
        <f t="array" ca="1" aca="1" ref="Y1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17,CHAR(1))</f>
        <v>#N/A</v>
      </c>
      <c r="Z17" s="14" t="e" cm="1">
        <f t="array" ca="1" aca="1" ref="Z17">FilterElementsFromList($W17,Helper!$J$4,TRUE,",")</f>
        <v>#N/A</v>
      </c>
      <c r="AA17" s="14" t="e" cm="1">
        <f t="array" ca="1" aca="1" ref="AA17">FilterElementsFromList($Y17,Helper!$J$4,TRUE,",")</f>
        <v>#N/A</v>
      </c>
      <c r="AB17" s="20" t="e" cm="1">
        <f t="array" ca="1" aca="1" ref="AB1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17,CreateSearchString($AA17),CHAR(1),","&amp;CHAR(10))</f>
        <v>#N/A</v>
      </c>
      <c r="AC17" s="20">
        <f ca="1">IFERROR(MATCH($B17,Risks!$A:$A,0),-1)</f>
        <v>14</v>
      </c>
      <c r="AD17" s="20" t="str" cm="1">
        <f t="array" ca="1" aca="1" ref="AD17">IF($B17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17,Risks!$A:CA,Definitions!$Y:$Y,Definitions!$AB:$AB,1)&amp;CHAR(10)&amp;_xlpm._factorFunction($B17,Risks!$A:CB,Definitions!$Y:$Y,Definitions!$AB:$AB,2)&amp;CHAR(10)&amp;_xlpm._factorFunction($B17,Risks!$A:CC,Definitions!$Y:$Y,Definitions!$AB:$AB,3)&amp;CHAR(10)&amp;_xlpm._factorFunction($B17,Risks!$A:CD,Definitions!$Y:$Y,Definitions!$AB:$AB,4)&amp;CHAR(10)&amp;_xlpm._factorFunction($B17,Risks!$A:CE,Definitions!$Y:$Y,Definitions!$AB:$AB,5)))</f>
        <v>Elapsed Time [4]: AS3
Expertise [6]: AS3
Knowledge of TOE [3]: AS3
Window of Opportunity [1]: AS2
Equipment [0]: AS2, AS3, AS11</v>
      </c>
      <c r="AE17" s="20" t="e" cm="1">
        <f t="array" ca="1" aca="1" ref="AE17">RemoveDelimiter(SUBSTITUTE(SUBSTITUTE($AB17,"{",""),"}",""),","&amp;CHAR(10))</f>
        <v>#N/A</v>
      </c>
      <c r="AF17" s="20" cm="1">
        <f t="array" ca="1" aca="1" ref="AF17">IF($O17="",0,SimpleLookup($O17,Definitions!$AE:$AF))</f>
        <v>4</v>
      </c>
    </row>
    <row r="18" spans="2:32" ht="15">
      <c r="B18" s="16" t="str">
        <f ca="1">OFFSET(Risks!$A$2,ROW()-ROW($B$5),0)</f>
        <v>R1-14</v>
      </c>
      <c r="C18" s="33" t="str" cm="1">
        <f t="array" ca="1" aca="1" ref="C18">IF($B18="","",IFERROR(SimpleLookup($B18,'Risk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8" s="37" t="str" cm="1">
        <f t="array" ca="1" aca="1" ref="D18">IF($B18="","",IFERROR(SimpleLookup($B18,'Risk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8" s="16" t="str" cm="1">
        <f t="array" ca="1" aca="1" ref="E18">IF($B18="","",IFERROR(SimpleLookup($B18,'Risk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8" s="34" t="str" cm="1">
        <f t="array" ca="1" aca="1" ref="F18">IF($B18="","",IFERROR(SimpleLookup($B18,'Risk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8" s="16" t="str" cm="1">
        <f t="array" ca="1" aca="1" ref="G18">IF($B18="","",IFERROR(SimpleLookup($B18,'Risk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8" s="16" t="str" cm="1">
        <f t="array" ca="1" aca="1" ref="H18">IF($B18="","",IFERROR(SimpleLookup($B18,'Risk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8" s="33" t="str" cm="1">
        <f t="array" ca="1" aca="1" ref="I18">IF($B18="","",IFERROR(SimpleLookup($B18,'Risk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8" s="33" t="e" cm="1">
        <f t="array" ca="1" aca="1" ref="J18">_xlfn.LET(_xlpm._assignedMitigations,IF($B18="","",IFERROR(RemoveDelimiter(GetValuesWithFallback($Z18,Countermeasures!$A:$B,Assumptions!$A:$B," ",","&amp;CHAR(10),TRUE),","&amp;CHAR(10)),"Error: Unknown risk ID "&amp;$B18)),_xlpm._inlineMitigations,$AE18,_xlpm._assignedMitigations&amp;IF(OR(_xlpm._assignedMitigations="",_xlpm._inlineMitigations=""),"",","&amp;CHAR(10))&amp;_xlpm._inlineMitigations)</f>
        <v>#N/A</v>
      </c>
      <c r="K18" s="37" t="str" cm="1">
        <f t="array" ca="1" aca="1" ref="K18">IF($AC18=-1,"",RemoveDelimiter(GetValues(INDEX(Risks!BN:BN,$AC18),'DS Overview'!$A:$B," ",","&amp;CHAR(10),TRUE),","&amp;CHAR(10)))</f>
        <v>DS6 Life-threatening injury caused by unavailable product,
DS7 Critical environmental damage caused by unavailable product,
DS8 Loss of Critical financial damage caused by unavailable product</v>
      </c>
      <c r="L18" s="33" t="str" cm="1">
        <f t="array" ca="1" aca="1" ref="L18">IF($AC18=-1,"",INDEX(Risks!BP:BP,$AC18))</f>
        <v>Critical</v>
      </c>
      <c r="M18" s="34" t="str" cm="1">
        <f t="array" ca="1" aca="1" ref="M18">_xlfn.LET(_xlpm._calculatedRAP,IFERROR(SimpleLookup($B18,Risks!$A:$BG),""),_xlpm._inlineRAP,IFERROR(SimpleLookup($B18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18,_xlpm._mitigationSheetName&amp;" sheet "&amp;_xlfn.UNICHAR(8702)&amp;" Comment column:"&amp;CHAR(10)&amp;$AE18)))</f>
        <v>Elapsed Time [0]: AS1, AS14
Expertise [3]: AS14
Knowledge of TOE [0]: AS1, AS14
Window of Opportunity [0]: AS1, AS14
Equipment [0]: AS1, AS14</v>
      </c>
      <c r="N18" s="33" t="str" cm="1">
        <f t="array" ca="1" aca="1" ref="N18">IF($AC18=-1,"",INDEX(Risks!CN:CN,$AC18))</f>
        <v>Basic</v>
      </c>
      <c r="O18" s="33" t="str" cm="1">
        <f t="array" ca="1" aca="1" ref="O18">IF($AC18=-1,"",INDEX(Risks!CO:CO,$AC18))</f>
        <v>Very High</v>
      </c>
      <c r="P18" s="33" t="str">
        <f ca="1">IF($C18="","",IF($AF18&lt;=Definitions!$AF$6,Definitions!$M$4,""))</f>
        <v/>
      </c>
      <c r="Q18" s="23"/>
      <c r="R18" s="33" t="str">
        <f t="shared" ca="1" si="0"/>
        <v/>
      </c>
      <c r="S18" s="23"/>
      <c r="T18" s="13"/>
      <c r="U18" s="10" cm="1">
        <f t="array" ca="1" aca="1" ref="U18">GenerateShadowID(ROW(),$U$5,$U:$U,0,B18&lt;&gt;"")</f>
        <v>13</v>
      </c>
      <c r="V18" s="10" cm="1">
        <f t="array" ref="V18">CreateTaskID($V$5,$V:$V,Tasks!$B$17,$T18)</f>
        <v>0</v>
      </c>
      <c r="W18" s="14" t="e" cm="1">
        <f t="array" ca="1" aca="1" ref="W18">IF($B18="","",SimpleLookup($B18,'Risk Treatment'!$C:$AW))</f>
        <v>#N/A</v>
      </c>
      <c r="X18" s="14" t="e" cm="1">
        <f t="array" ca="1" aca="1" ref="X18">IF($B18="","",_xlfn.LET(_xlpm._attackSteps,SimpleLookup($B18,'Risk Treatment'!$C:$Y),GetValues(_xlpm._attackSteps,Mitigation!$A:$AG,"",CHAR(1),FALSE)))</f>
        <v>#N/A</v>
      </c>
      <c r="Y18" s="14" t="e" cm="1">
        <f t="array" ca="1" aca="1" ref="Y1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18,CHAR(1))</f>
        <v>#N/A</v>
      </c>
      <c r="Z18" s="14" t="e" cm="1">
        <f t="array" ca="1" aca="1" ref="Z18">FilterElementsFromList($W18,Helper!$J$4,TRUE,",")</f>
        <v>#N/A</v>
      </c>
      <c r="AA18" s="14" t="e" cm="1">
        <f t="array" ca="1" aca="1" ref="AA18">FilterElementsFromList($Y18,Helper!$J$4,TRUE,",")</f>
        <v>#N/A</v>
      </c>
      <c r="AB18" s="20" t="e" cm="1">
        <f t="array" ca="1" aca="1" ref="AB1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18,CreateSearchString($AA18),CHAR(1),","&amp;CHAR(10))</f>
        <v>#N/A</v>
      </c>
      <c r="AC18" s="20">
        <f ca="1">IFERROR(MATCH($B18,Risks!$A:$A,0),-1)</f>
        <v>15</v>
      </c>
      <c r="AD18" s="20" t="str" cm="1">
        <f t="array" ca="1" aca="1" ref="AD18">IF($B18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18,Risks!$A:CA,Definitions!$Y:$Y,Definitions!$AB:$AB,1)&amp;CHAR(10)&amp;_xlpm._factorFunction($B18,Risks!$A:CB,Definitions!$Y:$Y,Definitions!$AB:$AB,2)&amp;CHAR(10)&amp;_xlpm._factorFunction($B18,Risks!$A:CC,Definitions!$Y:$Y,Definitions!$AB:$AB,3)&amp;CHAR(10)&amp;_xlpm._factorFunction($B18,Risks!$A:CD,Definitions!$Y:$Y,Definitions!$AB:$AB,4)&amp;CHAR(10)&amp;_xlpm._factorFunction($B18,Risks!$A:CE,Definitions!$Y:$Y,Definitions!$AB:$AB,5)))</f>
        <v>Elapsed Time [0]: AS1, AS14
Expertise [3]: AS14
Knowledge of TOE [0]: AS1, AS14
Window of Opportunity [0]: AS1, AS14
Equipment [0]: AS1, AS14</v>
      </c>
      <c r="AE18" s="20" t="e" cm="1">
        <f t="array" ca="1" aca="1" ref="AE18">RemoveDelimiter(SUBSTITUTE(SUBSTITUTE($AB18,"{",""),"}",""),","&amp;CHAR(10))</f>
        <v>#N/A</v>
      </c>
      <c r="AF18" s="20" cm="1">
        <f t="array" ca="1" aca="1" ref="AF18">IF($O18="",0,SimpleLookup($O18,Definitions!$AE:$AF))</f>
        <v>4</v>
      </c>
    </row>
    <row r="19" spans="2:32" ht="15">
      <c r="B19" s="16" t="str">
        <f ca="1">OFFSET(Risks!$A$2,ROW()-ROW($B$5),0)</f>
        <v>R1-16</v>
      </c>
      <c r="C19" s="33" t="str" cm="1">
        <f t="array" ca="1" aca="1" ref="C19">IF($B19="","",IFERROR(SimpleLookup($B19,'Risk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19" s="37" t="str" cm="1">
        <f t="array" ca="1" aca="1" ref="D19">IF($B19="","",IFERROR(SimpleLookup($B19,'Risk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19" s="16" t="str" cm="1">
        <f t="array" ca="1" aca="1" ref="E19">IF($B19="","",IFERROR(SimpleLookup($B19,'Risk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19" s="34" t="str" cm="1">
        <f t="array" ca="1" aca="1" ref="F19">IF($B19="","",IFERROR(SimpleLookup($B19,'Risk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19" s="16" t="str" cm="1">
        <f t="array" ca="1" aca="1" ref="G19">IF($B19="","",IFERROR(SimpleLookup($B19,'Risk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19" s="16" t="str" cm="1">
        <f t="array" ca="1" aca="1" ref="H19">IF($B19="","",IFERROR(SimpleLookup($B19,'Risk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19" s="33" t="str" cm="1">
        <f t="array" ca="1" aca="1" ref="I19">IF($B19="","",IFERROR(SimpleLookup($B19,'Risk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19" s="33" t="e" cm="1">
        <f t="array" ca="1" aca="1" ref="J19">_xlfn.LET(_xlpm._assignedMitigations,IF($B19="","",IFERROR(RemoveDelimiter(GetValuesWithFallback($Z19,Countermeasures!$A:$B,Assumptions!$A:$B," ",","&amp;CHAR(10),TRUE),","&amp;CHAR(10)),"Error: Unknown risk ID "&amp;$B19)),_xlpm._inlineMitigations,$AE19,_xlpm._assignedMitigations&amp;IF(OR(_xlpm._assignedMitigations="",_xlpm._inlineMitigations=""),"",","&amp;CHAR(10))&amp;_xlpm._inlineMitigations)</f>
        <v>#N/A</v>
      </c>
      <c r="K19" s="37" t="str" cm="1">
        <f t="array" ca="1" aca="1" ref="K19">IF($AC19=-1,"",RemoveDelimiter(GetValues(INDEX(Risks!BN:BN,$AC19),'DS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19" s="33" t="str" cm="1">
        <f t="array" ca="1" aca="1" ref="L19">IF($AC19=-1,"",INDEX(Risks!BP:BP,$AC19))</f>
        <v>Critical</v>
      </c>
      <c r="M19" s="34" t="str" cm="1">
        <f t="array" ca="1" aca="1" ref="M19">_xlfn.LET(_xlpm._calculatedRAP,IFERROR(SimpleLookup($B19,Risks!$A:$BG),""),_xlpm._inlineRAP,IFERROR(SimpleLookup($B19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19,_xlpm._mitigationSheetName&amp;" sheet "&amp;_xlfn.UNICHAR(8702)&amp;" Comment column:"&amp;CHAR(10)&amp;$AE19)))</f>
        <v>Elapsed Time [0]: AS1, AS16
Expertise [3]: AS16
Knowledge of TOE [3]: AS16
Window of Opportunity [0]: AS1, AS16
Equipment [0]: AS1, AS16</v>
      </c>
      <c r="N19" s="33" t="str" cm="1">
        <f t="array" ca="1" aca="1" ref="N19">IF($AC19=-1,"",INDEX(Risks!CN:CN,$AC19))</f>
        <v>Basic</v>
      </c>
      <c r="O19" s="33" t="str" cm="1">
        <f t="array" ca="1" aca="1" ref="O19">IF($AC19=-1,"",INDEX(Risks!CO:CO,$AC19))</f>
        <v>Very High</v>
      </c>
      <c r="P19" s="33" t="str">
        <f ca="1">IF($C19="","",IF($AF19&lt;=Definitions!$AF$6,Definitions!$M$4,""))</f>
        <v/>
      </c>
      <c r="Q19" s="23"/>
      <c r="R19" s="33" t="str">
        <f t="shared" ca="1" si="0"/>
        <v/>
      </c>
      <c r="S19" s="23"/>
      <c r="T19" s="13"/>
      <c r="U19" s="10" cm="1">
        <f t="array" ca="1" aca="1" ref="U19">GenerateShadowID(ROW(),$U$5,$U:$U,0,B19&lt;&gt;"")</f>
        <v>14</v>
      </c>
      <c r="V19" s="10" cm="1">
        <f t="array" ref="V19">CreateTaskID($V$5,$V:$V,Tasks!$B$17,$T19)</f>
        <v>0</v>
      </c>
      <c r="W19" s="14" t="e" cm="1">
        <f t="array" ca="1" aca="1" ref="W19">IF($B19="","",SimpleLookup($B19,'Risk Treatment'!$C:$AW))</f>
        <v>#N/A</v>
      </c>
      <c r="X19" s="14" t="e" cm="1">
        <f t="array" ca="1" aca="1" ref="X19">IF($B19="","",_xlfn.LET(_xlpm._attackSteps,SimpleLookup($B19,'Risk Treatment'!$C:$Y),GetValues(_xlpm._attackSteps,Mitigation!$A:$AG,"",CHAR(1),FALSE)))</f>
        <v>#N/A</v>
      </c>
      <c r="Y19" s="14" t="e" cm="1">
        <f t="array" ca="1" aca="1" ref="Y1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19,CHAR(1))</f>
        <v>#N/A</v>
      </c>
      <c r="Z19" s="14" t="e" cm="1">
        <f t="array" ca="1" aca="1" ref="Z19">FilterElementsFromList($W19,Helper!$J$4,TRUE,",")</f>
        <v>#N/A</v>
      </c>
      <c r="AA19" s="14" t="e" cm="1">
        <f t="array" ca="1" aca="1" ref="AA19">FilterElementsFromList($Y19,Helper!$J$4,TRUE,",")</f>
        <v>#N/A</v>
      </c>
      <c r="AB19" s="20" t="e" cm="1">
        <f t="array" ca="1" aca="1" ref="AB1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19,CreateSearchString($AA19),CHAR(1),","&amp;CHAR(10))</f>
        <v>#N/A</v>
      </c>
      <c r="AC19" s="20">
        <f ca="1">IFERROR(MATCH($B19,Risks!$A:$A,0),-1)</f>
        <v>16</v>
      </c>
      <c r="AD19" s="20" t="str" cm="1">
        <f t="array" ca="1" aca="1" ref="AD19">IF($B19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19,Risks!$A:CA,Definitions!$Y:$Y,Definitions!$AB:$AB,1)&amp;CHAR(10)&amp;_xlpm._factorFunction($B19,Risks!$A:CB,Definitions!$Y:$Y,Definitions!$AB:$AB,2)&amp;CHAR(10)&amp;_xlpm._factorFunction($B19,Risks!$A:CC,Definitions!$Y:$Y,Definitions!$AB:$AB,3)&amp;CHAR(10)&amp;_xlpm._factorFunction($B19,Risks!$A:CD,Definitions!$Y:$Y,Definitions!$AB:$AB,4)&amp;CHAR(10)&amp;_xlpm._factorFunction($B19,Risks!$A:CE,Definitions!$Y:$Y,Definitions!$AB:$AB,5)))</f>
        <v>Elapsed Time [0]: AS1, AS16
Expertise [3]: AS16
Knowledge of TOE [3]: AS16
Window of Opportunity [0]: AS1, AS16
Equipment [0]: AS1, AS16</v>
      </c>
      <c r="AE19" s="20" t="e" cm="1">
        <f t="array" ca="1" aca="1" ref="AE19">RemoveDelimiter(SUBSTITUTE(SUBSTITUTE($AB19,"{",""),"}",""),","&amp;CHAR(10))</f>
        <v>#N/A</v>
      </c>
      <c r="AF19" s="20" cm="1">
        <f t="array" ca="1" aca="1" ref="AF19">IF($O19="",0,SimpleLookup($O19,Definitions!$AE:$AF))</f>
        <v>4</v>
      </c>
    </row>
    <row r="20" spans="2:32" ht="15">
      <c r="B20" s="16" t="str">
        <f ca="1">OFFSET(Risks!$A$2,ROW()-ROW($B$5),0)</f>
        <v>R2-16</v>
      </c>
      <c r="C20" s="33" t="str" cm="1">
        <f t="array" ca="1" aca="1" ref="C20">IF($B20="","",IFERROR(SimpleLookup($B20,'Risk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0" s="37" t="str" cm="1">
        <f t="array" ca="1" aca="1" ref="D20">IF($B20="","",IFERROR(SimpleLookup($B20,'Risk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0" s="16" t="str" cm="1">
        <f t="array" ca="1" aca="1" ref="E20">IF($B20="","",IFERROR(SimpleLookup($B20,'Risk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0" s="34" t="str" cm="1">
        <f t="array" ca="1" aca="1" ref="F20">IF($B20="","",IFERROR(SimpleLookup($B20,'Risk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0" s="16" t="str" cm="1">
        <f t="array" ca="1" aca="1" ref="G20">IF($B20="","",IFERROR(SimpleLookup($B20,'Risk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0" s="16" t="str" cm="1">
        <f t="array" ca="1" aca="1" ref="H20">IF($B20="","",IFERROR(SimpleLookup($B20,'Risk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0" s="33" t="str" cm="1">
        <f t="array" ca="1" aca="1" ref="I20">IF($B20="","",IFERROR(SimpleLookup($B20,'Risk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0" s="33" t="e" cm="1">
        <f t="array" ca="1" aca="1" ref="J20">_xlfn.LET(_xlpm._assignedMitigations,IF($B20="","",IFERROR(RemoveDelimiter(GetValuesWithFallback($Z20,Countermeasures!$A:$B,Assumptions!$A:$B," ",","&amp;CHAR(10),TRUE),","&amp;CHAR(10)),"Error: Unknown risk ID "&amp;$B20)),_xlpm._inlineMitigations,$AE20,_xlpm._assignedMitigations&amp;IF(OR(_xlpm._assignedMitigations="",_xlpm._inlineMitigations=""),"",","&amp;CHAR(10))&amp;_xlpm._inlineMitigations)</f>
        <v>#N/A</v>
      </c>
      <c r="K20" s="37" t="str" cm="1">
        <f t="array" ca="1" aca="1" ref="K20">IF($AC20=-1,"",RemoveDelimiter(GetValues(INDEX(Risks!BN:BN,$AC20),'DS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20" s="33" t="str" cm="1">
        <f t="array" ca="1" aca="1" ref="L20">IF($AC20=-1,"",INDEX(Risks!BP:BP,$AC20))</f>
        <v>Critical</v>
      </c>
      <c r="M20" s="34" t="str" cm="1">
        <f t="array" ca="1" aca="1" ref="M20">_xlfn.LET(_xlpm._calculatedRAP,IFERROR(SimpleLookup($B20,Risks!$A:$BG),""),_xlpm._inlineRAP,IFERROR(SimpleLookup($B20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20,_xlpm._mitigationSheetName&amp;" sheet "&amp;_xlfn.UNICHAR(8702)&amp;" Comment column:"&amp;CHAR(10)&amp;$AE20)))</f>
        <v>Elapsed Time [0]: AS2, AS16
Expertise [3]: AS2, AS16
Knowledge of TOE [3]: AS16
Window of Opportunity [1]: AS2
Equipment [0]: AS2, AS16</v>
      </c>
      <c r="N20" s="33" t="str" cm="1">
        <f t="array" ca="1" aca="1" ref="N20">IF($AC20=-1,"",INDEX(Risks!CN:CN,$AC20))</f>
        <v>Basic</v>
      </c>
      <c r="O20" s="33" t="str" cm="1">
        <f t="array" ca="1" aca="1" ref="O20">IF($AC20=-1,"",INDEX(Risks!CO:CO,$AC20))</f>
        <v>Very High</v>
      </c>
      <c r="P20" s="33" t="str">
        <f ca="1">IF($C20="","",IF($AF20&lt;=Definitions!$AF$6,Definitions!$M$4,""))</f>
        <v/>
      </c>
      <c r="Q20" s="23"/>
      <c r="R20" s="33" t="str">
        <f t="shared" ca="1" si="0"/>
        <v/>
      </c>
      <c r="S20" s="23"/>
      <c r="T20" s="13"/>
      <c r="U20" s="10" cm="1">
        <f t="array" ca="1" aca="1" ref="U20">GenerateShadowID(ROW(),$U$5,$U:$U,0,B20&lt;&gt;"")</f>
        <v>15</v>
      </c>
      <c r="V20" s="10" cm="1">
        <f t="array" ref="V20">CreateTaskID($V$5,$V:$V,Tasks!$B$17,$T20)</f>
        <v>0</v>
      </c>
      <c r="W20" s="14" t="e" cm="1">
        <f t="array" ca="1" aca="1" ref="W20">IF($B20="","",SimpleLookup($B20,'Risk Treatment'!$C:$AW))</f>
        <v>#N/A</v>
      </c>
      <c r="X20" s="14" t="e" cm="1">
        <f t="array" ca="1" aca="1" ref="X20">IF($B20="","",_xlfn.LET(_xlpm._attackSteps,SimpleLookup($B20,'Risk Treatment'!$C:$Y),GetValues(_xlpm._attackSteps,Mitigation!$A:$AG,"",CHAR(1),FALSE)))</f>
        <v>#N/A</v>
      </c>
      <c r="Y20" s="14" t="e" cm="1">
        <f t="array" ca="1" aca="1" ref="Y2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20,CHAR(1))</f>
        <v>#N/A</v>
      </c>
      <c r="Z20" s="14" t="e" cm="1">
        <f t="array" ca="1" aca="1" ref="Z20">FilterElementsFromList($W20,Helper!$J$4,TRUE,",")</f>
        <v>#N/A</v>
      </c>
      <c r="AA20" s="14" t="e" cm="1">
        <f t="array" ca="1" aca="1" ref="AA20">FilterElementsFromList($Y20,Helper!$J$4,TRUE,",")</f>
        <v>#N/A</v>
      </c>
      <c r="AB20" s="20" t="e" cm="1">
        <f t="array" ca="1" aca="1" ref="AB2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20,CreateSearchString($AA20),CHAR(1),","&amp;CHAR(10))</f>
        <v>#N/A</v>
      </c>
      <c r="AC20" s="20">
        <f ca="1">IFERROR(MATCH($B20,Risks!$A:$A,0),-1)</f>
        <v>17</v>
      </c>
      <c r="AD20" s="20" t="str" cm="1">
        <f t="array" ca="1" aca="1" ref="AD20">IF($B20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20,Risks!$A:CA,Definitions!$Y:$Y,Definitions!$AB:$AB,1)&amp;CHAR(10)&amp;_xlpm._factorFunction($B20,Risks!$A:CB,Definitions!$Y:$Y,Definitions!$AB:$AB,2)&amp;CHAR(10)&amp;_xlpm._factorFunction($B20,Risks!$A:CC,Definitions!$Y:$Y,Definitions!$AB:$AB,3)&amp;CHAR(10)&amp;_xlpm._factorFunction($B20,Risks!$A:CD,Definitions!$Y:$Y,Definitions!$AB:$AB,4)&amp;CHAR(10)&amp;_xlpm._factorFunction($B20,Risks!$A:CE,Definitions!$Y:$Y,Definitions!$AB:$AB,5)))</f>
        <v>Elapsed Time [0]: AS2, AS16
Expertise [3]: AS2, AS16
Knowledge of TOE [3]: AS16
Window of Opportunity [1]: AS2
Equipment [0]: AS2, AS16</v>
      </c>
      <c r="AE20" s="20" t="e" cm="1">
        <f t="array" ca="1" aca="1" ref="AE20">RemoveDelimiter(SUBSTITUTE(SUBSTITUTE($AB20,"{",""),"}",""),","&amp;CHAR(10))</f>
        <v>#N/A</v>
      </c>
      <c r="AF20" s="20" cm="1">
        <f t="array" ca="1" aca="1" ref="AF20">IF($O20="",0,SimpleLookup($O20,Definitions!$AE:$AF))</f>
        <v>4</v>
      </c>
    </row>
    <row r="21" spans="2:32" ht="15">
      <c r="B21" s="16" t="str">
        <f ca="1">OFFSET(Risks!$A$2,ROW()-ROW($B$5),0)</f>
        <v>R21-23</v>
      </c>
      <c r="C21" s="33" t="str" cm="1">
        <f t="array" ca="1" aca="1" ref="C21">IF($B21="","",IFERROR(SimpleLookup($B21,'Risk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1" s="37" t="str" cm="1">
        <f t="array" ca="1" aca="1" ref="D21">IF($B21="","",IFERROR(SimpleLookup($B21,'Risk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1" s="16" t="str" cm="1">
        <f t="array" ca="1" aca="1" ref="E21">IF($B21="","",IFERROR(SimpleLookup($B21,'Risk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1" s="34" t="str" cm="1">
        <f t="array" ca="1" aca="1" ref="F21">IF($B21="","",IFERROR(SimpleLookup($B21,'Risk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1" s="16" t="str" cm="1">
        <f t="array" ca="1" aca="1" ref="G21">IF($B21="","",IFERROR(SimpleLookup($B21,'Risk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1" s="16" t="str" cm="1">
        <f t="array" ca="1" aca="1" ref="H21">IF($B21="","",IFERROR(SimpleLookup($B21,'Risk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1" s="33" t="str" cm="1">
        <f t="array" ca="1" aca="1" ref="I21">IF($B21="","",IFERROR(SimpleLookup($B21,'Risk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1" s="33" t="e" cm="1">
        <f t="array" ca="1" aca="1" ref="J21">_xlfn.LET(_xlpm._assignedMitigations,IF($B21="","",IFERROR(RemoveDelimiter(GetValuesWithFallback($Z21,Countermeasures!$A:$B,Assumptions!$A:$B," ",","&amp;CHAR(10),TRUE),","&amp;CHAR(10)),"Error: Unknown risk ID "&amp;$B21)),_xlpm._inlineMitigations,$AE21,_xlpm._assignedMitigations&amp;IF(OR(_xlpm._assignedMitigations="",_xlpm._inlineMitigations=""),"",","&amp;CHAR(10))&amp;_xlpm._inlineMitigations)</f>
        <v>#N/A</v>
      </c>
      <c r="K21" s="37" t="str" cm="1">
        <f t="array" ca="1" aca="1" ref="K21">IF($AC21=-1,"",RemoveDelimiter(GetValues(INDEX(Risks!BN:BN,$AC21),'DS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21" s="33" t="str" cm="1">
        <f t="array" ca="1" aca="1" ref="L21">IF($AC21=-1,"",INDEX(Risks!BP:BP,$AC21))</f>
        <v>Critical</v>
      </c>
      <c r="M21" s="34" t="str" cm="1">
        <f t="array" ca="1" aca="1" ref="M21">_xlfn.LET(_xlpm._calculatedRAP,IFERROR(SimpleLookup($B21,Risks!$A:$BG),""),_xlpm._inlineRAP,IFERROR(SimpleLookup($B21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21,_xlpm._mitigationSheetName&amp;" sheet "&amp;_xlfn.UNICHAR(8702)&amp;" Comment column:"&amp;CHAR(10)&amp;$AE21)))</f>
        <v>Elapsed Time [1]: AS23
Expertise [6]: AS23
Knowledge of TOE [3]: AS23
Window of Opportunity [1]: AS21
Equipment [0]: AS21, AS23</v>
      </c>
      <c r="N21" s="33" t="str" cm="1">
        <f t="array" ca="1" aca="1" ref="N21">IF($AC21=-1,"",INDEX(Risks!CN:CN,$AC21))</f>
        <v>Enhanced-Basic</v>
      </c>
      <c r="O21" s="33" t="str" cm="1">
        <f t="array" ca="1" aca="1" ref="O21">IF($AC21=-1,"",INDEX(Risks!CO:CO,$AC21))</f>
        <v>Very High</v>
      </c>
      <c r="P21" s="33" t="str">
        <f ca="1">IF($C21="","",IF($AF21&lt;=Definitions!$AF$6,Definitions!$M$4,""))</f>
        <v/>
      </c>
      <c r="Q21" s="23"/>
      <c r="R21" s="33" t="str">
        <f t="shared" ca="1" si="0"/>
        <v/>
      </c>
      <c r="S21" s="23"/>
      <c r="T21" s="13"/>
      <c r="U21" s="10" cm="1">
        <f t="array" ca="1" aca="1" ref="U21">GenerateShadowID(ROW(),$U$5,$U:$U,0,B21&lt;&gt;"")</f>
        <v>16</v>
      </c>
      <c r="V21" s="10" cm="1">
        <f t="array" ref="V21">CreateTaskID($V$5,$V:$V,Tasks!$B$17,$T21)</f>
        <v>0</v>
      </c>
      <c r="W21" s="14" t="e" cm="1">
        <f t="array" ca="1" aca="1" ref="W21">IF($B21="","",SimpleLookup($B21,'Risk Treatment'!$C:$AW))</f>
        <v>#N/A</v>
      </c>
      <c r="X21" s="14" t="e" cm="1">
        <f t="array" ca="1" aca="1" ref="X21">IF($B21="","",_xlfn.LET(_xlpm._attackSteps,SimpleLookup($B21,'Risk Treatment'!$C:$Y),GetValues(_xlpm._attackSteps,Mitigation!$A:$AG,"",CHAR(1),FALSE)))</f>
        <v>#N/A</v>
      </c>
      <c r="Y21" s="14" t="e" cm="1">
        <f t="array" ca="1" aca="1" ref="Y2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21,CHAR(1))</f>
        <v>#N/A</v>
      </c>
      <c r="Z21" s="14" t="e" cm="1">
        <f t="array" ca="1" aca="1" ref="Z21">FilterElementsFromList($W21,Helper!$J$4,TRUE,",")</f>
        <v>#N/A</v>
      </c>
      <c r="AA21" s="14" t="e" cm="1">
        <f t="array" ca="1" aca="1" ref="AA21">FilterElementsFromList($Y21,Helper!$J$4,TRUE,",")</f>
        <v>#N/A</v>
      </c>
      <c r="AB21" s="20" t="e" cm="1">
        <f t="array" ca="1" aca="1" ref="AB2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21,CreateSearchString($AA21),CHAR(1),","&amp;CHAR(10))</f>
        <v>#N/A</v>
      </c>
      <c r="AC21" s="20">
        <f ca="1">IFERROR(MATCH($B21,Risks!$A:$A,0),-1)</f>
        <v>18</v>
      </c>
      <c r="AD21" s="20" t="str" cm="1">
        <f t="array" ca="1" aca="1" ref="AD21">IF($B21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21,Risks!$A:CA,Definitions!$Y:$Y,Definitions!$AB:$AB,1)&amp;CHAR(10)&amp;_xlpm._factorFunction($B21,Risks!$A:CB,Definitions!$Y:$Y,Definitions!$AB:$AB,2)&amp;CHAR(10)&amp;_xlpm._factorFunction($B21,Risks!$A:CC,Definitions!$Y:$Y,Definitions!$AB:$AB,3)&amp;CHAR(10)&amp;_xlpm._factorFunction($B21,Risks!$A:CD,Definitions!$Y:$Y,Definitions!$AB:$AB,4)&amp;CHAR(10)&amp;_xlpm._factorFunction($B21,Risks!$A:CE,Definitions!$Y:$Y,Definitions!$AB:$AB,5)))</f>
        <v>Elapsed Time [1]: AS23
Expertise [6]: AS23
Knowledge of TOE [3]: AS23
Window of Opportunity [1]: AS21
Equipment [0]: AS21, AS23</v>
      </c>
      <c r="AE21" s="20" t="e" cm="1">
        <f t="array" ca="1" aca="1" ref="AE21">RemoveDelimiter(SUBSTITUTE(SUBSTITUTE($AB21,"{",""),"}",""),","&amp;CHAR(10))</f>
        <v>#N/A</v>
      </c>
      <c r="AF21" s="20" cm="1">
        <f t="array" ca="1" aca="1" ref="AF21">IF($O21="",0,SimpleLookup($O21,Definitions!$AE:$AF))</f>
        <v>4</v>
      </c>
    </row>
    <row r="22" spans="2:32" ht="15">
      <c r="B22" s="16" t="str">
        <f ca="1">OFFSET(Risks!$A$2,ROW()-ROW($B$5),0)</f>
        <v>R22-23</v>
      </c>
      <c r="C22" s="33" t="str" cm="1">
        <f t="array" ca="1" aca="1" ref="C22">IF($B22="","",IFERROR(SimpleLookup($B22,'Risk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2" s="37" t="str" cm="1">
        <f t="array" ca="1" aca="1" ref="D22">IF($B22="","",IFERROR(SimpleLookup($B22,'Risk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2" s="16" t="str" cm="1">
        <f t="array" ca="1" aca="1" ref="E22">IF($B22="","",IFERROR(SimpleLookup($B22,'Risk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2" s="34" t="str" cm="1">
        <f t="array" ca="1" aca="1" ref="F22">IF($B22="","",IFERROR(SimpleLookup($B22,'Risk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2" s="16" t="str" cm="1">
        <f t="array" ca="1" aca="1" ref="G22">IF($B22="","",IFERROR(SimpleLookup($B22,'Risk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2" s="16" t="str" cm="1">
        <f t="array" ca="1" aca="1" ref="H22">IF($B22="","",IFERROR(SimpleLookup($B22,'Risk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2" s="33" t="str" cm="1">
        <f t="array" ca="1" aca="1" ref="I22">IF($B22="","",IFERROR(SimpleLookup($B22,'Risk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2" s="33" t="e" cm="1">
        <f t="array" ca="1" aca="1" ref="J22">_xlfn.LET(_xlpm._assignedMitigations,IF($B22="","",IFERROR(RemoveDelimiter(GetValuesWithFallback($Z22,Countermeasures!$A:$B,Assumptions!$A:$B," ",","&amp;CHAR(10),TRUE),","&amp;CHAR(10)),"Error: Unknown risk ID "&amp;$B22)),_xlpm._inlineMitigations,$AE22,_xlpm._assignedMitigations&amp;IF(OR(_xlpm._assignedMitigations="",_xlpm._inlineMitigations=""),"",","&amp;CHAR(10))&amp;_xlpm._inlineMitigations)</f>
        <v>#N/A</v>
      </c>
      <c r="K22" s="37" t="str" cm="1">
        <f t="array" ca="1" aca="1" ref="K22">IF($AC22=-1,"",RemoveDelimiter(GetValues(INDEX(Risks!BN:BN,$AC22),'DS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22" s="33" t="str" cm="1">
        <f t="array" ca="1" aca="1" ref="L22">IF($AC22=-1,"",INDEX(Risks!BP:BP,$AC22))</f>
        <v>Critical</v>
      </c>
      <c r="M22" s="34" t="str" cm="1">
        <f t="array" ca="1" aca="1" ref="M22">_xlfn.LET(_xlpm._calculatedRAP,IFERROR(SimpleLookup($B22,Risks!$A:$BG),""),_xlpm._inlineRAP,IFERROR(SimpleLookup($B22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22,_xlpm._mitigationSheetName&amp;" sheet "&amp;_xlfn.UNICHAR(8702)&amp;" Comment column:"&amp;CHAR(10)&amp;$AE22)))</f>
        <v>Elapsed Time [1]: AS23
Expertise [6]: AS23
Knowledge of TOE [3]: AS23
Window of Opportunity [0]: AS22, AS23
Equipment [0]: AS22, AS23</v>
      </c>
      <c r="N22" s="33" t="str" cm="1">
        <f t="array" ca="1" aca="1" ref="N22">IF($AC22=-1,"",INDEX(Risks!CN:CN,$AC22))</f>
        <v>Enhanced-Basic</v>
      </c>
      <c r="O22" s="33" t="str" cm="1">
        <f t="array" ca="1" aca="1" ref="O22">IF($AC22=-1,"",INDEX(Risks!CO:CO,$AC22))</f>
        <v>Very High</v>
      </c>
      <c r="P22" s="33" t="str">
        <f ca="1">IF($C22="","",IF($AF22&lt;=Definitions!$AF$6,Definitions!$M$4,""))</f>
        <v/>
      </c>
      <c r="Q22" s="23"/>
      <c r="R22" s="33" t="str">
        <f t="shared" ca="1" si="0"/>
        <v/>
      </c>
      <c r="S22" s="23"/>
      <c r="T22" s="13"/>
      <c r="U22" s="10" cm="1">
        <f t="array" ca="1" aca="1" ref="U22">GenerateShadowID(ROW(),$U$5,$U:$U,0,B22&lt;&gt;"")</f>
        <v>17</v>
      </c>
      <c r="V22" s="10" cm="1">
        <f t="array" ref="V22">CreateTaskID($V$5,$V:$V,Tasks!$B$17,$T22)</f>
        <v>0</v>
      </c>
      <c r="W22" s="14" t="e" cm="1">
        <f t="array" ca="1" aca="1" ref="W22">IF($B22="","",SimpleLookup($B22,'Risk Treatment'!$C:$AW))</f>
        <v>#N/A</v>
      </c>
      <c r="X22" s="14" t="e" cm="1">
        <f t="array" ca="1" aca="1" ref="X22">IF($B22="","",_xlfn.LET(_xlpm._attackSteps,SimpleLookup($B22,'Risk Treatment'!$C:$Y),GetValues(_xlpm._attackSteps,Mitigation!$A:$AG,"",CHAR(1),FALSE)))</f>
        <v>#N/A</v>
      </c>
      <c r="Y22" s="14" t="e" cm="1">
        <f t="array" ca="1" aca="1" ref="Y2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22,CHAR(1))</f>
        <v>#N/A</v>
      </c>
      <c r="Z22" s="14" t="e" cm="1">
        <f t="array" ca="1" aca="1" ref="Z22">FilterElementsFromList($W22,Helper!$J$4,TRUE,",")</f>
        <v>#N/A</v>
      </c>
      <c r="AA22" s="14" t="e" cm="1">
        <f t="array" ca="1" aca="1" ref="AA22">FilterElementsFromList($Y22,Helper!$J$4,TRUE,",")</f>
        <v>#N/A</v>
      </c>
      <c r="AB22" s="20" t="e" cm="1">
        <f t="array" ca="1" aca="1" ref="AB2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22,CreateSearchString($AA22),CHAR(1),","&amp;CHAR(10))</f>
        <v>#N/A</v>
      </c>
      <c r="AC22" s="20">
        <f ca="1">IFERROR(MATCH($B22,Risks!$A:$A,0),-1)</f>
        <v>19</v>
      </c>
      <c r="AD22" s="20" t="str" cm="1">
        <f t="array" ca="1" aca="1" ref="AD22">IF($B22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22,Risks!$A:CA,Definitions!$Y:$Y,Definitions!$AB:$AB,1)&amp;CHAR(10)&amp;_xlpm._factorFunction($B22,Risks!$A:CB,Definitions!$Y:$Y,Definitions!$AB:$AB,2)&amp;CHAR(10)&amp;_xlpm._factorFunction($B22,Risks!$A:CC,Definitions!$Y:$Y,Definitions!$AB:$AB,3)&amp;CHAR(10)&amp;_xlpm._factorFunction($B22,Risks!$A:CD,Definitions!$Y:$Y,Definitions!$AB:$AB,4)&amp;CHAR(10)&amp;_xlpm._factorFunction($B22,Risks!$A:CE,Definitions!$Y:$Y,Definitions!$AB:$AB,5)))</f>
        <v>Elapsed Time [1]: AS23
Expertise [6]: AS23
Knowledge of TOE [3]: AS23
Window of Opportunity [0]: AS22, AS23
Equipment [0]: AS22, AS23</v>
      </c>
      <c r="AE22" s="20" t="e" cm="1">
        <f t="array" ca="1" aca="1" ref="AE22">RemoveDelimiter(SUBSTITUTE(SUBSTITUTE($AB22,"{",""),"}",""),","&amp;CHAR(10))</f>
        <v>#N/A</v>
      </c>
      <c r="AF22" s="20" cm="1">
        <f t="array" ca="1" aca="1" ref="AF22">IF($O22="",0,SimpleLookup($O22,Definitions!$AE:$AF))</f>
        <v>4</v>
      </c>
    </row>
    <row r="23" spans="2:32" ht="15">
      <c r="B23" s="16" t="str">
        <f ca="1">OFFSET(Risks!$A$2,ROW()-ROW($B$5),0)</f>
        <v>R1-29</v>
      </c>
      <c r="C23" s="33" t="str" cm="1">
        <f t="array" ca="1" aca="1" ref="C23">IF($B23="","",IFERROR(SimpleLookup($B23,'Risk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3" s="37" t="str" cm="1">
        <f t="array" ca="1" aca="1" ref="D23">IF($B23="","",IFERROR(SimpleLookup($B23,'Risk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3" s="16" t="str" cm="1">
        <f t="array" ca="1" aca="1" ref="E23">IF($B23="","",IFERROR(SimpleLookup($B23,'Risk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3" s="34" t="str" cm="1">
        <f t="array" ca="1" aca="1" ref="F23">IF($B23="","",IFERROR(SimpleLookup($B23,'Risk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3" s="16" t="str" cm="1">
        <f t="array" ca="1" aca="1" ref="G23">IF($B23="","",IFERROR(SimpleLookup($B23,'Risk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3" s="16" t="str" cm="1">
        <f t="array" ca="1" aca="1" ref="H23">IF($B23="","",IFERROR(SimpleLookup($B23,'Risk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3" s="33" t="str" cm="1">
        <f t="array" ca="1" aca="1" ref="I23">IF($B23="","",IFERROR(SimpleLookup($B23,'Risk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3" s="33" t="e" cm="1">
        <f t="array" ca="1" aca="1" ref="J23">_xlfn.LET(_xlpm._assignedMitigations,IF($B23="","",IFERROR(RemoveDelimiter(GetValuesWithFallback($Z23,Countermeasures!$A:$B,Assumptions!$A:$B," ",","&amp;CHAR(10),TRUE),","&amp;CHAR(10)),"Error: Unknown risk ID "&amp;$B23)),_xlpm._inlineMitigations,$AE23,_xlpm._assignedMitigations&amp;IF(OR(_xlpm._assignedMitigations="",_xlpm._inlineMitigations=""),"",","&amp;CHAR(10))&amp;_xlpm._inlineMitigations)</f>
        <v>#N/A</v>
      </c>
      <c r="K23" s="37" t="str" cm="1">
        <f t="array" ca="1" aca="1" ref="K23">IF($AC23=-1,"",RemoveDelimiter(GetValues(INDEX(Risks!BN:BN,$AC23),'DS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23" s="33" t="str" cm="1">
        <f t="array" ca="1" aca="1" ref="L23">IF($AC23=-1,"",INDEX(Risks!BP:BP,$AC23))</f>
        <v>Critical</v>
      </c>
      <c r="M23" s="34" t="str" cm="1">
        <f t="array" ca="1" aca="1" ref="M23">_xlfn.LET(_xlpm._calculatedRAP,IFERROR(SimpleLookup($B23,Risks!$A:$BG),""),_xlpm._inlineRAP,IFERROR(SimpleLookup($B23,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23,_xlpm._mitigationSheetName&amp;" sheet "&amp;_xlfn.UNICHAR(8702)&amp;" Comment column:"&amp;CHAR(10)&amp;$AE23)))</f>
        <v>Elapsed Time [0]: AS1, AS29
Expertise [0]: AS1, AS29
Knowledge of TOE [0]: AS1, AS29
Window of Opportunity [0]: AS1, AS29
Equipment [0]: AS1, AS29</v>
      </c>
      <c r="N23" s="33" t="str" cm="1">
        <f t="array" ca="1" aca="1" ref="N23">IF($AC23=-1,"",INDEX(Risks!CN:CN,$AC23))</f>
        <v>Basic</v>
      </c>
      <c r="O23" s="33" t="str" cm="1">
        <f t="array" ca="1" aca="1" ref="O23">IF($AC23=-1,"",INDEX(Risks!CO:CO,$AC23))</f>
        <v>Very High</v>
      </c>
      <c r="P23" s="33" t="str">
        <f ca="1">IF($C23="","",IF($AF23&lt;=Definitions!$AF$6,Definitions!$M$4,""))</f>
        <v/>
      </c>
      <c r="Q23" s="23"/>
      <c r="R23" s="33" t="str">
        <f t="shared" ca="1" si="0"/>
        <v/>
      </c>
      <c r="S23" s="23"/>
      <c r="T23" s="13"/>
      <c r="U23" s="10" cm="1">
        <f t="array" ca="1" aca="1" ref="U23">GenerateShadowID(ROW(),$U$5,$U:$U,0,B23&lt;&gt;"")</f>
        <v>18</v>
      </c>
      <c r="V23" s="10" cm="1">
        <f t="array" ref="V23">CreateTaskID($V$5,$V:$V,Tasks!$B$17,$T23)</f>
        <v>0</v>
      </c>
      <c r="W23" s="14" t="e" cm="1">
        <f t="array" ca="1" aca="1" ref="W23">IF($B23="","",SimpleLookup($B23,'Risk Treatment'!$C:$AW))</f>
        <v>#N/A</v>
      </c>
      <c r="X23" s="14" t="e" cm="1">
        <f t="array" ca="1" aca="1" ref="X23">IF($B23="","",_xlfn.LET(_xlpm._attackSteps,SimpleLookup($B23,'Risk Treatment'!$C:$Y),GetValues(_xlpm._attackSteps,Mitigation!$A:$AG,"",CHAR(1),FALSE)))</f>
        <v>#N/A</v>
      </c>
      <c r="Y23" s="14" t="e" cm="1">
        <f t="array" ca="1" aca="1" ref="Y23">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23,CHAR(1))</f>
        <v>#N/A</v>
      </c>
      <c r="Z23" s="14" t="e" cm="1">
        <f t="array" ca="1" aca="1" ref="Z23">FilterElementsFromList($W23,Helper!$J$4,TRUE,",")</f>
        <v>#N/A</v>
      </c>
      <c r="AA23" s="14" t="e" cm="1">
        <f t="array" ca="1" aca="1" ref="AA23">FilterElementsFromList($Y23,Helper!$J$4,TRUE,",")</f>
        <v>#N/A</v>
      </c>
      <c r="AB23" s="20" t="e" cm="1">
        <f t="array" ca="1" aca="1" ref="AB23">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23,CreateSearchString($AA23),CHAR(1),","&amp;CHAR(10))</f>
        <v>#N/A</v>
      </c>
      <c r="AC23" s="20">
        <f ca="1">IFERROR(MATCH($B23,Risks!$A:$A,0),-1)</f>
        <v>20</v>
      </c>
      <c r="AD23" s="20" t="str" cm="1">
        <f t="array" ca="1" aca="1" ref="AD23">IF($B23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23,Risks!$A:CA,Definitions!$Y:$Y,Definitions!$AB:$AB,1)&amp;CHAR(10)&amp;_xlpm._factorFunction($B23,Risks!$A:CB,Definitions!$Y:$Y,Definitions!$AB:$AB,2)&amp;CHAR(10)&amp;_xlpm._factorFunction($B23,Risks!$A:CC,Definitions!$Y:$Y,Definitions!$AB:$AB,3)&amp;CHAR(10)&amp;_xlpm._factorFunction($B23,Risks!$A:CD,Definitions!$Y:$Y,Definitions!$AB:$AB,4)&amp;CHAR(10)&amp;_xlpm._factorFunction($B23,Risks!$A:CE,Definitions!$Y:$Y,Definitions!$AB:$AB,5)))</f>
        <v>Elapsed Time [0]: AS1, AS29
Expertise [0]: AS1, AS29
Knowledge of TOE [0]: AS1, AS29
Window of Opportunity [0]: AS1, AS29
Equipment [0]: AS1, AS29</v>
      </c>
      <c r="AE23" s="20" t="e" cm="1">
        <f t="array" ca="1" aca="1" ref="AE23">RemoveDelimiter(SUBSTITUTE(SUBSTITUTE($AB23,"{",""),"}",""),","&amp;CHAR(10))</f>
        <v>#N/A</v>
      </c>
      <c r="AF23" s="20" cm="1">
        <f t="array" ca="1" aca="1" ref="AF23">IF($O23="",0,SimpleLookup($O23,Definitions!$AE:$AF))</f>
        <v>4</v>
      </c>
    </row>
    <row r="24" spans="2:32" ht="15">
      <c r="B24" s="16" t="str">
        <f ca="1">OFFSET(Risks!$A$2,ROW()-ROW($B$5),0)</f>
        <v>R2-29</v>
      </c>
      <c r="C24" s="33" t="str" cm="1">
        <f t="array" ca="1" aca="1" ref="C24">IF($B24="","",IFERROR(SimpleLookup($B24,'Risk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4" s="37" t="str" cm="1">
        <f t="array" ca="1" aca="1" ref="D24">IF($B24="","",IFERROR(SimpleLookup($B24,'Risk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4" s="16" t="str" cm="1">
        <f t="array" ca="1" aca="1" ref="E24">IF($B24="","",IFERROR(SimpleLookup($B24,'Risk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4" s="34" t="str" cm="1">
        <f t="array" ca="1" aca="1" ref="F24">IF($B24="","",IFERROR(SimpleLookup($B24,'Risk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4" s="16" t="str" cm="1">
        <f t="array" ca="1" aca="1" ref="G24">IF($B24="","",IFERROR(SimpleLookup($B24,'Risk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4" s="16" t="str" cm="1">
        <f t="array" ca="1" aca="1" ref="H24">IF($B24="","",IFERROR(SimpleLookup($B24,'Risk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4" s="33" t="str" cm="1">
        <f t="array" ca="1" aca="1" ref="I24">IF($B24="","",IFERROR(SimpleLookup($B24,'Risk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4" s="33" t="e" cm="1">
        <f t="array" ca="1" aca="1" ref="J24">_xlfn.LET(_xlpm._assignedMitigations,IF($B24="","",IFERROR(RemoveDelimiter(GetValuesWithFallback($Z24,Countermeasures!$A:$B,Assumptions!$A:$B," ",","&amp;CHAR(10),TRUE),","&amp;CHAR(10)),"Error: Unknown risk ID "&amp;$B24)),_xlpm._inlineMitigations,$AE24,_xlpm._assignedMitigations&amp;IF(OR(_xlpm._assignedMitigations="",_xlpm._inlineMitigations=""),"",","&amp;CHAR(10))&amp;_xlpm._inlineMitigations)</f>
        <v>#N/A</v>
      </c>
      <c r="K24" s="37" t="str" cm="1">
        <f t="array" ca="1" aca="1" ref="K24">IF($AC24=-1,"",RemoveDelimiter(GetValues(INDEX(Risks!BN:BN,$AC24),'DS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24" s="33" t="str" cm="1">
        <f t="array" ca="1" aca="1" ref="L24">IF($AC24=-1,"",INDEX(Risks!BP:BP,$AC24))</f>
        <v>Critical</v>
      </c>
      <c r="M24" s="34" t="str" cm="1">
        <f t="array" ca="1" aca="1" ref="M24">_xlfn.LET(_xlpm._calculatedRAP,IFERROR(SimpleLookup($B24,Risks!$A:$BG),""),_xlpm._inlineRAP,IFERROR(SimpleLookup($B24,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24,_xlpm._mitigationSheetName&amp;" sheet "&amp;_xlfn.UNICHAR(8702)&amp;" Comment column:"&amp;CHAR(10)&amp;$AE24)))</f>
        <v>Elapsed Time [0]: AS2, AS29
Expertise [3]: AS2
Knowledge of TOE [0]: AS2, AS29
Window of Opportunity [1]: AS2
Equipment [0]: AS2, AS29</v>
      </c>
      <c r="N24" s="33" t="str" cm="1">
        <f t="array" ca="1" aca="1" ref="N24">IF($AC24=-1,"",INDEX(Risks!CN:CN,$AC24))</f>
        <v>Basic</v>
      </c>
      <c r="O24" s="33" t="str" cm="1">
        <f t="array" ca="1" aca="1" ref="O24">IF($AC24=-1,"",INDEX(Risks!CO:CO,$AC24))</f>
        <v>Very High</v>
      </c>
      <c r="P24" s="33" t="str">
        <f ca="1">IF($C24="","",IF($AF24&lt;=Definitions!$AF$6,Definitions!$M$4,""))</f>
        <v/>
      </c>
      <c r="Q24" s="23"/>
      <c r="R24" s="33" t="str">
        <f t="shared" ca="1" si="0"/>
        <v/>
      </c>
      <c r="S24" s="23"/>
      <c r="T24" s="13"/>
      <c r="U24" s="10" cm="1">
        <f t="array" ca="1" aca="1" ref="U24">GenerateShadowID(ROW(),$U$5,$U:$U,0,B24&lt;&gt;"")</f>
        <v>19</v>
      </c>
      <c r="V24" s="10" cm="1">
        <f t="array" ref="V24">CreateTaskID($V$5,$V:$V,Tasks!$B$17,$T24)</f>
        <v>0</v>
      </c>
      <c r="W24" s="14" t="e" cm="1">
        <f t="array" ca="1" aca="1" ref="W24">IF($B24="","",SimpleLookup($B24,'Risk Treatment'!$C:$AW))</f>
        <v>#N/A</v>
      </c>
      <c r="X24" s="14" t="e" cm="1">
        <f t="array" ca="1" aca="1" ref="X24">IF($B24="","",_xlfn.LET(_xlpm._attackSteps,SimpleLookup($B24,'Risk Treatment'!$C:$Y),GetValues(_xlpm._attackSteps,Mitigation!$A:$AG,"",CHAR(1),FALSE)))</f>
        <v>#N/A</v>
      </c>
      <c r="Y24" s="14" t="e" cm="1">
        <f t="array" ca="1" aca="1" ref="Y24">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24,CHAR(1))</f>
        <v>#N/A</v>
      </c>
      <c r="Z24" s="14" t="e" cm="1">
        <f t="array" ca="1" aca="1" ref="Z24">FilterElementsFromList($W24,Helper!$J$4,TRUE,",")</f>
        <v>#N/A</v>
      </c>
      <c r="AA24" s="14" t="e" cm="1">
        <f t="array" ca="1" aca="1" ref="AA24">FilterElementsFromList($Y24,Helper!$J$4,TRUE,",")</f>
        <v>#N/A</v>
      </c>
      <c r="AB24" s="20" t="e" cm="1">
        <f t="array" ca="1" aca="1" ref="AB24">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24,CreateSearchString($AA24),CHAR(1),","&amp;CHAR(10))</f>
        <v>#N/A</v>
      </c>
      <c r="AC24" s="20">
        <f ca="1">IFERROR(MATCH($B24,Risks!$A:$A,0),-1)</f>
        <v>21</v>
      </c>
      <c r="AD24" s="20" t="str" cm="1">
        <f t="array" ca="1" aca="1" ref="AD24">IF($B24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24,Risks!$A:CA,Definitions!$Y:$Y,Definitions!$AB:$AB,1)&amp;CHAR(10)&amp;_xlpm._factorFunction($B24,Risks!$A:CB,Definitions!$Y:$Y,Definitions!$AB:$AB,2)&amp;CHAR(10)&amp;_xlpm._factorFunction($B24,Risks!$A:CC,Definitions!$Y:$Y,Definitions!$AB:$AB,3)&amp;CHAR(10)&amp;_xlpm._factorFunction($B24,Risks!$A:CD,Definitions!$Y:$Y,Definitions!$AB:$AB,4)&amp;CHAR(10)&amp;_xlpm._factorFunction($B24,Risks!$A:CE,Definitions!$Y:$Y,Definitions!$AB:$AB,5)))</f>
        <v>Elapsed Time [0]: AS2, AS29
Expertise [3]: AS2
Knowledge of TOE [0]: AS2, AS29
Window of Opportunity [1]: AS2
Equipment [0]: AS2, AS29</v>
      </c>
      <c r="AE24" s="20" t="e" cm="1">
        <f t="array" ca="1" aca="1" ref="AE24">RemoveDelimiter(SUBSTITUTE(SUBSTITUTE($AB24,"{",""),"}",""),","&amp;CHAR(10))</f>
        <v>#N/A</v>
      </c>
      <c r="AF24" s="20" cm="1">
        <f t="array" ca="1" aca="1" ref="AF24">IF($O24="",0,SimpleLookup($O24,Definitions!$AE:$AF))</f>
        <v>4</v>
      </c>
    </row>
    <row r="25" spans="2:32" ht="15">
      <c r="B25" s="16" t="str">
        <f ca="1">OFFSET(Risks!$A$2,ROW()-ROW($B$5),0)</f>
        <v>R31</v>
      </c>
      <c r="C25" s="33" t="str" cm="1">
        <f t="array" ca="1" aca="1" ref="C25">IF($B25="","",IFERROR(SimpleLookup($B25,'Risk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5" s="37" t="str" cm="1">
        <f t="array" ca="1" aca="1" ref="D25">IF($B25="","",IFERROR(SimpleLookup($B25,'Risk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5" s="16" t="str" cm="1">
        <f t="array" ca="1" aca="1" ref="E25">IF($B25="","",IFERROR(SimpleLookup($B25,'Risk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5" s="34" t="str" cm="1">
        <f t="array" ca="1" aca="1" ref="F25">IF($B25="","",IFERROR(SimpleLookup($B25,'Risk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5" s="16" t="str" cm="1">
        <f t="array" ca="1" aca="1" ref="G25">IF($B25="","",IFERROR(SimpleLookup($B25,'Risk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5" s="16" t="str" cm="1">
        <f t="array" ca="1" aca="1" ref="H25">IF($B25="","",IFERROR(SimpleLookup($B25,'Risk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5" s="33" t="str" cm="1">
        <f t="array" ca="1" aca="1" ref="I25">IF($B25="","",IFERROR(SimpleLookup($B25,'Risk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5" s="33" t="e" cm="1">
        <f t="array" ca="1" aca="1" ref="J25">_xlfn.LET(_xlpm._assignedMitigations,IF($B25="","",IFERROR(RemoveDelimiter(GetValuesWithFallback($Z25,Countermeasures!$A:$B,Assumptions!$A:$B," ",","&amp;CHAR(10),TRUE),","&amp;CHAR(10)),"Error: Unknown risk ID "&amp;$B25)),_xlpm._inlineMitigations,$AE25,_xlpm._assignedMitigations&amp;IF(OR(_xlpm._assignedMitigations="",_xlpm._inlineMitigations=""),"",","&amp;CHAR(10))&amp;_xlpm._inlineMitigations)</f>
        <v>#N/A</v>
      </c>
      <c r="K25" s="37" t="str" cm="1">
        <f t="array" ca="1" aca="1" ref="K25">IF($AC25=-1,"",RemoveDelimiter(GetValues(INDEX(Risks!BN:BN,$AC25),'DS Overview'!$A:$B," ",","&amp;CHAR(10),TRUE),","&amp;CHAR(10)))</f>
        <v>DS15 Critical environmental damage caused by attacks on customer's assets by manipulated product</v>
      </c>
      <c r="L25" s="33" t="str" cm="1">
        <f t="array" ca="1" aca="1" ref="L25">IF($AC25=-1,"",INDEX(Risks!BP:BP,$AC25))</f>
        <v>Critical</v>
      </c>
      <c r="M25" s="34" t="str" cm="1">
        <f t="array" ca="1" aca="1" ref="M25">_xlfn.LET(_xlpm._calculatedRAP,IFERROR(SimpleLookup($B25,Risks!$A:$BG),""),_xlpm._inlineRAP,IFERROR(SimpleLookup($B25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25,_xlpm._mitigationSheetName&amp;" sheet "&amp;_xlfn.UNICHAR(8702)&amp;" Comment column:"&amp;CHAR(10)&amp;$AE25)))</f>
        <v>Elapsed Time [0]: AS31
Expertise [3]: AS31
Knowledge of TOE [3]: AS31
Window of Opportunity [1]: AS31
Equipment [0]: AS31</v>
      </c>
      <c r="N25" s="33" t="str" cm="1">
        <f t="array" ca="1" aca="1" ref="N25">IF($AC25=-1,"",INDEX(Risks!CN:CN,$AC25))</f>
        <v>Basic</v>
      </c>
      <c r="O25" s="33" t="str" cm="1">
        <f t="array" ca="1" aca="1" ref="O25">IF($AC25=-1,"",INDEX(Risks!CO:CO,$AC25))</f>
        <v>Very High</v>
      </c>
      <c r="P25" s="33" t="str">
        <f ca="1">IF($C25="","",IF($AF25&lt;=Definitions!$AF$6,Definitions!$M$4,""))</f>
        <v/>
      </c>
      <c r="Q25" s="23"/>
      <c r="R25" s="33" t="str">
        <f t="shared" ca="1" si="0"/>
        <v/>
      </c>
      <c r="S25" s="23"/>
      <c r="T25" s="13"/>
      <c r="U25" s="10" cm="1">
        <f t="array" ca="1" aca="1" ref="U25">GenerateShadowID(ROW(),$U$5,$U:$U,0,B25&lt;&gt;"")</f>
        <v>20</v>
      </c>
      <c r="V25" s="10" cm="1">
        <f t="array" ref="V25">CreateTaskID($V$5,$V:$V,Tasks!$B$17,$T25)</f>
        <v>0</v>
      </c>
      <c r="W25" s="14" t="e" cm="1">
        <f t="array" ca="1" aca="1" ref="W25">IF($B25="","",SimpleLookup($B25,'Risk Treatment'!$C:$AW))</f>
        <v>#N/A</v>
      </c>
      <c r="X25" s="14" t="e" cm="1">
        <f t="array" ca="1" aca="1" ref="X25">IF($B25="","",_xlfn.LET(_xlpm._attackSteps,SimpleLookup($B25,'Risk Treatment'!$C:$Y),GetValues(_xlpm._attackSteps,Mitigation!$A:$AG,"",CHAR(1),FALSE)))</f>
        <v>#N/A</v>
      </c>
      <c r="Y25" s="14" t="e" cm="1">
        <f t="array" ca="1" aca="1" ref="Y25">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25,CHAR(1))</f>
        <v>#N/A</v>
      </c>
      <c r="Z25" s="14" t="e" cm="1">
        <f t="array" ca="1" aca="1" ref="Z25">FilterElementsFromList($W25,Helper!$J$4,TRUE,",")</f>
        <v>#N/A</v>
      </c>
      <c r="AA25" s="14" t="e" cm="1">
        <f t="array" ca="1" aca="1" ref="AA25">FilterElementsFromList($Y25,Helper!$J$4,TRUE,",")</f>
        <v>#N/A</v>
      </c>
      <c r="AB25" s="20" t="e" cm="1">
        <f t="array" ca="1" aca="1" ref="AB25">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25,CreateSearchString($AA25),CHAR(1),","&amp;CHAR(10))</f>
        <v>#N/A</v>
      </c>
      <c r="AC25" s="20">
        <f ca="1">IFERROR(MATCH($B25,Risks!$A:$A,0),-1)</f>
        <v>22</v>
      </c>
      <c r="AD25" s="20" t="str" cm="1">
        <f t="array" ca="1" aca="1" ref="AD25">IF($B25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25,Risks!$A:CA,Definitions!$Y:$Y,Definitions!$AB:$AB,1)&amp;CHAR(10)&amp;_xlpm._factorFunction($B25,Risks!$A:CB,Definitions!$Y:$Y,Definitions!$AB:$AB,2)&amp;CHAR(10)&amp;_xlpm._factorFunction($B25,Risks!$A:CC,Definitions!$Y:$Y,Definitions!$AB:$AB,3)&amp;CHAR(10)&amp;_xlpm._factorFunction($B25,Risks!$A:CD,Definitions!$Y:$Y,Definitions!$AB:$AB,4)&amp;CHAR(10)&amp;_xlpm._factorFunction($B25,Risks!$A:CE,Definitions!$Y:$Y,Definitions!$AB:$AB,5)))</f>
        <v>Elapsed Time [0]: AS31
Expertise [3]: AS31
Knowledge of TOE [3]: AS31
Window of Opportunity [1]: AS31
Equipment [0]: AS31</v>
      </c>
      <c r="AE25" s="20" t="e" cm="1">
        <f t="array" ca="1" aca="1" ref="AE25">RemoveDelimiter(SUBSTITUTE(SUBSTITUTE($AB25,"{",""),"}",""),","&amp;CHAR(10))</f>
        <v>#N/A</v>
      </c>
      <c r="AF25" s="20" cm="1">
        <f t="array" ca="1" aca="1" ref="AF25">IF($O25="",0,SimpleLookup($O25,Definitions!$AE:$AF))</f>
        <v>4</v>
      </c>
    </row>
    <row r="26" spans="2:32" ht="15">
      <c r="B26" s="16" t="str">
        <f ca="1">OFFSET(Risks!$A$2,ROW()-ROW($B$5),0)</f>
        <v>R1-3-32</v>
      </c>
      <c r="C26" s="33" t="str" cm="1">
        <f t="array" ca="1" aca="1" ref="C26">IF($B26="","",IFERROR(SimpleLookup($B26,'Risk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6" s="37" t="str" cm="1">
        <f t="array" ca="1" aca="1" ref="D26">IF($B26="","",IFERROR(SimpleLookup($B26,'Risk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6" s="16" t="str" cm="1">
        <f t="array" ca="1" aca="1" ref="E26">IF($B26="","",IFERROR(SimpleLookup($B26,'Risk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6" s="34" t="str" cm="1">
        <f t="array" ca="1" aca="1" ref="F26">IF($B26="","",IFERROR(SimpleLookup($B26,'Risk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6" s="16" t="str" cm="1">
        <f t="array" ca="1" aca="1" ref="G26">IF($B26="","",IFERROR(SimpleLookup($B26,'Risk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6" s="16" t="str" cm="1">
        <f t="array" ca="1" aca="1" ref="H26">IF($B26="","",IFERROR(SimpleLookup($B26,'Risk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6" s="33" t="str" cm="1">
        <f t="array" ca="1" aca="1" ref="I26">IF($B26="","",IFERROR(SimpleLookup($B26,'Risk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6" s="33" t="e" cm="1">
        <f t="array" ca="1" aca="1" ref="J26">_xlfn.LET(_xlpm._assignedMitigations,IF($B26="","",IFERROR(RemoveDelimiter(GetValuesWithFallback($Z26,Countermeasures!$A:$B,Assumptions!$A:$B," ",","&amp;CHAR(10),TRUE),","&amp;CHAR(10)),"Error: Unknown risk ID "&amp;$B26)),_xlpm._inlineMitigations,$AE26,_xlpm._assignedMitigations&amp;IF(OR(_xlpm._assignedMitigations="",_xlpm._inlineMitigations=""),"",","&amp;CHAR(10))&amp;_xlpm._inlineMitigations)</f>
        <v>#N/A</v>
      </c>
      <c r="K26" s="37" t="str" cm="1">
        <f t="array" ca="1" aca="1" ref="K26">IF($AC26=-1,"",RemoveDelimiter(GetValues(INDEX(Risks!BN:BN,$AC26),'DS Overview'!$A:$B," ",","&amp;CHAR(10),TRUE),","&amp;CHAR(10)))</f>
        <v>DS3 Disclosure of acontis techonlogies GmbH IP (moderately innovative),
DS12 IP (highly innovative) disclosed by manipulated product</v>
      </c>
      <c r="L26" s="33" t="str" cm="1">
        <f t="array" ca="1" aca="1" ref="L26">IF($AC26=-1,"",INDEX(Risks!BP:BP,$AC26))</f>
        <v>High</v>
      </c>
      <c r="M26" s="34" t="str" cm="1">
        <f t="array" ca="1" aca="1" ref="M26">_xlfn.LET(_xlpm._calculatedRAP,IFERROR(SimpleLookup($B26,Risks!$A:$BG),""),_xlpm._inlineRAP,IFERROR(SimpleLookup($B26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26,_xlpm._mitigationSheetName&amp;" sheet "&amp;_xlfn.UNICHAR(8702)&amp;" Comment column:"&amp;CHAR(10)&amp;$AE26)))</f>
        <v>Elapsed Time [4]: AS3
Expertise [6]: AS3
Knowledge of TOE [3]: AS3
Window of Opportunity [0]: AS1, AS3, AS32
Equipment [0]: AS1, AS3, AS32</v>
      </c>
      <c r="N26" s="33" t="str" cm="1">
        <f t="array" ca="1" aca="1" ref="N26">IF($AC26=-1,"",INDEX(Risks!CN:CN,$AC26))</f>
        <v>Enhanced-Basic</v>
      </c>
      <c r="O26" s="33" t="str" cm="1">
        <f t="array" ca="1" aca="1" ref="O26">IF($AC26=-1,"",INDEX(Risks!CO:CO,$AC26))</f>
        <v>Very High</v>
      </c>
      <c r="P26" s="33" t="str">
        <f ca="1">IF($C26="","",IF($AF26&lt;=Definitions!$AF$6,Definitions!$M$4,""))</f>
        <v/>
      </c>
      <c r="Q26" s="23"/>
      <c r="R26" s="33" t="str">
        <f t="shared" ca="1" si="0"/>
        <v/>
      </c>
      <c r="S26" s="23"/>
      <c r="T26" s="13"/>
      <c r="U26" s="10" cm="1">
        <f t="array" ca="1" aca="1" ref="U26">GenerateShadowID(ROW(),$U$5,$U:$U,0,B26&lt;&gt;"")</f>
        <v>21</v>
      </c>
      <c r="V26" s="10" cm="1">
        <f t="array" ref="V26">CreateTaskID($V$5,$V:$V,Tasks!$B$17,$T26)</f>
        <v>0</v>
      </c>
      <c r="W26" s="14" t="e" cm="1">
        <f t="array" ca="1" aca="1" ref="W26">IF($B26="","",SimpleLookup($B26,'Risk Treatment'!$C:$AW))</f>
        <v>#N/A</v>
      </c>
      <c r="X26" s="14" t="e" cm="1">
        <f t="array" ca="1" aca="1" ref="X26">IF($B26="","",_xlfn.LET(_xlpm._attackSteps,SimpleLookup($B26,'Risk Treatment'!$C:$Y),GetValues(_xlpm._attackSteps,Mitigation!$A:$AG,"",CHAR(1),FALSE)))</f>
        <v>#N/A</v>
      </c>
      <c r="Y26" s="14" t="e" cm="1">
        <f t="array" ca="1" aca="1" ref="Y2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26,CHAR(1))</f>
        <v>#N/A</v>
      </c>
      <c r="Z26" s="14" t="e" cm="1">
        <f t="array" ca="1" aca="1" ref="Z26">FilterElementsFromList($W26,Helper!$J$4,TRUE,",")</f>
        <v>#N/A</v>
      </c>
      <c r="AA26" s="14" t="e" cm="1">
        <f t="array" ca="1" aca="1" ref="AA26">FilterElementsFromList($Y26,Helper!$J$4,TRUE,",")</f>
        <v>#N/A</v>
      </c>
      <c r="AB26" s="20" t="e" cm="1">
        <f t="array" ca="1" aca="1" ref="AB2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26,CreateSearchString($AA26),CHAR(1),","&amp;CHAR(10))</f>
        <v>#N/A</v>
      </c>
      <c r="AC26" s="20">
        <f ca="1">IFERROR(MATCH($B26,Risks!$A:$A,0),-1)</f>
        <v>23</v>
      </c>
      <c r="AD26" s="20" t="str" cm="1">
        <f t="array" ca="1" aca="1" ref="AD26">IF($B26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26,Risks!$A:CA,Definitions!$Y:$Y,Definitions!$AB:$AB,1)&amp;CHAR(10)&amp;_xlpm._factorFunction($B26,Risks!$A:CB,Definitions!$Y:$Y,Definitions!$AB:$AB,2)&amp;CHAR(10)&amp;_xlpm._factorFunction($B26,Risks!$A:CC,Definitions!$Y:$Y,Definitions!$AB:$AB,3)&amp;CHAR(10)&amp;_xlpm._factorFunction($B26,Risks!$A:CD,Definitions!$Y:$Y,Definitions!$AB:$AB,4)&amp;CHAR(10)&amp;_xlpm._factorFunction($B26,Risks!$A:CE,Definitions!$Y:$Y,Definitions!$AB:$AB,5)))</f>
        <v>Elapsed Time [4]: AS3
Expertise [6]: AS3
Knowledge of TOE [3]: AS3
Window of Opportunity [0]: AS1, AS3, AS32
Equipment [0]: AS1, AS3, AS32</v>
      </c>
      <c r="AE26" s="20" t="e" cm="1">
        <f t="array" ca="1" aca="1" ref="AE26">RemoveDelimiter(SUBSTITUTE(SUBSTITUTE($AB26,"{",""),"}",""),","&amp;CHAR(10))</f>
        <v>#N/A</v>
      </c>
      <c r="AF26" s="20" cm="1">
        <f t="array" ca="1" aca="1" ref="AF26">IF($O26="",0,SimpleLookup($O26,Definitions!$AE:$AF))</f>
        <v>4</v>
      </c>
    </row>
    <row r="27" spans="2:32" ht="15">
      <c r="B27" s="16" t="str">
        <f ca="1">OFFSET(Risks!$A$2,ROW()-ROW($B$5),0)</f>
        <v>R2-3-32</v>
      </c>
      <c r="C27" s="33" t="str" cm="1">
        <f t="array" ca="1" aca="1" ref="C27">IF($B27="","",IFERROR(SimpleLookup($B27,'Risk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7" s="37" t="str" cm="1">
        <f t="array" ca="1" aca="1" ref="D27">IF($B27="","",IFERROR(SimpleLookup($B27,'Risk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7" s="16" t="str" cm="1">
        <f t="array" ca="1" aca="1" ref="E27">IF($B27="","",IFERROR(SimpleLookup($B27,'Risk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7" s="34" t="str" cm="1">
        <f t="array" ca="1" aca="1" ref="F27">IF($B27="","",IFERROR(SimpleLookup($B27,'Risk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7" s="16" t="str" cm="1">
        <f t="array" ca="1" aca="1" ref="G27">IF($B27="","",IFERROR(SimpleLookup($B27,'Risk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7" s="16" t="str" cm="1">
        <f t="array" ca="1" aca="1" ref="H27">IF($B27="","",IFERROR(SimpleLookup($B27,'Risk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7" s="33" t="str" cm="1">
        <f t="array" ca="1" aca="1" ref="I27">IF($B27="","",IFERROR(SimpleLookup($B27,'Risk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7" s="33" t="e" cm="1">
        <f t="array" ca="1" aca="1" ref="J27">_xlfn.LET(_xlpm._assignedMitigations,IF($B27="","",IFERROR(RemoveDelimiter(GetValuesWithFallback($Z27,Countermeasures!$A:$B,Assumptions!$A:$B," ",","&amp;CHAR(10),TRUE),","&amp;CHAR(10)),"Error: Unknown risk ID "&amp;$B27)),_xlpm._inlineMitigations,$AE27,_xlpm._assignedMitigations&amp;IF(OR(_xlpm._assignedMitigations="",_xlpm._inlineMitigations=""),"",","&amp;CHAR(10))&amp;_xlpm._inlineMitigations)</f>
        <v>#N/A</v>
      </c>
      <c r="K27" s="37" t="str" cm="1">
        <f t="array" ca="1" aca="1" ref="K27">IF($AC27=-1,"",RemoveDelimiter(GetValues(INDEX(Risks!BN:BN,$AC27),'DS Overview'!$A:$B," ",","&amp;CHAR(10),TRUE),","&amp;CHAR(10)))</f>
        <v>DS3 Disclosure of acontis techonlogies GmbH IP (moderately innovative),
DS12 IP (highly innovative) disclosed by manipulated product</v>
      </c>
      <c r="L27" s="33" t="str" cm="1">
        <f t="array" ca="1" aca="1" ref="L27">IF($AC27=-1,"",INDEX(Risks!BP:BP,$AC27))</f>
        <v>High</v>
      </c>
      <c r="M27" s="34" t="str" cm="1">
        <f t="array" ca="1" aca="1" ref="M27">_xlfn.LET(_xlpm._calculatedRAP,IFERROR(SimpleLookup($B27,Risks!$A:$BG),""),_xlpm._inlineRAP,IFERROR(SimpleLookup($B27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27,_xlpm._mitigationSheetName&amp;" sheet "&amp;_xlfn.UNICHAR(8702)&amp;" Comment column:"&amp;CHAR(10)&amp;$AE27)))</f>
        <v>Elapsed Time [4]: AS3
Expertise [6]: AS3
Knowledge of TOE [3]: AS3
Window of Opportunity [1]: AS2
Equipment [0]: AS2, AS3, AS32</v>
      </c>
      <c r="N27" s="33" t="str" cm="1">
        <f t="array" ca="1" aca="1" ref="N27">IF($AC27=-1,"",INDEX(Risks!CN:CN,$AC27))</f>
        <v>Moderate</v>
      </c>
      <c r="O27" s="33" t="str" cm="1">
        <f t="array" ca="1" aca="1" ref="O27">IF($AC27=-1,"",INDEX(Risks!CO:CO,$AC27))</f>
        <v>High</v>
      </c>
      <c r="P27" s="33" t="str">
        <f ca="1">IF($C27="","",IF($AF27&lt;=Definitions!$AF$6,Definitions!$M$4,""))</f>
        <v/>
      </c>
      <c r="Q27" s="23"/>
      <c r="R27" s="33" t="str">
        <f t="shared" ca="1" si="0"/>
        <v/>
      </c>
      <c r="S27" s="23"/>
      <c r="T27" s="13"/>
      <c r="U27" s="10" cm="1">
        <f t="array" ca="1" aca="1" ref="U27">GenerateShadowID(ROW(),$U$5,$U:$U,0,B27&lt;&gt;"")</f>
        <v>22</v>
      </c>
      <c r="V27" s="10" cm="1">
        <f t="array" ref="V27">CreateTaskID($V$5,$V:$V,Tasks!$B$17,$T27)</f>
        <v>0</v>
      </c>
      <c r="W27" s="14" t="e" cm="1">
        <f t="array" ca="1" aca="1" ref="W27">IF($B27="","",SimpleLookup($B27,'Risk Treatment'!$C:$AW))</f>
        <v>#N/A</v>
      </c>
      <c r="X27" s="14" t="e" cm="1">
        <f t="array" ca="1" aca="1" ref="X27">IF($B27="","",_xlfn.LET(_xlpm._attackSteps,SimpleLookup($B27,'Risk Treatment'!$C:$Y),GetValues(_xlpm._attackSteps,Mitigation!$A:$AG,"",CHAR(1),FALSE)))</f>
        <v>#N/A</v>
      </c>
      <c r="Y27" s="14" t="e" cm="1">
        <f t="array" ca="1" aca="1" ref="Y2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27,CHAR(1))</f>
        <v>#N/A</v>
      </c>
      <c r="Z27" s="14" t="e" cm="1">
        <f t="array" ca="1" aca="1" ref="Z27">FilterElementsFromList($W27,Helper!$J$4,TRUE,",")</f>
        <v>#N/A</v>
      </c>
      <c r="AA27" s="14" t="e" cm="1">
        <f t="array" ca="1" aca="1" ref="AA27">FilterElementsFromList($Y27,Helper!$J$4,TRUE,",")</f>
        <v>#N/A</v>
      </c>
      <c r="AB27" s="20" t="e" cm="1">
        <f t="array" ca="1" aca="1" ref="AB2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27,CreateSearchString($AA27),CHAR(1),","&amp;CHAR(10))</f>
        <v>#N/A</v>
      </c>
      <c r="AC27" s="20">
        <f ca="1">IFERROR(MATCH($B27,Risks!$A:$A,0),-1)</f>
        <v>24</v>
      </c>
      <c r="AD27" s="20" t="str" cm="1">
        <f t="array" ca="1" aca="1" ref="AD27">IF($B27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27,Risks!$A:CA,Definitions!$Y:$Y,Definitions!$AB:$AB,1)&amp;CHAR(10)&amp;_xlpm._factorFunction($B27,Risks!$A:CB,Definitions!$Y:$Y,Definitions!$AB:$AB,2)&amp;CHAR(10)&amp;_xlpm._factorFunction($B27,Risks!$A:CC,Definitions!$Y:$Y,Definitions!$AB:$AB,3)&amp;CHAR(10)&amp;_xlpm._factorFunction($B27,Risks!$A:CD,Definitions!$Y:$Y,Definitions!$AB:$AB,4)&amp;CHAR(10)&amp;_xlpm._factorFunction($B27,Risks!$A:CE,Definitions!$Y:$Y,Definitions!$AB:$AB,5)))</f>
        <v>Elapsed Time [4]: AS3
Expertise [6]: AS3
Knowledge of TOE [3]: AS3
Window of Opportunity [1]: AS2
Equipment [0]: AS2, AS3, AS32</v>
      </c>
      <c r="AE27" s="20" t="e" cm="1">
        <f t="array" ca="1" aca="1" ref="AE27">RemoveDelimiter(SUBSTITUTE(SUBSTITUTE($AB27,"{",""),"}",""),","&amp;CHAR(10))</f>
        <v>#N/A</v>
      </c>
      <c r="AF27" s="20" cm="1">
        <f t="array" ca="1" aca="1" ref="AF27">IF($O27="",0,SimpleLookup($O27,Definitions!$AE:$AF))</f>
        <v>3</v>
      </c>
    </row>
    <row r="28" spans="2:32" ht="15">
      <c r="B28" s="16" t="str">
        <f ca="1">OFFSET(Risks!$A$2,ROW()-ROW($B$5),0)</f>
        <v>R1-5-32</v>
      </c>
      <c r="C28" s="33" t="str" cm="1">
        <f t="array" ca="1" aca="1" ref="C28">IF($B28="","",IFERROR(SimpleLookup($B28,'Risk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8" s="37" t="str" cm="1">
        <f t="array" ca="1" aca="1" ref="D28">IF($B28="","",IFERROR(SimpleLookup($B28,'Risk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8" s="16" t="str" cm="1">
        <f t="array" ca="1" aca="1" ref="E28">IF($B28="","",IFERROR(SimpleLookup($B28,'Risk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8" s="34" t="str" cm="1">
        <f t="array" ca="1" aca="1" ref="F28">IF($B28="","",IFERROR(SimpleLookup($B28,'Risk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8" s="16" t="str" cm="1">
        <f t="array" ca="1" aca="1" ref="G28">IF($B28="","",IFERROR(SimpleLookup($B28,'Risk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8" s="16" t="str" cm="1">
        <f t="array" ca="1" aca="1" ref="H28">IF($B28="","",IFERROR(SimpleLookup($B28,'Risk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8" s="33" t="str" cm="1">
        <f t="array" ca="1" aca="1" ref="I28">IF($B28="","",IFERROR(SimpleLookup($B28,'Risk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8" s="33" t="e" cm="1">
        <f t="array" ca="1" aca="1" ref="J28">_xlfn.LET(_xlpm._assignedMitigations,IF($B28="","",IFERROR(RemoveDelimiter(GetValuesWithFallback($Z28,Countermeasures!$A:$B,Assumptions!$A:$B," ",","&amp;CHAR(10),TRUE),","&amp;CHAR(10)),"Error: Unknown risk ID "&amp;$B28)),_xlpm._inlineMitigations,$AE28,_xlpm._assignedMitigations&amp;IF(OR(_xlpm._assignedMitigations="",_xlpm._inlineMitigations=""),"",","&amp;CHAR(10))&amp;_xlpm._inlineMitigations)</f>
        <v>#N/A</v>
      </c>
      <c r="K28" s="37" t="str" cm="1">
        <f t="array" ca="1" aca="1" ref="K28">IF($AC28=-1,"",RemoveDelimiter(GetValues(INDEX(Risks!BN:BN,$AC28),'DS Overview'!$A:$B," ",","&amp;CHAR(10),TRUE),","&amp;CHAR(10)))</f>
        <v>DS3 Disclosure of acontis techonlogies GmbH IP (moderately innovative),
DS12 IP (highly innovative) disclosed by manipulated product</v>
      </c>
      <c r="L28" s="33" t="str" cm="1">
        <f t="array" ca="1" aca="1" ref="L28">IF($AC28=-1,"",INDEX(Risks!BP:BP,$AC28))</f>
        <v>High</v>
      </c>
      <c r="M28" s="34" t="str" cm="1">
        <f t="array" ca="1" aca="1" ref="M28">_xlfn.LET(_xlpm._calculatedRAP,IFERROR(SimpleLookup($B28,Risks!$A:$BG),""),_xlpm._inlineRAP,IFERROR(SimpleLookup($B28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28,_xlpm._mitigationSheetName&amp;" sheet "&amp;_xlfn.UNICHAR(8702)&amp;" Comment column:"&amp;CHAR(10)&amp;$AE28)))</f>
        <v>Elapsed Time [0]: AS1, AS5, AS32
Expertise [3]: AS5
Knowledge of TOE [0]: AS1, AS5, AS32
Window of Opportunity [0]: AS1, AS5, AS32
Equipment [0]: AS1, AS5, AS32</v>
      </c>
      <c r="N28" s="33" t="str" cm="1">
        <f t="array" ca="1" aca="1" ref="N28">IF($AC28=-1,"",INDEX(Risks!CN:CN,$AC28))</f>
        <v>Basic</v>
      </c>
      <c r="O28" s="33" t="str" cm="1">
        <f t="array" ca="1" aca="1" ref="O28">IF($AC28=-1,"",INDEX(Risks!CO:CO,$AC28))</f>
        <v>Very High</v>
      </c>
      <c r="P28" s="33" t="str">
        <f ca="1">IF($C28="","",IF($AF28&lt;=Definitions!$AF$6,Definitions!$M$4,""))</f>
        <v/>
      </c>
      <c r="Q28" s="23"/>
      <c r="R28" s="33" t="str">
        <f t="shared" ca="1" si="0"/>
        <v/>
      </c>
      <c r="S28" s="23"/>
      <c r="T28" s="13"/>
      <c r="U28" s="10" cm="1">
        <f t="array" ca="1" aca="1" ref="U28">GenerateShadowID(ROW(),$U$5,$U:$U,0,B28&lt;&gt;"")</f>
        <v>23</v>
      </c>
      <c r="V28" s="10" cm="1">
        <f t="array" ref="V28">CreateTaskID($V$5,$V:$V,Tasks!$B$17,$T28)</f>
        <v>0</v>
      </c>
      <c r="W28" s="14" t="e" cm="1">
        <f t="array" ca="1" aca="1" ref="W28">IF($B28="","",SimpleLookup($B28,'Risk Treatment'!$C:$AW))</f>
        <v>#N/A</v>
      </c>
      <c r="X28" s="14" t="e" cm="1">
        <f t="array" ca="1" aca="1" ref="X28">IF($B28="","",_xlfn.LET(_xlpm._attackSteps,SimpleLookup($B28,'Risk Treatment'!$C:$Y),GetValues(_xlpm._attackSteps,Mitigation!$A:$AG,"",CHAR(1),FALSE)))</f>
        <v>#N/A</v>
      </c>
      <c r="Y28" s="14" t="e" cm="1">
        <f t="array" ca="1" aca="1" ref="Y2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28,CHAR(1))</f>
        <v>#N/A</v>
      </c>
      <c r="Z28" s="14" t="e" cm="1">
        <f t="array" ca="1" aca="1" ref="Z28">FilterElementsFromList($W28,Helper!$J$4,TRUE,",")</f>
        <v>#N/A</v>
      </c>
      <c r="AA28" s="14" t="e" cm="1">
        <f t="array" ca="1" aca="1" ref="AA28">FilterElementsFromList($Y28,Helper!$J$4,TRUE,",")</f>
        <v>#N/A</v>
      </c>
      <c r="AB28" s="20" t="e" cm="1">
        <f t="array" ca="1" aca="1" ref="AB2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28,CreateSearchString($AA28),CHAR(1),","&amp;CHAR(10))</f>
        <v>#N/A</v>
      </c>
      <c r="AC28" s="20">
        <f ca="1">IFERROR(MATCH($B28,Risks!$A:$A,0),-1)</f>
        <v>25</v>
      </c>
      <c r="AD28" s="20" t="str" cm="1">
        <f t="array" ca="1" aca="1" ref="AD28">IF($B28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28,Risks!$A:CA,Definitions!$Y:$Y,Definitions!$AB:$AB,1)&amp;CHAR(10)&amp;_xlpm._factorFunction($B28,Risks!$A:CB,Definitions!$Y:$Y,Definitions!$AB:$AB,2)&amp;CHAR(10)&amp;_xlpm._factorFunction($B28,Risks!$A:CC,Definitions!$Y:$Y,Definitions!$AB:$AB,3)&amp;CHAR(10)&amp;_xlpm._factorFunction($B28,Risks!$A:CD,Definitions!$Y:$Y,Definitions!$AB:$AB,4)&amp;CHAR(10)&amp;_xlpm._factorFunction($B28,Risks!$A:CE,Definitions!$Y:$Y,Definitions!$AB:$AB,5)))</f>
        <v>Elapsed Time [0]: AS1, AS5, AS32
Expertise [3]: AS5
Knowledge of TOE [0]: AS1, AS5, AS32
Window of Opportunity [0]: AS1, AS5, AS32
Equipment [0]: AS1, AS5, AS32</v>
      </c>
      <c r="AE28" s="20" t="e" cm="1">
        <f t="array" ca="1" aca="1" ref="AE28">RemoveDelimiter(SUBSTITUTE(SUBSTITUTE($AB28,"{",""),"}",""),","&amp;CHAR(10))</f>
        <v>#N/A</v>
      </c>
      <c r="AF28" s="20" cm="1">
        <f t="array" ca="1" aca="1" ref="AF28">IF($O28="",0,SimpleLookup($O28,Definitions!$AE:$AF))</f>
        <v>4</v>
      </c>
    </row>
    <row r="29" spans="2:32" ht="15">
      <c r="B29" s="16" t="str">
        <f ca="1">OFFSET(Risks!$A$2,ROW()-ROW($B$5),0)</f>
        <v>R2-5-32</v>
      </c>
      <c r="C29" s="33" t="str" cm="1">
        <f t="array" ca="1" aca="1" ref="C29">IF($B29="","",IFERROR(SimpleLookup($B29,'Risk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29" s="37" t="str" cm="1">
        <f t="array" ca="1" aca="1" ref="D29">IF($B29="","",IFERROR(SimpleLookup($B29,'Risk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29" s="16" t="str" cm="1">
        <f t="array" ca="1" aca="1" ref="E29">IF($B29="","",IFERROR(SimpleLookup($B29,'Risk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29" s="34" t="str" cm="1">
        <f t="array" ca="1" aca="1" ref="F29">IF($B29="","",IFERROR(SimpleLookup($B29,'Risk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29" s="16" t="str" cm="1">
        <f t="array" ca="1" aca="1" ref="G29">IF($B29="","",IFERROR(SimpleLookup($B29,'Risk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29" s="16" t="str" cm="1">
        <f t="array" ca="1" aca="1" ref="H29">IF($B29="","",IFERROR(SimpleLookup($B29,'Risk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29" s="33" t="str" cm="1">
        <f t="array" ca="1" aca="1" ref="I29">IF($B29="","",IFERROR(SimpleLookup($B29,'Risk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29" s="33" t="e" cm="1">
        <f t="array" ca="1" aca="1" ref="J29">_xlfn.LET(_xlpm._assignedMitigations,IF($B29="","",IFERROR(RemoveDelimiter(GetValuesWithFallback($Z29,Countermeasures!$A:$B,Assumptions!$A:$B," ",","&amp;CHAR(10),TRUE),","&amp;CHAR(10)),"Error: Unknown risk ID "&amp;$B29)),_xlpm._inlineMitigations,$AE29,_xlpm._assignedMitigations&amp;IF(OR(_xlpm._assignedMitigations="",_xlpm._inlineMitigations=""),"",","&amp;CHAR(10))&amp;_xlpm._inlineMitigations)</f>
        <v>#N/A</v>
      </c>
      <c r="K29" s="37" t="str" cm="1">
        <f t="array" ca="1" aca="1" ref="K29">IF($AC29=-1,"",RemoveDelimiter(GetValues(INDEX(Risks!BN:BN,$AC29),'DS Overview'!$A:$B," ",","&amp;CHAR(10),TRUE),","&amp;CHAR(10)))</f>
        <v>DS3 Disclosure of acontis techonlogies GmbH IP (moderately innovative),
DS12 IP (highly innovative) disclosed by manipulated product</v>
      </c>
      <c r="L29" s="33" t="str" cm="1">
        <f t="array" ca="1" aca="1" ref="L29">IF($AC29=-1,"",INDEX(Risks!BP:BP,$AC29))</f>
        <v>High</v>
      </c>
      <c r="M29" s="34" t="str" cm="1">
        <f t="array" ca="1" aca="1" ref="M29">_xlfn.LET(_xlpm._calculatedRAP,IFERROR(SimpleLookup($B29,Risks!$A:$BG),""),_xlpm._inlineRAP,IFERROR(SimpleLookup($B29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29,_xlpm._mitigationSheetName&amp;" sheet "&amp;_xlfn.UNICHAR(8702)&amp;" Comment column:"&amp;CHAR(10)&amp;$AE29)))</f>
        <v>Elapsed Time [0]: AS2, AS5, AS32
Expertise [3]: AS2, AS5
Knowledge of TOE [0]: AS2, AS5, AS32
Window of Opportunity [1]: AS2
Equipment [0]: AS2, AS5, AS32</v>
      </c>
      <c r="N29" s="33" t="str" cm="1">
        <f t="array" ca="1" aca="1" ref="N29">IF($AC29=-1,"",INDEX(Risks!CN:CN,$AC29))</f>
        <v>Basic</v>
      </c>
      <c r="O29" s="33" t="str" cm="1">
        <f t="array" ca="1" aca="1" ref="O29">IF($AC29=-1,"",INDEX(Risks!CO:CO,$AC29))</f>
        <v>Very High</v>
      </c>
      <c r="P29" s="33" t="str">
        <f ca="1">IF($C29="","",IF($AF29&lt;=Definitions!$AF$6,Definitions!$M$4,""))</f>
        <v/>
      </c>
      <c r="Q29" s="23"/>
      <c r="R29" s="33" t="str">
        <f t="shared" ca="1" si="0"/>
        <v/>
      </c>
      <c r="S29" s="23"/>
      <c r="T29" s="13"/>
      <c r="U29" s="10" cm="1">
        <f t="array" ca="1" aca="1" ref="U29">GenerateShadowID(ROW(),$U$5,$U:$U,0,B29&lt;&gt;"")</f>
        <v>24</v>
      </c>
      <c r="V29" s="10" cm="1">
        <f t="array" ref="V29">CreateTaskID($V$5,$V:$V,Tasks!$B$17,$T29)</f>
        <v>0</v>
      </c>
      <c r="W29" s="14" t="e" cm="1">
        <f t="array" ca="1" aca="1" ref="W29">IF($B29="","",SimpleLookup($B29,'Risk Treatment'!$C:$AW))</f>
        <v>#N/A</v>
      </c>
      <c r="X29" s="14" t="e" cm="1">
        <f t="array" ca="1" aca="1" ref="X29">IF($B29="","",_xlfn.LET(_xlpm._attackSteps,SimpleLookup($B29,'Risk Treatment'!$C:$Y),GetValues(_xlpm._attackSteps,Mitigation!$A:$AG,"",CHAR(1),FALSE)))</f>
        <v>#N/A</v>
      </c>
      <c r="Y29" s="14" t="e" cm="1">
        <f t="array" ca="1" aca="1" ref="Y2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29,CHAR(1))</f>
        <v>#N/A</v>
      </c>
      <c r="Z29" s="14" t="e" cm="1">
        <f t="array" ca="1" aca="1" ref="Z29">FilterElementsFromList($W29,Helper!$J$4,TRUE,",")</f>
        <v>#N/A</v>
      </c>
      <c r="AA29" s="14" t="e" cm="1">
        <f t="array" ca="1" aca="1" ref="AA29">FilterElementsFromList($Y29,Helper!$J$4,TRUE,",")</f>
        <v>#N/A</v>
      </c>
      <c r="AB29" s="20" t="e" cm="1">
        <f t="array" ca="1" aca="1" ref="AB2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29,CreateSearchString($AA29),CHAR(1),","&amp;CHAR(10))</f>
        <v>#N/A</v>
      </c>
      <c r="AC29" s="20">
        <f ca="1">IFERROR(MATCH($B29,Risks!$A:$A,0),-1)</f>
        <v>26</v>
      </c>
      <c r="AD29" s="20" t="str" cm="1">
        <f t="array" ca="1" aca="1" ref="AD29">IF($B29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29,Risks!$A:CA,Definitions!$Y:$Y,Definitions!$AB:$AB,1)&amp;CHAR(10)&amp;_xlpm._factorFunction($B29,Risks!$A:CB,Definitions!$Y:$Y,Definitions!$AB:$AB,2)&amp;CHAR(10)&amp;_xlpm._factorFunction($B29,Risks!$A:CC,Definitions!$Y:$Y,Definitions!$AB:$AB,3)&amp;CHAR(10)&amp;_xlpm._factorFunction($B29,Risks!$A:CD,Definitions!$Y:$Y,Definitions!$AB:$AB,4)&amp;CHAR(10)&amp;_xlpm._factorFunction($B29,Risks!$A:CE,Definitions!$Y:$Y,Definitions!$AB:$AB,5)))</f>
        <v>Elapsed Time [0]: AS2, AS5, AS32
Expertise [3]: AS2, AS5
Knowledge of TOE [0]: AS2, AS5, AS32
Window of Opportunity [1]: AS2
Equipment [0]: AS2, AS5, AS32</v>
      </c>
      <c r="AE29" s="20" t="e" cm="1">
        <f t="array" ca="1" aca="1" ref="AE29">RemoveDelimiter(SUBSTITUTE(SUBSTITUTE($AB29,"{",""),"}",""),","&amp;CHAR(10))</f>
        <v>#N/A</v>
      </c>
      <c r="AF29" s="20" cm="1">
        <f t="array" ca="1" aca="1" ref="AF29">IF($O29="",0,SimpleLookup($O29,Definitions!$AE:$AF))</f>
        <v>4</v>
      </c>
    </row>
    <row r="30" spans="2:32" ht="15">
      <c r="B30" s="16" t="str">
        <f ca="1">OFFSET(Risks!$A$2,ROW()-ROW($B$5),0)</f>
        <v>R1-7-32</v>
      </c>
      <c r="C30" s="33" t="str" cm="1">
        <f t="array" ca="1" aca="1" ref="C30">IF($B30="","",IFERROR(SimpleLookup($B30,'Risk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0" s="37" t="str" cm="1">
        <f t="array" ca="1" aca="1" ref="D30">IF($B30="","",IFERROR(SimpleLookup($B30,'Risk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0" s="16" t="str" cm="1">
        <f t="array" ca="1" aca="1" ref="E30">IF($B30="","",IFERROR(SimpleLookup($B30,'Risk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0" s="34" t="str" cm="1">
        <f t="array" ca="1" aca="1" ref="F30">IF($B30="","",IFERROR(SimpleLookup($B30,'Risk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0" s="16" t="str" cm="1">
        <f t="array" ca="1" aca="1" ref="G30">IF($B30="","",IFERROR(SimpleLookup($B30,'Risk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0" s="16" t="str" cm="1">
        <f t="array" ca="1" aca="1" ref="H30">IF($B30="","",IFERROR(SimpleLookup($B30,'Risk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0" s="33" t="str" cm="1">
        <f t="array" ca="1" aca="1" ref="I30">IF($B30="","",IFERROR(SimpleLookup($B30,'Risk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0" s="33" t="e" cm="1">
        <f t="array" ca="1" aca="1" ref="J30">_xlfn.LET(_xlpm._assignedMitigations,IF($B30="","",IFERROR(RemoveDelimiter(GetValuesWithFallback($Z30,Countermeasures!$A:$B,Assumptions!$A:$B," ",","&amp;CHAR(10),TRUE),","&amp;CHAR(10)),"Error: Unknown risk ID "&amp;$B30)),_xlpm._inlineMitigations,$AE30,_xlpm._assignedMitigations&amp;IF(OR(_xlpm._assignedMitigations="",_xlpm._inlineMitigations=""),"",","&amp;CHAR(10))&amp;_xlpm._inlineMitigations)</f>
        <v>#N/A</v>
      </c>
      <c r="K30" s="37" t="str" cm="1">
        <f t="array" ca="1" aca="1" ref="K30">IF($AC30=-1,"",RemoveDelimiter(GetValues(INDEX(Risks!BN:BN,$AC30),'DS Overview'!$A:$B," ",","&amp;CHAR(10),TRUE),","&amp;CHAR(10)))</f>
        <v>DS3 Disclosure of acontis techonlogies GmbH IP (moderately innovative),
DS12 IP (highly innovative) disclosed by manipulated product</v>
      </c>
      <c r="L30" s="33" t="str" cm="1">
        <f t="array" ca="1" aca="1" ref="L30">IF($AC30=-1,"",INDEX(Risks!BP:BP,$AC30))</f>
        <v>High</v>
      </c>
      <c r="M30" s="34" t="str" cm="1">
        <f t="array" ca="1" aca="1" ref="M30">_xlfn.LET(_xlpm._calculatedRAP,IFERROR(SimpleLookup($B30,Risks!$A:$BG),""),_xlpm._inlineRAP,IFERROR(SimpleLookup($B30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30,_xlpm._mitigationSheetName&amp;" sheet "&amp;_xlfn.UNICHAR(8702)&amp;" Comment column:"&amp;CHAR(10)&amp;$AE30)))</f>
        <v>Elapsed Time [1]: AS7
Expertise [6]: AS7
Knowledge of TOE [3]: AS7
Window of Opportunity [0]: AS1, AS7, AS32
Equipment [0]: AS1, AS7, AS32</v>
      </c>
      <c r="N30" s="33" t="str" cm="1">
        <f t="array" ca="1" aca="1" ref="N30">IF($AC30=-1,"",INDEX(Risks!CN:CN,$AC30))</f>
        <v>Enhanced-Basic</v>
      </c>
      <c r="O30" s="33" t="str" cm="1">
        <f t="array" ca="1" aca="1" ref="O30">IF($AC30=-1,"",INDEX(Risks!CO:CO,$AC30))</f>
        <v>Very High</v>
      </c>
      <c r="P30" s="33" t="str">
        <f ca="1">IF($C30="","",IF($AF30&lt;=Definitions!$AF$6,Definitions!$M$4,""))</f>
        <v/>
      </c>
      <c r="Q30" s="23"/>
      <c r="R30" s="33" t="str">
        <f t="shared" ca="1" si="0"/>
        <v/>
      </c>
      <c r="S30" s="23"/>
      <c r="T30" s="13"/>
      <c r="U30" s="10" cm="1">
        <f t="array" ca="1" aca="1" ref="U30">GenerateShadowID(ROW(),$U$5,$U:$U,0,B30&lt;&gt;"")</f>
        <v>25</v>
      </c>
      <c r="V30" s="10" cm="1">
        <f t="array" ref="V30">CreateTaskID($V$5,$V:$V,Tasks!$B$17,$T30)</f>
        <v>0</v>
      </c>
      <c r="W30" s="14" t="e" cm="1">
        <f t="array" ca="1" aca="1" ref="W30">IF($B30="","",SimpleLookup($B30,'Risk Treatment'!$C:$AW))</f>
        <v>#N/A</v>
      </c>
      <c r="X30" s="14" t="e" cm="1">
        <f t="array" ca="1" aca="1" ref="X30">IF($B30="","",_xlfn.LET(_xlpm._attackSteps,SimpleLookup($B30,'Risk Treatment'!$C:$Y),GetValues(_xlpm._attackSteps,Mitigation!$A:$AG,"",CHAR(1),FALSE)))</f>
        <v>#N/A</v>
      </c>
      <c r="Y30" s="14" t="e" cm="1">
        <f t="array" ca="1" aca="1" ref="Y3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30,CHAR(1))</f>
        <v>#N/A</v>
      </c>
      <c r="Z30" s="14" t="e" cm="1">
        <f t="array" ca="1" aca="1" ref="Z30">FilterElementsFromList($W30,Helper!$J$4,TRUE,",")</f>
        <v>#N/A</v>
      </c>
      <c r="AA30" s="14" t="e" cm="1">
        <f t="array" ca="1" aca="1" ref="AA30">FilterElementsFromList($Y30,Helper!$J$4,TRUE,",")</f>
        <v>#N/A</v>
      </c>
      <c r="AB30" s="20" t="e" cm="1">
        <f t="array" ca="1" aca="1" ref="AB3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30,CreateSearchString($AA30),CHAR(1),","&amp;CHAR(10))</f>
        <v>#N/A</v>
      </c>
      <c r="AC30" s="20">
        <f ca="1">IFERROR(MATCH($B30,Risks!$A:$A,0),-1)</f>
        <v>27</v>
      </c>
      <c r="AD30" s="20" t="str" cm="1">
        <f t="array" ca="1" aca="1" ref="AD30">IF($B30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30,Risks!$A:CA,Definitions!$Y:$Y,Definitions!$AB:$AB,1)&amp;CHAR(10)&amp;_xlpm._factorFunction($B30,Risks!$A:CB,Definitions!$Y:$Y,Definitions!$AB:$AB,2)&amp;CHAR(10)&amp;_xlpm._factorFunction($B30,Risks!$A:CC,Definitions!$Y:$Y,Definitions!$AB:$AB,3)&amp;CHAR(10)&amp;_xlpm._factorFunction($B30,Risks!$A:CD,Definitions!$Y:$Y,Definitions!$AB:$AB,4)&amp;CHAR(10)&amp;_xlpm._factorFunction($B30,Risks!$A:CE,Definitions!$Y:$Y,Definitions!$AB:$AB,5)))</f>
        <v>Elapsed Time [1]: AS7
Expertise [6]: AS7
Knowledge of TOE [3]: AS7
Window of Opportunity [0]: AS1, AS7, AS32
Equipment [0]: AS1, AS7, AS32</v>
      </c>
      <c r="AE30" s="20" t="e" cm="1">
        <f t="array" ca="1" aca="1" ref="AE30">RemoveDelimiter(SUBSTITUTE(SUBSTITUTE($AB30,"{",""),"}",""),","&amp;CHAR(10))</f>
        <v>#N/A</v>
      </c>
      <c r="AF30" s="20" cm="1">
        <f t="array" ca="1" aca="1" ref="AF30">IF($O30="",0,SimpleLookup($O30,Definitions!$AE:$AF))</f>
        <v>4</v>
      </c>
    </row>
    <row r="31" spans="2:32" ht="15">
      <c r="B31" s="16" t="str">
        <f ca="1">OFFSET(Risks!$A$2,ROW()-ROW($B$5),0)</f>
        <v>R2-7-32</v>
      </c>
      <c r="C31" s="33" t="str" cm="1">
        <f t="array" ca="1" aca="1" ref="C31">IF($B31="","",IFERROR(SimpleLookup($B31,'Risk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1" s="37" t="str" cm="1">
        <f t="array" ca="1" aca="1" ref="D31">IF($B31="","",IFERROR(SimpleLookup($B31,'Risk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1" s="16" t="str" cm="1">
        <f t="array" ca="1" aca="1" ref="E31">IF($B31="","",IFERROR(SimpleLookup($B31,'Risk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1" s="34" t="str" cm="1">
        <f t="array" ca="1" aca="1" ref="F31">IF($B31="","",IFERROR(SimpleLookup($B31,'Risk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1" s="16" t="str" cm="1">
        <f t="array" ca="1" aca="1" ref="G31">IF($B31="","",IFERROR(SimpleLookup($B31,'Risk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1" s="16" t="str" cm="1">
        <f t="array" ca="1" aca="1" ref="H31">IF($B31="","",IFERROR(SimpleLookup($B31,'Risk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1" s="33" t="str" cm="1">
        <f t="array" ca="1" aca="1" ref="I31">IF($B31="","",IFERROR(SimpleLookup($B31,'Risk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1" s="33" t="e" cm="1">
        <f t="array" ca="1" aca="1" ref="J31">_xlfn.LET(_xlpm._assignedMitigations,IF($B31="","",IFERROR(RemoveDelimiter(GetValuesWithFallback($Z31,Countermeasures!$A:$B,Assumptions!$A:$B," ",","&amp;CHAR(10),TRUE),","&amp;CHAR(10)),"Error: Unknown risk ID "&amp;$B31)),_xlpm._inlineMitigations,$AE31,_xlpm._assignedMitigations&amp;IF(OR(_xlpm._assignedMitigations="",_xlpm._inlineMitigations=""),"",","&amp;CHAR(10))&amp;_xlpm._inlineMitigations)</f>
        <v>#N/A</v>
      </c>
      <c r="K31" s="37" t="str" cm="1">
        <f t="array" ca="1" aca="1" ref="K31">IF($AC31=-1,"",RemoveDelimiter(GetValues(INDEX(Risks!BN:BN,$AC31),'DS Overview'!$A:$B," ",","&amp;CHAR(10),TRUE),","&amp;CHAR(10)))</f>
        <v>DS3 Disclosure of acontis techonlogies GmbH IP (moderately innovative),
DS12 IP (highly innovative) disclosed by manipulated product</v>
      </c>
      <c r="L31" s="33" t="str" cm="1">
        <f t="array" ca="1" aca="1" ref="L31">IF($AC31=-1,"",INDEX(Risks!BP:BP,$AC31))</f>
        <v>High</v>
      </c>
      <c r="M31" s="34" t="str" cm="1">
        <f t="array" ca="1" aca="1" ref="M31">_xlfn.LET(_xlpm._calculatedRAP,IFERROR(SimpleLookup($B31,Risks!$A:$BG),""),_xlpm._inlineRAP,IFERROR(SimpleLookup($B31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31,_xlpm._mitigationSheetName&amp;" sheet "&amp;_xlfn.UNICHAR(8702)&amp;" Comment column:"&amp;CHAR(10)&amp;$AE31)))</f>
        <v>Elapsed Time [1]: AS7
Expertise [6]: AS7
Knowledge of TOE [3]: AS7
Window of Opportunity [1]: AS2
Equipment [0]: AS2, AS7, AS32</v>
      </c>
      <c r="N31" s="33" t="str" cm="1">
        <f t="array" ca="1" aca="1" ref="N31">IF($AC31=-1,"",INDEX(Risks!CN:CN,$AC31))</f>
        <v>Enhanced-Basic</v>
      </c>
      <c r="O31" s="33" t="str" cm="1">
        <f t="array" ca="1" aca="1" ref="O31">IF($AC31=-1,"",INDEX(Risks!CO:CO,$AC31))</f>
        <v>Very High</v>
      </c>
      <c r="P31" s="33" t="str">
        <f ca="1">IF($C31="","",IF($AF31&lt;=Definitions!$AF$6,Definitions!$M$4,""))</f>
        <v/>
      </c>
      <c r="Q31" s="23"/>
      <c r="R31" s="33" t="str">
        <f t="shared" ca="1" si="0"/>
        <v/>
      </c>
      <c r="S31" s="23"/>
      <c r="T31" s="13"/>
      <c r="U31" s="10" cm="1">
        <f t="array" ca="1" aca="1" ref="U31">GenerateShadowID(ROW(),$U$5,$U:$U,0,B31&lt;&gt;"")</f>
        <v>26</v>
      </c>
      <c r="V31" s="10" cm="1">
        <f t="array" ref="V31">CreateTaskID($V$5,$V:$V,Tasks!$B$17,$T31)</f>
        <v>0</v>
      </c>
      <c r="W31" s="14" t="e" cm="1">
        <f t="array" ca="1" aca="1" ref="W31">IF($B31="","",SimpleLookup($B31,'Risk Treatment'!$C:$AW))</f>
        <v>#N/A</v>
      </c>
      <c r="X31" s="14" t="e" cm="1">
        <f t="array" ca="1" aca="1" ref="X31">IF($B31="","",_xlfn.LET(_xlpm._attackSteps,SimpleLookup($B31,'Risk Treatment'!$C:$Y),GetValues(_xlpm._attackSteps,Mitigation!$A:$AG,"",CHAR(1),FALSE)))</f>
        <v>#N/A</v>
      </c>
      <c r="Y31" s="14" t="e" cm="1">
        <f t="array" ca="1" aca="1" ref="Y3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31,CHAR(1))</f>
        <v>#N/A</v>
      </c>
      <c r="Z31" s="14" t="e" cm="1">
        <f t="array" ca="1" aca="1" ref="Z31">FilterElementsFromList($W31,Helper!$J$4,TRUE,",")</f>
        <v>#N/A</v>
      </c>
      <c r="AA31" s="14" t="e" cm="1">
        <f t="array" ca="1" aca="1" ref="AA31">FilterElementsFromList($Y31,Helper!$J$4,TRUE,",")</f>
        <v>#N/A</v>
      </c>
      <c r="AB31" s="20" t="e" cm="1">
        <f t="array" ca="1" aca="1" ref="AB3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31,CreateSearchString($AA31),CHAR(1),","&amp;CHAR(10))</f>
        <v>#N/A</v>
      </c>
      <c r="AC31" s="20">
        <f ca="1">IFERROR(MATCH($B31,Risks!$A:$A,0),-1)</f>
        <v>28</v>
      </c>
      <c r="AD31" s="20" t="str" cm="1">
        <f t="array" ca="1" aca="1" ref="AD31">IF($B31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31,Risks!$A:CA,Definitions!$Y:$Y,Definitions!$AB:$AB,1)&amp;CHAR(10)&amp;_xlpm._factorFunction($B31,Risks!$A:CB,Definitions!$Y:$Y,Definitions!$AB:$AB,2)&amp;CHAR(10)&amp;_xlpm._factorFunction($B31,Risks!$A:CC,Definitions!$Y:$Y,Definitions!$AB:$AB,3)&amp;CHAR(10)&amp;_xlpm._factorFunction($B31,Risks!$A:CD,Definitions!$Y:$Y,Definitions!$AB:$AB,4)&amp;CHAR(10)&amp;_xlpm._factorFunction($B31,Risks!$A:CE,Definitions!$Y:$Y,Definitions!$AB:$AB,5)))</f>
        <v>Elapsed Time [1]: AS7
Expertise [6]: AS7
Knowledge of TOE [3]: AS7
Window of Opportunity [1]: AS2
Equipment [0]: AS2, AS7, AS32</v>
      </c>
      <c r="AE31" s="20" t="e" cm="1">
        <f t="array" ca="1" aca="1" ref="AE31">RemoveDelimiter(SUBSTITUTE(SUBSTITUTE($AB31,"{",""),"}",""),","&amp;CHAR(10))</f>
        <v>#N/A</v>
      </c>
      <c r="AF31" s="20" cm="1">
        <f t="array" ca="1" aca="1" ref="AF31">IF($O31="",0,SimpleLookup($O31,Definitions!$AE:$AF))</f>
        <v>4</v>
      </c>
    </row>
    <row r="32" spans="2:32" ht="15">
      <c r="B32" s="16" t="str">
        <f ca="1">OFFSET(Risks!$A$2,ROW()-ROW($B$5),0)</f>
        <v>R1-16-32</v>
      </c>
      <c r="C32" s="33" t="str" cm="1">
        <f t="array" ca="1" aca="1" ref="C32">IF($B32="","",IFERROR(SimpleLookup($B32,'Risk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2" s="37" t="str" cm="1">
        <f t="array" ca="1" aca="1" ref="D32">IF($B32="","",IFERROR(SimpleLookup($B32,'Risk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2" s="16" t="str" cm="1">
        <f t="array" ca="1" aca="1" ref="E32">IF($B32="","",IFERROR(SimpleLookup($B32,'Risk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2" s="34" t="str" cm="1">
        <f t="array" ca="1" aca="1" ref="F32">IF($B32="","",IFERROR(SimpleLookup($B32,'Risk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2" s="16" t="str" cm="1">
        <f t="array" ca="1" aca="1" ref="G32">IF($B32="","",IFERROR(SimpleLookup($B32,'Risk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2" s="16" t="str" cm="1">
        <f t="array" ca="1" aca="1" ref="H32">IF($B32="","",IFERROR(SimpleLookup($B32,'Risk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2" s="33" t="str" cm="1">
        <f t="array" ca="1" aca="1" ref="I32">IF($B32="","",IFERROR(SimpleLookup($B32,'Risk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2" s="33" t="e" cm="1">
        <f t="array" ca="1" aca="1" ref="J32">_xlfn.LET(_xlpm._assignedMitigations,IF($B32="","",IFERROR(RemoveDelimiter(GetValuesWithFallback($Z32,Countermeasures!$A:$B,Assumptions!$A:$B," ",","&amp;CHAR(10),TRUE),","&amp;CHAR(10)),"Error: Unknown risk ID "&amp;$B32)),_xlpm._inlineMitigations,$AE32,_xlpm._assignedMitigations&amp;IF(OR(_xlpm._assignedMitigations="",_xlpm._inlineMitigations=""),"",","&amp;CHAR(10))&amp;_xlpm._inlineMitigations)</f>
        <v>#N/A</v>
      </c>
      <c r="K32" s="37" t="str" cm="1">
        <f t="array" ca="1" aca="1" ref="K32">IF($AC32=-1,"",RemoveDelimiter(GetValues(INDEX(Risks!BN:BN,$AC32),'DS Overview'!$A:$B," ",","&amp;CHAR(10),TRUE),","&amp;CHAR(10)))</f>
        <v>DS3 Disclosure of acontis techonlogies GmbH IP (moderately innovative),
DS12 IP (highly innovative) disclosed by manipulated product</v>
      </c>
      <c r="L32" s="33" t="str" cm="1">
        <f t="array" ca="1" aca="1" ref="L32">IF($AC32=-1,"",INDEX(Risks!BP:BP,$AC32))</f>
        <v>High</v>
      </c>
      <c r="M32" s="34" t="str" cm="1">
        <f t="array" ca="1" aca="1" ref="M32">_xlfn.LET(_xlpm._calculatedRAP,IFERROR(SimpleLookup($B32,Risks!$A:$BG),""),_xlpm._inlineRAP,IFERROR(SimpleLookup($B32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32,_xlpm._mitigationSheetName&amp;" sheet "&amp;_xlfn.UNICHAR(8702)&amp;" Comment column:"&amp;CHAR(10)&amp;$AE32)))</f>
        <v>Elapsed Time [0]: AS1, AS16, AS32
Expertise [3]: AS16
Knowledge of TOE [3]: AS16
Window of Opportunity [0]: AS1, AS16, AS32
Equipment [0]: AS1, AS16, AS32</v>
      </c>
      <c r="N32" s="33" t="str" cm="1">
        <f t="array" ca="1" aca="1" ref="N32">IF($AC32=-1,"",INDEX(Risks!CN:CN,$AC32))</f>
        <v>Basic</v>
      </c>
      <c r="O32" s="33" t="str" cm="1">
        <f t="array" ca="1" aca="1" ref="O32">IF($AC32=-1,"",INDEX(Risks!CO:CO,$AC32))</f>
        <v>Very High</v>
      </c>
      <c r="P32" s="33" t="str">
        <f ca="1">IF($C32="","",IF($AF32&lt;=Definitions!$AF$6,Definitions!$M$4,""))</f>
        <v/>
      </c>
      <c r="Q32" s="23"/>
      <c r="R32" s="33" t="str">
        <f t="shared" ca="1" si="0"/>
        <v/>
      </c>
      <c r="S32" s="23"/>
      <c r="T32" s="13"/>
      <c r="U32" s="10" cm="1">
        <f t="array" ca="1" aca="1" ref="U32">GenerateShadowID(ROW(),$U$5,$U:$U,0,B32&lt;&gt;"")</f>
        <v>27</v>
      </c>
      <c r="V32" s="10" cm="1">
        <f t="array" ref="V32">CreateTaskID($V$5,$V:$V,Tasks!$B$17,$T32)</f>
        <v>0</v>
      </c>
      <c r="W32" s="14" t="e" cm="1">
        <f t="array" ca="1" aca="1" ref="W32">IF($B32="","",SimpleLookup($B32,'Risk Treatment'!$C:$AW))</f>
        <v>#N/A</v>
      </c>
      <c r="X32" s="14" t="e" cm="1">
        <f t="array" ca="1" aca="1" ref="X32">IF($B32="","",_xlfn.LET(_xlpm._attackSteps,SimpleLookup($B32,'Risk Treatment'!$C:$Y),GetValues(_xlpm._attackSteps,Mitigation!$A:$AG,"",CHAR(1),FALSE)))</f>
        <v>#N/A</v>
      </c>
      <c r="Y32" s="14" t="e" cm="1">
        <f t="array" ca="1" aca="1" ref="Y3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32,CHAR(1))</f>
        <v>#N/A</v>
      </c>
      <c r="Z32" s="14" t="e" cm="1">
        <f t="array" ca="1" aca="1" ref="Z32">FilterElementsFromList($W32,Helper!$J$4,TRUE,",")</f>
        <v>#N/A</v>
      </c>
      <c r="AA32" s="14" t="e" cm="1">
        <f t="array" ca="1" aca="1" ref="AA32">FilterElementsFromList($Y32,Helper!$J$4,TRUE,",")</f>
        <v>#N/A</v>
      </c>
      <c r="AB32" s="20" t="e" cm="1">
        <f t="array" ca="1" aca="1" ref="AB3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32,CreateSearchString($AA32),CHAR(1),","&amp;CHAR(10))</f>
        <v>#N/A</v>
      </c>
      <c r="AC32" s="20">
        <f ca="1">IFERROR(MATCH($B32,Risks!$A:$A,0),-1)</f>
        <v>29</v>
      </c>
      <c r="AD32" s="20" t="str" cm="1">
        <f t="array" ca="1" aca="1" ref="AD32">IF($B32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32,Risks!$A:CA,Definitions!$Y:$Y,Definitions!$AB:$AB,1)&amp;CHAR(10)&amp;_xlpm._factorFunction($B32,Risks!$A:CB,Definitions!$Y:$Y,Definitions!$AB:$AB,2)&amp;CHAR(10)&amp;_xlpm._factorFunction($B32,Risks!$A:CC,Definitions!$Y:$Y,Definitions!$AB:$AB,3)&amp;CHAR(10)&amp;_xlpm._factorFunction($B32,Risks!$A:CD,Definitions!$Y:$Y,Definitions!$AB:$AB,4)&amp;CHAR(10)&amp;_xlpm._factorFunction($B32,Risks!$A:CE,Definitions!$Y:$Y,Definitions!$AB:$AB,5)))</f>
        <v>Elapsed Time [0]: AS1, AS16, AS32
Expertise [3]: AS16
Knowledge of TOE [3]: AS16
Window of Opportunity [0]: AS1, AS16, AS32
Equipment [0]: AS1, AS16, AS32</v>
      </c>
      <c r="AE32" s="20" t="e" cm="1">
        <f t="array" ca="1" aca="1" ref="AE32">RemoveDelimiter(SUBSTITUTE(SUBSTITUTE($AB32,"{",""),"}",""),","&amp;CHAR(10))</f>
        <v>#N/A</v>
      </c>
      <c r="AF32" s="20" cm="1">
        <f t="array" ca="1" aca="1" ref="AF32">IF($O32="",0,SimpleLookup($O32,Definitions!$AE:$AF))</f>
        <v>4</v>
      </c>
    </row>
    <row r="33" spans="2:32" ht="15">
      <c r="B33" s="16" t="str">
        <f ca="1">OFFSET(Risks!$A$2,ROW()-ROW($B$5),0)</f>
        <v>R2-16-32</v>
      </c>
      <c r="C33" s="33" t="str" cm="1">
        <f t="array" ca="1" aca="1" ref="C33">IF($B33="","",IFERROR(SimpleLookup($B33,'Risk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3" s="37" t="str" cm="1">
        <f t="array" ca="1" aca="1" ref="D33">IF($B33="","",IFERROR(SimpleLookup($B33,'Risk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3" s="16" t="str" cm="1">
        <f t="array" ca="1" aca="1" ref="E33">IF($B33="","",IFERROR(SimpleLookup($B33,'Risk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3" s="34" t="str" cm="1">
        <f t="array" ca="1" aca="1" ref="F33">IF($B33="","",IFERROR(SimpleLookup($B33,'Risk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3" s="16" t="str" cm="1">
        <f t="array" ca="1" aca="1" ref="G33">IF($B33="","",IFERROR(SimpleLookup($B33,'Risk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3" s="16" t="str" cm="1">
        <f t="array" ca="1" aca="1" ref="H33">IF($B33="","",IFERROR(SimpleLookup($B33,'Risk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3" s="33" t="str" cm="1">
        <f t="array" ca="1" aca="1" ref="I33">IF($B33="","",IFERROR(SimpleLookup($B33,'Risk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3" s="33" t="e" cm="1">
        <f t="array" ca="1" aca="1" ref="J33">_xlfn.LET(_xlpm._assignedMitigations,IF($B33="","",IFERROR(RemoveDelimiter(GetValuesWithFallback($Z33,Countermeasures!$A:$B,Assumptions!$A:$B," ",","&amp;CHAR(10),TRUE),","&amp;CHAR(10)),"Error: Unknown risk ID "&amp;$B33)),_xlpm._inlineMitigations,$AE33,_xlpm._assignedMitigations&amp;IF(OR(_xlpm._assignedMitigations="",_xlpm._inlineMitigations=""),"",","&amp;CHAR(10))&amp;_xlpm._inlineMitigations)</f>
        <v>#N/A</v>
      </c>
      <c r="K33" s="37" t="str" cm="1">
        <f t="array" ca="1" aca="1" ref="K33">IF($AC33=-1,"",RemoveDelimiter(GetValues(INDEX(Risks!BN:BN,$AC33),'DS Overview'!$A:$B," ",","&amp;CHAR(10),TRUE),","&amp;CHAR(10)))</f>
        <v>DS3 Disclosure of acontis techonlogies GmbH IP (moderately innovative),
DS12 IP (highly innovative) disclosed by manipulated product</v>
      </c>
      <c r="L33" s="33" t="str" cm="1">
        <f t="array" ca="1" aca="1" ref="L33">IF($AC33=-1,"",INDEX(Risks!BP:BP,$AC33))</f>
        <v>High</v>
      </c>
      <c r="M33" s="34" t="str" cm="1">
        <f t="array" ca="1" aca="1" ref="M33">_xlfn.LET(_xlpm._calculatedRAP,IFERROR(SimpleLookup($B33,Risks!$A:$BG),""),_xlpm._inlineRAP,IFERROR(SimpleLookup($B33,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33,_xlpm._mitigationSheetName&amp;" sheet "&amp;_xlfn.UNICHAR(8702)&amp;" Comment column:"&amp;CHAR(10)&amp;$AE33)))</f>
        <v>Elapsed Time [0]: AS2, AS16, AS32
Expertise [3]: AS2, AS16
Knowledge of TOE [3]: AS16
Window of Opportunity [1]: AS2
Equipment [0]: AS2, AS16, AS32</v>
      </c>
      <c r="N33" s="33" t="str" cm="1">
        <f t="array" ca="1" aca="1" ref="N33">IF($AC33=-1,"",INDEX(Risks!CN:CN,$AC33))</f>
        <v>Basic</v>
      </c>
      <c r="O33" s="33" t="str" cm="1">
        <f t="array" ca="1" aca="1" ref="O33">IF($AC33=-1,"",INDEX(Risks!CO:CO,$AC33))</f>
        <v>Very High</v>
      </c>
      <c r="P33" s="33" t="str">
        <f ca="1">IF($C33="","",IF($AF33&lt;=Definitions!$AF$6,Definitions!$M$4,""))</f>
        <v/>
      </c>
      <c r="Q33" s="23"/>
      <c r="R33" s="33" t="str">
        <f t="shared" ca="1" si="0"/>
        <v/>
      </c>
      <c r="S33" s="23"/>
      <c r="T33" s="13"/>
      <c r="U33" s="10" cm="1">
        <f t="array" ca="1" aca="1" ref="U33">GenerateShadowID(ROW(),$U$5,$U:$U,0,B33&lt;&gt;"")</f>
        <v>28</v>
      </c>
      <c r="V33" s="10" cm="1">
        <f t="array" ref="V33">CreateTaskID($V$5,$V:$V,Tasks!$B$17,$T33)</f>
        <v>0</v>
      </c>
      <c r="W33" s="14" t="e" cm="1">
        <f t="array" ca="1" aca="1" ref="W33">IF($B33="","",SimpleLookup($B33,'Risk Treatment'!$C:$AW))</f>
        <v>#N/A</v>
      </c>
      <c r="X33" s="14" t="e" cm="1">
        <f t="array" ca="1" aca="1" ref="X33">IF($B33="","",_xlfn.LET(_xlpm._attackSteps,SimpleLookup($B33,'Risk Treatment'!$C:$Y),GetValues(_xlpm._attackSteps,Mitigation!$A:$AG,"",CHAR(1),FALSE)))</f>
        <v>#N/A</v>
      </c>
      <c r="Y33" s="14" t="e" cm="1">
        <f t="array" ca="1" aca="1" ref="Y33">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33,CHAR(1))</f>
        <v>#N/A</v>
      </c>
      <c r="Z33" s="14" t="e" cm="1">
        <f t="array" ca="1" aca="1" ref="Z33">FilterElementsFromList($W33,Helper!$J$4,TRUE,",")</f>
        <v>#N/A</v>
      </c>
      <c r="AA33" s="14" t="e" cm="1">
        <f t="array" ca="1" aca="1" ref="AA33">FilterElementsFromList($Y33,Helper!$J$4,TRUE,",")</f>
        <v>#N/A</v>
      </c>
      <c r="AB33" s="20" t="e" cm="1">
        <f t="array" ca="1" aca="1" ref="AB33">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33,CreateSearchString($AA33),CHAR(1),","&amp;CHAR(10))</f>
        <v>#N/A</v>
      </c>
      <c r="AC33" s="20">
        <f ca="1">IFERROR(MATCH($B33,Risks!$A:$A,0),-1)</f>
        <v>30</v>
      </c>
      <c r="AD33" s="20" t="str" cm="1">
        <f t="array" ca="1" aca="1" ref="AD33">IF($B33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33,Risks!$A:CA,Definitions!$Y:$Y,Definitions!$AB:$AB,1)&amp;CHAR(10)&amp;_xlpm._factorFunction($B33,Risks!$A:CB,Definitions!$Y:$Y,Definitions!$AB:$AB,2)&amp;CHAR(10)&amp;_xlpm._factorFunction($B33,Risks!$A:CC,Definitions!$Y:$Y,Definitions!$AB:$AB,3)&amp;CHAR(10)&amp;_xlpm._factorFunction($B33,Risks!$A:CD,Definitions!$Y:$Y,Definitions!$AB:$AB,4)&amp;CHAR(10)&amp;_xlpm._factorFunction($B33,Risks!$A:CE,Definitions!$Y:$Y,Definitions!$AB:$AB,5)))</f>
        <v>Elapsed Time [0]: AS2, AS16, AS32
Expertise [3]: AS2, AS16
Knowledge of TOE [3]: AS16
Window of Opportunity [1]: AS2
Equipment [0]: AS2, AS16, AS32</v>
      </c>
      <c r="AE33" s="20" t="e" cm="1">
        <f t="array" ca="1" aca="1" ref="AE33">RemoveDelimiter(SUBSTITUTE(SUBSTITUTE($AB33,"{",""),"}",""),","&amp;CHAR(10))</f>
        <v>#N/A</v>
      </c>
      <c r="AF33" s="20" cm="1">
        <f t="array" ca="1" aca="1" ref="AF33">IF($O33="",0,SimpleLookup($O33,Definitions!$AE:$AF))</f>
        <v>4</v>
      </c>
    </row>
    <row r="34" spans="2:32" ht="15">
      <c r="B34" s="16" t="str">
        <f ca="1">OFFSET(Risks!$A$2,ROW()-ROW($B$5),0)</f>
        <v>R21-23-32</v>
      </c>
      <c r="C34" s="33" t="str" cm="1">
        <f t="array" ca="1" aca="1" ref="C34">IF($B34="","",IFERROR(SimpleLookup($B34,'Risk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4" s="37" t="str" cm="1">
        <f t="array" ca="1" aca="1" ref="D34">IF($B34="","",IFERROR(SimpleLookup($B34,'Risk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4" s="16" t="str" cm="1">
        <f t="array" ca="1" aca="1" ref="E34">IF($B34="","",IFERROR(SimpleLookup($B34,'Risk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4" s="34" t="str" cm="1">
        <f t="array" ca="1" aca="1" ref="F34">IF($B34="","",IFERROR(SimpleLookup($B34,'Risk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4" s="16" t="str" cm="1">
        <f t="array" ca="1" aca="1" ref="G34">IF($B34="","",IFERROR(SimpleLookup($B34,'Risk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4" s="16" t="str" cm="1">
        <f t="array" ca="1" aca="1" ref="H34">IF($B34="","",IFERROR(SimpleLookup($B34,'Risk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4" s="33" t="str" cm="1">
        <f t="array" ca="1" aca="1" ref="I34">IF($B34="","",IFERROR(SimpleLookup($B34,'Risk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4" s="33" t="e" cm="1">
        <f t="array" ca="1" aca="1" ref="J34">_xlfn.LET(_xlpm._assignedMitigations,IF($B34="","",IFERROR(RemoveDelimiter(GetValuesWithFallback($Z34,Countermeasures!$A:$B,Assumptions!$A:$B," ",","&amp;CHAR(10),TRUE),","&amp;CHAR(10)),"Error: Unknown risk ID "&amp;$B34)),_xlpm._inlineMitigations,$AE34,_xlpm._assignedMitigations&amp;IF(OR(_xlpm._assignedMitigations="",_xlpm._inlineMitigations=""),"",","&amp;CHAR(10))&amp;_xlpm._inlineMitigations)</f>
        <v>#N/A</v>
      </c>
      <c r="K34" s="37" t="str" cm="1">
        <f t="array" ca="1" aca="1" ref="K34">IF($AC34=-1,"",RemoveDelimiter(GetValues(INDEX(Risks!BN:BN,$AC34),'DS Overview'!$A:$B," ",","&amp;CHAR(10),TRUE),","&amp;CHAR(10)))</f>
        <v>DS3 Disclosure of acontis techonlogies GmbH IP (moderately innovative),
DS12 IP (highly innovative) disclosed by manipulated product</v>
      </c>
      <c r="L34" s="33" t="str" cm="1">
        <f t="array" ca="1" aca="1" ref="L34">IF($AC34=-1,"",INDEX(Risks!BP:BP,$AC34))</f>
        <v>High</v>
      </c>
      <c r="M34" s="34" t="str" cm="1">
        <f t="array" ca="1" aca="1" ref="M34">_xlfn.LET(_xlpm._calculatedRAP,IFERROR(SimpleLookup($B34,Risks!$A:$BG),""),_xlpm._inlineRAP,IFERROR(SimpleLookup($B34,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34,_xlpm._mitigationSheetName&amp;" sheet "&amp;_xlfn.UNICHAR(8702)&amp;" Comment column:"&amp;CHAR(10)&amp;$AE34)))</f>
        <v>Elapsed Time [1]: AS23
Expertise [6]: AS23
Knowledge of TOE [3]: AS23
Window of Opportunity [1]: AS21
Equipment [0]: AS21, AS23, AS32</v>
      </c>
      <c r="N34" s="33" t="str" cm="1">
        <f t="array" ca="1" aca="1" ref="N34">IF($AC34=-1,"",INDEX(Risks!CN:CN,$AC34))</f>
        <v>Enhanced-Basic</v>
      </c>
      <c r="O34" s="33" t="str" cm="1">
        <f t="array" ca="1" aca="1" ref="O34">IF($AC34=-1,"",INDEX(Risks!CO:CO,$AC34))</f>
        <v>Very High</v>
      </c>
      <c r="P34" s="33" t="str">
        <f ca="1">IF($C34="","",IF($AF34&lt;=Definitions!$AF$6,Definitions!$M$4,""))</f>
        <v/>
      </c>
      <c r="Q34" s="23"/>
      <c r="R34" s="33" t="str">
        <f t="shared" ca="1" si="0"/>
        <v/>
      </c>
      <c r="S34" s="23"/>
      <c r="T34" s="13"/>
      <c r="U34" s="10" cm="1">
        <f t="array" ca="1" aca="1" ref="U34">GenerateShadowID(ROW(),$U$5,$U:$U,0,B34&lt;&gt;"")</f>
        <v>29</v>
      </c>
      <c r="V34" s="10" cm="1">
        <f t="array" ref="V34">CreateTaskID($V$5,$V:$V,Tasks!$B$17,$T34)</f>
        <v>0</v>
      </c>
      <c r="W34" s="14" t="e" cm="1">
        <f t="array" ca="1" aca="1" ref="W34">IF($B34="","",SimpleLookup($B34,'Risk Treatment'!$C:$AW))</f>
        <v>#N/A</v>
      </c>
      <c r="X34" s="14" t="e" cm="1">
        <f t="array" ca="1" aca="1" ref="X34">IF($B34="","",_xlfn.LET(_xlpm._attackSteps,SimpleLookup($B34,'Risk Treatment'!$C:$Y),GetValues(_xlpm._attackSteps,Mitigation!$A:$AG,"",CHAR(1),FALSE)))</f>
        <v>#N/A</v>
      </c>
      <c r="Y34" s="14" t="e" cm="1">
        <f t="array" ca="1" aca="1" ref="Y34">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34,CHAR(1))</f>
        <v>#N/A</v>
      </c>
      <c r="Z34" s="14" t="e" cm="1">
        <f t="array" ca="1" aca="1" ref="Z34">FilterElementsFromList($W34,Helper!$J$4,TRUE,",")</f>
        <v>#N/A</v>
      </c>
      <c r="AA34" s="14" t="e" cm="1">
        <f t="array" ca="1" aca="1" ref="AA34">FilterElementsFromList($Y34,Helper!$J$4,TRUE,",")</f>
        <v>#N/A</v>
      </c>
      <c r="AB34" s="20" t="e" cm="1">
        <f t="array" ca="1" aca="1" ref="AB34">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34,CreateSearchString($AA34),CHAR(1),","&amp;CHAR(10))</f>
        <v>#N/A</v>
      </c>
      <c r="AC34" s="20">
        <f ca="1">IFERROR(MATCH($B34,Risks!$A:$A,0),-1)</f>
        <v>31</v>
      </c>
      <c r="AD34" s="20" t="str" cm="1">
        <f t="array" ca="1" aca="1" ref="AD34">IF($B34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34,Risks!$A:CA,Definitions!$Y:$Y,Definitions!$AB:$AB,1)&amp;CHAR(10)&amp;_xlpm._factorFunction($B34,Risks!$A:CB,Definitions!$Y:$Y,Definitions!$AB:$AB,2)&amp;CHAR(10)&amp;_xlpm._factorFunction($B34,Risks!$A:CC,Definitions!$Y:$Y,Definitions!$AB:$AB,3)&amp;CHAR(10)&amp;_xlpm._factorFunction($B34,Risks!$A:CD,Definitions!$Y:$Y,Definitions!$AB:$AB,4)&amp;CHAR(10)&amp;_xlpm._factorFunction($B34,Risks!$A:CE,Definitions!$Y:$Y,Definitions!$AB:$AB,5)))</f>
        <v>Elapsed Time [1]: AS23
Expertise [6]: AS23
Knowledge of TOE [3]: AS23
Window of Opportunity [1]: AS21
Equipment [0]: AS21, AS23, AS32</v>
      </c>
      <c r="AE34" s="20" t="e" cm="1">
        <f t="array" ca="1" aca="1" ref="AE34">RemoveDelimiter(SUBSTITUTE(SUBSTITUTE($AB34,"{",""),"}",""),","&amp;CHAR(10))</f>
        <v>#N/A</v>
      </c>
      <c r="AF34" s="20" cm="1">
        <f t="array" ca="1" aca="1" ref="AF34">IF($O34="",0,SimpleLookup($O34,Definitions!$AE:$AF))</f>
        <v>4</v>
      </c>
    </row>
    <row r="35" spans="2:32" ht="15">
      <c r="B35" s="16" t="str">
        <f ca="1">OFFSET(Risks!$A$2,ROW()-ROW($B$5),0)</f>
        <v>R22-23-32</v>
      </c>
      <c r="C35" s="33" t="str" cm="1">
        <f t="array" ca="1" aca="1" ref="C35">IF($B35="","",IFERROR(SimpleLookup($B35,'Risk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5" s="37" t="str" cm="1">
        <f t="array" ca="1" aca="1" ref="D35">IF($B35="","",IFERROR(SimpleLookup($B35,'Risk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5" s="16" t="str" cm="1">
        <f t="array" ca="1" aca="1" ref="E35">IF($B35="","",IFERROR(SimpleLookup($B35,'Risk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5" s="34" t="str" cm="1">
        <f t="array" ca="1" aca="1" ref="F35">IF($B35="","",IFERROR(SimpleLookup($B35,'Risk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5" s="16" t="str" cm="1">
        <f t="array" ca="1" aca="1" ref="G35">IF($B35="","",IFERROR(SimpleLookup($B35,'Risk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5" s="16" t="str" cm="1">
        <f t="array" ca="1" aca="1" ref="H35">IF($B35="","",IFERROR(SimpleLookup($B35,'Risk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5" s="33" t="str" cm="1">
        <f t="array" ca="1" aca="1" ref="I35">IF($B35="","",IFERROR(SimpleLookup($B35,'Risk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5" s="33" t="e" cm="1">
        <f t="array" ca="1" aca="1" ref="J35">_xlfn.LET(_xlpm._assignedMitigations,IF($B35="","",IFERROR(RemoveDelimiter(GetValuesWithFallback($Z35,Countermeasures!$A:$B,Assumptions!$A:$B," ",","&amp;CHAR(10),TRUE),","&amp;CHAR(10)),"Error: Unknown risk ID "&amp;$B35)),_xlpm._inlineMitigations,$AE35,_xlpm._assignedMitigations&amp;IF(OR(_xlpm._assignedMitigations="",_xlpm._inlineMitigations=""),"",","&amp;CHAR(10))&amp;_xlpm._inlineMitigations)</f>
        <v>#N/A</v>
      </c>
      <c r="K35" s="37" t="str" cm="1">
        <f t="array" ca="1" aca="1" ref="K35">IF($AC35=-1,"",RemoveDelimiter(GetValues(INDEX(Risks!BN:BN,$AC35),'DS Overview'!$A:$B," ",","&amp;CHAR(10),TRUE),","&amp;CHAR(10)))</f>
        <v>DS3 Disclosure of acontis techonlogies GmbH IP (moderately innovative),
DS12 IP (highly innovative) disclosed by manipulated product</v>
      </c>
      <c r="L35" s="33" t="str" cm="1">
        <f t="array" ca="1" aca="1" ref="L35">IF($AC35=-1,"",INDEX(Risks!BP:BP,$AC35))</f>
        <v>High</v>
      </c>
      <c r="M35" s="34" t="str" cm="1">
        <f t="array" ca="1" aca="1" ref="M35">_xlfn.LET(_xlpm._calculatedRAP,IFERROR(SimpleLookup($B35,Risks!$A:$BG),""),_xlpm._inlineRAP,IFERROR(SimpleLookup($B35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35,_xlpm._mitigationSheetName&amp;" sheet "&amp;_xlfn.UNICHAR(8702)&amp;" Comment column:"&amp;CHAR(10)&amp;$AE35)))</f>
        <v>Elapsed Time [1]: AS23
Expertise [6]: AS23
Knowledge of TOE [3]: AS23
Window of Opportunity [0]: AS22, AS23, AS32
Equipment [0]: AS22, AS23, AS32</v>
      </c>
      <c r="N35" s="33" t="str" cm="1">
        <f t="array" ca="1" aca="1" ref="N35">IF($AC35=-1,"",INDEX(Risks!CN:CN,$AC35))</f>
        <v>Enhanced-Basic</v>
      </c>
      <c r="O35" s="33" t="str" cm="1">
        <f t="array" ca="1" aca="1" ref="O35">IF($AC35=-1,"",INDEX(Risks!CO:CO,$AC35))</f>
        <v>Very High</v>
      </c>
      <c r="P35" s="33" t="str">
        <f ca="1">IF($C35="","",IF($AF35&lt;=Definitions!$AF$6,Definitions!$M$4,""))</f>
        <v/>
      </c>
      <c r="Q35" s="23"/>
      <c r="R35" s="33" t="str">
        <f t="shared" ca="1" si="0"/>
        <v/>
      </c>
      <c r="S35" s="23"/>
      <c r="T35" s="13"/>
      <c r="U35" s="10" cm="1">
        <f t="array" ca="1" aca="1" ref="U35">GenerateShadowID(ROW(),$U$5,$U:$U,0,B35&lt;&gt;"")</f>
        <v>30</v>
      </c>
      <c r="V35" s="10" cm="1">
        <f t="array" ref="V35">CreateTaskID($V$5,$V:$V,Tasks!$B$17,$T35)</f>
        <v>0</v>
      </c>
      <c r="W35" s="14" t="e" cm="1">
        <f t="array" ca="1" aca="1" ref="W35">IF($B35="","",SimpleLookup($B35,'Risk Treatment'!$C:$AW))</f>
        <v>#N/A</v>
      </c>
      <c r="X35" s="14" t="e" cm="1">
        <f t="array" ca="1" aca="1" ref="X35">IF($B35="","",_xlfn.LET(_xlpm._attackSteps,SimpleLookup($B35,'Risk Treatment'!$C:$Y),GetValues(_xlpm._attackSteps,Mitigation!$A:$AG,"",CHAR(1),FALSE)))</f>
        <v>#N/A</v>
      </c>
      <c r="Y35" s="14" t="e" cm="1">
        <f t="array" ca="1" aca="1" ref="Y35">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35,CHAR(1))</f>
        <v>#N/A</v>
      </c>
      <c r="Z35" s="14" t="e" cm="1">
        <f t="array" ca="1" aca="1" ref="Z35">FilterElementsFromList($W35,Helper!$J$4,TRUE,",")</f>
        <v>#N/A</v>
      </c>
      <c r="AA35" s="14" t="e" cm="1">
        <f t="array" ca="1" aca="1" ref="AA35">FilterElementsFromList($Y35,Helper!$J$4,TRUE,",")</f>
        <v>#N/A</v>
      </c>
      <c r="AB35" s="20" t="e" cm="1">
        <f t="array" ca="1" aca="1" ref="AB35">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35,CreateSearchString($AA35),CHAR(1),","&amp;CHAR(10))</f>
        <v>#N/A</v>
      </c>
      <c r="AC35" s="20">
        <f ca="1">IFERROR(MATCH($B35,Risks!$A:$A,0),-1)</f>
        <v>32</v>
      </c>
      <c r="AD35" s="20" t="str" cm="1">
        <f t="array" ca="1" aca="1" ref="AD35">IF($B35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35,Risks!$A:CA,Definitions!$Y:$Y,Definitions!$AB:$AB,1)&amp;CHAR(10)&amp;_xlpm._factorFunction($B35,Risks!$A:CB,Definitions!$Y:$Y,Definitions!$AB:$AB,2)&amp;CHAR(10)&amp;_xlpm._factorFunction($B35,Risks!$A:CC,Definitions!$Y:$Y,Definitions!$AB:$AB,3)&amp;CHAR(10)&amp;_xlpm._factorFunction($B35,Risks!$A:CD,Definitions!$Y:$Y,Definitions!$AB:$AB,4)&amp;CHAR(10)&amp;_xlpm._factorFunction($B35,Risks!$A:CE,Definitions!$Y:$Y,Definitions!$AB:$AB,5)))</f>
        <v>Elapsed Time [1]: AS23
Expertise [6]: AS23
Knowledge of TOE [3]: AS23
Window of Opportunity [0]: AS22, AS23, AS32
Equipment [0]: AS22, AS23, AS32</v>
      </c>
      <c r="AE35" s="20" t="e" cm="1">
        <f t="array" ca="1" aca="1" ref="AE35">RemoveDelimiter(SUBSTITUTE(SUBSTITUTE($AB35,"{",""),"}",""),","&amp;CHAR(10))</f>
        <v>#N/A</v>
      </c>
      <c r="AF35" s="20" cm="1">
        <f t="array" ca="1" aca="1" ref="AF35">IF($O35="",0,SimpleLookup($O35,Definitions!$AE:$AF))</f>
        <v>4</v>
      </c>
    </row>
    <row r="36" spans="2:32" ht="15">
      <c r="B36" s="16" t="str">
        <f ca="1">OFFSET(Risks!$A$2,ROW()-ROW($B$5),0)</f>
        <v>R21-24-32</v>
      </c>
      <c r="C36" s="33" t="str" cm="1">
        <f t="array" ca="1" aca="1" ref="C36">IF($B36="","",IFERROR(SimpleLookup($B36,'Risk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6" s="37" t="str" cm="1">
        <f t="array" ca="1" aca="1" ref="D36">IF($B36="","",IFERROR(SimpleLookup($B36,'Risk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6" s="16" t="str" cm="1">
        <f t="array" ca="1" aca="1" ref="E36">IF($B36="","",IFERROR(SimpleLookup($B36,'Risk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6" s="34" t="str" cm="1">
        <f t="array" ca="1" aca="1" ref="F36">IF($B36="","",IFERROR(SimpleLookup($B36,'Risk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6" s="16" t="str" cm="1">
        <f t="array" ca="1" aca="1" ref="G36">IF($B36="","",IFERROR(SimpleLookup($B36,'Risk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6" s="16" t="str" cm="1">
        <f t="array" ca="1" aca="1" ref="H36">IF($B36="","",IFERROR(SimpleLookup($B36,'Risk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6" s="33" t="str" cm="1">
        <f t="array" ca="1" aca="1" ref="I36">IF($B36="","",IFERROR(SimpleLookup($B36,'Risk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6" s="33" t="e" cm="1">
        <f t="array" ca="1" aca="1" ref="J36">_xlfn.LET(_xlpm._assignedMitigations,IF($B36="","",IFERROR(RemoveDelimiter(GetValuesWithFallback($Z36,Countermeasures!$A:$B,Assumptions!$A:$B," ",","&amp;CHAR(10),TRUE),","&amp;CHAR(10)),"Error: Unknown risk ID "&amp;$B36)),_xlpm._inlineMitigations,$AE36,_xlpm._assignedMitigations&amp;IF(OR(_xlpm._assignedMitigations="",_xlpm._inlineMitigations=""),"",","&amp;CHAR(10))&amp;_xlpm._inlineMitigations)</f>
        <v>#N/A</v>
      </c>
      <c r="K36" s="37" t="str" cm="1">
        <f t="array" ca="1" aca="1" ref="K36">IF($AC36=-1,"",RemoveDelimiter(GetValues(INDEX(Risks!BN:BN,$AC36),'DS Overview'!$A:$B," ",","&amp;CHAR(10),TRUE),","&amp;CHAR(10)))</f>
        <v>DS3 Disclosure of acontis techonlogies GmbH IP (moderately innovative),
DS12 IP (highly innovative) disclosed by manipulated product</v>
      </c>
      <c r="L36" s="33" t="str" cm="1">
        <f t="array" ca="1" aca="1" ref="L36">IF($AC36=-1,"",INDEX(Risks!BP:BP,$AC36))</f>
        <v>High</v>
      </c>
      <c r="M36" s="34" t="str" cm="1">
        <f t="array" ca="1" aca="1" ref="M36">_xlfn.LET(_xlpm._calculatedRAP,IFERROR(SimpleLookup($B36,Risks!$A:$BG),""),_xlpm._inlineRAP,IFERROR(SimpleLookup($B36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36,_xlpm._mitigationSheetName&amp;" sheet "&amp;_xlfn.UNICHAR(8702)&amp;" Comment column:"&amp;CHAR(10)&amp;$AE36)))</f>
        <v>Elapsed Time [0]: AS21, AS24, AS32
Expertise [6]: AS24
Knowledge of TOE [0]: AS21, AS24, AS32
Window of Opportunity [1]: AS21
Equipment [0]: AS21, AS24, AS32</v>
      </c>
      <c r="N36" s="33" t="str" cm="1">
        <f t="array" ca="1" aca="1" ref="N36">IF($AC36=-1,"",INDEX(Risks!CN:CN,$AC36))</f>
        <v>Basic</v>
      </c>
      <c r="O36" s="33" t="str" cm="1">
        <f t="array" ca="1" aca="1" ref="O36">IF($AC36=-1,"",INDEX(Risks!CO:CO,$AC36))</f>
        <v>Very High</v>
      </c>
      <c r="P36" s="33" t="str">
        <f ca="1">IF($C36="","",IF($AF36&lt;=Definitions!$AF$6,Definitions!$M$4,""))</f>
        <v/>
      </c>
      <c r="Q36" s="23"/>
      <c r="R36" s="33" t="str">
        <f t="shared" ca="1" si="0"/>
        <v/>
      </c>
      <c r="S36" s="23"/>
      <c r="T36" s="13"/>
      <c r="U36" s="10" cm="1">
        <f t="array" ca="1" aca="1" ref="U36">GenerateShadowID(ROW(),$U$5,$U:$U,0,B36&lt;&gt;"")</f>
        <v>31</v>
      </c>
      <c r="V36" s="10" cm="1">
        <f t="array" ref="V36">CreateTaskID($V$5,$V:$V,Tasks!$B$17,$T36)</f>
        <v>0</v>
      </c>
      <c r="W36" s="14" t="e" cm="1">
        <f t="array" ca="1" aca="1" ref="W36">IF($B36="","",SimpleLookup($B36,'Risk Treatment'!$C:$AW))</f>
        <v>#N/A</v>
      </c>
      <c r="X36" s="14" t="e" cm="1">
        <f t="array" ca="1" aca="1" ref="X36">IF($B36="","",_xlfn.LET(_xlpm._attackSteps,SimpleLookup($B36,'Risk Treatment'!$C:$Y),GetValues(_xlpm._attackSteps,Mitigation!$A:$AG,"",CHAR(1),FALSE)))</f>
        <v>#N/A</v>
      </c>
      <c r="Y36" s="14" t="e" cm="1">
        <f t="array" ca="1" aca="1" ref="Y3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36,CHAR(1))</f>
        <v>#N/A</v>
      </c>
      <c r="Z36" s="14" t="e" cm="1">
        <f t="array" ca="1" aca="1" ref="Z36">FilterElementsFromList($W36,Helper!$J$4,TRUE,",")</f>
        <v>#N/A</v>
      </c>
      <c r="AA36" s="14" t="e" cm="1">
        <f t="array" ca="1" aca="1" ref="AA36">FilterElementsFromList($Y36,Helper!$J$4,TRUE,",")</f>
        <v>#N/A</v>
      </c>
      <c r="AB36" s="20" t="e" cm="1">
        <f t="array" ca="1" aca="1" ref="AB3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36,CreateSearchString($AA36),CHAR(1),","&amp;CHAR(10))</f>
        <v>#N/A</v>
      </c>
      <c r="AC36" s="20">
        <f ca="1">IFERROR(MATCH($B36,Risks!$A:$A,0),-1)</f>
        <v>33</v>
      </c>
      <c r="AD36" s="20" t="str" cm="1">
        <f t="array" ca="1" aca="1" ref="AD36">IF($B36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36,Risks!$A:CA,Definitions!$Y:$Y,Definitions!$AB:$AB,1)&amp;CHAR(10)&amp;_xlpm._factorFunction($B36,Risks!$A:CB,Definitions!$Y:$Y,Definitions!$AB:$AB,2)&amp;CHAR(10)&amp;_xlpm._factorFunction($B36,Risks!$A:CC,Definitions!$Y:$Y,Definitions!$AB:$AB,3)&amp;CHAR(10)&amp;_xlpm._factorFunction($B36,Risks!$A:CD,Definitions!$Y:$Y,Definitions!$AB:$AB,4)&amp;CHAR(10)&amp;_xlpm._factorFunction($B36,Risks!$A:CE,Definitions!$Y:$Y,Definitions!$AB:$AB,5)))</f>
        <v>Elapsed Time [0]: AS21, AS24, AS32
Expertise [6]: AS24
Knowledge of TOE [0]: AS21, AS24, AS32
Window of Opportunity [1]: AS21
Equipment [0]: AS21, AS24, AS32</v>
      </c>
      <c r="AE36" s="20" t="e" cm="1">
        <f t="array" ca="1" aca="1" ref="AE36">RemoveDelimiter(SUBSTITUTE(SUBSTITUTE($AB36,"{",""),"}",""),","&amp;CHAR(10))</f>
        <v>#N/A</v>
      </c>
      <c r="AF36" s="20" cm="1">
        <f t="array" ca="1" aca="1" ref="AF36">IF($O36="",0,SimpleLookup($O36,Definitions!$AE:$AF))</f>
        <v>4</v>
      </c>
    </row>
    <row r="37" spans="2:32" ht="15">
      <c r="B37" s="16" t="str">
        <f ca="1">OFFSET(Risks!$A$2,ROW()-ROW($B$5),0)</f>
        <v>R22-24-32</v>
      </c>
      <c r="C37" s="33" t="str" cm="1">
        <f t="array" ca="1" aca="1" ref="C37">IF($B37="","",IFERROR(SimpleLookup($B37,'Risk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7" s="37" t="str" cm="1">
        <f t="array" ca="1" aca="1" ref="D37">IF($B37="","",IFERROR(SimpleLookup($B37,'Risk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7" s="16" t="str" cm="1">
        <f t="array" ca="1" aca="1" ref="E37">IF($B37="","",IFERROR(SimpleLookup($B37,'Risk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7" s="34" t="str" cm="1">
        <f t="array" ca="1" aca="1" ref="F37">IF($B37="","",IFERROR(SimpleLookup($B37,'Risk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7" s="16" t="str" cm="1">
        <f t="array" ca="1" aca="1" ref="G37">IF($B37="","",IFERROR(SimpleLookup($B37,'Risk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7" s="16" t="str" cm="1">
        <f t="array" ca="1" aca="1" ref="H37">IF($B37="","",IFERROR(SimpleLookup($B37,'Risk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7" s="33" t="str" cm="1">
        <f t="array" ca="1" aca="1" ref="I37">IF($B37="","",IFERROR(SimpleLookup($B37,'Risk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7" s="33" t="e" cm="1">
        <f t="array" ca="1" aca="1" ref="J37">_xlfn.LET(_xlpm._assignedMitigations,IF($B37="","",IFERROR(RemoveDelimiter(GetValuesWithFallback($Z37,Countermeasures!$A:$B,Assumptions!$A:$B," ",","&amp;CHAR(10),TRUE),","&amp;CHAR(10)),"Error: Unknown risk ID "&amp;$B37)),_xlpm._inlineMitigations,$AE37,_xlpm._assignedMitigations&amp;IF(OR(_xlpm._assignedMitigations="",_xlpm._inlineMitigations=""),"",","&amp;CHAR(10))&amp;_xlpm._inlineMitigations)</f>
        <v>#N/A</v>
      </c>
      <c r="K37" s="37" t="str" cm="1">
        <f t="array" ca="1" aca="1" ref="K37">IF($AC37=-1,"",RemoveDelimiter(GetValues(INDEX(Risks!BN:BN,$AC37),'DS Overview'!$A:$B," ",","&amp;CHAR(10),TRUE),","&amp;CHAR(10)))</f>
        <v>DS3 Disclosure of acontis techonlogies GmbH IP (moderately innovative),
DS12 IP (highly innovative) disclosed by manipulated product</v>
      </c>
      <c r="L37" s="33" t="str" cm="1">
        <f t="array" ca="1" aca="1" ref="L37">IF($AC37=-1,"",INDEX(Risks!BP:BP,$AC37))</f>
        <v>High</v>
      </c>
      <c r="M37" s="34" t="str" cm="1">
        <f t="array" ca="1" aca="1" ref="M37">_xlfn.LET(_xlpm._calculatedRAP,IFERROR(SimpleLookup($B37,Risks!$A:$BG),""),_xlpm._inlineRAP,IFERROR(SimpleLookup($B37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37,_xlpm._mitigationSheetName&amp;" sheet "&amp;_xlfn.UNICHAR(8702)&amp;" Comment column:"&amp;CHAR(10)&amp;$AE37)))</f>
        <v>Elapsed Time [0]: AS22, AS24, AS32
Expertise [6]: AS24
Knowledge of TOE [0]: AS22, AS24, AS32
Window of Opportunity [0]: AS22, AS24, AS32
Equipment [0]: AS22, AS24, AS32</v>
      </c>
      <c r="N37" s="33" t="str" cm="1">
        <f t="array" ca="1" aca="1" ref="N37">IF($AC37=-1,"",INDEX(Risks!CN:CN,$AC37))</f>
        <v>Basic</v>
      </c>
      <c r="O37" s="33" t="str" cm="1">
        <f t="array" ca="1" aca="1" ref="O37">IF($AC37=-1,"",INDEX(Risks!CO:CO,$AC37))</f>
        <v>Very High</v>
      </c>
      <c r="P37" s="33" t="str">
        <f ca="1">IF($C37="","",IF($AF37&lt;=Definitions!$AF$6,Definitions!$M$4,""))</f>
        <v/>
      </c>
      <c r="Q37" s="23"/>
      <c r="R37" s="33" t="str">
        <f t="shared" ca="1" si="0"/>
        <v/>
      </c>
      <c r="S37" s="23"/>
      <c r="T37" s="13"/>
      <c r="U37" s="10" cm="1">
        <f t="array" ca="1" aca="1" ref="U37">GenerateShadowID(ROW(),$U$5,$U:$U,0,B37&lt;&gt;"")</f>
        <v>32</v>
      </c>
      <c r="V37" s="10" cm="1">
        <f t="array" ref="V37">CreateTaskID($V$5,$V:$V,Tasks!$B$17,$T37)</f>
        <v>0</v>
      </c>
      <c r="W37" s="14" t="e" cm="1">
        <f t="array" ca="1" aca="1" ref="W37">IF($B37="","",SimpleLookup($B37,'Risk Treatment'!$C:$AW))</f>
        <v>#N/A</v>
      </c>
      <c r="X37" s="14" t="e" cm="1">
        <f t="array" ca="1" aca="1" ref="X37">IF($B37="","",_xlfn.LET(_xlpm._attackSteps,SimpleLookup($B37,'Risk Treatment'!$C:$Y),GetValues(_xlpm._attackSteps,Mitigation!$A:$AG,"",CHAR(1),FALSE)))</f>
        <v>#N/A</v>
      </c>
      <c r="Y37" s="14" t="e" cm="1">
        <f t="array" ca="1" aca="1" ref="Y3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37,CHAR(1))</f>
        <v>#N/A</v>
      </c>
      <c r="Z37" s="14" t="e" cm="1">
        <f t="array" ca="1" aca="1" ref="Z37">FilterElementsFromList($W37,Helper!$J$4,TRUE,",")</f>
        <v>#N/A</v>
      </c>
      <c r="AA37" s="14" t="e" cm="1">
        <f t="array" ca="1" aca="1" ref="AA37">FilterElementsFromList($Y37,Helper!$J$4,TRUE,",")</f>
        <v>#N/A</v>
      </c>
      <c r="AB37" s="20" t="e" cm="1">
        <f t="array" ca="1" aca="1" ref="AB3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37,CreateSearchString($AA37),CHAR(1),","&amp;CHAR(10))</f>
        <v>#N/A</v>
      </c>
      <c r="AC37" s="20">
        <f ca="1">IFERROR(MATCH($B37,Risks!$A:$A,0),-1)</f>
        <v>34</v>
      </c>
      <c r="AD37" s="20" t="str" cm="1">
        <f t="array" ca="1" aca="1" ref="AD37">IF($B37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37,Risks!$A:CA,Definitions!$Y:$Y,Definitions!$AB:$AB,1)&amp;CHAR(10)&amp;_xlpm._factorFunction($B37,Risks!$A:CB,Definitions!$Y:$Y,Definitions!$AB:$AB,2)&amp;CHAR(10)&amp;_xlpm._factorFunction($B37,Risks!$A:CC,Definitions!$Y:$Y,Definitions!$AB:$AB,3)&amp;CHAR(10)&amp;_xlpm._factorFunction($B37,Risks!$A:CD,Definitions!$Y:$Y,Definitions!$AB:$AB,4)&amp;CHAR(10)&amp;_xlpm._factorFunction($B37,Risks!$A:CE,Definitions!$Y:$Y,Definitions!$AB:$AB,5)))</f>
        <v>Elapsed Time [0]: AS22, AS24, AS32
Expertise [6]: AS24
Knowledge of TOE [0]: AS22, AS24, AS32
Window of Opportunity [0]: AS22, AS24, AS32
Equipment [0]: AS22, AS24, AS32</v>
      </c>
      <c r="AE37" s="20" t="e" cm="1">
        <f t="array" ca="1" aca="1" ref="AE37">RemoveDelimiter(SUBSTITUTE(SUBSTITUTE($AB37,"{",""),"}",""),","&amp;CHAR(10))</f>
        <v>#N/A</v>
      </c>
      <c r="AF37" s="20" cm="1">
        <f t="array" ca="1" aca="1" ref="AF37">IF($O37="",0,SimpleLookup($O37,Definitions!$AE:$AF))</f>
        <v>4</v>
      </c>
    </row>
    <row r="38" spans="2:32" ht="15">
      <c r="B38" s="16" t="str">
        <f ca="1">OFFSET(Risks!$A$2,ROW()-ROW($B$5),0)</f>
        <v>R1-29-32</v>
      </c>
      <c r="C38" s="33" t="str" cm="1">
        <f t="array" ca="1" aca="1" ref="C38">IF($B38="","",IFERROR(SimpleLookup($B38,'Risk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8" s="37" t="str" cm="1">
        <f t="array" ca="1" aca="1" ref="D38">IF($B38="","",IFERROR(SimpleLookup($B38,'Risk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8" s="16" t="str" cm="1">
        <f t="array" ca="1" aca="1" ref="E38">IF($B38="","",IFERROR(SimpleLookup($B38,'Risk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8" s="34" t="str" cm="1">
        <f t="array" ca="1" aca="1" ref="F38">IF($B38="","",IFERROR(SimpleLookup($B38,'Risk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8" s="16" t="str" cm="1">
        <f t="array" ca="1" aca="1" ref="G38">IF($B38="","",IFERROR(SimpleLookup($B38,'Risk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8" s="16" t="str" cm="1">
        <f t="array" ca="1" aca="1" ref="H38">IF($B38="","",IFERROR(SimpleLookup($B38,'Risk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8" s="33" t="str" cm="1">
        <f t="array" ca="1" aca="1" ref="I38">IF($B38="","",IFERROR(SimpleLookup($B38,'Risk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8" s="33" t="e" cm="1">
        <f t="array" ca="1" aca="1" ref="J38">_xlfn.LET(_xlpm._assignedMitigations,IF($B38="","",IFERROR(RemoveDelimiter(GetValuesWithFallback($Z38,Countermeasures!$A:$B,Assumptions!$A:$B," ",","&amp;CHAR(10),TRUE),","&amp;CHAR(10)),"Error: Unknown risk ID "&amp;$B38)),_xlpm._inlineMitigations,$AE38,_xlpm._assignedMitigations&amp;IF(OR(_xlpm._assignedMitigations="",_xlpm._inlineMitigations=""),"",","&amp;CHAR(10))&amp;_xlpm._inlineMitigations)</f>
        <v>#N/A</v>
      </c>
      <c r="K38" s="37" t="str" cm="1">
        <f t="array" ca="1" aca="1" ref="K38">IF($AC38=-1,"",RemoveDelimiter(GetValues(INDEX(Risks!BN:BN,$AC38),'DS Overview'!$A:$B," ",","&amp;CHAR(10),TRUE),","&amp;CHAR(10)))</f>
        <v>DS3 Disclosure of acontis techonlogies GmbH IP (moderately innovative),
DS12 IP (highly innovative) disclosed by manipulated product</v>
      </c>
      <c r="L38" s="33" t="str" cm="1">
        <f t="array" ca="1" aca="1" ref="L38">IF($AC38=-1,"",INDEX(Risks!BP:BP,$AC38))</f>
        <v>High</v>
      </c>
      <c r="M38" s="34" t="str" cm="1">
        <f t="array" ca="1" aca="1" ref="M38">_xlfn.LET(_xlpm._calculatedRAP,IFERROR(SimpleLookup($B38,Risks!$A:$BG),""),_xlpm._inlineRAP,IFERROR(SimpleLookup($B38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38,_xlpm._mitigationSheetName&amp;" sheet "&amp;_xlfn.UNICHAR(8702)&amp;" Comment column:"&amp;CHAR(10)&amp;$AE38)))</f>
        <v>Elapsed Time [0]: AS1, AS29, AS32
Expertise [0]: AS1, AS29, AS32
Knowledge of TOE [0]: AS1, AS29, AS32
Window of Opportunity [0]: AS1, AS29, AS32
Equipment [0]: AS1, AS29, AS32</v>
      </c>
      <c r="N38" s="33" t="str" cm="1">
        <f t="array" ca="1" aca="1" ref="N38">IF($AC38=-1,"",INDEX(Risks!CN:CN,$AC38))</f>
        <v>Basic</v>
      </c>
      <c r="O38" s="33" t="str" cm="1">
        <f t="array" ca="1" aca="1" ref="O38">IF($AC38=-1,"",INDEX(Risks!CO:CO,$AC38))</f>
        <v>Very High</v>
      </c>
      <c r="P38" s="33" t="str">
        <f ca="1">IF($C38="","",IF($AF38&lt;=Definitions!$AF$6,Definitions!$M$4,""))</f>
        <v/>
      </c>
      <c r="Q38" s="23"/>
      <c r="R38" s="33" t="str">
        <f ca="1" t="shared" si="1" ref="R38:R72">IF($Q38="",$P38,$Q38)</f>
        <v/>
      </c>
      <c r="S38" s="23"/>
      <c r="T38" s="13"/>
      <c r="U38" s="10" cm="1">
        <f t="array" ca="1" aca="1" ref="U38">GenerateShadowID(ROW(),$U$5,$U:$U,0,B38&lt;&gt;"")</f>
        <v>33</v>
      </c>
      <c r="V38" s="10" cm="1">
        <f t="array" ref="V38">CreateTaskID($V$5,$V:$V,Tasks!$B$17,$T38)</f>
        <v>0</v>
      </c>
      <c r="W38" s="14" t="e" cm="1">
        <f t="array" ca="1" aca="1" ref="W38">IF($B38="","",SimpleLookup($B38,'Risk Treatment'!$C:$AW))</f>
        <v>#N/A</v>
      </c>
      <c r="X38" s="14" t="e" cm="1">
        <f t="array" ca="1" aca="1" ref="X38">IF($B38="","",_xlfn.LET(_xlpm._attackSteps,SimpleLookup($B38,'Risk Treatment'!$C:$Y),GetValues(_xlpm._attackSteps,Mitigation!$A:$AG,"",CHAR(1),FALSE)))</f>
        <v>#N/A</v>
      </c>
      <c r="Y38" s="14" t="e" cm="1">
        <f t="array" ca="1" aca="1" ref="Y3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38,CHAR(1))</f>
        <v>#N/A</v>
      </c>
      <c r="Z38" s="14" t="e" cm="1">
        <f t="array" ca="1" aca="1" ref="Z38">FilterElementsFromList($W38,Helper!$J$4,TRUE,",")</f>
        <v>#N/A</v>
      </c>
      <c r="AA38" s="14" t="e" cm="1">
        <f t="array" ca="1" aca="1" ref="AA38">FilterElementsFromList($Y38,Helper!$J$4,TRUE,",")</f>
        <v>#N/A</v>
      </c>
      <c r="AB38" s="20" t="e" cm="1">
        <f t="array" ca="1" aca="1" ref="AB3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38,CreateSearchString($AA38),CHAR(1),","&amp;CHAR(10))</f>
        <v>#N/A</v>
      </c>
      <c r="AC38" s="20">
        <f ca="1">IFERROR(MATCH($B38,Risks!$A:$A,0),-1)</f>
        <v>35</v>
      </c>
      <c r="AD38" s="20" t="str" cm="1">
        <f t="array" ca="1" aca="1" ref="AD38">IF($B38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38,Risks!$A:CA,Definitions!$Y:$Y,Definitions!$AB:$AB,1)&amp;CHAR(10)&amp;_xlpm._factorFunction($B38,Risks!$A:CB,Definitions!$Y:$Y,Definitions!$AB:$AB,2)&amp;CHAR(10)&amp;_xlpm._factorFunction($B38,Risks!$A:CC,Definitions!$Y:$Y,Definitions!$AB:$AB,3)&amp;CHAR(10)&amp;_xlpm._factorFunction($B38,Risks!$A:CD,Definitions!$Y:$Y,Definitions!$AB:$AB,4)&amp;CHAR(10)&amp;_xlpm._factorFunction($B38,Risks!$A:CE,Definitions!$Y:$Y,Definitions!$AB:$AB,5)))</f>
        <v>Elapsed Time [0]: AS1, AS29, AS32
Expertise [0]: AS1, AS29, AS32
Knowledge of TOE [0]: AS1, AS29, AS32
Window of Opportunity [0]: AS1, AS29, AS32
Equipment [0]: AS1, AS29, AS32</v>
      </c>
      <c r="AE38" s="20" t="e" cm="1">
        <f t="array" ca="1" aca="1" ref="AE38">RemoveDelimiter(SUBSTITUTE(SUBSTITUTE($AB38,"{",""),"}",""),","&amp;CHAR(10))</f>
        <v>#N/A</v>
      </c>
      <c r="AF38" s="20" cm="1">
        <f t="array" ca="1" aca="1" ref="AF38">IF($O38="",0,SimpleLookup($O38,Definitions!$AE:$AF))</f>
        <v>4</v>
      </c>
    </row>
    <row r="39" spans="2:32" ht="15">
      <c r="B39" s="16" t="str">
        <f ca="1">OFFSET(Risks!$A$2,ROW()-ROW($B$5),0)</f>
        <v>R2-29-32</v>
      </c>
      <c r="C39" s="33" t="str" cm="1">
        <f t="array" ca="1" aca="1" ref="C39">IF($B39="","",IFERROR(SimpleLookup($B39,'Risk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39" s="37" t="str" cm="1">
        <f t="array" ca="1" aca="1" ref="D39">IF($B39="","",IFERROR(SimpleLookup($B39,'Risk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39" s="16" t="str" cm="1">
        <f t="array" ca="1" aca="1" ref="E39">IF($B39="","",IFERROR(SimpleLookup($B39,'Risk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39" s="34" t="str" cm="1">
        <f t="array" ca="1" aca="1" ref="F39">IF($B39="","",IFERROR(SimpleLookup($B39,'Risk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39" s="16" t="str" cm="1">
        <f t="array" ca="1" aca="1" ref="G39">IF($B39="","",IFERROR(SimpleLookup($B39,'Risk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39" s="16" t="str" cm="1">
        <f t="array" ca="1" aca="1" ref="H39">IF($B39="","",IFERROR(SimpleLookup($B39,'Risk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39" s="33" t="str" cm="1">
        <f t="array" ca="1" aca="1" ref="I39">IF($B39="","",IFERROR(SimpleLookup($B39,'Risk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39" s="33" t="e" cm="1">
        <f t="array" ca="1" aca="1" ref="J39">_xlfn.LET(_xlpm._assignedMitigations,IF($B39="","",IFERROR(RemoveDelimiter(GetValuesWithFallback($Z39,Countermeasures!$A:$B,Assumptions!$A:$B," ",","&amp;CHAR(10),TRUE),","&amp;CHAR(10)),"Error: Unknown risk ID "&amp;$B39)),_xlpm._inlineMitigations,$AE39,_xlpm._assignedMitigations&amp;IF(OR(_xlpm._assignedMitigations="",_xlpm._inlineMitigations=""),"",","&amp;CHAR(10))&amp;_xlpm._inlineMitigations)</f>
        <v>#N/A</v>
      </c>
      <c r="K39" s="37" t="str" cm="1">
        <f t="array" ca="1" aca="1" ref="K39">IF($AC39=-1,"",RemoveDelimiter(GetValues(INDEX(Risks!BN:BN,$AC39),'DS Overview'!$A:$B," ",","&amp;CHAR(10),TRUE),","&amp;CHAR(10)))</f>
        <v>DS3 Disclosure of acontis techonlogies GmbH IP (moderately innovative),
DS12 IP (highly innovative) disclosed by manipulated product</v>
      </c>
      <c r="L39" s="33" t="str" cm="1">
        <f t="array" ca="1" aca="1" ref="L39">IF($AC39=-1,"",INDEX(Risks!BP:BP,$AC39))</f>
        <v>High</v>
      </c>
      <c r="M39" s="34" t="str" cm="1">
        <f t="array" ca="1" aca="1" ref="M39">_xlfn.LET(_xlpm._calculatedRAP,IFERROR(SimpleLookup($B39,Risks!$A:$BG),""),_xlpm._inlineRAP,IFERROR(SimpleLookup($B39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39,_xlpm._mitigationSheetName&amp;" sheet "&amp;_xlfn.UNICHAR(8702)&amp;" Comment column:"&amp;CHAR(10)&amp;$AE39)))</f>
        <v>Elapsed Time [0]: AS2, AS29, AS32
Expertise [3]: AS2
Knowledge of TOE [0]: AS2, AS29, AS32
Window of Opportunity [1]: AS2
Equipment [0]: AS2, AS29, AS32</v>
      </c>
      <c r="N39" s="33" t="str" cm="1">
        <f t="array" ca="1" aca="1" ref="N39">IF($AC39=-1,"",INDEX(Risks!CN:CN,$AC39))</f>
        <v>Basic</v>
      </c>
      <c r="O39" s="33" t="str" cm="1">
        <f t="array" ca="1" aca="1" ref="O39">IF($AC39=-1,"",INDEX(Risks!CO:CO,$AC39))</f>
        <v>Very High</v>
      </c>
      <c r="P39" s="33" t="str">
        <f ca="1">IF($C39="","",IF($AF39&lt;=Definitions!$AF$6,Definitions!$M$4,""))</f>
        <v/>
      </c>
      <c r="Q39" s="23"/>
      <c r="R39" s="33" t="str">
        <f t="shared" ca="1" si="1"/>
        <v/>
      </c>
      <c r="S39" s="23"/>
      <c r="T39" s="13"/>
      <c r="U39" s="10" cm="1">
        <f t="array" ca="1" aca="1" ref="U39">GenerateShadowID(ROW(),$U$5,$U:$U,0,B39&lt;&gt;"")</f>
        <v>34</v>
      </c>
      <c r="V39" s="10" cm="1">
        <f t="array" ref="V39">CreateTaskID($V$5,$V:$V,Tasks!$B$17,$T39)</f>
        <v>0</v>
      </c>
      <c r="W39" s="14" t="e" cm="1">
        <f t="array" ca="1" aca="1" ref="W39">IF($B39="","",SimpleLookup($B39,'Risk Treatment'!$C:$AW))</f>
        <v>#N/A</v>
      </c>
      <c r="X39" s="14" t="e" cm="1">
        <f t="array" ca="1" aca="1" ref="X39">IF($B39="","",_xlfn.LET(_xlpm._attackSteps,SimpleLookup($B39,'Risk Treatment'!$C:$Y),GetValues(_xlpm._attackSteps,Mitigation!$A:$AG,"",CHAR(1),FALSE)))</f>
        <v>#N/A</v>
      </c>
      <c r="Y39" s="14" t="e" cm="1">
        <f t="array" ca="1" aca="1" ref="Y3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39,CHAR(1))</f>
        <v>#N/A</v>
      </c>
      <c r="Z39" s="14" t="e" cm="1">
        <f t="array" ca="1" aca="1" ref="Z39">FilterElementsFromList($W39,Helper!$J$4,TRUE,",")</f>
        <v>#N/A</v>
      </c>
      <c r="AA39" s="14" t="e" cm="1">
        <f t="array" ca="1" aca="1" ref="AA39">FilterElementsFromList($Y39,Helper!$J$4,TRUE,",")</f>
        <v>#N/A</v>
      </c>
      <c r="AB39" s="20" t="e" cm="1">
        <f t="array" ca="1" aca="1" ref="AB3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39,CreateSearchString($AA39),CHAR(1),","&amp;CHAR(10))</f>
        <v>#N/A</v>
      </c>
      <c r="AC39" s="20">
        <f ca="1">IFERROR(MATCH($B39,Risks!$A:$A,0),-1)</f>
        <v>36</v>
      </c>
      <c r="AD39" s="20" t="str" cm="1">
        <f t="array" ca="1" aca="1" ref="AD39">IF($B39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39,Risks!$A:CA,Definitions!$Y:$Y,Definitions!$AB:$AB,1)&amp;CHAR(10)&amp;_xlpm._factorFunction($B39,Risks!$A:CB,Definitions!$Y:$Y,Definitions!$AB:$AB,2)&amp;CHAR(10)&amp;_xlpm._factorFunction($B39,Risks!$A:CC,Definitions!$Y:$Y,Definitions!$AB:$AB,3)&amp;CHAR(10)&amp;_xlpm._factorFunction($B39,Risks!$A:CD,Definitions!$Y:$Y,Definitions!$AB:$AB,4)&amp;CHAR(10)&amp;_xlpm._factorFunction($B39,Risks!$A:CE,Definitions!$Y:$Y,Definitions!$AB:$AB,5)))</f>
        <v>Elapsed Time [0]: AS2, AS29, AS32
Expertise [3]: AS2
Knowledge of TOE [0]: AS2, AS29, AS32
Window of Opportunity [1]: AS2
Equipment [0]: AS2, AS29, AS32</v>
      </c>
      <c r="AE39" s="20" t="e" cm="1">
        <f t="array" ca="1" aca="1" ref="AE39">RemoveDelimiter(SUBSTITUTE(SUBSTITUTE($AB39,"{",""),"}",""),","&amp;CHAR(10))</f>
        <v>#N/A</v>
      </c>
      <c r="AF39" s="20" cm="1">
        <f t="array" ca="1" aca="1" ref="AF39">IF($O39="",0,SimpleLookup($O39,Definitions!$AE:$AF))</f>
        <v>4</v>
      </c>
    </row>
    <row r="40" spans="2:32" ht="15">
      <c r="B40" s="16" t="str">
        <f ca="1">OFFSET(Risks!$A$2,ROW()-ROW($B$5),0)</f>
        <v>R37</v>
      </c>
      <c r="C40" s="33" t="str" cm="1">
        <f t="array" ca="1" aca="1" ref="C40">IF($B40="","",IFERROR(SimpleLookup($B40,'Risk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40" s="37" t="str" cm="1">
        <f t="array" ca="1" aca="1" ref="D40">IF($B40="","",IFERROR(SimpleLookup($B40,'Risk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40" s="16" t="str" cm="1">
        <f t="array" ca="1" aca="1" ref="E40">IF($B40="","",IFERROR(SimpleLookup($B40,'Risk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40" s="34" t="str" cm="1">
        <f t="array" ca="1" aca="1" ref="F40">IF($B40="","",IFERROR(SimpleLookup($B40,'Risk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40" s="16" t="str" cm="1">
        <f t="array" ca="1" aca="1" ref="G40">IF($B40="","",IFERROR(SimpleLookup($B40,'Risk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40" s="16" t="str" cm="1">
        <f t="array" ca="1" aca="1" ref="H40">IF($B40="","",IFERROR(SimpleLookup($B40,'Risk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40" s="33" t="str" cm="1">
        <f t="array" ca="1" aca="1" ref="I40">IF($B40="","",IFERROR(SimpleLookup($B40,'Risk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40" s="33" t="e" cm="1">
        <f t="array" ca="1" aca="1" ref="J40">_xlfn.LET(_xlpm._assignedMitigations,IF($B40="","",IFERROR(RemoveDelimiter(GetValuesWithFallback($Z40,Countermeasures!$A:$B,Assumptions!$A:$B," ",","&amp;CHAR(10),TRUE),","&amp;CHAR(10)),"Error: Unknown risk ID "&amp;$B40)),_xlpm._inlineMitigations,$AE40,_xlpm._assignedMitigations&amp;IF(OR(_xlpm._assignedMitigations="",_xlpm._inlineMitigations=""),"",","&amp;CHAR(10))&amp;_xlpm._inlineMitigations)</f>
        <v>#N/A</v>
      </c>
      <c r="K40" s="37" t="str" cm="1">
        <f t="array" ca="1" aca="1" ref="K40">IF($AC40=-1,"",RemoveDelimiter(GetValues(INDEX(Risks!BN:BN,$AC40),'DS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40" s="33" t="str" cm="1">
        <f t="array" ca="1" aca="1" ref="L40">IF($AC40=-1,"",INDEX(Risks!BP:BP,$AC40))</f>
        <v>Critical</v>
      </c>
      <c r="M40" s="34" t="str" cm="1">
        <f t="array" ca="1" aca="1" ref="M40">_xlfn.LET(_xlpm._calculatedRAP,IFERROR(SimpleLookup($B40,Risks!$A:$BG),""),_xlpm._inlineRAP,IFERROR(SimpleLookup($B40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40,_xlpm._mitigationSheetName&amp;" sheet "&amp;_xlfn.UNICHAR(8702)&amp;" Comment column:"&amp;CHAR(10)&amp;$AE40)))</f>
        <v>Elapsed Time [0]: AS37
Expertise [0]: AS37
Knowledge of TOE [0]: AS37
Window of Opportunity [0]: AS37
Equipment [0]: AS37</v>
      </c>
      <c r="N40" s="33" t="str" cm="1">
        <f t="array" ca="1" aca="1" ref="N40">IF($AC40=-1,"",INDEX(Risks!CN:CN,$AC40))</f>
        <v>Basic</v>
      </c>
      <c r="O40" s="33" t="str" cm="1">
        <f t="array" ca="1" aca="1" ref="O40">IF($AC40=-1,"",INDEX(Risks!CO:CO,$AC40))</f>
        <v>Very High</v>
      </c>
      <c r="P40" s="33" t="str">
        <f ca="1">IF($C40="","",IF($AF40&lt;=Definitions!$AF$6,Definitions!$M$4,""))</f>
        <v/>
      </c>
      <c r="Q40" s="23"/>
      <c r="R40" s="33" t="str">
        <f t="shared" ca="1" si="1"/>
        <v/>
      </c>
      <c r="S40" s="23"/>
      <c r="T40" s="13"/>
      <c r="U40" s="10" cm="1">
        <f t="array" ca="1" aca="1" ref="U40">GenerateShadowID(ROW(),$U$5,$U:$U,0,B40&lt;&gt;"")</f>
        <v>35</v>
      </c>
      <c r="V40" s="10" cm="1">
        <f t="array" ref="V40">CreateTaskID($V$5,$V:$V,Tasks!$B$17,$T40)</f>
        <v>0</v>
      </c>
      <c r="W40" s="14" t="e" cm="1">
        <f t="array" ca="1" aca="1" ref="W40">IF($B40="","",SimpleLookup($B40,'Risk Treatment'!$C:$AW))</f>
        <v>#N/A</v>
      </c>
      <c r="X40" s="14" t="e" cm="1">
        <f t="array" ca="1" aca="1" ref="X40">IF($B40="","",_xlfn.LET(_xlpm._attackSteps,SimpleLookup($B40,'Risk Treatment'!$C:$Y),GetValues(_xlpm._attackSteps,Mitigation!$A:$AG,"",CHAR(1),FALSE)))</f>
        <v>#N/A</v>
      </c>
      <c r="Y40" s="14" t="e" cm="1">
        <f t="array" ca="1" aca="1" ref="Y4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40,CHAR(1))</f>
        <v>#N/A</v>
      </c>
      <c r="Z40" s="14" t="e" cm="1">
        <f t="array" ca="1" aca="1" ref="Z40">FilterElementsFromList($W40,Helper!$J$4,TRUE,",")</f>
        <v>#N/A</v>
      </c>
      <c r="AA40" s="14" t="e" cm="1">
        <f t="array" ca="1" aca="1" ref="AA40">FilterElementsFromList($Y40,Helper!$J$4,TRUE,",")</f>
        <v>#N/A</v>
      </c>
      <c r="AB40" s="20" t="e" cm="1">
        <f t="array" ca="1" aca="1" ref="AB4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40,CreateSearchString($AA40),CHAR(1),","&amp;CHAR(10))</f>
        <v>#N/A</v>
      </c>
      <c r="AC40" s="20">
        <f ca="1">IFERROR(MATCH($B40,Risks!$A:$A,0),-1)</f>
        <v>37</v>
      </c>
      <c r="AD40" s="20" t="str" cm="1">
        <f t="array" ca="1" aca="1" ref="AD40">IF($B40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40,Risks!$A:CA,Definitions!$Y:$Y,Definitions!$AB:$AB,1)&amp;CHAR(10)&amp;_xlpm._factorFunction($B40,Risks!$A:CB,Definitions!$Y:$Y,Definitions!$AB:$AB,2)&amp;CHAR(10)&amp;_xlpm._factorFunction($B40,Risks!$A:CC,Definitions!$Y:$Y,Definitions!$AB:$AB,3)&amp;CHAR(10)&amp;_xlpm._factorFunction($B40,Risks!$A:CD,Definitions!$Y:$Y,Definitions!$AB:$AB,4)&amp;CHAR(10)&amp;_xlpm._factorFunction($B40,Risks!$A:CE,Definitions!$Y:$Y,Definitions!$AB:$AB,5)))</f>
        <v>Elapsed Time [0]: AS37
Expertise [0]: AS37
Knowledge of TOE [0]: AS37
Window of Opportunity [0]: AS37
Equipment [0]: AS37</v>
      </c>
      <c r="AE40" s="20" t="e" cm="1">
        <f t="array" ca="1" aca="1" ref="AE40">RemoveDelimiter(SUBSTITUTE(SUBSTITUTE($AB40,"{",""),"}",""),","&amp;CHAR(10))</f>
        <v>#N/A</v>
      </c>
      <c r="AF40" s="20" cm="1">
        <f t="array" ca="1" aca="1" ref="AF40">IF($O40="",0,SimpleLookup($O40,Definitions!$AE:$AF))</f>
        <v>4</v>
      </c>
    </row>
    <row r="41" spans="2:32" ht="15">
      <c r="B41" s="16" t="str">
        <f ca="1">OFFSET(Risks!$A$2,ROW()-ROW($B$5),0)</f>
        <v>R38</v>
      </c>
      <c r="C41" s="33" t="str" cm="1">
        <f t="array" ca="1" aca="1" ref="C41">IF($B41="","",IFERROR(SimpleLookup($B41,'Risk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41" s="37" t="str" cm="1">
        <f t="array" ca="1" aca="1" ref="D41">IF($B41="","",IFERROR(SimpleLookup($B41,'Risk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41" s="16" t="str" cm="1">
        <f t="array" ca="1" aca="1" ref="E41">IF($B41="","",IFERROR(SimpleLookup($B41,'Risk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41" s="34" t="str" cm="1">
        <f t="array" ca="1" aca="1" ref="F41">IF($B41="","",IFERROR(SimpleLookup($B41,'Risk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41" s="16" t="str" cm="1">
        <f t="array" ca="1" aca="1" ref="G41">IF($B41="","",IFERROR(SimpleLookup($B41,'Risk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41" s="16" t="str" cm="1">
        <f t="array" ca="1" aca="1" ref="H41">IF($B41="","",IFERROR(SimpleLookup($B41,'Risk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41" s="33" t="str" cm="1">
        <f t="array" ca="1" aca="1" ref="I41">IF($B41="","",IFERROR(SimpleLookup($B41,'Risk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41" s="33" t="e" cm="1">
        <f t="array" ca="1" aca="1" ref="J41">_xlfn.LET(_xlpm._assignedMitigations,IF($B41="","",IFERROR(RemoveDelimiter(GetValuesWithFallback($Z41,Countermeasures!$A:$B,Assumptions!$A:$B," ",","&amp;CHAR(10),TRUE),","&amp;CHAR(10)),"Error: Unknown risk ID "&amp;$B41)),_xlpm._inlineMitigations,$AE41,_xlpm._assignedMitigations&amp;IF(OR(_xlpm._assignedMitigations="",_xlpm._inlineMitigations=""),"",","&amp;CHAR(10))&amp;_xlpm._inlineMitigations)</f>
        <v>#N/A</v>
      </c>
      <c r="K41" s="37" t="str" cm="1">
        <f t="array" ca="1" aca="1" ref="K41">IF($AC41=-1,"",RemoveDelimiter(GetValues(INDEX(Risks!BN:BN,$AC41),'DS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41" s="33" t="str" cm="1">
        <f t="array" ca="1" aca="1" ref="L41">IF($AC41=-1,"",INDEX(Risks!BP:BP,$AC41))</f>
        <v>Critical</v>
      </c>
      <c r="M41" s="34" t="str" cm="1">
        <f t="array" ca="1" aca="1" ref="M41">_xlfn.LET(_xlpm._calculatedRAP,IFERROR(SimpleLookup($B41,Risks!$A:$BG),""),_xlpm._inlineRAP,IFERROR(SimpleLookup($B41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41,_xlpm._mitigationSheetName&amp;" sheet "&amp;_xlfn.UNICHAR(8702)&amp;" Comment column:"&amp;CHAR(10)&amp;$AE41)))</f>
        <v>Elapsed Time [0]: AS38
Expertise [0]: AS38
Knowledge of TOE [0]: AS38
Window of Opportunity [0]: AS38
Equipment [0]: AS38</v>
      </c>
      <c r="N41" s="33" t="str" cm="1">
        <f t="array" ca="1" aca="1" ref="N41">IF($AC41=-1,"",INDEX(Risks!CN:CN,$AC41))</f>
        <v>Basic</v>
      </c>
      <c r="O41" s="33" t="str" cm="1">
        <f t="array" ca="1" aca="1" ref="O41">IF($AC41=-1,"",INDEX(Risks!CO:CO,$AC41))</f>
        <v>Very High</v>
      </c>
      <c r="P41" s="33" t="str">
        <f ca="1">IF($C41="","",IF($AF41&lt;=Definitions!$AF$6,Definitions!$M$4,""))</f>
        <v/>
      </c>
      <c r="Q41" s="23"/>
      <c r="R41" s="33" t="str">
        <f t="shared" ca="1" si="1"/>
        <v/>
      </c>
      <c r="S41" s="23"/>
      <c r="T41" s="13"/>
      <c r="U41" s="10" cm="1">
        <f t="array" ca="1" aca="1" ref="U41">GenerateShadowID(ROW(),$U$5,$U:$U,0,B41&lt;&gt;"")</f>
        <v>36</v>
      </c>
      <c r="V41" s="10" cm="1">
        <f t="array" ref="V41">CreateTaskID($V$5,$V:$V,Tasks!$B$17,$T41)</f>
        <v>0</v>
      </c>
      <c r="W41" s="14" t="e" cm="1">
        <f t="array" ca="1" aca="1" ref="W41">IF($B41="","",SimpleLookup($B41,'Risk Treatment'!$C:$AW))</f>
        <v>#N/A</v>
      </c>
      <c r="X41" s="14" t="e" cm="1">
        <f t="array" ca="1" aca="1" ref="X41">IF($B41="","",_xlfn.LET(_xlpm._attackSteps,SimpleLookup($B41,'Risk Treatment'!$C:$Y),GetValues(_xlpm._attackSteps,Mitigation!$A:$AG,"",CHAR(1),FALSE)))</f>
        <v>#N/A</v>
      </c>
      <c r="Y41" s="14" t="e" cm="1">
        <f t="array" ca="1" aca="1" ref="Y4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41,CHAR(1))</f>
        <v>#N/A</v>
      </c>
      <c r="Z41" s="14" t="e" cm="1">
        <f t="array" ca="1" aca="1" ref="Z41">FilterElementsFromList($W41,Helper!$J$4,TRUE,",")</f>
        <v>#N/A</v>
      </c>
      <c r="AA41" s="14" t="e" cm="1">
        <f t="array" ca="1" aca="1" ref="AA41">FilterElementsFromList($Y41,Helper!$J$4,TRUE,",")</f>
        <v>#N/A</v>
      </c>
      <c r="AB41" s="20" t="e" cm="1">
        <f t="array" ca="1" aca="1" ref="AB4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41,CreateSearchString($AA41),CHAR(1),","&amp;CHAR(10))</f>
        <v>#N/A</v>
      </c>
      <c r="AC41" s="20">
        <f ca="1">IFERROR(MATCH($B41,Risks!$A:$A,0),-1)</f>
        <v>38</v>
      </c>
      <c r="AD41" s="20" t="str" cm="1">
        <f t="array" ca="1" aca="1" ref="AD41">IF($B41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41,Risks!$A:CA,Definitions!$Y:$Y,Definitions!$AB:$AB,1)&amp;CHAR(10)&amp;_xlpm._factorFunction($B41,Risks!$A:CB,Definitions!$Y:$Y,Definitions!$AB:$AB,2)&amp;CHAR(10)&amp;_xlpm._factorFunction($B41,Risks!$A:CC,Definitions!$Y:$Y,Definitions!$AB:$AB,3)&amp;CHAR(10)&amp;_xlpm._factorFunction($B41,Risks!$A:CD,Definitions!$Y:$Y,Definitions!$AB:$AB,4)&amp;CHAR(10)&amp;_xlpm._factorFunction($B41,Risks!$A:CE,Definitions!$Y:$Y,Definitions!$AB:$AB,5)))</f>
        <v>Elapsed Time [0]: AS38
Expertise [0]: AS38
Knowledge of TOE [0]: AS38
Window of Opportunity [0]: AS38
Equipment [0]: AS38</v>
      </c>
      <c r="AE41" s="20" t="e" cm="1">
        <f t="array" ca="1" aca="1" ref="AE41">RemoveDelimiter(SUBSTITUTE(SUBSTITUTE($AB41,"{",""),"}",""),","&amp;CHAR(10))</f>
        <v>#N/A</v>
      </c>
      <c r="AF41" s="20" cm="1">
        <f t="array" ca="1" aca="1" ref="AF41">IF($O41="",0,SimpleLookup($O41,Definitions!$AE:$AF))</f>
        <v>4</v>
      </c>
    </row>
    <row r="42" spans="2:32" ht="15">
      <c r="B42" s="16" t="str">
        <f ca="1">OFFSET(Risks!$A$2,ROW()-ROW($B$5),0)</f>
        <v>R1-40</v>
      </c>
      <c r="C42" s="33" t="str" cm="1">
        <f t="array" ca="1" aca="1" ref="C42">IF($B42="","",IFERROR(SimpleLookup($B42,'Risk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42" s="37" t="str" cm="1">
        <f t="array" ca="1" aca="1" ref="D42">IF($B42="","",IFERROR(SimpleLookup($B42,'Risk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42" s="16" t="str" cm="1">
        <f t="array" ca="1" aca="1" ref="E42">IF($B42="","",IFERROR(SimpleLookup($B42,'Risk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42" s="34" t="str" cm="1">
        <f t="array" ca="1" aca="1" ref="F42">IF($B42="","",IFERROR(SimpleLookup($B42,'Risk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42" s="16" t="str" cm="1">
        <f t="array" ca="1" aca="1" ref="G42">IF($B42="","",IFERROR(SimpleLookup($B42,'Risk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42" s="16" t="str" cm="1">
        <f t="array" ca="1" aca="1" ref="H42">IF($B42="","",IFERROR(SimpleLookup($B42,'Risk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42" s="33" t="str" cm="1">
        <f t="array" ca="1" aca="1" ref="I42">IF($B42="","",IFERROR(SimpleLookup($B42,'Risk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42" s="33" t="e" cm="1">
        <f t="array" ca="1" aca="1" ref="J42">_xlfn.LET(_xlpm._assignedMitigations,IF($B42="","",IFERROR(RemoveDelimiter(GetValuesWithFallback($Z42,Countermeasures!$A:$B,Assumptions!$A:$B," ",","&amp;CHAR(10),TRUE),","&amp;CHAR(10)),"Error: Unknown risk ID "&amp;$B42)),_xlpm._inlineMitigations,$AE42,_xlpm._assignedMitigations&amp;IF(OR(_xlpm._assignedMitigations="",_xlpm._inlineMitigations=""),"",","&amp;CHAR(10))&amp;_xlpm._inlineMitigations)</f>
        <v>#N/A</v>
      </c>
      <c r="K42" s="37" t="str" cm="1">
        <f t="array" ca="1" aca="1" ref="K42">IF($AC42=-1,"",RemoveDelimiter(GetValues(INDEX(Risks!BN:BN,$AC42),'DS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42" s="33" t="str" cm="1">
        <f t="array" ca="1" aca="1" ref="L42">IF($AC42=-1,"",INDEX(Risks!BP:BP,$AC42))</f>
        <v>Critical</v>
      </c>
      <c r="M42" s="34" t="str" cm="1">
        <f t="array" ca="1" aca="1" ref="M42">_xlfn.LET(_xlpm._calculatedRAP,IFERROR(SimpleLookup($B42,Risks!$A:$BG),""),_xlpm._inlineRAP,IFERROR(SimpleLookup($B42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42,_xlpm._mitigationSheetName&amp;" sheet "&amp;_xlfn.UNICHAR(8702)&amp;" Comment column:"&amp;CHAR(10)&amp;$AE42)))</f>
        <v>Elapsed Time [4]: AS40
Expertise [6]: AS40
Knowledge of TOE [3]: AS40
Window of Opportunity [0]: AS1, AS40
Equipment [0]: AS1, AS40</v>
      </c>
      <c r="N42" s="33" t="str" cm="1">
        <f t="array" ca="1" aca="1" ref="N42">IF($AC42=-1,"",INDEX(Risks!CN:CN,$AC42))</f>
        <v>Enhanced-Basic</v>
      </c>
      <c r="O42" s="33" t="str" cm="1">
        <f t="array" ca="1" aca="1" ref="O42">IF($AC42=-1,"",INDEX(Risks!CO:CO,$AC42))</f>
        <v>Very High</v>
      </c>
      <c r="P42" s="33" t="str">
        <f ca="1">IF($C42="","",IF($AF42&lt;=Definitions!$AF$6,Definitions!$M$4,""))</f>
        <v/>
      </c>
      <c r="Q42" s="23"/>
      <c r="R42" s="33" t="str">
        <f t="shared" ca="1" si="1"/>
        <v/>
      </c>
      <c r="S42" s="23"/>
      <c r="T42" s="13"/>
      <c r="U42" s="10" cm="1">
        <f t="array" ca="1" aca="1" ref="U42">GenerateShadowID(ROW(),$U$5,$U:$U,0,B42&lt;&gt;"")</f>
        <v>37</v>
      </c>
      <c r="V42" s="10" cm="1">
        <f t="array" ref="V42">CreateTaskID($V$5,$V:$V,Tasks!$B$17,$T42)</f>
        <v>0</v>
      </c>
      <c r="W42" s="14" t="e" cm="1">
        <f t="array" ca="1" aca="1" ref="W42">IF($B42="","",SimpleLookup($B42,'Risk Treatment'!$C:$AW))</f>
        <v>#N/A</v>
      </c>
      <c r="X42" s="14" t="e" cm="1">
        <f t="array" ca="1" aca="1" ref="X42">IF($B42="","",_xlfn.LET(_xlpm._attackSteps,SimpleLookup($B42,'Risk Treatment'!$C:$Y),GetValues(_xlpm._attackSteps,Mitigation!$A:$AG,"",CHAR(1),FALSE)))</f>
        <v>#N/A</v>
      </c>
      <c r="Y42" s="14" t="e" cm="1">
        <f t="array" ca="1" aca="1" ref="Y4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42,CHAR(1))</f>
        <v>#N/A</v>
      </c>
      <c r="Z42" s="14" t="e" cm="1">
        <f t="array" ca="1" aca="1" ref="Z42">FilterElementsFromList($W42,Helper!$J$4,TRUE,",")</f>
        <v>#N/A</v>
      </c>
      <c r="AA42" s="14" t="e" cm="1">
        <f t="array" ca="1" aca="1" ref="AA42">FilterElementsFromList($Y42,Helper!$J$4,TRUE,",")</f>
        <v>#N/A</v>
      </c>
      <c r="AB42" s="20" t="e" cm="1">
        <f t="array" ca="1" aca="1" ref="AB4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42,CreateSearchString($AA42),CHAR(1),","&amp;CHAR(10))</f>
        <v>#N/A</v>
      </c>
      <c r="AC42" s="20">
        <f ca="1">IFERROR(MATCH($B42,Risks!$A:$A,0),-1)</f>
        <v>39</v>
      </c>
      <c r="AD42" s="20" t="str" cm="1">
        <f t="array" ca="1" aca="1" ref="AD42">IF($B42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42,Risks!$A:CA,Definitions!$Y:$Y,Definitions!$AB:$AB,1)&amp;CHAR(10)&amp;_xlpm._factorFunction($B42,Risks!$A:CB,Definitions!$Y:$Y,Definitions!$AB:$AB,2)&amp;CHAR(10)&amp;_xlpm._factorFunction($B42,Risks!$A:CC,Definitions!$Y:$Y,Definitions!$AB:$AB,3)&amp;CHAR(10)&amp;_xlpm._factorFunction($B42,Risks!$A:CD,Definitions!$Y:$Y,Definitions!$AB:$AB,4)&amp;CHAR(10)&amp;_xlpm._factorFunction($B42,Risks!$A:CE,Definitions!$Y:$Y,Definitions!$AB:$AB,5)))</f>
        <v>Elapsed Time [4]: AS40
Expertise [6]: AS40
Knowledge of TOE [3]: AS40
Window of Opportunity [0]: AS1, AS40
Equipment [0]: AS1, AS40</v>
      </c>
      <c r="AE42" s="20" t="e" cm="1">
        <f t="array" ca="1" aca="1" ref="AE42">RemoveDelimiter(SUBSTITUTE(SUBSTITUTE($AB42,"{",""),"}",""),","&amp;CHAR(10))</f>
        <v>#N/A</v>
      </c>
      <c r="AF42" s="20" cm="1">
        <f t="array" ca="1" aca="1" ref="AF42">IF($O42="",0,SimpleLookup($O42,Definitions!$AE:$AF))</f>
        <v>4</v>
      </c>
    </row>
    <row r="43" spans="2:32" ht="390">
      <c r="B43" s="16" t="str">
        <f ca="1">OFFSET(Risks!$A$2,ROW()-ROW($B$5),0)</f>
        <v>R2-40</v>
      </c>
      <c r="C43" s="33" t="str" cm="1">
        <f t="array" ca="1" aca="1" ref="C43">IF($B43="","",IFERROR(SimpleLookup($B43,'Risk Treatment'!$C:D),"Please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D43" s="37" t="str" cm="1">
        <f t="array" ca="1" aca="1" ref="D43">IF($B43="","",IFERROR(SimpleLookup($B43,'Risk Treatment'!$C:K),"Please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E43" s="16" t="str" cm="1">
        <f t="array" ca="1" aca="1" ref="E43">IF($B43="","",IFERROR(SimpleLookup($B43,'Risk Treatment'!$C:L),"Please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F43" s="34" t="str" cm="1">
        <f t="array" ca="1" aca="1" ref="F43">IF($B43="","",IFERROR(SimpleLookup($B43,'Risk Treatment'!$C:M),"Please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G43" s="16" t="str" cm="1">
        <f t="array" ca="1" aca="1" ref="G43">IF($B43="","",IFERROR(SimpleLookup($B43,'Risk Treatment'!$C:N),"Please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H43" s="16" t="str" cm="1">
        <f t="array" ca="1" aca="1" ref="H43">IF($B43="","",IFERROR(SimpleLookup($B43,'Risk Treatment'!$C:J),"Please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I43" s="33" t="str" cm="1">
        <f t="array" ca="1" aca="1" ref="I43">IF($B43="","",IFERROR(SimpleLookup($B43,'Risk Treatment'!$C:O),"Please ensure that all risks are covered in the "&amp;Helper!$G$14&amp;" sheet. Currently, these risks are not covered: "&amp;'Risk Treatment'!$D$2&amp;"."))</f>
        <v>Please ensure that all risks are covered in the Risk Treatment sheet. Currently, these risks are not covered: R1-3, R2-3, R1-4, R2-4, R1-6, R2-6, R1-7, R2-7, R1-3-10, R2-3-10, R1-3-11, R2-3-11, R1-14, R1-16, R2-16, R21-23, R22-23, R1-29, R2-29, R31, R1-3-32, R2-3-32, R1-5-32, R2-5-32, R1-7-32, R2-7-32, R1-16-32, R2-16-32, R21-23-32, R22-23-32, R21-24-32, R22-24-32, R1-29-32, R2-29-32, R37, R38, R1-40, R2-40.</v>
      </c>
      <c r="J43" s="33" t="e" cm="1">
        <f t="array" ca="1" aca="1" ref="J43">_xlfn.LET(_xlpm._assignedMitigations,IF($B43="","",IFERROR(RemoveDelimiter(GetValuesWithFallback($Z43,Countermeasures!$A:$B,Assumptions!$A:$B," ",","&amp;CHAR(10),TRUE),","&amp;CHAR(10)),"Error: Unknown risk ID "&amp;$B43)),_xlpm._inlineMitigations,$AE43,_xlpm._assignedMitigations&amp;IF(OR(_xlpm._assignedMitigations="",_xlpm._inlineMitigations=""),"",","&amp;CHAR(10))&amp;_xlpm._inlineMitigations)</f>
        <v>#N/A</v>
      </c>
      <c r="K43" s="37" t="str" cm="1">
        <f t="array" ca="1" aca="1" ref="K43">IF($AC43=-1,"",RemoveDelimiter(GetValues(INDEX(Risks!BN:BN,$AC43),'DS Overview'!$A:$B," ",","&amp;CHAR(10),TRUE),","&amp;CHAR(10)))</f>
        <v>DS10 Life-threatening injury caused by manipulated product,
DS11 Personal data (ruinous) disclosed by manipulated product,
DS12 IP (highly innovative) disclosed by manipulated product,
DS13 Critical environmental damage caused by a disclosure or misuse of cyptographic material by the manipulated product,
DS14 Critical environmental damage caused by manipulated product,
DS15 Critical environmental damage caused by attacks on customer's assets by manipulated product</v>
      </c>
      <c r="L43" s="33" t="str" cm="1">
        <f t="array" ca="1" aca="1" ref="L43">IF($AC43=-1,"",INDEX(Risks!BP:BP,$AC43))</f>
        <v>Critical</v>
      </c>
      <c r="M43" s="34" t="str" cm="1">
        <f t="array" ca="1" aca="1" ref="M43">_xlfn.LET(_xlpm._calculatedRAP,IFERROR(SimpleLookup($B43,Risks!$A:$BG),""),_xlpm._inlineRAP,IFERROR(SimpleLookup($B43,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43,_xlpm._mitigationSheetName&amp;" sheet "&amp;_xlfn.UNICHAR(8702)&amp;" Comment column:"&amp;CHAR(10)&amp;$AE43)))</f>
        <v>Elapsed Time [4]: AS40
Expertise [6]: AS40
Knowledge of TOE [3]: AS40
Window of Opportunity [1]: AS2
Equipment [0]: AS2, AS40</v>
      </c>
      <c r="N43" s="33" t="str" cm="1">
        <f t="array" ca="1" aca="1" ref="N43">IF($AC43=-1,"",INDEX(Risks!CN:CN,$AC43))</f>
        <v>Moderate</v>
      </c>
      <c r="O43" s="33" t="str" cm="1">
        <f t="array" ca="1" aca="1" ref="O43">IF($AC43=-1,"",INDEX(Risks!CO:CO,$AC43))</f>
        <v>Very High</v>
      </c>
      <c r="P43" s="33" t="str">
        <f ca="1">IF($C43="","",IF($AF43&lt;=Definitions!$AF$6,Definitions!$M$4,""))</f>
        <v/>
      </c>
      <c r="Q43" s="23"/>
      <c r="R43" s="33" t="str">
        <f t="shared" ca="1" si="1"/>
        <v/>
      </c>
      <c r="S43" s="23"/>
      <c r="T43" s="13"/>
      <c r="U43" s="10" cm="1">
        <f t="array" ca="1" aca="1" ref="U43">GenerateShadowID(ROW(),$U$5,$U:$U,0,B43&lt;&gt;"")</f>
        <v>38</v>
      </c>
      <c r="V43" s="10" cm="1">
        <f t="array" ref="V43">CreateTaskID($V$5,$V:$V,Tasks!$B$17,$T43)</f>
        <v>0</v>
      </c>
      <c r="W43" s="14" t="e" cm="1">
        <f t="array" ca="1" aca="1" ref="W43">IF($B43="","",SimpleLookup($B43,'Risk Treatment'!$C:$AW))</f>
        <v>#N/A</v>
      </c>
      <c r="X43" s="14" t="e" cm="1">
        <f t="array" ca="1" aca="1" ref="X43">IF($B43="","",_xlfn.LET(_xlpm._attackSteps,SimpleLookup($B43,'Risk Treatment'!$C:$Y),GetValues(_xlpm._attackSteps,Mitigation!$A:$AG,"",CHAR(1),FALSE)))</f>
        <v>#N/A</v>
      </c>
      <c r="Y43" s="14" t="e" cm="1">
        <f t="array" ca="1" aca="1" ref="Y43">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43,CHAR(1))</f>
        <v>#N/A</v>
      </c>
      <c r="Z43" s="14" t="e" cm="1">
        <f t="array" ca="1" aca="1" ref="Z43">FilterElementsFromList($W43,Helper!$J$4,TRUE,",")</f>
        <v>#N/A</v>
      </c>
      <c r="AA43" s="14" t="e" cm="1">
        <f t="array" ca="1" aca="1" ref="AA43">FilterElementsFromList($Y43,Helper!$J$4,TRUE,",")</f>
        <v>#N/A</v>
      </c>
      <c r="AB43" s="20" t="e" cm="1">
        <f t="array" ca="1" aca="1" ref="AB43">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43,CreateSearchString($AA43),CHAR(1),","&amp;CHAR(10))</f>
        <v>#N/A</v>
      </c>
      <c r="AC43" s="20">
        <f ca="1">IFERROR(MATCH($B43,Risks!$A:$A,0),-1)</f>
        <v>40</v>
      </c>
      <c r="AD43" s="20" t="str" cm="1">
        <f t="array" ca="1" aca="1" ref="AD43">IF($B43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43,Risks!$A:CA,Definitions!$Y:$Y,Definitions!$AB:$AB,1)&amp;CHAR(10)&amp;_xlpm._factorFunction($B43,Risks!$A:CB,Definitions!$Y:$Y,Definitions!$AB:$AB,2)&amp;CHAR(10)&amp;_xlpm._factorFunction($B43,Risks!$A:CC,Definitions!$Y:$Y,Definitions!$AB:$AB,3)&amp;CHAR(10)&amp;_xlpm._factorFunction($B43,Risks!$A:CD,Definitions!$Y:$Y,Definitions!$AB:$AB,4)&amp;CHAR(10)&amp;_xlpm._factorFunction($B43,Risks!$A:CE,Definitions!$Y:$Y,Definitions!$AB:$AB,5)))</f>
        <v>Elapsed Time [4]: AS40
Expertise [6]: AS40
Knowledge of TOE [3]: AS40
Window of Opportunity [1]: AS2
Equipment [0]: AS2, AS40</v>
      </c>
      <c r="AE43" s="20" t="e" cm="1">
        <f t="array" ca="1" aca="1" ref="AE43">RemoveDelimiter(SUBSTITUTE(SUBSTITUTE($AB43,"{",""),"}",""),","&amp;CHAR(10))</f>
        <v>#N/A</v>
      </c>
      <c r="AF43" s="20" cm="1">
        <f t="array" ca="1" aca="1" ref="AF43">IF($O43="",0,SimpleLookup($O43,Definitions!$AE:$AF))</f>
        <v>4</v>
      </c>
    </row>
    <row r="44" spans="2:32" ht="15">
      <c r="B44" s="16" t="str">
        <f ca="1">OFFSET(Risks!$A$2,ROW()-ROW($B$5),0)</f>
        <v/>
      </c>
      <c r="C44" s="33" t="str" cm="1">
        <f t="array" ca="1" aca="1" ref="C44">IF($B44="","",IFERROR(SimpleLookup($B44,'Risk Treatment'!$C:D),"Please ensure that all risks are covered in the "&amp;Helper!$G$14&amp;" sheet. Currently, these risks are not covered: "&amp;'Risk Treatment'!$D$2&amp;"."))</f>
        <v/>
      </c>
      <c r="D44" s="37" t="str" cm="1">
        <f t="array" ca="1" aca="1" ref="D44">IF($B44="","",IFERROR(SimpleLookup($B44,'Risk Treatment'!$C:K),"Please ensure that all risks are covered in the "&amp;Helper!$G$14&amp;" sheet. Currently, these risks are not covered: "&amp;'Risk Treatment'!$D$2&amp;"."))</f>
        <v/>
      </c>
      <c r="E44" s="16" t="str" cm="1">
        <f t="array" ca="1" aca="1" ref="E44">IF($B44="","",IFERROR(SimpleLookup($B44,'Risk Treatment'!$C:L),"Please ensure that all risks are covered in the "&amp;Helper!$G$14&amp;" sheet. Currently, these risks are not covered: "&amp;'Risk Treatment'!$D$2&amp;"."))</f>
        <v/>
      </c>
      <c r="F44" s="34" t="str" cm="1">
        <f t="array" ca="1" aca="1" ref="F44">IF($B44="","",IFERROR(SimpleLookup($B44,'Risk Treatment'!$C:M),"Please ensure that all risks are covered in the "&amp;Helper!$G$14&amp;" sheet. Currently, these risks are not covered: "&amp;'Risk Treatment'!$D$2&amp;"."))</f>
        <v/>
      </c>
      <c r="G44" s="16" t="str" cm="1">
        <f t="array" ca="1" aca="1" ref="G44">IF($B44="","",IFERROR(SimpleLookup($B44,'Risk Treatment'!$C:N),"Please ensure that all risks are covered in the "&amp;Helper!$G$14&amp;" sheet. Currently, these risks are not covered: "&amp;'Risk Treatment'!$D$2&amp;"."))</f>
        <v/>
      </c>
      <c r="H44" s="16" t="str" cm="1">
        <f t="array" ca="1" aca="1" ref="H44">IF($B44="","",IFERROR(SimpleLookup($B44,'Risk Treatment'!$C:J),"Please ensure that all risks are covered in the "&amp;Helper!$G$14&amp;" sheet. Currently, these risks are not covered: "&amp;'Risk Treatment'!$D$2&amp;"."))</f>
        <v/>
      </c>
      <c r="I44" s="33" t="str" cm="1">
        <f t="array" ca="1" aca="1" ref="I44">IF($B44="","",IFERROR(SimpleLookup($B44,'Risk Treatment'!$C:O),"Please ensure that all risks are covered in the "&amp;Helper!$G$14&amp;" sheet. Currently, these risks are not covered: "&amp;'Risk Treatment'!$D$2&amp;"."))</f>
        <v/>
      </c>
      <c r="J44" s="33" t="str" cm="1">
        <f t="array" ca="1" aca="1" ref="J44">_xlfn.LET(_xlpm._assignedMitigations,IF($B44="","",IFERROR(RemoveDelimiter(GetValuesWithFallback($Z44,Countermeasures!$A:$B,Assumptions!$A:$B," ",","&amp;CHAR(10),TRUE),","&amp;CHAR(10)),"Error: Unknown risk ID "&amp;$B44)),_xlpm._inlineMitigations,$AE44,_xlpm._assignedMitigations&amp;IF(OR(_xlpm._assignedMitigations="",_xlpm._inlineMitigations=""),"",","&amp;CHAR(10))&amp;_xlpm._inlineMitigations)</f>
        <v/>
      </c>
      <c r="K44" s="37" t="str" cm="1">
        <f t="array" ca="1" aca="1" ref="K44">IF($AC44=-1,"",RemoveDelimiter(GetValues(INDEX(Risks!BN:BN,$AC44),'DS Overview'!$A:$B," ",","&amp;CHAR(10),TRUE),","&amp;CHAR(10)))</f>
        <v/>
      </c>
      <c r="L44" s="33" t="str" cm="1">
        <f t="array" ca="1" aca="1" ref="L44">IF($AC44=-1,"",INDEX(Risks!BP:BP,$AC44))</f>
        <v/>
      </c>
      <c r="M44" s="34" t="str" cm="1">
        <f t="array" ca="1" aca="1" ref="M44">_xlfn.LET(_xlpm._calculatedRAP,IFERROR(SimpleLookup($B44,Risks!$A:$BG),""),_xlpm._inlineRAP,IFERROR(SimpleLookup($B44,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44,_xlpm._mitigationSheetName&amp;" sheet "&amp;_xlfn.UNICHAR(8702)&amp;" Comment column:"&amp;CHAR(10)&amp;$AE44)))</f>
        <v/>
      </c>
      <c r="N44" s="33" t="str" cm="1">
        <f t="array" ca="1" aca="1" ref="N44">IF($AC44=-1,"",INDEX(Risks!CN:CN,$AC44))</f>
        <v>Basic</v>
      </c>
      <c r="O44" s="33" t="str" cm="1">
        <f t="array" ca="1" aca="1" ref="O44">IF($AC44=-1,"",INDEX(Risks!CO:CO,$AC44))</f>
        <v>No Risk</v>
      </c>
      <c r="P44" s="33" t="str">
        <f ca="1">IF($C44="","",IF($AF44&lt;=Definitions!$AF$6,Definitions!$M$4,""))</f>
        <v/>
      </c>
      <c r="Q44" s="23"/>
      <c r="R44" s="33" t="str">
        <f t="shared" ca="1" si="1"/>
        <v/>
      </c>
      <c r="S44" s="23"/>
      <c r="T44" s="13"/>
      <c r="U44" s="10" cm="1">
        <f t="array" ca="1" aca="1" ref="U44">GenerateShadowID(ROW(),$U$5,$U:$U,0,B44&lt;&gt;"")</f>
        <v>38</v>
      </c>
      <c r="V44" s="10" cm="1">
        <f t="array" ref="V44">CreateTaskID($V$5,$V:$V,Tasks!$B$17,$T44)</f>
        <v>0</v>
      </c>
      <c r="W44" s="14" t="str" cm="1">
        <f t="array" ca="1" aca="1" ref="W44">IF($B44="","",SimpleLookup($B44,'Risk Treatment'!$C:$AW))</f>
        <v/>
      </c>
      <c r="X44" s="14" t="str" cm="1">
        <f t="array" ca="1" aca="1" ref="X44">IF($B44="","",_xlfn.LET(_xlpm._attackSteps,SimpleLookup($B44,'Risk Treatment'!$C:$Y),GetValues(_xlpm._attackSteps,Mitigation!$A:$AG,"",CHAR(1),FALSE)))</f>
        <v/>
      </c>
      <c r="Y44" s="14" t="str" cm="1">
        <f t="array" ca="1" aca="1" ref="Y44">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44,CHAR(1))</f>
        <v/>
      </c>
      <c r="Z44" s="14" t="str" cm="1">
        <f t="array" ca="1" aca="1" ref="Z44">FilterElementsFromList($W44,Helper!$J$4,TRUE,",")</f>
        <v/>
      </c>
      <c r="AA44" s="14" t="str" cm="1">
        <f t="array" ca="1" aca="1" ref="AA44">FilterElementsFromList($Y44,Helper!$J$4,TRUE,",")</f>
        <v/>
      </c>
      <c r="AB44" s="20" t="str" cm="1">
        <f t="array" ca="1" aca="1" ref="AB44">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44,CreateSearchString($AA44),CHAR(1),","&amp;CHAR(10))</f>
        <v/>
      </c>
      <c r="AC44" s="20">
        <f ca="1">IFERROR(MATCH($B44,Risks!$A:$A,0),-1)</f>
        <v>41</v>
      </c>
      <c r="AD44" s="20" t="str" cm="1">
        <f t="array" ca="1" aca="1" ref="AD44">IF($B44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44,Risks!$A:CA,Definitions!$Y:$Y,Definitions!$AB:$AB,1)&amp;CHAR(10)&amp;_xlpm._factorFunction($B44,Risks!$A:CB,Definitions!$Y:$Y,Definitions!$AB:$AB,2)&amp;CHAR(10)&amp;_xlpm._factorFunction($B44,Risks!$A:CC,Definitions!$Y:$Y,Definitions!$AB:$AB,3)&amp;CHAR(10)&amp;_xlpm._factorFunction($B44,Risks!$A:CD,Definitions!$Y:$Y,Definitions!$AB:$AB,4)&amp;CHAR(10)&amp;_xlpm._factorFunction($B44,Risks!$A:CE,Definitions!$Y:$Y,Definitions!$AB:$AB,5)))</f>
        <v/>
      </c>
      <c r="AE44" s="20" t="str" cm="1">
        <f t="array" ca="1" aca="1" ref="AE44">RemoveDelimiter(SUBSTITUTE(SUBSTITUTE($AB44,"{",""),"}",""),","&amp;CHAR(10))</f>
        <v/>
      </c>
      <c r="AF44" s="20" cm="1">
        <f t="array" ca="1" aca="1" ref="AF44">IF($O44="",0,SimpleLookup($O44,Definitions!$AE:$AF))</f>
        <v>0</v>
      </c>
    </row>
    <row r="45" spans="2:32" ht="15">
      <c r="B45" s="16" t="str">
        <f ca="1">OFFSET(Risks!$A$2,ROW()-ROW($B$5),0)</f>
        <v/>
      </c>
      <c r="C45" s="33" t="str" cm="1">
        <f t="array" ca="1" aca="1" ref="C45">IF($B45="","",IFERROR(SimpleLookup($B45,'Risk Treatment'!$C:D),"Please ensure that all risks are covered in the "&amp;Helper!$G$14&amp;" sheet. Currently, these risks are not covered: "&amp;'Risk Treatment'!$D$2&amp;"."))</f>
        <v/>
      </c>
      <c r="D45" s="37" t="str" cm="1">
        <f t="array" ca="1" aca="1" ref="D45">IF($B45="","",IFERROR(SimpleLookup($B45,'Risk Treatment'!$C:K),"Please ensure that all risks are covered in the "&amp;Helper!$G$14&amp;" sheet. Currently, these risks are not covered: "&amp;'Risk Treatment'!$D$2&amp;"."))</f>
        <v/>
      </c>
      <c r="E45" s="16" t="str" cm="1">
        <f t="array" ca="1" aca="1" ref="E45">IF($B45="","",IFERROR(SimpleLookup($B45,'Risk Treatment'!$C:L),"Please ensure that all risks are covered in the "&amp;Helper!$G$14&amp;" sheet. Currently, these risks are not covered: "&amp;'Risk Treatment'!$D$2&amp;"."))</f>
        <v/>
      </c>
      <c r="F45" s="34" t="str" cm="1">
        <f t="array" ca="1" aca="1" ref="F45">IF($B45="","",IFERROR(SimpleLookup($B45,'Risk Treatment'!$C:M),"Please ensure that all risks are covered in the "&amp;Helper!$G$14&amp;" sheet. Currently, these risks are not covered: "&amp;'Risk Treatment'!$D$2&amp;"."))</f>
        <v/>
      </c>
      <c r="G45" s="16" t="str" cm="1">
        <f t="array" ca="1" aca="1" ref="G45">IF($B45="","",IFERROR(SimpleLookup($B45,'Risk Treatment'!$C:N),"Please ensure that all risks are covered in the "&amp;Helper!$G$14&amp;" sheet. Currently, these risks are not covered: "&amp;'Risk Treatment'!$D$2&amp;"."))</f>
        <v/>
      </c>
      <c r="H45" s="16" t="str" cm="1">
        <f t="array" ca="1" aca="1" ref="H45">IF($B45="","",IFERROR(SimpleLookup($B45,'Risk Treatment'!$C:J),"Please ensure that all risks are covered in the "&amp;Helper!$G$14&amp;" sheet. Currently, these risks are not covered: "&amp;'Risk Treatment'!$D$2&amp;"."))</f>
        <v/>
      </c>
      <c r="I45" s="33" t="str" cm="1">
        <f t="array" ca="1" aca="1" ref="I45">IF($B45="","",IFERROR(SimpleLookup($B45,'Risk Treatment'!$C:O),"Please ensure that all risks are covered in the "&amp;Helper!$G$14&amp;" sheet. Currently, these risks are not covered: "&amp;'Risk Treatment'!$D$2&amp;"."))</f>
        <v/>
      </c>
      <c r="J45" s="33" t="str" cm="1">
        <f t="array" ca="1" aca="1" ref="J45">_xlfn.LET(_xlpm._assignedMitigations,IF($B45="","",IFERROR(RemoveDelimiter(GetValuesWithFallback($Z45,Countermeasures!$A:$B,Assumptions!$A:$B," ",","&amp;CHAR(10),TRUE),","&amp;CHAR(10)),"Error: Unknown risk ID "&amp;$B45)),_xlpm._inlineMitigations,$AE45,_xlpm._assignedMitigations&amp;IF(OR(_xlpm._assignedMitigations="",_xlpm._inlineMitigations=""),"",","&amp;CHAR(10))&amp;_xlpm._inlineMitigations)</f>
        <v/>
      </c>
      <c r="K45" s="37" t="str" cm="1">
        <f t="array" ca="1" aca="1" ref="K45">IF($AC45=-1,"",RemoveDelimiter(GetValues(INDEX(Risks!BN:BN,$AC45),'DS Overview'!$A:$B," ",","&amp;CHAR(10),TRUE),","&amp;CHAR(10)))</f>
        <v/>
      </c>
      <c r="L45" s="33" t="str" cm="1">
        <f t="array" ca="1" aca="1" ref="L45">IF($AC45=-1,"",INDEX(Risks!BP:BP,$AC45))</f>
        <v/>
      </c>
      <c r="M45" s="34" t="str" cm="1">
        <f t="array" ca="1" aca="1" ref="M45">_xlfn.LET(_xlpm._calculatedRAP,IFERROR(SimpleLookup($B45,Risks!$A:$BG),""),_xlpm._inlineRAP,IFERROR(SimpleLookup($B45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45,_xlpm._mitigationSheetName&amp;" sheet "&amp;_xlfn.UNICHAR(8702)&amp;" Comment column:"&amp;CHAR(10)&amp;$AE45)))</f>
        <v/>
      </c>
      <c r="N45" s="33" t="str" cm="1">
        <f t="array" ca="1" aca="1" ref="N45">IF($AC45=-1,"",INDEX(Risks!CN:CN,$AC45))</f>
        <v>Basic</v>
      </c>
      <c r="O45" s="33" t="str" cm="1">
        <f t="array" ca="1" aca="1" ref="O45">IF($AC45=-1,"",INDEX(Risks!CO:CO,$AC45))</f>
        <v>No Risk</v>
      </c>
      <c r="P45" s="33" t="str">
        <f ca="1">IF($C45="","",IF($AF45&lt;=Definitions!$AF$6,Definitions!$M$4,""))</f>
        <v/>
      </c>
      <c r="Q45" s="23"/>
      <c r="R45" s="33" t="str">
        <f t="shared" ca="1" si="1"/>
        <v/>
      </c>
      <c r="S45" s="23"/>
      <c r="T45" s="13"/>
      <c r="U45" s="10" cm="1">
        <f t="array" ca="1" aca="1" ref="U45">GenerateShadowID(ROW(),$U$5,$U:$U,0,B45&lt;&gt;"")</f>
        <v>38</v>
      </c>
      <c r="V45" s="10" cm="1">
        <f t="array" ref="V45">CreateTaskID($V$5,$V:$V,Tasks!$B$17,$T45)</f>
        <v>0</v>
      </c>
      <c r="W45" s="14" t="str" cm="1">
        <f t="array" ca="1" aca="1" ref="W45">IF($B45="","",SimpleLookup($B45,'Risk Treatment'!$C:$AW))</f>
        <v/>
      </c>
      <c r="X45" s="14" t="str" cm="1">
        <f t="array" ca="1" aca="1" ref="X45">IF($B45="","",_xlfn.LET(_xlpm._attackSteps,SimpleLookup($B45,'Risk Treatment'!$C:$Y),GetValues(_xlpm._attackSteps,Mitigation!$A:$AG,"",CHAR(1),FALSE)))</f>
        <v/>
      </c>
      <c r="Y45" s="14" t="str" cm="1">
        <f t="array" ca="1" aca="1" ref="Y45">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45,CHAR(1))</f>
        <v/>
      </c>
      <c r="Z45" s="14" t="str" cm="1">
        <f t="array" ca="1" aca="1" ref="Z45">FilterElementsFromList($W45,Helper!$J$4,TRUE,",")</f>
        <v/>
      </c>
      <c r="AA45" s="14" t="str" cm="1">
        <f t="array" ca="1" aca="1" ref="AA45">FilterElementsFromList($Y45,Helper!$J$4,TRUE,",")</f>
        <v/>
      </c>
      <c r="AB45" s="20" t="str" cm="1">
        <f t="array" ca="1" aca="1" ref="AB45">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45,CreateSearchString($AA45),CHAR(1),","&amp;CHAR(10))</f>
        <v/>
      </c>
      <c r="AC45" s="20">
        <f ca="1">IFERROR(MATCH($B45,Risks!$A:$A,0),-1)</f>
        <v>41</v>
      </c>
      <c r="AD45" s="20" t="str" cm="1">
        <f t="array" ca="1" aca="1" ref="AD45">IF($B45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45,Risks!$A:CA,Definitions!$Y:$Y,Definitions!$AB:$AB,1)&amp;CHAR(10)&amp;_xlpm._factorFunction($B45,Risks!$A:CB,Definitions!$Y:$Y,Definitions!$AB:$AB,2)&amp;CHAR(10)&amp;_xlpm._factorFunction($B45,Risks!$A:CC,Definitions!$Y:$Y,Definitions!$AB:$AB,3)&amp;CHAR(10)&amp;_xlpm._factorFunction($B45,Risks!$A:CD,Definitions!$Y:$Y,Definitions!$AB:$AB,4)&amp;CHAR(10)&amp;_xlpm._factorFunction($B45,Risks!$A:CE,Definitions!$Y:$Y,Definitions!$AB:$AB,5)))</f>
        <v/>
      </c>
      <c r="AE45" s="20" t="str" cm="1">
        <f t="array" ca="1" aca="1" ref="AE45">RemoveDelimiter(SUBSTITUTE(SUBSTITUTE($AB45,"{",""),"}",""),","&amp;CHAR(10))</f>
        <v/>
      </c>
      <c r="AF45" s="20" cm="1">
        <f t="array" ca="1" aca="1" ref="AF45">IF($O45="",0,SimpleLookup($O45,Definitions!$AE:$AF))</f>
        <v>0</v>
      </c>
    </row>
    <row r="46" spans="2:32" ht="15">
      <c r="B46" s="16" t="str">
        <f ca="1">OFFSET(Risks!$A$2,ROW()-ROW($B$5),0)</f>
        <v/>
      </c>
      <c r="C46" s="33" t="str" cm="1">
        <f t="array" ca="1" aca="1" ref="C46">IF($B46="","",IFERROR(SimpleLookup($B46,'Risk Treatment'!$C:D),"Please ensure that all risks are covered in the "&amp;Helper!$G$14&amp;" sheet. Currently, these risks are not covered: "&amp;'Risk Treatment'!$D$2&amp;"."))</f>
        <v/>
      </c>
      <c r="D46" s="37" t="str" cm="1">
        <f t="array" ca="1" aca="1" ref="D46">IF($B46="","",IFERROR(SimpleLookup($B46,'Risk Treatment'!$C:K),"Please ensure that all risks are covered in the "&amp;Helper!$G$14&amp;" sheet. Currently, these risks are not covered: "&amp;'Risk Treatment'!$D$2&amp;"."))</f>
        <v/>
      </c>
      <c r="E46" s="16" t="str" cm="1">
        <f t="array" ca="1" aca="1" ref="E46">IF($B46="","",IFERROR(SimpleLookup($B46,'Risk Treatment'!$C:L),"Please ensure that all risks are covered in the "&amp;Helper!$G$14&amp;" sheet. Currently, these risks are not covered: "&amp;'Risk Treatment'!$D$2&amp;"."))</f>
        <v/>
      </c>
      <c r="F46" s="34" t="str" cm="1">
        <f t="array" ca="1" aca="1" ref="F46">IF($B46="","",IFERROR(SimpleLookup($B46,'Risk Treatment'!$C:M),"Please ensure that all risks are covered in the "&amp;Helper!$G$14&amp;" sheet. Currently, these risks are not covered: "&amp;'Risk Treatment'!$D$2&amp;"."))</f>
        <v/>
      </c>
      <c r="G46" s="16" t="str" cm="1">
        <f t="array" ca="1" aca="1" ref="G46">IF($B46="","",IFERROR(SimpleLookup($B46,'Risk Treatment'!$C:N),"Please ensure that all risks are covered in the "&amp;Helper!$G$14&amp;" sheet. Currently, these risks are not covered: "&amp;'Risk Treatment'!$D$2&amp;"."))</f>
        <v/>
      </c>
      <c r="H46" s="16" t="str" cm="1">
        <f t="array" ca="1" aca="1" ref="H46">IF($B46="","",IFERROR(SimpleLookup($B46,'Risk Treatment'!$C:J),"Please ensure that all risks are covered in the "&amp;Helper!$G$14&amp;" sheet. Currently, these risks are not covered: "&amp;'Risk Treatment'!$D$2&amp;"."))</f>
        <v/>
      </c>
      <c r="I46" s="33" t="str" cm="1">
        <f t="array" ca="1" aca="1" ref="I46">IF($B46="","",IFERROR(SimpleLookup($B46,'Risk Treatment'!$C:O),"Please ensure that all risks are covered in the "&amp;Helper!$G$14&amp;" sheet. Currently, these risks are not covered: "&amp;'Risk Treatment'!$D$2&amp;"."))</f>
        <v/>
      </c>
      <c r="J46" s="33" t="str" cm="1">
        <f t="array" ca="1" aca="1" ref="J46">_xlfn.LET(_xlpm._assignedMitigations,IF($B46="","",IFERROR(RemoveDelimiter(GetValuesWithFallback($Z46,Countermeasures!$A:$B,Assumptions!$A:$B," ",","&amp;CHAR(10),TRUE),","&amp;CHAR(10)),"Error: Unknown risk ID "&amp;$B46)),_xlpm._inlineMitigations,$AE46,_xlpm._assignedMitigations&amp;IF(OR(_xlpm._assignedMitigations="",_xlpm._inlineMitigations=""),"",","&amp;CHAR(10))&amp;_xlpm._inlineMitigations)</f>
        <v/>
      </c>
      <c r="K46" s="37" t="str" cm="1">
        <f t="array" ca="1" aca="1" ref="K46">IF($AC46=-1,"",RemoveDelimiter(GetValues(INDEX(Risks!BN:BN,$AC46),'DS Overview'!$A:$B," ",","&amp;CHAR(10),TRUE),","&amp;CHAR(10)))</f>
        <v/>
      </c>
      <c r="L46" s="33" t="str" cm="1">
        <f t="array" ca="1" aca="1" ref="L46">IF($AC46=-1,"",INDEX(Risks!BP:BP,$AC46))</f>
        <v/>
      </c>
      <c r="M46" s="34" t="str" cm="1">
        <f t="array" ca="1" aca="1" ref="M46">_xlfn.LET(_xlpm._calculatedRAP,IFERROR(SimpleLookup($B46,Risks!$A:$BG),""),_xlpm._inlineRAP,IFERROR(SimpleLookup($B46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46,_xlpm._mitigationSheetName&amp;" sheet "&amp;_xlfn.UNICHAR(8702)&amp;" Comment column:"&amp;CHAR(10)&amp;$AE46)))</f>
        <v/>
      </c>
      <c r="N46" s="33" t="str" cm="1">
        <f t="array" ca="1" aca="1" ref="N46">IF($AC46=-1,"",INDEX(Risks!CN:CN,$AC46))</f>
        <v>Basic</v>
      </c>
      <c r="O46" s="33" t="str" cm="1">
        <f t="array" ca="1" aca="1" ref="O46">IF($AC46=-1,"",INDEX(Risks!CO:CO,$AC46))</f>
        <v>No Risk</v>
      </c>
      <c r="P46" s="33" t="str">
        <f ca="1">IF($C46="","",IF($AF46&lt;=Definitions!$AF$6,Definitions!$M$4,""))</f>
        <v/>
      </c>
      <c r="Q46" s="23"/>
      <c r="R46" s="33" t="str">
        <f t="shared" ca="1" si="1"/>
        <v/>
      </c>
      <c r="S46" s="23"/>
      <c r="T46" s="13"/>
      <c r="U46" s="10" cm="1">
        <f t="array" ca="1" aca="1" ref="U46">GenerateShadowID(ROW(),$U$5,$U:$U,0,B46&lt;&gt;"")</f>
        <v>38</v>
      </c>
      <c r="V46" s="10" cm="1">
        <f t="array" ref="V46">CreateTaskID($V$5,$V:$V,Tasks!$B$17,$T46)</f>
        <v>0</v>
      </c>
      <c r="W46" s="14" t="str" cm="1">
        <f t="array" ca="1" aca="1" ref="W46">IF($B46="","",SimpleLookup($B46,'Risk Treatment'!$C:$AW))</f>
        <v/>
      </c>
      <c r="X46" s="14" t="str" cm="1">
        <f t="array" ca="1" aca="1" ref="X46">IF($B46="","",_xlfn.LET(_xlpm._attackSteps,SimpleLookup($B46,'Risk Treatment'!$C:$Y),GetValues(_xlpm._attackSteps,Mitigation!$A:$AG,"",CHAR(1),FALSE)))</f>
        <v/>
      </c>
      <c r="Y46" s="14" t="str" cm="1">
        <f t="array" ca="1" aca="1" ref="Y4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46,CHAR(1))</f>
        <v/>
      </c>
      <c r="Z46" s="14" t="str" cm="1">
        <f t="array" ca="1" aca="1" ref="Z46">FilterElementsFromList($W46,Helper!$J$4,TRUE,",")</f>
        <v/>
      </c>
      <c r="AA46" s="14" t="str" cm="1">
        <f t="array" ca="1" aca="1" ref="AA46">FilterElementsFromList($Y46,Helper!$J$4,TRUE,",")</f>
        <v/>
      </c>
      <c r="AB46" s="20" t="str" cm="1">
        <f t="array" ca="1" aca="1" ref="AB4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46,CreateSearchString($AA46),CHAR(1),","&amp;CHAR(10))</f>
        <v/>
      </c>
      <c r="AC46" s="20">
        <f ca="1">IFERROR(MATCH($B46,Risks!$A:$A,0),-1)</f>
        <v>41</v>
      </c>
      <c r="AD46" s="20" t="str" cm="1">
        <f t="array" ca="1" aca="1" ref="AD46">IF($B46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46,Risks!$A:CA,Definitions!$Y:$Y,Definitions!$AB:$AB,1)&amp;CHAR(10)&amp;_xlpm._factorFunction($B46,Risks!$A:CB,Definitions!$Y:$Y,Definitions!$AB:$AB,2)&amp;CHAR(10)&amp;_xlpm._factorFunction($B46,Risks!$A:CC,Definitions!$Y:$Y,Definitions!$AB:$AB,3)&amp;CHAR(10)&amp;_xlpm._factorFunction($B46,Risks!$A:CD,Definitions!$Y:$Y,Definitions!$AB:$AB,4)&amp;CHAR(10)&amp;_xlpm._factorFunction($B46,Risks!$A:CE,Definitions!$Y:$Y,Definitions!$AB:$AB,5)))</f>
        <v/>
      </c>
      <c r="AE46" s="20" t="str" cm="1">
        <f t="array" ca="1" aca="1" ref="AE46">RemoveDelimiter(SUBSTITUTE(SUBSTITUTE($AB46,"{",""),"}",""),","&amp;CHAR(10))</f>
        <v/>
      </c>
      <c r="AF46" s="20" cm="1">
        <f t="array" ca="1" aca="1" ref="AF46">IF($O46="",0,SimpleLookup($O46,Definitions!$AE:$AF))</f>
        <v>0</v>
      </c>
    </row>
    <row r="47" spans="2:32" ht="15">
      <c r="B47" s="16" t="str">
        <f ca="1">OFFSET(Risks!$A$2,ROW()-ROW($B$5),0)</f>
        <v/>
      </c>
      <c r="C47" s="33" t="str" cm="1">
        <f t="array" ca="1" aca="1" ref="C47">IF($B47="","",IFERROR(SimpleLookup($B47,'Risk Treatment'!$C:D),"Please ensure that all risks are covered in the "&amp;Helper!$G$14&amp;" sheet. Currently, these risks are not covered: "&amp;'Risk Treatment'!$D$2&amp;"."))</f>
        <v/>
      </c>
      <c r="D47" s="37" t="str" cm="1">
        <f t="array" ca="1" aca="1" ref="D47">IF($B47="","",IFERROR(SimpleLookup($B47,'Risk Treatment'!$C:K),"Please ensure that all risks are covered in the "&amp;Helper!$G$14&amp;" sheet. Currently, these risks are not covered: "&amp;'Risk Treatment'!$D$2&amp;"."))</f>
        <v/>
      </c>
      <c r="E47" s="16" t="str" cm="1">
        <f t="array" ca="1" aca="1" ref="E47">IF($B47="","",IFERROR(SimpleLookup($B47,'Risk Treatment'!$C:L),"Please ensure that all risks are covered in the "&amp;Helper!$G$14&amp;" sheet. Currently, these risks are not covered: "&amp;'Risk Treatment'!$D$2&amp;"."))</f>
        <v/>
      </c>
      <c r="F47" s="34" t="str" cm="1">
        <f t="array" ca="1" aca="1" ref="F47">IF($B47="","",IFERROR(SimpleLookup($B47,'Risk Treatment'!$C:M),"Please ensure that all risks are covered in the "&amp;Helper!$G$14&amp;" sheet. Currently, these risks are not covered: "&amp;'Risk Treatment'!$D$2&amp;"."))</f>
        <v/>
      </c>
      <c r="G47" s="16" t="str" cm="1">
        <f t="array" ca="1" aca="1" ref="G47">IF($B47="","",IFERROR(SimpleLookup($B47,'Risk Treatment'!$C:N),"Please ensure that all risks are covered in the "&amp;Helper!$G$14&amp;" sheet. Currently, these risks are not covered: "&amp;'Risk Treatment'!$D$2&amp;"."))</f>
        <v/>
      </c>
      <c r="H47" s="16" t="str" cm="1">
        <f t="array" ca="1" aca="1" ref="H47">IF($B47="","",IFERROR(SimpleLookup($B47,'Risk Treatment'!$C:J),"Please ensure that all risks are covered in the "&amp;Helper!$G$14&amp;" sheet. Currently, these risks are not covered: "&amp;'Risk Treatment'!$D$2&amp;"."))</f>
        <v/>
      </c>
      <c r="I47" s="33" t="str" cm="1">
        <f t="array" ca="1" aca="1" ref="I47">IF($B47="","",IFERROR(SimpleLookup($B47,'Risk Treatment'!$C:O),"Please ensure that all risks are covered in the "&amp;Helper!$G$14&amp;" sheet. Currently, these risks are not covered: "&amp;'Risk Treatment'!$D$2&amp;"."))</f>
        <v/>
      </c>
      <c r="J47" s="33" t="str" cm="1">
        <f t="array" ca="1" aca="1" ref="J47">_xlfn.LET(_xlpm._assignedMitigations,IF($B47="","",IFERROR(RemoveDelimiter(GetValuesWithFallback($Z47,Countermeasures!$A:$B,Assumptions!$A:$B," ",","&amp;CHAR(10),TRUE),","&amp;CHAR(10)),"Error: Unknown risk ID "&amp;$B47)),_xlpm._inlineMitigations,$AE47,_xlpm._assignedMitigations&amp;IF(OR(_xlpm._assignedMitigations="",_xlpm._inlineMitigations=""),"",","&amp;CHAR(10))&amp;_xlpm._inlineMitigations)</f>
        <v/>
      </c>
      <c r="K47" s="37" t="str" cm="1">
        <f t="array" ca="1" aca="1" ref="K47">IF($AC47=-1,"",RemoveDelimiter(GetValues(INDEX(Risks!BN:BN,$AC47),'DS Overview'!$A:$B," ",","&amp;CHAR(10),TRUE),","&amp;CHAR(10)))</f>
        <v/>
      </c>
      <c r="L47" s="33" t="str" cm="1">
        <f t="array" ca="1" aca="1" ref="L47">IF($AC47=-1,"",INDEX(Risks!BP:BP,$AC47))</f>
        <v/>
      </c>
      <c r="M47" s="34" t="str" cm="1">
        <f t="array" ca="1" aca="1" ref="M47">_xlfn.LET(_xlpm._calculatedRAP,IFERROR(SimpleLookup($B47,Risks!$A:$BG),""),_xlpm._inlineRAP,IFERROR(SimpleLookup($B47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47,_xlpm._mitigationSheetName&amp;" sheet "&amp;_xlfn.UNICHAR(8702)&amp;" Comment column:"&amp;CHAR(10)&amp;$AE47)))</f>
        <v/>
      </c>
      <c r="N47" s="33" t="str" cm="1">
        <f t="array" ca="1" aca="1" ref="N47">IF($AC47=-1,"",INDEX(Risks!CN:CN,$AC47))</f>
        <v>Basic</v>
      </c>
      <c r="O47" s="33" t="str" cm="1">
        <f t="array" ca="1" aca="1" ref="O47">IF($AC47=-1,"",INDEX(Risks!CO:CO,$AC47))</f>
        <v>No Risk</v>
      </c>
      <c r="P47" s="33" t="str">
        <f ca="1">IF($C47="","",IF($AF47&lt;=Definitions!$AF$6,Definitions!$M$4,""))</f>
        <v/>
      </c>
      <c r="Q47" s="23"/>
      <c r="R47" s="33" t="str">
        <f t="shared" ca="1" si="1"/>
        <v/>
      </c>
      <c r="S47" s="23"/>
      <c r="T47" s="13"/>
      <c r="U47" s="10" cm="1">
        <f t="array" ca="1" aca="1" ref="U47">GenerateShadowID(ROW(),$U$5,$U:$U,0,B47&lt;&gt;"")</f>
        <v>38</v>
      </c>
      <c r="V47" s="10" cm="1">
        <f t="array" ref="V47">CreateTaskID($V$5,$V:$V,Tasks!$B$17,$T47)</f>
        <v>0</v>
      </c>
      <c r="W47" s="14" t="str" cm="1">
        <f t="array" ca="1" aca="1" ref="W47">IF($B47="","",SimpleLookup($B47,'Risk Treatment'!$C:$AW))</f>
        <v/>
      </c>
      <c r="X47" s="14" t="str" cm="1">
        <f t="array" ca="1" aca="1" ref="X47">IF($B47="","",_xlfn.LET(_xlpm._attackSteps,SimpleLookup($B47,'Risk Treatment'!$C:$Y),GetValues(_xlpm._attackSteps,Mitigation!$A:$AG,"",CHAR(1),FALSE)))</f>
        <v/>
      </c>
      <c r="Y47" s="14" t="str" cm="1">
        <f t="array" ca="1" aca="1" ref="Y4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47,CHAR(1))</f>
        <v/>
      </c>
      <c r="Z47" s="14" t="str" cm="1">
        <f t="array" ca="1" aca="1" ref="Z47">FilterElementsFromList($W47,Helper!$J$4,TRUE,",")</f>
        <v/>
      </c>
      <c r="AA47" s="14" t="str" cm="1">
        <f t="array" ca="1" aca="1" ref="AA47">FilterElementsFromList($Y47,Helper!$J$4,TRUE,",")</f>
        <v/>
      </c>
      <c r="AB47" s="20" t="str" cm="1">
        <f t="array" ca="1" aca="1" ref="AB4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47,CreateSearchString($AA47),CHAR(1),","&amp;CHAR(10))</f>
        <v/>
      </c>
      <c r="AC47" s="20">
        <f ca="1">IFERROR(MATCH($B47,Risks!$A:$A,0),-1)</f>
        <v>41</v>
      </c>
      <c r="AD47" s="20" t="str" cm="1">
        <f t="array" ca="1" aca="1" ref="AD47">IF($B47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47,Risks!$A:CA,Definitions!$Y:$Y,Definitions!$AB:$AB,1)&amp;CHAR(10)&amp;_xlpm._factorFunction($B47,Risks!$A:CB,Definitions!$Y:$Y,Definitions!$AB:$AB,2)&amp;CHAR(10)&amp;_xlpm._factorFunction($B47,Risks!$A:CC,Definitions!$Y:$Y,Definitions!$AB:$AB,3)&amp;CHAR(10)&amp;_xlpm._factorFunction($B47,Risks!$A:CD,Definitions!$Y:$Y,Definitions!$AB:$AB,4)&amp;CHAR(10)&amp;_xlpm._factorFunction($B47,Risks!$A:CE,Definitions!$Y:$Y,Definitions!$AB:$AB,5)))</f>
        <v/>
      </c>
      <c r="AE47" s="20" t="str" cm="1">
        <f t="array" ca="1" aca="1" ref="AE47">RemoveDelimiter(SUBSTITUTE(SUBSTITUTE($AB47,"{",""),"}",""),","&amp;CHAR(10))</f>
        <v/>
      </c>
      <c r="AF47" s="20" cm="1">
        <f t="array" ca="1" aca="1" ref="AF47">IF($O47="",0,SimpleLookup($O47,Definitions!$AE:$AF))</f>
        <v>0</v>
      </c>
    </row>
    <row r="48" spans="2:32" ht="15">
      <c r="B48" s="16" t="str">
        <f ca="1">OFFSET(Risks!$A$2,ROW()-ROW($B$5),0)</f>
        <v/>
      </c>
      <c r="C48" s="33" t="str" cm="1">
        <f t="array" ca="1" aca="1" ref="C48">IF($B48="","",IFERROR(SimpleLookup($B48,'Risk Treatment'!$C:D),"Please ensure that all risks are covered in the "&amp;Helper!$G$14&amp;" sheet. Currently, these risks are not covered: "&amp;'Risk Treatment'!$D$2&amp;"."))</f>
        <v/>
      </c>
      <c r="D48" s="37" t="str" cm="1">
        <f t="array" ca="1" aca="1" ref="D48">IF($B48="","",IFERROR(SimpleLookup($B48,'Risk Treatment'!$C:K),"Please ensure that all risks are covered in the "&amp;Helper!$G$14&amp;" sheet. Currently, these risks are not covered: "&amp;'Risk Treatment'!$D$2&amp;"."))</f>
        <v/>
      </c>
      <c r="E48" s="16" t="str" cm="1">
        <f t="array" ca="1" aca="1" ref="E48">IF($B48="","",IFERROR(SimpleLookup($B48,'Risk Treatment'!$C:L),"Please ensure that all risks are covered in the "&amp;Helper!$G$14&amp;" sheet. Currently, these risks are not covered: "&amp;'Risk Treatment'!$D$2&amp;"."))</f>
        <v/>
      </c>
      <c r="F48" s="34" t="str" cm="1">
        <f t="array" ca="1" aca="1" ref="F48">IF($B48="","",IFERROR(SimpleLookup($B48,'Risk Treatment'!$C:M),"Please ensure that all risks are covered in the "&amp;Helper!$G$14&amp;" sheet. Currently, these risks are not covered: "&amp;'Risk Treatment'!$D$2&amp;"."))</f>
        <v/>
      </c>
      <c r="G48" s="16" t="str" cm="1">
        <f t="array" ca="1" aca="1" ref="G48">IF($B48="","",IFERROR(SimpleLookup($B48,'Risk Treatment'!$C:N),"Please ensure that all risks are covered in the "&amp;Helper!$G$14&amp;" sheet. Currently, these risks are not covered: "&amp;'Risk Treatment'!$D$2&amp;"."))</f>
        <v/>
      </c>
      <c r="H48" s="16" t="str" cm="1">
        <f t="array" ca="1" aca="1" ref="H48">IF($B48="","",IFERROR(SimpleLookup($B48,'Risk Treatment'!$C:J),"Please ensure that all risks are covered in the "&amp;Helper!$G$14&amp;" sheet. Currently, these risks are not covered: "&amp;'Risk Treatment'!$D$2&amp;"."))</f>
        <v/>
      </c>
      <c r="I48" s="33" t="str" cm="1">
        <f t="array" ca="1" aca="1" ref="I48">IF($B48="","",IFERROR(SimpleLookup($B48,'Risk Treatment'!$C:O),"Please ensure that all risks are covered in the "&amp;Helper!$G$14&amp;" sheet. Currently, these risks are not covered: "&amp;'Risk Treatment'!$D$2&amp;"."))</f>
        <v/>
      </c>
      <c r="J48" s="33" t="str" cm="1">
        <f t="array" ca="1" aca="1" ref="J48">_xlfn.LET(_xlpm._assignedMitigations,IF($B48="","",IFERROR(RemoveDelimiter(GetValuesWithFallback($Z48,Countermeasures!$A:$B,Assumptions!$A:$B," ",","&amp;CHAR(10),TRUE),","&amp;CHAR(10)),"Error: Unknown risk ID "&amp;$B48)),_xlpm._inlineMitigations,$AE48,_xlpm._assignedMitigations&amp;IF(OR(_xlpm._assignedMitigations="",_xlpm._inlineMitigations=""),"",","&amp;CHAR(10))&amp;_xlpm._inlineMitigations)</f>
        <v/>
      </c>
      <c r="K48" s="37" t="str" cm="1">
        <f t="array" ca="1" aca="1" ref="K48">IF($AC48=-1,"",RemoveDelimiter(GetValues(INDEX(Risks!BN:BN,$AC48),'DS Overview'!$A:$B," ",","&amp;CHAR(10),TRUE),","&amp;CHAR(10)))</f>
        <v/>
      </c>
      <c r="L48" s="33" t="str" cm="1">
        <f t="array" ca="1" aca="1" ref="L48">IF($AC48=-1,"",INDEX(Risks!BP:BP,$AC48))</f>
        <v/>
      </c>
      <c r="M48" s="34" t="str" cm="1">
        <f t="array" ca="1" aca="1" ref="M48">_xlfn.LET(_xlpm._calculatedRAP,IFERROR(SimpleLookup($B48,Risks!$A:$BG),""),_xlpm._inlineRAP,IFERROR(SimpleLookup($B48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48,_xlpm._mitigationSheetName&amp;" sheet "&amp;_xlfn.UNICHAR(8702)&amp;" Comment column:"&amp;CHAR(10)&amp;$AE48)))</f>
        <v/>
      </c>
      <c r="N48" s="33" t="str" cm="1">
        <f t="array" ca="1" aca="1" ref="N48">IF($AC48=-1,"",INDEX(Risks!CN:CN,$AC48))</f>
        <v>Basic</v>
      </c>
      <c r="O48" s="33" t="str" cm="1">
        <f t="array" ca="1" aca="1" ref="O48">IF($AC48=-1,"",INDEX(Risks!CO:CO,$AC48))</f>
        <v>No Risk</v>
      </c>
      <c r="P48" s="33" t="str">
        <f ca="1">IF($C48="","",IF($AF48&lt;=Definitions!$AF$6,Definitions!$M$4,""))</f>
        <v/>
      </c>
      <c r="Q48" s="23"/>
      <c r="R48" s="33" t="str">
        <f t="shared" ca="1" si="1"/>
        <v/>
      </c>
      <c r="S48" s="23"/>
      <c r="T48" s="13"/>
      <c r="U48" s="10" cm="1">
        <f t="array" ca="1" aca="1" ref="U48">GenerateShadowID(ROW(),$U$5,$U:$U,0,B48&lt;&gt;"")</f>
        <v>38</v>
      </c>
      <c r="V48" s="10" cm="1">
        <f t="array" ref="V48">CreateTaskID($V$5,$V:$V,Tasks!$B$17,$T48)</f>
        <v>0</v>
      </c>
      <c r="W48" s="14" t="str" cm="1">
        <f t="array" ca="1" aca="1" ref="W48">IF($B48="","",SimpleLookup($B48,'Risk Treatment'!$C:$AW))</f>
        <v/>
      </c>
      <c r="X48" s="14" t="str" cm="1">
        <f t="array" ca="1" aca="1" ref="X48">IF($B48="","",_xlfn.LET(_xlpm._attackSteps,SimpleLookup($B48,'Risk Treatment'!$C:$Y),GetValues(_xlpm._attackSteps,Mitigation!$A:$AG,"",CHAR(1),FALSE)))</f>
        <v/>
      </c>
      <c r="Y48" s="14" t="str" cm="1">
        <f t="array" ca="1" aca="1" ref="Y4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48,CHAR(1))</f>
        <v/>
      </c>
      <c r="Z48" s="14" t="str" cm="1">
        <f t="array" ca="1" aca="1" ref="Z48">FilterElementsFromList($W48,Helper!$J$4,TRUE,",")</f>
        <v/>
      </c>
      <c r="AA48" s="14" t="str" cm="1">
        <f t="array" ca="1" aca="1" ref="AA48">FilterElementsFromList($Y48,Helper!$J$4,TRUE,",")</f>
        <v/>
      </c>
      <c r="AB48" s="20" t="str" cm="1">
        <f t="array" ca="1" aca="1" ref="AB4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48,CreateSearchString($AA48),CHAR(1),","&amp;CHAR(10))</f>
        <v/>
      </c>
      <c r="AC48" s="20">
        <f ca="1">IFERROR(MATCH($B48,Risks!$A:$A,0),-1)</f>
        <v>41</v>
      </c>
      <c r="AD48" s="20" t="str" cm="1">
        <f t="array" ca="1" aca="1" ref="AD48">IF($B48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48,Risks!$A:CA,Definitions!$Y:$Y,Definitions!$AB:$AB,1)&amp;CHAR(10)&amp;_xlpm._factorFunction($B48,Risks!$A:CB,Definitions!$Y:$Y,Definitions!$AB:$AB,2)&amp;CHAR(10)&amp;_xlpm._factorFunction($B48,Risks!$A:CC,Definitions!$Y:$Y,Definitions!$AB:$AB,3)&amp;CHAR(10)&amp;_xlpm._factorFunction($B48,Risks!$A:CD,Definitions!$Y:$Y,Definitions!$AB:$AB,4)&amp;CHAR(10)&amp;_xlpm._factorFunction($B48,Risks!$A:CE,Definitions!$Y:$Y,Definitions!$AB:$AB,5)))</f>
        <v/>
      </c>
      <c r="AE48" s="20" t="str" cm="1">
        <f t="array" ca="1" aca="1" ref="AE48">RemoveDelimiter(SUBSTITUTE(SUBSTITUTE($AB48,"{",""),"}",""),","&amp;CHAR(10))</f>
        <v/>
      </c>
      <c r="AF48" s="20" cm="1">
        <f t="array" ca="1" aca="1" ref="AF48">IF($O48="",0,SimpleLookup($O48,Definitions!$AE:$AF))</f>
        <v>0</v>
      </c>
    </row>
    <row r="49" spans="2:32" ht="15">
      <c r="B49" s="16" t="str">
        <f ca="1">OFFSET(Risks!$A$2,ROW()-ROW($B$5),0)</f>
        <v/>
      </c>
      <c r="C49" s="33" t="str" cm="1">
        <f t="array" ca="1" aca="1" ref="C49">IF($B49="","",IFERROR(SimpleLookup($B49,'Risk Treatment'!$C:D),"Please ensure that all risks are covered in the "&amp;Helper!$G$14&amp;" sheet. Currently, these risks are not covered: "&amp;'Risk Treatment'!$D$2&amp;"."))</f>
        <v/>
      </c>
      <c r="D49" s="37" t="str" cm="1">
        <f t="array" ca="1" aca="1" ref="D49">IF($B49="","",IFERROR(SimpleLookup($B49,'Risk Treatment'!$C:K),"Please ensure that all risks are covered in the "&amp;Helper!$G$14&amp;" sheet. Currently, these risks are not covered: "&amp;'Risk Treatment'!$D$2&amp;"."))</f>
        <v/>
      </c>
      <c r="E49" s="16" t="str" cm="1">
        <f t="array" ca="1" aca="1" ref="E49">IF($B49="","",IFERROR(SimpleLookup($B49,'Risk Treatment'!$C:L),"Please ensure that all risks are covered in the "&amp;Helper!$G$14&amp;" sheet. Currently, these risks are not covered: "&amp;'Risk Treatment'!$D$2&amp;"."))</f>
        <v/>
      </c>
      <c r="F49" s="34" t="str" cm="1">
        <f t="array" ca="1" aca="1" ref="F49">IF($B49="","",IFERROR(SimpleLookup($B49,'Risk Treatment'!$C:M),"Please ensure that all risks are covered in the "&amp;Helper!$G$14&amp;" sheet. Currently, these risks are not covered: "&amp;'Risk Treatment'!$D$2&amp;"."))</f>
        <v/>
      </c>
      <c r="G49" s="16" t="str" cm="1">
        <f t="array" ca="1" aca="1" ref="G49">IF($B49="","",IFERROR(SimpleLookup($B49,'Risk Treatment'!$C:N),"Please ensure that all risks are covered in the "&amp;Helper!$G$14&amp;" sheet. Currently, these risks are not covered: "&amp;'Risk Treatment'!$D$2&amp;"."))</f>
        <v/>
      </c>
      <c r="H49" s="16" t="str" cm="1">
        <f t="array" ca="1" aca="1" ref="H49">IF($B49="","",IFERROR(SimpleLookup($B49,'Risk Treatment'!$C:J),"Please ensure that all risks are covered in the "&amp;Helper!$G$14&amp;" sheet. Currently, these risks are not covered: "&amp;'Risk Treatment'!$D$2&amp;"."))</f>
        <v/>
      </c>
      <c r="I49" s="33" t="str" cm="1">
        <f t="array" ca="1" aca="1" ref="I49">IF($B49="","",IFERROR(SimpleLookup($B49,'Risk Treatment'!$C:O),"Please ensure that all risks are covered in the "&amp;Helper!$G$14&amp;" sheet. Currently, these risks are not covered: "&amp;'Risk Treatment'!$D$2&amp;"."))</f>
        <v/>
      </c>
      <c r="J49" s="33" t="str" cm="1">
        <f t="array" ca="1" aca="1" ref="J49">_xlfn.LET(_xlpm._assignedMitigations,IF($B49="","",IFERROR(RemoveDelimiter(GetValuesWithFallback($Z49,Countermeasures!$A:$B,Assumptions!$A:$B," ",","&amp;CHAR(10),TRUE),","&amp;CHAR(10)),"Error: Unknown risk ID "&amp;$B49)),_xlpm._inlineMitigations,$AE49,_xlpm._assignedMitigations&amp;IF(OR(_xlpm._assignedMitigations="",_xlpm._inlineMitigations=""),"",","&amp;CHAR(10))&amp;_xlpm._inlineMitigations)</f>
        <v/>
      </c>
      <c r="K49" s="37" t="str" cm="1">
        <f t="array" ca="1" aca="1" ref="K49">IF($AC49=-1,"",RemoveDelimiter(GetValues(INDEX(Risks!BN:BN,$AC49),'DS Overview'!$A:$B," ",","&amp;CHAR(10),TRUE),","&amp;CHAR(10)))</f>
        <v/>
      </c>
      <c r="L49" s="33" t="str" cm="1">
        <f t="array" ca="1" aca="1" ref="L49">IF($AC49=-1,"",INDEX(Risks!BP:BP,$AC49))</f>
        <v/>
      </c>
      <c r="M49" s="34" t="str" cm="1">
        <f t="array" ca="1" aca="1" ref="M49">_xlfn.LET(_xlpm._calculatedRAP,IFERROR(SimpleLookup($B49,Risks!$A:$BG),""),_xlpm._inlineRAP,IFERROR(SimpleLookup($B49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49,_xlpm._mitigationSheetName&amp;" sheet "&amp;_xlfn.UNICHAR(8702)&amp;" Comment column:"&amp;CHAR(10)&amp;$AE49)))</f>
        <v/>
      </c>
      <c r="N49" s="33" t="str" cm="1">
        <f t="array" ca="1" aca="1" ref="N49">IF($AC49=-1,"",INDEX(Risks!CN:CN,$AC49))</f>
        <v>Basic</v>
      </c>
      <c r="O49" s="33" t="str" cm="1">
        <f t="array" ca="1" aca="1" ref="O49">IF($AC49=-1,"",INDEX(Risks!CO:CO,$AC49))</f>
        <v>No Risk</v>
      </c>
      <c r="P49" s="33" t="str">
        <f ca="1">IF($C49="","",IF($AF49&lt;=Definitions!$AF$6,Definitions!$M$4,""))</f>
        <v/>
      </c>
      <c r="Q49" s="23"/>
      <c r="R49" s="33" t="str">
        <f t="shared" ca="1" si="1"/>
        <v/>
      </c>
      <c r="S49" s="23"/>
      <c r="T49" s="13"/>
      <c r="U49" s="10" cm="1">
        <f t="array" ca="1" aca="1" ref="U49">GenerateShadowID(ROW(),$U$5,$U:$U,0,B49&lt;&gt;"")</f>
        <v>38</v>
      </c>
      <c r="V49" s="10" cm="1">
        <f t="array" ref="V49">CreateTaskID($V$5,$V:$V,Tasks!$B$17,$T49)</f>
        <v>0</v>
      </c>
      <c r="W49" s="14" t="str" cm="1">
        <f t="array" ca="1" aca="1" ref="W49">IF($B49="","",SimpleLookup($B49,'Risk Treatment'!$C:$AW))</f>
        <v/>
      </c>
      <c r="X49" s="14" t="str" cm="1">
        <f t="array" ca="1" aca="1" ref="X49">IF($B49="","",_xlfn.LET(_xlpm._attackSteps,SimpleLookup($B49,'Risk Treatment'!$C:$Y),GetValues(_xlpm._attackSteps,Mitigation!$A:$AG,"",CHAR(1),FALSE)))</f>
        <v/>
      </c>
      <c r="Y49" s="14" t="str" cm="1">
        <f t="array" ca="1" aca="1" ref="Y4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49,CHAR(1))</f>
        <v/>
      </c>
      <c r="Z49" s="14" t="str" cm="1">
        <f t="array" ca="1" aca="1" ref="Z49">FilterElementsFromList($W49,Helper!$J$4,TRUE,",")</f>
        <v/>
      </c>
      <c r="AA49" s="14" t="str" cm="1">
        <f t="array" ca="1" aca="1" ref="AA49">FilterElementsFromList($Y49,Helper!$J$4,TRUE,",")</f>
        <v/>
      </c>
      <c r="AB49" s="20" t="str" cm="1">
        <f t="array" ca="1" aca="1" ref="AB4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49,CreateSearchString($AA49),CHAR(1),","&amp;CHAR(10))</f>
        <v/>
      </c>
      <c r="AC49" s="20">
        <f ca="1">IFERROR(MATCH($B49,Risks!$A:$A,0),-1)</f>
        <v>41</v>
      </c>
      <c r="AD49" s="20" t="str" cm="1">
        <f t="array" ca="1" aca="1" ref="AD49">IF($B49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49,Risks!$A:CA,Definitions!$Y:$Y,Definitions!$AB:$AB,1)&amp;CHAR(10)&amp;_xlpm._factorFunction($B49,Risks!$A:CB,Definitions!$Y:$Y,Definitions!$AB:$AB,2)&amp;CHAR(10)&amp;_xlpm._factorFunction($B49,Risks!$A:CC,Definitions!$Y:$Y,Definitions!$AB:$AB,3)&amp;CHAR(10)&amp;_xlpm._factorFunction($B49,Risks!$A:CD,Definitions!$Y:$Y,Definitions!$AB:$AB,4)&amp;CHAR(10)&amp;_xlpm._factorFunction($B49,Risks!$A:CE,Definitions!$Y:$Y,Definitions!$AB:$AB,5)))</f>
        <v/>
      </c>
      <c r="AE49" s="20" t="str" cm="1">
        <f t="array" ca="1" aca="1" ref="AE49">RemoveDelimiter(SUBSTITUTE(SUBSTITUTE($AB49,"{",""),"}",""),","&amp;CHAR(10))</f>
        <v/>
      </c>
      <c r="AF49" s="20" cm="1">
        <f t="array" ca="1" aca="1" ref="AF49">IF($O49="",0,SimpleLookup($O49,Definitions!$AE:$AF))</f>
        <v>0</v>
      </c>
    </row>
    <row r="50" spans="2:32" ht="15">
      <c r="B50" s="16" t="str">
        <f ca="1">OFFSET(Risks!$A$2,ROW()-ROW($B$5),0)</f>
        <v/>
      </c>
      <c r="C50" s="33" t="str" cm="1">
        <f t="array" ca="1" aca="1" ref="C50">IF($B50="","",IFERROR(SimpleLookup($B50,'Risk Treatment'!$C:D),"Please ensure that all risks are covered in the "&amp;Helper!$G$14&amp;" sheet. Currently, these risks are not covered: "&amp;'Risk Treatment'!$D$2&amp;"."))</f>
        <v/>
      </c>
      <c r="D50" s="37" t="str" cm="1">
        <f t="array" ca="1" aca="1" ref="D50">IF($B50="","",IFERROR(SimpleLookup($B50,'Risk Treatment'!$C:K),"Please ensure that all risks are covered in the "&amp;Helper!$G$14&amp;" sheet. Currently, these risks are not covered: "&amp;'Risk Treatment'!$D$2&amp;"."))</f>
        <v/>
      </c>
      <c r="E50" s="16" t="str" cm="1">
        <f t="array" ca="1" aca="1" ref="E50">IF($B50="","",IFERROR(SimpleLookup($B50,'Risk Treatment'!$C:L),"Please ensure that all risks are covered in the "&amp;Helper!$G$14&amp;" sheet. Currently, these risks are not covered: "&amp;'Risk Treatment'!$D$2&amp;"."))</f>
        <v/>
      </c>
      <c r="F50" s="34" t="str" cm="1">
        <f t="array" ca="1" aca="1" ref="F50">IF($B50="","",IFERROR(SimpleLookup($B50,'Risk Treatment'!$C:M),"Please ensure that all risks are covered in the "&amp;Helper!$G$14&amp;" sheet. Currently, these risks are not covered: "&amp;'Risk Treatment'!$D$2&amp;"."))</f>
        <v/>
      </c>
      <c r="G50" s="16" t="str" cm="1">
        <f t="array" ca="1" aca="1" ref="G50">IF($B50="","",IFERROR(SimpleLookup($B50,'Risk Treatment'!$C:N),"Please ensure that all risks are covered in the "&amp;Helper!$G$14&amp;" sheet. Currently, these risks are not covered: "&amp;'Risk Treatment'!$D$2&amp;"."))</f>
        <v/>
      </c>
      <c r="H50" s="16" t="str" cm="1">
        <f t="array" ca="1" aca="1" ref="H50">IF($B50="","",IFERROR(SimpleLookup($B50,'Risk Treatment'!$C:J),"Please ensure that all risks are covered in the "&amp;Helper!$G$14&amp;" sheet. Currently, these risks are not covered: "&amp;'Risk Treatment'!$D$2&amp;"."))</f>
        <v/>
      </c>
      <c r="I50" s="33" t="str" cm="1">
        <f t="array" ca="1" aca="1" ref="I50">IF($B50="","",IFERROR(SimpleLookup($B50,'Risk Treatment'!$C:O),"Please ensure that all risks are covered in the "&amp;Helper!$G$14&amp;" sheet. Currently, these risks are not covered: "&amp;'Risk Treatment'!$D$2&amp;"."))</f>
        <v/>
      </c>
      <c r="J50" s="33" t="str" cm="1">
        <f t="array" ca="1" aca="1" ref="J50">_xlfn.LET(_xlpm._assignedMitigations,IF($B50="","",IFERROR(RemoveDelimiter(GetValuesWithFallback($Z50,Countermeasures!$A:$B,Assumptions!$A:$B," ",","&amp;CHAR(10),TRUE),","&amp;CHAR(10)),"Error: Unknown risk ID "&amp;$B50)),_xlpm._inlineMitigations,$AE50,_xlpm._assignedMitigations&amp;IF(OR(_xlpm._assignedMitigations="",_xlpm._inlineMitigations=""),"",","&amp;CHAR(10))&amp;_xlpm._inlineMitigations)</f>
        <v/>
      </c>
      <c r="K50" s="37" t="str" cm="1">
        <f t="array" ca="1" aca="1" ref="K50">IF($AC50=-1,"",RemoveDelimiter(GetValues(INDEX(Risks!BN:BN,$AC50),'DS Overview'!$A:$B," ",","&amp;CHAR(10),TRUE),","&amp;CHAR(10)))</f>
        <v/>
      </c>
      <c r="L50" s="33" t="str" cm="1">
        <f t="array" ca="1" aca="1" ref="L50">IF($AC50=-1,"",INDEX(Risks!BP:BP,$AC50))</f>
        <v/>
      </c>
      <c r="M50" s="34" t="str" cm="1">
        <f t="array" ca="1" aca="1" ref="M50">_xlfn.LET(_xlpm._calculatedRAP,IFERROR(SimpleLookup($B50,Risks!$A:$BG),""),_xlpm._inlineRAP,IFERROR(SimpleLookup($B50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50,_xlpm._mitigationSheetName&amp;" sheet "&amp;_xlfn.UNICHAR(8702)&amp;" Comment column:"&amp;CHAR(10)&amp;$AE50)))</f>
        <v/>
      </c>
      <c r="N50" s="33" t="str" cm="1">
        <f t="array" ca="1" aca="1" ref="N50">IF($AC50=-1,"",INDEX(Risks!CN:CN,$AC50))</f>
        <v>Basic</v>
      </c>
      <c r="O50" s="33" t="str" cm="1">
        <f t="array" ca="1" aca="1" ref="O50">IF($AC50=-1,"",INDEX(Risks!CO:CO,$AC50))</f>
        <v>No Risk</v>
      </c>
      <c r="P50" s="33" t="str">
        <f ca="1">IF($C50="","",IF($AF50&lt;=Definitions!$AF$6,Definitions!$M$4,""))</f>
        <v/>
      </c>
      <c r="Q50" s="23"/>
      <c r="R50" s="33" t="str">
        <f t="shared" ca="1" si="1"/>
        <v/>
      </c>
      <c r="S50" s="23"/>
      <c r="T50" s="13"/>
      <c r="U50" s="10" cm="1">
        <f t="array" ca="1" aca="1" ref="U50">GenerateShadowID(ROW(),$U$5,$U:$U,0,B50&lt;&gt;"")</f>
        <v>38</v>
      </c>
      <c r="V50" s="10" cm="1">
        <f t="array" ref="V50">CreateTaskID($V$5,$V:$V,Tasks!$B$17,$T50)</f>
        <v>0</v>
      </c>
      <c r="W50" s="14" t="str" cm="1">
        <f t="array" ca="1" aca="1" ref="W50">IF($B50="","",SimpleLookup($B50,'Risk Treatment'!$C:$AW))</f>
        <v/>
      </c>
      <c r="X50" s="14" t="str" cm="1">
        <f t="array" ca="1" aca="1" ref="X50">IF($B50="","",_xlfn.LET(_xlpm._attackSteps,SimpleLookup($B50,'Risk Treatment'!$C:$Y),GetValues(_xlpm._attackSteps,Mitigation!$A:$AG,"",CHAR(1),FALSE)))</f>
        <v/>
      </c>
      <c r="Y50" s="14" t="str" cm="1">
        <f t="array" ca="1" aca="1" ref="Y5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50,CHAR(1))</f>
        <v/>
      </c>
      <c r="Z50" s="14" t="str" cm="1">
        <f t="array" ca="1" aca="1" ref="Z50">FilterElementsFromList($W50,Helper!$J$4,TRUE,",")</f>
        <v/>
      </c>
      <c r="AA50" s="14" t="str" cm="1">
        <f t="array" ca="1" aca="1" ref="AA50">FilterElementsFromList($Y50,Helper!$J$4,TRUE,",")</f>
        <v/>
      </c>
      <c r="AB50" s="20" t="str" cm="1">
        <f t="array" ca="1" aca="1" ref="AB5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50,CreateSearchString($AA50),CHAR(1),","&amp;CHAR(10))</f>
        <v/>
      </c>
      <c r="AC50" s="20">
        <f ca="1">IFERROR(MATCH($B50,Risks!$A:$A,0),-1)</f>
        <v>41</v>
      </c>
      <c r="AD50" s="20" t="str" cm="1">
        <f t="array" ca="1" aca="1" ref="AD50">IF($B50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50,Risks!$A:CA,Definitions!$Y:$Y,Definitions!$AB:$AB,1)&amp;CHAR(10)&amp;_xlpm._factorFunction($B50,Risks!$A:CB,Definitions!$Y:$Y,Definitions!$AB:$AB,2)&amp;CHAR(10)&amp;_xlpm._factorFunction($B50,Risks!$A:CC,Definitions!$Y:$Y,Definitions!$AB:$AB,3)&amp;CHAR(10)&amp;_xlpm._factorFunction($B50,Risks!$A:CD,Definitions!$Y:$Y,Definitions!$AB:$AB,4)&amp;CHAR(10)&amp;_xlpm._factorFunction($B50,Risks!$A:CE,Definitions!$Y:$Y,Definitions!$AB:$AB,5)))</f>
        <v/>
      </c>
      <c r="AE50" s="20" t="str" cm="1">
        <f t="array" ca="1" aca="1" ref="AE50">RemoveDelimiter(SUBSTITUTE(SUBSTITUTE($AB50,"{",""),"}",""),","&amp;CHAR(10))</f>
        <v/>
      </c>
      <c r="AF50" s="20" cm="1">
        <f t="array" ca="1" aca="1" ref="AF50">IF($O50="",0,SimpleLookup($O50,Definitions!$AE:$AF))</f>
        <v>0</v>
      </c>
    </row>
    <row r="51" spans="2:32" ht="15">
      <c r="B51" s="16" t="str">
        <f ca="1">OFFSET(Risks!$A$2,ROW()-ROW($B$5),0)</f>
        <v/>
      </c>
      <c r="C51" s="33" t="str" cm="1">
        <f t="array" ca="1" aca="1" ref="C51">IF($B51="","",IFERROR(SimpleLookup($B51,'Risk Treatment'!$C:D),"Please ensure that all risks are covered in the "&amp;Helper!$G$14&amp;" sheet. Currently, these risks are not covered: "&amp;'Risk Treatment'!$D$2&amp;"."))</f>
        <v/>
      </c>
      <c r="D51" s="37" t="str" cm="1">
        <f t="array" ca="1" aca="1" ref="D51">IF($B51="","",IFERROR(SimpleLookup($B51,'Risk Treatment'!$C:K),"Please ensure that all risks are covered in the "&amp;Helper!$G$14&amp;" sheet. Currently, these risks are not covered: "&amp;'Risk Treatment'!$D$2&amp;"."))</f>
        <v/>
      </c>
      <c r="E51" s="16" t="str" cm="1">
        <f t="array" ca="1" aca="1" ref="E51">IF($B51="","",IFERROR(SimpleLookup($B51,'Risk Treatment'!$C:L),"Please ensure that all risks are covered in the "&amp;Helper!$G$14&amp;" sheet. Currently, these risks are not covered: "&amp;'Risk Treatment'!$D$2&amp;"."))</f>
        <v/>
      </c>
      <c r="F51" s="34" t="str" cm="1">
        <f t="array" ca="1" aca="1" ref="F51">IF($B51="","",IFERROR(SimpleLookup($B51,'Risk Treatment'!$C:M),"Please ensure that all risks are covered in the "&amp;Helper!$G$14&amp;" sheet. Currently, these risks are not covered: "&amp;'Risk Treatment'!$D$2&amp;"."))</f>
        <v/>
      </c>
      <c r="G51" s="16" t="str" cm="1">
        <f t="array" ca="1" aca="1" ref="G51">IF($B51="","",IFERROR(SimpleLookup($B51,'Risk Treatment'!$C:N),"Please ensure that all risks are covered in the "&amp;Helper!$G$14&amp;" sheet. Currently, these risks are not covered: "&amp;'Risk Treatment'!$D$2&amp;"."))</f>
        <v/>
      </c>
      <c r="H51" s="16" t="str" cm="1">
        <f t="array" ca="1" aca="1" ref="H51">IF($B51="","",IFERROR(SimpleLookup($B51,'Risk Treatment'!$C:J),"Please ensure that all risks are covered in the "&amp;Helper!$G$14&amp;" sheet. Currently, these risks are not covered: "&amp;'Risk Treatment'!$D$2&amp;"."))</f>
        <v/>
      </c>
      <c r="I51" s="33" t="str" cm="1">
        <f t="array" ca="1" aca="1" ref="I51">IF($B51="","",IFERROR(SimpleLookup($B51,'Risk Treatment'!$C:O),"Please ensure that all risks are covered in the "&amp;Helper!$G$14&amp;" sheet. Currently, these risks are not covered: "&amp;'Risk Treatment'!$D$2&amp;"."))</f>
        <v/>
      </c>
      <c r="J51" s="33" t="str" cm="1">
        <f t="array" ca="1" aca="1" ref="J51">_xlfn.LET(_xlpm._assignedMitigations,IF($B51="","",IFERROR(RemoveDelimiter(GetValuesWithFallback($Z51,Countermeasures!$A:$B,Assumptions!$A:$B," ",","&amp;CHAR(10),TRUE),","&amp;CHAR(10)),"Error: Unknown risk ID "&amp;$B51)),_xlpm._inlineMitigations,$AE51,_xlpm._assignedMitigations&amp;IF(OR(_xlpm._assignedMitigations="",_xlpm._inlineMitigations=""),"",","&amp;CHAR(10))&amp;_xlpm._inlineMitigations)</f>
        <v/>
      </c>
      <c r="K51" s="37" t="str" cm="1">
        <f t="array" ca="1" aca="1" ref="K51">IF($AC51=-1,"",RemoveDelimiter(GetValues(INDEX(Risks!BN:BN,$AC51),'DS Overview'!$A:$B," ",","&amp;CHAR(10),TRUE),","&amp;CHAR(10)))</f>
        <v/>
      </c>
      <c r="L51" s="33" t="str" cm="1">
        <f t="array" ca="1" aca="1" ref="L51">IF($AC51=-1,"",INDEX(Risks!BP:BP,$AC51))</f>
        <v/>
      </c>
      <c r="M51" s="34" t="str" cm="1">
        <f t="array" ca="1" aca="1" ref="M51">_xlfn.LET(_xlpm._calculatedRAP,IFERROR(SimpleLookup($B51,Risks!$A:$BG),""),_xlpm._inlineRAP,IFERROR(SimpleLookup($B51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51,_xlpm._mitigationSheetName&amp;" sheet "&amp;_xlfn.UNICHAR(8702)&amp;" Comment column:"&amp;CHAR(10)&amp;$AE51)))</f>
        <v/>
      </c>
      <c r="N51" s="33" t="str" cm="1">
        <f t="array" ca="1" aca="1" ref="N51">IF($AC51=-1,"",INDEX(Risks!CN:CN,$AC51))</f>
        <v>Basic</v>
      </c>
      <c r="O51" s="33" t="str" cm="1">
        <f t="array" ca="1" aca="1" ref="O51">IF($AC51=-1,"",INDEX(Risks!CO:CO,$AC51))</f>
        <v>No Risk</v>
      </c>
      <c r="P51" s="33" t="str">
        <f ca="1">IF($C51="","",IF($AF51&lt;=Definitions!$AF$6,Definitions!$M$4,""))</f>
        <v/>
      </c>
      <c r="Q51" s="23"/>
      <c r="R51" s="33" t="str">
        <f t="shared" ca="1" si="1"/>
        <v/>
      </c>
      <c r="S51" s="23"/>
      <c r="T51" s="13"/>
      <c r="U51" s="10" cm="1">
        <f t="array" ca="1" aca="1" ref="U51">GenerateShadowID(ROW(),$U$5,$U:$U,0,B51&lt;&gt;"")</f>
        <v>38</v>
      </c>
      <c r="V51" s="10" cm="1">
        <f t="array" ref="V51">CreateTaskID($V$5,$V:$V,Tasks!$B$17,$T51)</f>
        <v>0</v>
      </c>
      <c r="W51" s="14" t="str" cm="1">
        <f t="array" ca="1" aca="1" ref="W51">IF($B51="","",SimpleLookup($B51,'Risk Treatment'!$C:$AW))</f>
        <v/>
      </c>
      <c r="X51" s="14" t="str" cm="1">
        <f t="array" ca="1" aca="1" ref="X51">IF($B51="","",_xlfn.LET(_xlpm._attackSteps,SimpleLookup($B51,'Risk Treatment'!$C:$Y),GetValues(_xlpm._attackSteps,Mitigation!$A:$AG,"",CHAR(1),FALSE)))</f>
        <v/>
      </c>
      <c r="Y51" s="14" t="str" cm="1">
        <f t="array" ca="1" aca="1" ref="Y5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51,CHAR(1))</f>
        <v/>
      </c>
      <c r="Z51" s="14" t="str" cm="1">
        <f t="array" ca="1" aca="1" ref="Z51">FilterElementsFromList($W51,Helper!$J$4,TRUE,",")</f>
        <v/>
      </c>
      <c r="AA51" s="14" t="str" cm="1">
        <f t="array" ca="1" aca="1" ref="AA51">FilterElementsFromList($Y51,Helper!$J$4,TRUE,",")</f>
        <v/>
      </c>
      <c r="AB51" s="20" t="str" cm="1">
        <f t="array" ca="1" aca="1" ref="AB5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51,CreateSearchString($AA51),CHAR(1),","&amp;CHAR(10))</f>
        <v/>
      </c>
      <c r="AC51" s="20">
        <f ca="1">IFERROR(MATCH($B51,Risks!$A:$A,0),-1)</f>
        <v>41</v>
      </c>
      <c r="AD51" s="20" t="str" cm="1">
        <f t="array" ca="1" aca="1" ref="AD51">IF($B51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51,Risks!$A:CA,Definitions!$Y:$Y,Definitions!$AB:$AB,1)&amp;CHAR(10)&amp;_xlpm._factorFunction($B51,Risks!$A:CB,Definitions!$Y:$Y,Definitions!$AB:$AB,2)&amp;CHAR(10)&amp;_xlpm._factorFunction($B51,Risks!$A:CC,Definitions!$Y:$Y,Definitions!$AB:$AB,3)&amp;CHAR(10)&amp;_xlpm._factorFunction($B51,Risks!$A:CD,Definitions!$Y:$Y,Definitions!$AB:$AB,4)&amp;CHAR(10)&amp;_xlpm._factorFunction($B51,Risks!$A:CE,Definitions!$Y:$Y,Definitions!$AB:$AB,5)))</f>
        <v/>
      </c>
      <c r="AE51" s="20" t="str" cm="1">
        <f t="array" ca="1" aca="1" ref="AE51">RemoveDelimiter(SUBSTITUTE(SUBSTITUTE($AB51,"{",""),"}",""),","&amp;CHAR(10))</f>
        <v/>
      </c>
      <c r="AF51" s="20" cm="1">
        <f t="array" ca="1" aca="1" ref="AF51">IF($O51="",0,SimpleLookup($O51,Definitions!$AE:$AF))</f>
        <v>0</v>
      </c>
    </row>
    <row r="52" spans="2:32" ht="15">
      <c r="B52" s="16" t="str">
        <f ca="1">OFFSET(Risks!$A$2,ROW()-ROW($B$5),0)</f>
        <v/>
      </c>
      <c r="C52" s="33" t="str" cm="1">
        <f t="array" ca="1" aca="1" ref="C52">IF($B52="","",IFERROR(SimpleLookup($B52,'Risk Treatment'!$C:D),"Please ensure that all risks are covered in the "&amp;Helper!$G$14&amp;" sheet. Currently, these risks are not covered: "&amp;'Risk Treatment'!$D$2&amp;"."))</f>
        <v/>
      </c>
      <c r="D52" s="37" t="str" cm="1">
        <f t="array" ca="1" aca="1" ref="D52">IF($B52="","",IFERROR(SimpleLookup($B52,'Risk Treatment'!$C:K),"Please ensure that all risks are covered in the "&amp;Helper!$G$14&amp;" sheet. Currently, these risks are not covered: "&amp;'Risk Treatment'!$D$2&amp;"."))</f>
        <v/>
      </c>
      <c r="E52" s="16" t="str" cm="1">
        <f t="array" ca="1" aca="1" ref="E52">IF($B52="","",IFERROR(SimpleLookup($B52,'Risk Treatment'!$C:L),"Please ensure that all risks are covered in the "&amp;Helper!$G$14&amp;" sheet. Currently, these risks are not covered: "&amp;'Risk Treatment'!$D$2&amp;"."))</f>
        <v/>
      </c>
      <c r="F52" s="34" t="str" cm="1">
        <f t="array" ca="1" aca="1" ref="F52">IF($B52="","",IFERROR(SimpleLookup($B52,'Risk Treatment'!$C:M),"Please ensure that all risks are covered in the "&amp;Helper!$G$14&amp;" sheet. Currently, these risks are not covered: "&amp;'Risk Treatment'!$D$2&amp;"."))</f>
        <v/>
      </c>
      <c r="G52" s="16" t="str" cm="1">
        <f t="array" ca="1" aca="1" ref="G52">IF($B52="","",IFERROR(SimpleLookup($B52,'Risk Treatment'!$C:N),"Please ensure that all risks are covered in the "&amp;Helper!$G$14&amp;" sheet. Currently, these risks are not covered: "&amp;'Risk Treatment'!$D$2&amp;"."))</f>
        <v/>
      </c>
      <c r="H52" s="16" t="str" cm="1">
        <f t="array" ca="1" aca="1" ref="H52">IF($B52="","",IFERROR(SimpleLookup($B52,'Risk Treatment'!$C:J),"Please ensure that all risks are covered in the "&amp;Helper!$G$14&amp;" sheet. Currently, these risks are not covered: "&amp;'Risk Treatment'!$D$2&amp;"."))</f>
        <v/>
      </c>
      <c r="I52" s="33" t="str" cm="1">
        <f t="array" ca="1" aca="1" ref="I52">IF($B52="","",IFERROR(SimpleLookup($B52,'Risk Treatment'!$C:O),"Please ensure that all risks are covered in the "&amp;Helper!$G$14&amp;" sheet. Currently, these risks are not covered: "&amp;'Risk Treatment'!$D$2&amp;"."))</f>
        <v/>
      </c>
      <c r="J52" s="33" t="str" cm="1">
        <f t="array" ca="1" aca="1" ref="J52">_xlfn.LET(_xlpm._assignedMitigations,IF($B52="","",IFERROR(RemoveDelimiter(GetValuesWithFallback($Z52,Countermeasures!$A:$B,Assumptions!$A:$B," ",","&amp;CHAR(10),TRUE),","&amp;CHAR(10)),"Error: Unknown risk ID "&amp;$B52)),_xlpm._inlineMitigations,$AE52,_xlpm._assignedMitigations&amp;IF(OR(_xlpm._assignedMitigations="",_xlpm._inlineMitigations=""),"",","&amp;CHAR(10))&amp;_xlpm._inlineMitigations)</f>
        <v/>
      </c>
      <c r="K52" s="37" t="str" cm="1">
        <f t="array" ca="1" aca="1" ref="K52">IF($AC52=-1,"",RemoveDelimiter(GetValues(INDEX(Risks!BN:BN,$AC52),'DS Overview'!$A:$B," ",","&amp;CHAR(10),TRUE),","&amp;CHAR(10)))</f>
        <v/>
      </c>
      <c r="L52" s="33" t="str" cm="1">
        <f t="array" ca="1" aca="1" ref="L52">IF($AC52=-1,"",INDEX(Risks!BP:BP,$AC52))</f>
        <v/>
      </c>
      <c r="M52" s="34" t="str" cm="1">
        <f t="array" ca="1" aca="1" ref="M52">_xlfn.LET(_xlpm._calculatedRAP,IFERROR(SimpleLookup($B52,Risks!$A:$BG),""),_xlpm._inlineRAP,IFERROR(SimpleLookup($B52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52,_xlpm._mitigationSheetName&amp;" sheet "&amp;_xlfn.UNICHAR(8702)&amp;" Comment column:"&amp;CHAR(10)&amp;$AE52)))</f>
        <v/>
      </c>
      <c r="N52" s="33" t="str" cm="1">
        <f t="array" ca="1" aca="1" ref="N52">IF($AC52=-1,"",INDEX(Risks!CN:CN,$AC52))</f>
        <v>Basic</v>
      </c>
      <c r="O52" s="33" t="str" cm="1">
        <f t="array" ca="1" aca="1" ref="O52">IF($AC52=-1,"",INDEX(Risks!CO:CO,$AC52))</f>
        <v>No Risk</v>
      </c>
      <c r="P52" s="33" t="str">
        <f ca="1">IF($C52="","",IF($AF52&lt;=Definitions!$AF$6,Definitions!$M$4,""))</f>
        <v/>
      </c>
      <c r="Q52" s="23"/>
      <c r="R52" s="33" t="str">
        <f t="shared" ca="1" si="1"/>
        <v/>
      </c>
      <c r="S52" s="23"/>
      <c r="T52" s="13"/>
      <c r="U52" s="10" cm="1">
        <f t="array" ca="1" aca="1" ref="U52">GenerateShadowID(ROW(),$U$5,$U:$U,0,B52&lt;&gt;"")</f>
        <v>38</v>
      </c>
      <c r="V52" s="10" cm="1">
        <f t="array" ref="V52">CreateTaskID($V$5,$V:$V,Tasks!$B$17,$T52)</f>
        <v>0</v>
      </c>
      <c r="W52" s="14" t="str" cm="1">
        <f t="array" ca="1" aca="1" ref="W52">IF($B52="","",SimpleLookup($B52,'Risk Treatment'!$C:$AW))</f>
        <v/>
      </c>
      <c r="X52" s="14" t="str" cm="1">
        <f t="array" ca="1" aca="1" ref="X52">IF($B52="","",_xlfn.LET(_xlpm._attackSteps,SimpleLookup($B52,'Risk Treatment'!$C:$Y),GetValues(_xlpm._attackSteps,Mitigation!$A:$AG,"",CHAR(1),FALSE)))</f>
        <v/>
      </c>
      <c r="Y52" s="14" t="str" cm="1">
        <f t="array" ca="1" aca="1" ref="Y5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52,CHAR(1))</f>
        <v/>
      </c>
      <c r="Z52" s="14" t="str" cm="1">
        <f t="array" ca="1" aca="1" ref="Z52">FilterElementsFromList($W52,Helper!$J$4,TRUE,",")</f>
        <v/>
      </c>
      <c r="AA52" s="14" t="str" cm="1">
        <f t="array" ca="1" aca="1" ref="AA52">FilterElementsFromList($Y52,Helper!$J$4,TRUE,",")</f>
        <v/>
      </c>
      <c r="AB52" s="20" t="str" cm="1">
        <f t="array" ca="1" aca="1" ref="AB5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52,CreateSearchString($AA52),CHAR(1),","&amp;CHAR(10))</f>
        <v/>
      </c>
      <c r="AC52" s="20">
        <f ca="1">IFERROR(MATCH($B52,Risks!$A:$A,0),-1)</f>
        <v>41</v>
      </c>
      <c r="AD52" s="20" t="str" cm="1">
        <f t="array" ca="1" aca="1" ref="AD52">IF($B52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52,Risks!$A:CA,Definitions!$Y:$Y,Definitions!$AB:$AB,1)&amp;CHAR(10)&amp;_xlpm._factorFunction($B52,Risks!$A:CB,Definitions!$Y:$Y,Definitions!$AB:$AB,2)&amp;CHAR(10)&amp;_xlpm._factorFunction($B52,Risks!$A:CC,Definitions!$Y:$Y,Definitions!$AB:$AB,3)&amp;CHAR(10)&amp;_xlpm._factorFunction($B52,Risks!$A:CD,Definitions!$Y:$Y,Definitions!$AB:$AB,4)&amp;CHAR(10)&amp;_xlpm._factorFunction($B52,Risks!$A:CE,Definitions!$Y:$Y,Definitions!$AB:$AB,5)))</f>
        <v/>
      </c>
      <c r="AE52" s="20" t="str" cm="1">
        <f t="array" ca="1" aca="1" ref="AE52">RemoveDelimiter(SUBSTITUTE(SUBSTITUTE($AB52,"{",""),"}",""),","&amp;CHAR(10))</f>
        <v/>
      </c>
      <c r="AF52" s="20" cm="1">
        <f t="array" ca="1" aca="1" ref="AF52">IF($O52="",0,SimpleLookup($O52,Definitions!$AE:$AF))</f>
        <v>0</v>
      </c>
    </row>
    <row r="53" spans="2:32" ht="15">
      <c r="B53" s="16" t="str">
        <f ca="1">OFFSET(Risks!$A$2,ROW()-ROW($B$5),0)</f>
        <v/>
      </c>
      <c r="C53" s="33" t="str" cm="1">
        <f t="array" ca="1" aca="1" ref="C53">IF($B53="","",IFERROR(SimpleLookup($B53,'Risk Treatment'!$C:D),"Please ensure that all risks are covered in the "&amp;Helper!$G$14&amp;" sheet. Currently, these risks are not covered: "&amp;'Risk Treatment'!$D$2&amp;"."))</f>
        <v/>
      </c>
      <c r="D53" s="37" t="str" cm="1">
        <f t="array" ca="1" aca="1" ref="D53">IF($B53="","",IFERROR(SimpleLookup($B53,'Risk Treatment'!$C:K),"Please ensure that all risks are covered in the "&amp;Helper!$G$14&amp;" sheet. Currently, these risks are not covered: "&amp;'Risk Treatment'!$D$2&amp;"."))</f>
        <v/>
      </c>
      <c r="E53" s="16" t="str" cm="1">
        <f t="array" ca="1" aca="1" ref="E53">IF($B53="","",IFERROR(SimpleLookup($B53,'Risk Treatment'!$C:L),"Please ensure that all risks are covered in the "&amp;Helper!$G$14&amp;" sheet. Currently, these risks are not covered: "&amp;'Risk Treatment'!$D$2&amp;"."))</f>
        <v/>
      </c>
      <c r="F53" s="34" t="str" cm="1">
        <f t="array" ca="1" aca="1" ref="F53">IF($B53="","",IFERROR(SimpleLookup($B53,'Risk Treatment'!$C:M),"Please ensure that all risks are covered in the "&amp;Helper!$G$14&amp;" sheet. Currently, these risks are not covered: "&amp;'Risk Treatment'!$D$2&amp;"."))</f>
        <v/>
      </c>
      <c r="G53" s="16" t="str" cm="1">
        <f t="array" ca="1" aca="1" ref="G53">IF($B53="","",IFERROR(SimpleLookup($B53,'Risk Treatment'!$C:N),"Please ensure that all risks are covered in the "&amp;Helper!$G$14&amp;" sheet. Currently, these risks are not covered: "&amp;'Risk Treatment'!$D$2&amp;"."))</f>
        <v/>
      </c>
      <c r="H53" s="16" t="str" cm="1">
        <f t="array" ca="1" aca="1" ref="H53">IF($B53="","",IFERROR(SimpleLookup($B53,'Risk Treatment'!$C:J),"Please ensure that all risks are covered in the "&amp;Helper!$G$14&amp;" sheet. Currently, these risks are not covered: "&amp;'Risk Treatment'!$D$2&amp;"."))</f>
        <v/>
      </c>
      <c r="I53" s="33" t="str" cm="1">
        <f t="array" ca="1" aca="1" ref="I53">IF($B53="","",IFERROR(SimpleLookup($B53,'Risk Treatment'!$C:O),"Please ensure that all risks are covered in the "&amp;Helper!$G$14&amp;" sheet. Currently, these risks are not covered: "&amp;'Risk Treatment'!$D$2&amp;"."))</f>
        <v/>
      </c>
      <c r="J53" s="33" t="str" cm="1">
        <f t="array" ca="1" aca="1" ref="J53">_xlfn.LET(_xlpm._assignedMitigations,IF($B53="","",IFERROR(RemoveDelimiter(GetValuesWithFallback($Z53,Countermeasures!$A:$B,Assumptions!$A:$B," ",","&amp;CHAR(10),TRUE),","&amp;CHAR(10)),"Error: Unknown risk ID "&amp;$B53)),_xlpm._inlineMitigations,$AE53,_xlpm._assignedMitigations&amp;IF(OR(_xlpm._assignedMitigations="",_xlpm._inlineMitigations=""),"",","&amp;CHAR(10))&amp;_xlpm._inlineMitigations)</f>
        <v/>
      </c>
      <c r="K53" s="37" t="str" cm="1">
        <f t="array" ca="1" aca="1" ref="K53">IF($AC53=-1,"",RemoveDelimiter(GetValues(INDEX(Risks!BN:BN,$AC53),'DS Overview'!$A:$B," ",","&amp;CHAR(10),TRUE),","&amp;CHAR(10)))</f>
        <v/>
      </c>
      <c r="L53" s="33" t="str" cm="1">
        <f t="array" ca="1" aca="1" ref="L53">IF($AC53=-1,"",INDEX(Risks!BP:BP,$AC53))</f>
        <v/>
      </c>
      <c r="M53" s="34" t="str" cm="1">
        <f t="array" ca="1" aca="1" ref="M53">_xlfn.LET(_xlpm._calculatedRAP,IFERROR(SimpleLookup($B53,Risks!$A:$BG),""),_xlpm._inlineRAP,IFERROR(SimpleLookup($B53,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53,_xlpm._mitigationSheetName&amp;" sheet "&amp;_xlfn.UNICHAR(8702)&amp;" Comment column:"&amp;CHAR(10)&amp;$AE53)))</f>
        <v/>
      </c>
      <c r="N53" s="33" t="str" cm="1">
        <f t="array" ca="1" aca="1" ref="N53">IF($AC53=-1,"",INDEX(Risks!CN:CN,$AC53))</f>
        <v>Basic</v>
      </c>
      <c r="O53" s="33" t="str" cm="1">
        <f t="array" ca="1" aca="1" ref="O53">IF($AC53=-1,"",INDEX(Risks!CO:CO,$AC53))</f>
        <v>No Risk</v>
      </c>
      <c r="P53" s="33" t="str">
        <f ca="1">IF($C53="","",IF($AF53&lt;=Definitions!$AF$6,Definitions!$M$4,""))</f>
        <v/>
      </c>
      <c r="Q53" s="23"/>
      <c r="R53" s="33" t="str">
        <f t="shared" ca="1" si="1"/>
        <v/>
      </c>
      <c r="S53" s="23"/>
      <c r="T53" s="13"/>
      <c r="U53" s="10" cm="1">
        <f t="array" ca="1" aca="1" ref="U53">GenerateShadowID(ROW(),$U$5,$U:$U,0,B53&lt;&gt;"")</f>
        <v>38</v>
      </c>
      <c r="V53" s="10" cm="1">
        <f t="array" ref="V53">CreateTaskID($V$5,$V:$V,Tasks!$B$17,$T53)</f>
        <v>0</v>
      </c>
      <c r="W53" s="14" t="str" cm="1">
        <f t="array" ca="1" aca="1" ref="W53">IF($B53="","",SimpleLookup($B53,'Risk Treatment'!$C:$AW))</f>
        <v/>
      </c>
      <c r="X53" s="14" t="str" cm="1">
        <f t="array" ca="1" aca="1" ref="X53">IF($B53="","",_xlfn.LET(_xlpm._attackSteps,SimpleLookup($B53,'Risk Treatment'!$C:$Y),GetValues(_xlpm._attackSteps,Mitigation!$A:$AG,"",CHAR(1),FALSE)))</f>
        <v/>
      </c>
      <c r="Y53" s="14" t="str" cm="1">
        <f t="array" ca="1" aca="1" ref="Y53">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53,CHAR(1))</f>
        <v/>
      </c>
      <c r="Z53" s="14" t="str" cm="1">
        <f t="array" ca="1" aca="1" ref="Z53">FilterElementsFromList($W53,Helper!$J$4,TRUE,",")</f>
        <v/>
      </c>
      <c r="AA53" s="14" t="str" cm="1">
        <f t="array" ca="1" aca="1" ref="AA53">FilterElementsFromList($Y53,Helper!$J$4,TRUE,",")</f>
        <v/>
      </c>
      <c r="AB53" s="20" t="str" cm="1">
        <f t="array" ca="1" aca="1" ref="AB53">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53,CreateSearchString($AA53),CHAR(1),","&amp;CHAR(10))</f>
        <v/>
      </c>
      <c r="AC53" s="20">
        <f ca="1">IFERROR(MATCH($B53,Risks!$A:$A,0),-1)</f>
        <v>41</v>
      </c>
      <c r="AD53" s="20" t="str" cm="1">
        <f t="array" ca="1" aca="1" ref="AD53">IF($B53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53,Risks!$A:CA,Definitions!$Y:$Y,Definitions!$AB:$AB,1)&amp;CHAR(10)&amp;_xlpm._factorFunction($B53,Risks!$A:CB,Definitions!$Y:$Y,Definitions!$AB:$AB,2)&amp;CHAR(10)&amp;_xlpm._factorFunction($B53,Risks!$A:CC,Definitions!$Y:$Y,Definitions!$AB:$AB,3)&amp;CHAR(10)&amp;_xlpm._factorFunction($B53,Risks!$A:CD,Definitions!$Y:$Y,Definitions!$AB:$AB,4)&amp;CHAR(10)&amp;_xlpm._factorFunction($B53,Risks!$A:CE,Definitions!$Y:$Y,Definitions!$AB:$AB,5)))</f>
        <v/>
      </c>
      <c r="AE53" s="20" t="str" cm="1">
        <f t="array" ca="1" aca="1" ref="AE53">RemoveDelimiter(SUBSTITUTE(SUBSTITUTE($AB53,"{",""),"}",""),","&amp;CHAR(10))</f>
        <v/>
      </c>
      <c r="AF53" s="20" cm="1">
        <f t="array" ca="1" aca="1" ref="AF53">IF($O53="",0,SimpleLookup($O53,Definitions!$AE:$AF))</f>
        <v>0</v>
      </c>
    </row>
    <row r="54" spans="2:32" ht="15">
      <c r="B54" s="16" t="str">
        <f ca="1">OFFSET(Risks!$A$2,ROW()-ROW($B$5),0)</f>
        <v/>
      </c>
      <c r="C54" s="33" t="str" cm="1">
        <f t="array" ca="1" aca="1" ref="C54">IF($B54="","",IFERROR(SimpleLookup($B54,'Risk Treatment'!$C:D),"Please ensure that all risks are covered in the "&amp;Helper!$G$14&amp;" sheet. Currently, these risks are not covered: "&amp;'Risk Treatment'!$D$2&amp;"."))</f>
        <v/>
      </c>
      <c r="D54" s="37" t="str" cm="1">
        <f t="array" ca="1" aca="1" ref="D54">IF($B54="","",IFERROR(SimpleLookup($B54,'Risk Treatment'!$C:K),"Please ensure that all risks are covered in the "&amp;Helper!$G$14&amp;" sheet. Currently, these risks are not covered: "&amp;'Risk Treatment'!$D$2&amp;"."))</f>
        <v/>
      </c>
      <c r="E54" s="16" t="str" cm="1">
        <f t="array" ca="1" aca="1" ref="E54">IF($B54="","",IFERROR(SimpleLookup($B54,'Risk Treatment'!$C:L),"Please ensure that all risks are covered in the "&amp;Helper!$G$14&amp;" sheet. Currently, these risks are not covered: "&amp;'Risk Treatment'!$D$2&amp;"."))</f>
        <v/>
      </c>
      <c r="F54" s="34" t="str" cm="1">
        <f t="array" ca="1" aca="1" ref="F54">IF($B54="","",IFERROR(SimpleLookup($B54,'Risk Treatment'!$C:M),"Please ensure that all risks are covered in the "&amp;Helper!$G$14&amp;" sheet. Currently, these risks are not covered: "&amp;'Risk Treatment'!$D$2&amp;"."))</f>
        <v/>
      </c>
      <c r="G54" s="16" t="str" cm="1">
        <f t="array" ca="1" aca="1" ref="G54">IF($B54="","",IFERROR(SimpleLookup($B54,'Risk Treatment'!$C:N),"Please ensure that all risks are covered in the "&amp;Helper!$G$14&amp;" sheet. Currently, these risks are not covered: "&amp;'Risk Treatment'!$D$2&amp;"."))</f>
        <v/>
      </c>
      <c r="H54" s="16" t="str" cm="1">
        <f t="array" ca="1" aca="1" ref="H54">IF($B54="","",IFERROR(SimpleLookup($B54,'Risk Treatment'!$C:J),"Please ensure that all risks are covered in the "&amp;Helper!$G$14&amp;" sheet. Currently, these risks are not covered: "&amp;'Risk Treatment'!$D$2&amp;"."))</f>
        <v/>
      </c>
      <c r="I54" s="33" t="str" cm="1">
        <f t="array" ca="1" aca="1" ref="I54">IF($B54="","",IFERROR(SimpleLookup($B54,'Risk Treatment'!$C:O),"Please ensure that all risks are covered in the "&amp;Helper!$G$14&amp;" sheet. Currently, these risks are not covered: "&amp;'Risk Treatment'!$D$2&amp;"."))</f>
        <v/>
      </c>
      <c r="J54" s="33" t="str" cm="1">
        <f t="array" ca="1" aca="1" ref="J54">_xlfn.LET(_xlpm._assignedMitigations,IF($B54="","",IFERROR(RemoveDelimiter(GetValuesWithFallback($Z54,Countermeasures!$A:$B,Assumptions!$A:$B," ",","&amp;CHAR(10),TRUE),","&amp;CHAR(10)),"Error: Unknown risk ID "&amp;$B54)),_xlpm._inlineMitigations,$AE54,_xlpm._assignedMitigations&amp;IF(OR(_xlpm._assignedMitigations="",_xlpm._inlineMitigations=""),"",","&amp;CHAR(10))&amp;_xlpm._inlineMitigations)</f>
        <v/>
      </c>
      <c r="K54" s="37" t="str" cm="1">
        <f t="array" ca="1" aca="1" ref="K54">IF($AC54=-1,"",RemoveDelimiter(GetValues(INDEX(Risks!BN:BN,$AC54),'DS Overview'!$A:$B," ",","&amp;CHAR(10),TRUE),","&amp;CHAR(10)))</f>
        <v/>
      </c>
      <c r="L54" s="33" t="str" cm="1">
        <f t="array" ca="1" aca="1" ref="L54">IF($AC54=-1,"",INDEX(Risks!BP:BP,$AC54))</f>
        <v/>
      </c>
      <c r="M54" s="34" t="str" cm="1">
        <f t="array" ca="1" aca="1" ref="M54">_xlfn.LET(_xlpm._calculatedRAP,IFERROR(SimpleLookup($B54,Risks!$A:$BG),""),_xlpm._inlineRAP,IFERROR(SimpleLookup($B54,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54,_xlpm._mitigationSheetName&amp;" sheet "&amp;_xlfn.UNICHAR(8702)&amp;" Comment column:"&amp;CHAR(10)&amp;$AE54)))</f>
        <v/>
      </c>
      <c r="N54" s="33" t="str" cm="1">
        <f t="array" ca="1" aca="1" ref="N54">IF($AC54=-1,"",INDEX(Risks!CN:CN,$AC54))</f>
        <v>Basic</v>
      </c>
      <c r="O54" s="33" t="str" cm="1">
        <f t="array" ca="1" aca="1" ref="O54">IF($AC54=-1,"",INDEX(Risks!CO:CO,$AC54))</f>
        <v>No Risk</v>
      </c>
      <c r="P54" s="33" t="str">
        <f ca="1">IF($C54="","",IF($AF54&lt;=Definitions!$AF$6,Definitions!$M$4,""))</f>
        <v/>
      </c>
      <c r="Q54" s="23"/>
      <c r="R54" s="33" t="str">
        <f t="shared" ca="1" si="1"/>
        <v/>
      </c>
      <c r="S54" s="23"/>
      <c r="T54" s="13"/>
      <c r="U54" s="10" cm="1">
        <f t="array" ca="1" aca="1" ref="U54">GenerateShadowID(ROW(),$U$5,$U:$U,0,B54&lt;&gt;"")</f>
        <v>38</v>
      </c>
      <c r="V54" s="10" cm="1">
        <f t="array" ref="V54">CreateTaskID($V$5,$V:$V,Tasks!$B$17,$T54)</f>
        <v>0</v>
      </c>
      <c r="W54" s="14" t="str" cm="1">
        <f t="array" ca="1" aca="1" ref="W54">IF($B54="","",SimpleLookup($B54,'Risk Treatment'!$C:$AW))</f>
        <v/>
      </c>
      <c r="X54" s="14" t="str" cm="1">
        <f t="array" ca="1" aca="1" ref="X54">IF($B54="","",_xlfn.LET(_xlpm._attackSteps,SimpleLookup($B54,'Risk Treatment'!$C:$Y),GetValues(_xlpm._attackSteps,Mitigation!$A:$AG,"",CHAR(1),FALSE)))</f>
        <v/>
      </c>
      <c r="Y54" s="14" t="str" cm="1">
        <f t="array" ca="1" aca="1" ref="Y54">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54,CHAR(1))</f>
        <v/>
      </c>
      <c r="Z54" s="14" t="str" cm="1">
        <f t="array" ca="1" aca="1" ref="Z54">FilterElementsFromList($W54,Helper!$J$4,TRUE,",")</f>
        <v/>
      </c>
      <c r="AA54" s="14" t="str" cm="1">
        <f t="array" ca="1" aca="1" ref="AA54">FilterElementsFromList($Y54,Helper!$J$4,TRUE,",")</f>
        <v/>
      </c>
      <c r="AB54" s="20" t="str" cm="1">
        <f t="array" ca="1" aca="1" ref="AB54">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54,CreateSearchString($AA54),CHAR(1),","&amp;CHAR(10))</f>
        <v/>
      </c>
      <c r="AC54" s="20">
        <f ca="1">IFERROR(MATCH($B54,Risks!$A:$A,0),-1)</f>
        <v>41</v>
      </c>
      <c r="AD54" s="20" t="str" cm="1">
        <f t="array" ca="1" aca="1" ref="AD54">IF($B54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54,Risks!$A:CA,Definitions!$Y:$Y,Definitions!$AB:$AB,1)&amp;CHAR(10)&amp;_xlpm._factorFunction($B54,Risks!$A:CB,Definitions!$Y:$Y,Definitions!$AB:$AB,2)&amp;CHAR(10)&amp;_xlpm._factorFunction($B54,Risks!$A:CC,Definitions!$Y:$Y,Definitions!$AB:$AB,3)&amp;CHAR(10)&amp;_xlpm._factorFunction($B54,Risks!$A:CD,Definitions!$Y:$Y,Definitions!$AB:$AB,4)&amp;CHAR(10)&amp;_xlpm._factorFunction($B54,Risks!$A:CE,Definitions!$Y:$Y,Definitions!$AB:$AB,5)))</f>
        <v/>
      </c>
      <c r="AE54" s="20" t="str" cm="1">
        <f t="array" ca="1" aca="1" ref="AE54">RemoveDelimiter(SUBSTITUTE(SUBSTITUTE($AB54,"{",""),"}",""),","&amp;CHAR(10))</f>
        <v/>
      </c>
      <c r="AF54" s="20" cm="1">
        <f t="array" ca="1" aca="1" ref="AF54">IF($O54="",0,SimpleLookup($O54,Definitions!$AE:$AF))</f>
        <v>0</v>
      </c>
    </row>
    <row r="55" spans="2:32" ht="15">
      <c r="B55" s="16" t="str">
        <f ca="1">OFFSET(Risks!$A$2,ROW()-ROW($B$5),0)</f>
        <v/>
      </c>
      <c r="C55" s="33" t="str" cm="1">
        <f t="array" ca="1" aca="1" ref="C55">IF($B55="","",IFERROR(SimpleLookup($B55,'Risk Treatment'!$C:D),"Please ensure that all risks are covered in the "&amp;Helper!$G$14&amp;" sheet. Currently, these risks are not covered: "&amp;'Risk Treatment'!$D$2&amp;"."))</f>
        <v/>
      </c>
      <c r="D55" s="37" t="str" cm="1">
        <f t="array" ca="1" aca="1" ref="D55">IF($B55="","",IFERROR(SimpleLookup($B55,'Risk Treatment'!$C:K),"Please ensure that all risks are covered in the "&amp;Helper!$G$14&amp;" sheet. Currently, these risks are not covered: "&amp;'Risk Treatment'!$D$2&amp;"."))</f>
        <v/>
      </c>
      <c r="E55" s="16" t="str" cm="1">
        <f t="array" ca="1" aca="1" ref="E55">IF($B55="","",IFERROR(SimpleLookup($B55,'Risk Treatment'!$C:L),"Please ensure that all risks are covered in the "&amp;Helper!$G$14&amp;" sheet. Currently, these risks are not covered: "&amp;'Risk Treatment'!$D$2&amp;"."))</f>
        <v/>
      </c>
      <c r="F55" s="34" t="str" cm="1">
        <f t="array" ca="1" aca="1" ref="F55">IF($B55="","",IFERROR(SimpleLookup($B55,'Risk Treatment'!$C:M),"Please ensure that all risks are covered in the "&amp;Helper!$G$14&amp;" sheet. Currently, these risks are not covered: "&amp;'Risk Treatment'!$D$2&amp;"."))</f>
        <v/>
      </c>
      <c r="G55" s="16" t="str" cm="1">
        <f t="array" ca="1" aca="1" ref="G55">IF($B55="","",IFERROR(SimpleLookup($B55,'Risk Treatment'!$C:N),"Please ensure that all risks are covered in the "&amp;Helper!$G$14&amp;" sheet. Currently, these risks are not covered: "&amp;'Risk Treatment'!$D$2&amp;"."))</f>
        <v/>
      </c>
      <c r="H55" s="16" t="str" cm="1">
        <f t="array" ca="1" aca="1" ref="H55">IF($B55="","",IFERROR(SimpleLookup($B55,'Risk Treatment'!$C:J),"Please ensure that all risks are covered in the "&amp;Helper!$G$14&amp;" sheet. Currently, these risks are not covered: "&amp;'Risk Treatment'!$D$2&amp;"."))</f>
        <v/>
      </c>
      <c r="I55" s="33" t="str" cm="1">
        <f t="array" ca="1" aca="1" ref="I55">IF($B55="","",IFERROR(SimpleLookup($B55,'Risk Treatment'!$C:O),"Please ensure that all risks are covered in the "&amp;Helper!$G$14&amp;" sheet. Currently, these risks are not covered: "&amp;'Risk Treatment'!$D$2&amp;"."))</f>
        <v/>
      </c>
      <c r="J55" s="33" t="str" cm="1">
        <f t="array" ca="1" aca="1" ref="J55">_xlfn.LET(_xlpm._assignedMitigations,IF($B55="","",IFERROR(RemoveDelimiter(GetValuesWithFallback($Z55,Countermeasures!$A:$B,Assumptions!$A:$B," ",","&amp;CHAR(10),TRUE),","&amp;CHAR(10)),"Error: Unknown risk ID "&amp;$B55)),_xlpm._inlineMitigations,$AE55,_xlpm._assignedMitigations&amp;IF(OR(_xlpm._assignedMitigations="",_xlpm._inlineMitigations=""),"",","&amp;CHAR(10))&amp;_xlpm._inlineMitigations)</f>
        <v/>
      </c>
      <c r="K55" s="37" t="str" cm="1">
        <f t="array" ca="1" aca="1" ref="K55">IF($AC55=-1,"",RemoveDelimiter(GetValues(INDEX(Risks!BN:BN,$AC55),'DS Overview'!$A:$B," ",","&amp;CHAR(10),TRUE),","&amp;CHAR(10)))</f>
        <v/>
      </c>
      <c r="L55" s="33" t="str" cm="1">
        <f t="array" ca="1" aca="1" ref="L55">IF($AC55=-1,"",INDEX(Risks!BP:BP,$AC55))</f>
        <v/>
      </c>
      <c r="M55" s="34" t="str" cm="1">
        <f t="array" ca="1" aca="1" ref="M55">_xlfn.LET(_xlpm._calculatedRAP,IFERROR(SimpleLookup($B55,Risks!$A:$BG),""),_xlpm._inlineRAP,IFERROR(SimpleLookup($B55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55,_xlpm._mitigationSheetName&amp;" sheet "&amp;_xlfn.UNICHAR(8702)&amp;" Comment column:"&amp;CHAR(10)&amp;$AE55)))</f>
        <v/>
      </c>
      <c r="N55" s="33" t="str" cm="1">
        <f t="array" ca="1" aca="1" ref="N55">IF($AC55=-1,"",INDEX(Risks!CN:CN,$AC55))</f>
        <v>Basic</v>
      </c>
      <c r="O55" s="33" t="str" cm="1">
        <f t="array" ca="1" aca="1" ref="O55">IF($AC55=-1,"",INDEX(Risks!CO:CO,$AC55))</f>
        <v>No Risk</v>
      </c>
      <c r="P55" s="33" t="str">
        <f ca="1">IF($C55="","",IF($AF55&lt;=Definitions!$AF$6,Definitions!$M$4,""))</f>
        <v/>
      </c>
      <c r="Q55" s="23"/>
      <c r="R55" s="33" t="str">
        <f t="shared" ca="1" si="1"/>
        <v/>
      </c>
      <c r="S55" s="23"/>
      <c r="T55" s="13"/>
      <c r="U55" s="10" cm="1">
        <f t="array" ca="1" aca="1" ref="U55">GenerateShadowID(ROW(),$U$5,$U:$U,0,B55&lt;&gt;"")</f>
        <v>38</v>
      </c>
      <c r="V55" s="10" cm="1">
        <f t="array" ref="V55">CreateTaskID($V$5,$V:$V,Tasks!$B$17,$T55)</f>
        <v>0</v>
      </c>
      <c r="W55" s="14" t="str" cm="1">
        <f t="array" ca="1" aca="1" ref="W55">IF($B55="","",SimpleLookup($B55,'Risk Treatment'!$C:$AW))</f>
        <v/>
      </c>
      <c r="X55" s="14" t="str" cm="1">
        <f t="array" ca="1" aca="1" ref="X55">IF($B55="","",_xlfn.LET(_xlpm._attackSteps,SimpleLookup($B55,'Risk Treatment'!$C:$Y),GetValues(_xlpm._attackSteps,Mitigation!$A:$AG,"",CHAR(1),FALSE)))</f>
        <v/>
      </c>
      <c r="Y55" s="14" t="str" cm="1">
        <f t="array" ca="1" aca="1" ref="Y55">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55,CHAR(1))</f>
        <v/>
      </c>
      <c r="Z55" s="14" t="str" cm="1">
        <f t="array" ca="1" aca="1" ref="Z55">FilterElementsFromList($W55,Helper!$J$4,TRUE,",")</f>
        <v/>
      </c>
      <c r="AA55" s="14" t="str" cm="1">
        <f t="array" ca="1" aca="1" ref="AA55">FilterElementsFromList($Y55,Helper!$J$4,TRUE,",")</f>
        <v/>
      </c>
      <c r="AB55" s="20" t="str" cm="1">
        <f t="array" ca="1" aca="1" ref="AB55">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55,CreateSearchString($AA55),CHAR(1),","&amp;CHAR(10))</f>
        <v/>
      </c>
      <c r="AC55" s="20">
        <f ca="1">IFERROR(MATCH($B55,Risks!$A:$A,0),-1)</f>
        <v>41</v>
      </c>
      <c r="AD55" s="20" t="str" cm="1">
        <f t="array" ca="1" aca="1" ref="AD55">IF($B55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55,Risks!$A:CA,Definitions!$Y:$Y,Definitions!$AB:$AB,1)&amp;CHAR(10)&amp;_xlpm._factorFunction($B55,Risks!$A:CB,Definitions!$Y:$Y,Definitions!$AB:$AB,2)&amp;CHAR(10)&amp;_xlpm._factorFunction($B55,Risks!$A:CC,Definitions!$Y:$Y,Definitions!$AB:$AB,3)&amp;CHAR(10)&amp;_xlpm._factorFunction($B55,Risks!$A:CD,Definitions!$Y:$Y,Definitions!$AB:$AB,4)&amp;CHAR(10)&amp;_xlpm._factorFunction($B55,Risks!$A:CE,Definitions!$Y:$Y,Definitions!$AB:$AB,5)))</f>
        <v/>
      </c>
      <c r="AE55" s="20" t="str" cm="1">
        <f t="array" ca="1" aca="1" ref="AE55">RemoveDelimiter(SUBSTITUTE(SUBSTITUTE($AB55,"{",""),"}",""),","&amp;CHAR(10))</f>
        <v/>
      </c>
      <c r="AF55" s="20" cm="1">
        <f t="array" ca="1" aca="1" ref="AF55">IF($O55="",0,SimpleLookup($O55,Definitions!$AE:$AF))</f>
        <v>0</v>
      </c>
    </row>
    <row r="56" spans="2:32" ht="15">
      <c r="B56" s="16" t="str">
        <f ca="1">OFFSET(Risks!$A$2,ROW()-ROW($B$5),0)</f>
        <v/>
      </c>
      <c r="C56" s="33" t="str" cm="1">
        <f t="array" ca="1" aca="1" ref="C56">IF($B56="","",IFERROR(SimpleLookup($B56,'Risk Treatment'!$C:D),"Please ensure that all risks are covered in the "&amp;Helper!$G$14&amp;" sheet. Currently, these risks are not covered: "&amp;'Risk Treatment'!$D$2&amp;"."))</f>
        <v/>
      </c>
      <c r="D56" s="37" t="str" cm="1">
        <f t="array" ca="1" aca="1" ref="D56">IF($B56="","",IFERROR(SimpleLookup($B56,'Risk Treatment'!$C:K),"Please ensure that all risks are covered in the "&amp;Helper!$G$14&amp;" sheet. Currently, these risks are not covered: "&amp;'Risk Treatment'!$D$2&amp;"."))</f>
        <v/>
      </c>
      <c r="E56" s="16" t="str" cm="1">
        <f t="array" ca="1" aca="1" ref="E56">IF($B56="","",IFERROR(SimpleLookup($B56,'Risk Treatment'!$C:L),"Please ensure that all risks are covered in the "&amp;Helper!$G$14&amp;" sheet. Currently, these risks are not covered: "&amp;'Risk Treatment'!$D$2&amp;"."))</f>
        <v/>
      </c>
      <c r="F56" s="34" t="str" cm="1">
        <f t="array" ca="1" aca="1" ref="F56">IF($B56="","",IFERROR(SimpleLookup($B56,'Risk Treatment'!$C:M),"Please ensure that all risks are covered in the "&amp;Helper!$G$14&amp;" sheet. Currently, these risks are not covered: "&amp;'Risk Treatment'!$D$2&amp;"."))</f>
        <v/>
      </c>
      <c r="G56" s="16" t="str" cm="1">
        <f t="array" ca="1" aca="1" ref="G56">IF($B56="","",IFERROR(SimpleLookup($B56,'Risk Treatment'!$C:N),"Please ensure that all risks are covered in the "&amp;Helper!$G$14&amp;" sheet. Currently, these risks are not covered: "&amp;'Risk Treatment'!$D$2&amp;"."))</f>
        <v/>
      </c>
      <c r="H56" s="16" t="str" cm="1">
        <f t="array" ca="1" aca="1" ref="H56">IF($B56="","",IFERROR(SimpleLookup($B56,'Risk Treatment'!$C:J),"Please ensure that all risks are covered in the "&amp;Helper!$G$14&amp;" sheet. Currently, these risks are not covered: "&amp;'Risk Treatment'!$D$2&amp;"."))</f>
        <v/>
      </c>
      <c r="I56" s="33" t="str" cm="1">
        <f t="array" ca="1" aca="1" ref="I56">IF($B56="","",IFERROR(SimpleLookup($B56,'Risk Treatment'!$C:O),"Please ensure that all risks are covered in the "&amp;Helper!$G$14&amp;" sheet. Currently, these risks are not covered: "&amp;'Risk Treatment'!$D$2&amp;"."))</f>
        <v/>
      </c>
      <c r="J56" s="33" t="str" cm="1">
        <f t="array" ca="1" aca="1" ref="J56">_xlfn.LET(_xlpm._assignedMitigations,IF($B56="","",IFERROR(RemoveDelimiter(GetValuesWithFallback($Z56,Countermeasures!$A:$B,Assumptions!$A:$B," ",","&amp;CHAR(10),TRUE),","&amp;CHAR(10)),"Error: Unknown risk ID "&amp;$B56)),_xlpm._inlineMitigations,$AE56,_xlpm._assignedMitigations&amp;IF(OR(_xlpm._assignedMitigations="",_xlpm._inlineMitigations=""),"",","&amp;CHAR(10))&amp;_xlpm._inlineMitigations)</f>
        <v/>
      </c>
      <c r="K56" s="37" t="str" cm="1">
        <f t="array" ca="1" aca="1" ref="K56">IF($AC56=-1,"",RemoveDelimiter(GetValues(INDEX(Risks!BN:BN,$AC56),'DS Overview'!$A:$B," ",","&amp;CHAR(10),TRUE),","&amp;CHAR(10)))</f>
        <v/>
      </c>
      <c r="L56" s="33" t="str" cm="1">
        <f t="array" ca="1" aca="1" ref="L56">IF($AC56=-1,"",INDEX(Risks!BP:BP,$AC56))</f>
        <v/>
      </c>
      <c r="M56" s="34" t="str" cm="1">
        <f t="array" ca="1" aca="1" ref="M56">_xlfn.LET(_xlpm._calculatedRAP,IFERROR(SimpleLookup($B56,Risks!$A:$BG),""),_xlpm._inlineRAP,IFERROR(SimpleLookup($B56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56,_xlpm._mitigationSheetName&amp;" sheet "&amp;_xlfn.UNICHAR(8702)&amp;" Comment column:"&amp;CHAR(10)&amp;$AE56)))</f>
        <v/>
      </c>
      <c r="N56" s="33" t="str" cm="1">
        <f t="array" ca="1" aca="1" ref="N56">IF($AC56=-1,"",INDEX(Risks!CN:CN,$AC56))</f>
        <v>Basic</v>
      </c>
      <c r="O56" s="33" t="str" cm="1">
        <f t="array" ca="1" aca="1" ref="O56">IF($AC56=-1,"",INDEX(Risks!CO:CO,$AC56))</f>
        <v>No Risk</v>
      </c>
      <c r="P56" s="33" t="str">
        <f ca="1">IF($C56="","",IF($AF56&lt;=Definitions!$AF$6,Definitions!$M$4,""))</f>
        <v/>
      </c>
      <c r="Q56" s="23"/>
      <c r="R56" s="33" t="str">
        <f t="shared" ca="1" si="1"/>
        <v/>
      </c>
      <c r="S56" s="23"/>
      <c r="T56" s="13"/>
      <c r="U56" s="10" cm="1">
        <f t="array" ca="1" aca="1" ref="U56">GenerateShadowID(ROW(),$U$5,$U:$U,0,B56&lt;&gt;"")</f>
        <v>38</v>
      </c>
      <c r="V56" s="10" cm="1">
        <f t="array" ref="V56">CreateTaskID($V$5,$V:$V,Tasks!$B$17,$T56)</f>
        <v>0</v>
      </c>
      <c r="W56" s="14" t="str" cm="1">
        <f t="array" ca="1" aca="1" ref="W56">IF($B56="","",SimpleLookup($B56,'Risk Treatment'!$C:$AW))</f>
        <v/>
      </c>
      <c r="X56" s="14" t="str" cm="1">
        <f t="array" ca="1" aca="1" ref="X56">IF($B56="","",_xlfn.LET(_xlpm._attackSteps,SimpleLookup($B56,'Risk Treatment'!$C:$Y),GetValues(_xlpm._attackSteps,Mitigation!$A:$AG,"",CHAR(1),FALSE)))</f>
        <v/>
      </c>
      <c r="Y56" s="14" t="str" cm="1">
        <f t="array" ca="1" aca="1" ref="Y5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56,CHAR(1))</f>
        <v/>
      </c>
      <c r="Z56" s="14" t="str" cm="1">
        <f t="array" ca="1" aca="1" ref="Z56">FilterElementsFromList($W56,Helper!$J$4,TRUE,",")</f>
        <v/>
      </c>
      <c r="AA56" s="14" t="str" cm="1">
        <f t="array" ca="1" aca="1" ref="AA56">FilterElementsFromList($Y56,Helper!$J$4,TRUE,",")</f>
        <v/>
      </c>
      <c r="AB56" s="20" t="str" cm="1">
        <f t="array" ca="1" aca="1" ref="AB5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56,CreateSearchString($AA56),CHAR(1),","&amp;CHAR(10))</f>
        <v/>
      </c>
      <c r="AC56" s="20">
        <f ca="1">IFERROR(MATCH($B56,Risks!$A:$A,0),-1)</f>
        <v>41</v>
      </c>
      <c r="AD56" s="20" t="str" cm="1">
        <f t="array" ca="1" aca="1" ref="AD56">IF($B56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56,Risks!$A:CA,Definitions!$Y:$Y,Definitions!$AB:$AB,1)&amp;CHAR(10)&amp;_xlpm._factorFunction($B56,Risks!$A:CB,Definitions!$Y:$Y,Definitions!$AB:$AB,2)&amp;CHAR(10)&amp;_xlpm._factorFunction($B56,Risks!$A:CC,Definitions!$Y:$Y,Definitions!$AB:$AB,3)&amp;CHAR(10)&amp;_xlpm._factorFunction($B56,Risks!$A:CD,Definitions!$Y:$Y,Definitions!$AB:$AB,4)&amp;CHAR(10)&amp;_xlpm._factorFunction($B56,Risks!$A:CE,Definitions!$Y:$Y,Definitions!$AB:$AB,5)))</f>
        <v/>
      </c>
      <c r="AE56" s="20" t="str" cm="1">
        <f t="array" ca="1" aca="1" ref="AE56">RemoveDelimiter(SUBSTITUTE(SUBSTITUTE($AB56,"{",""),"}",""),","&amp;CHAR(10))</f>
        <v/>
      </c>
      <c r="AF56" s="20" cm="1">
        <f t="array" ca="1" aca="1" ref="AF56">IF($O56="",0,SimpleLookup($O56,Definitions!$AE:$AF))</f>
        <v>0</v>
      </c>
    </row>
    <row r="57" spans="2:32" ht="15">
      <c r="B57" s="16" t="str">
        <f ca="1">OFFSET(Risks!$A$2,ROW()-ROW($B$5),0)</f>
        <v/>
      </c>
      <c r="C57" s="33" t="str" cm="1">
        <f t="array" ca="1" aca="1" ref="C57">IF($B57="","",IFERROR(SimpleLookup($B57,'Risk Treatment'!$C:D),"Please ensure that all risks are covered in the "&amp;Helper!$G$14&amp;" sheet. Currently, these risks are not covered: "&amp;'Risk Treatment'!$D$2&amp;"."))</f>
        <v/>
      </c>
      <c r="D57" s="37" t="str" cm="1">
        <f t="array" ca="1" aca="1" ref="D57">IF($B57="","",IFERROR(SimpleLookup($B57,'Risk Treatment'!$C:K),"Please ensure that all risks are covered in the "&amp;Helper!$G$14&amp;" sheet. Currently, these risks are not covered: "&amp;'Risk Treatment'!$D$2&amp;"."))</f>
        <v/>
      </c>
      <c r="E57" s="16" t="str" cm="1">
        <f t="array" ca="1" aca="1" ref="E57">IF($B57="","",IFERROR(SimpleLookup($B57,'Risk Treatment'!$C:L),"Please ensure that all risks are covered in the "&amp;Helper!$G$14&amp;" sheet. Currently, these risks are not covered: "&amp;'Risk Treatment'!$D$2&amp;"."))</f>
        <v/>
      </c>
      <c r="F57" s="34" t="str" cm="1">
        <f t="array" ca="1" aca="1" ref="F57">IF($B57="","",IFERROR(SimpleLookup($B57,'Risk Treatment'!$C:M),"Please ensure that all risks are covered in the "&amp;Helper!$G$14&amp;" sheet. Currently, these risks are not covered: "&amp;'Risk Treatment'!$D$2&amp;"."))</f>
        <v/>
      </c>
      <c r="G57" s="16" t="str" cm="1">
        <f t="array" ca="1" aca="1" ref="G57">IF($B57="","",IFERROR(SimpleLookup($B57,'Risk Treatment'!$C:N),"Please ensure that all risks are covered in the "&amp;Helper!$G$14&amp;" sheet. Currently, these risks are not covered: "&amp;'Risk Treatment'!$D$2&amp;"."))</f>
        <v/>
      </c>
      <c r="H57" s="16" t="str" cm="1">
        <f t="array" ca="1" aca="1" ref="H57">IF($B57="","",IFERROR(SimpleLookup($B57,'Risk Treatment'!$C:J),"Please ensure that all risks are covered in the "&amp;Helper!$G$14&amp;" sheet. Currently, these risks are not covered: "&amp;'Risk Treatment'!$D$2&amp;"."))</f>
        <v/>
      </c>
      <c r="I57" s="33" t="str" cm="1">
        <f t="array" ca="1" aca="1" ref="I57">IF($B57="","",IFERROR(SimpleLookup($B57,'Risk Treatment'!$C:O),"Please ensure that all risks are covered in the "&amp;Helper!$G$14&amp;" sheet. Currently, these risks are not covered: "&amp;'Risk Treatment'!$D$2&amp;"."))</f>
        <v/>
      </c>
      <c r="J57" s="33" t="str" cm="1">
        <f t="array" ca="1" aca="1" ref="J57">_xlfn.LET(_xlpm._assignedMitigations,IF($B57="","",IFERROR(RemoveDelimiter(GetValuesWithFallback($Z57,Countermeasures!$A:$B,Assumptions!$A:$B," ",","&amp;CHAR(10),TRUE),","&amp;CHAR(10)),"Error: Unknown risk ID "&amp;$B57)),_xlpm._inlineMitigations,$AE57,_xlpm._assignedMitigations&amp;IF(OR(_xlpm._assignedMitigations="",_xlpm._inlineMitigations=""),"",","&amp;CHAR(10))&amp;_xlpm._inlineMitigations)</f>
        <v/>
      </c>
      <c r="K57" s="37" t="str" cm="1">
        <f t="array" ca="1" aca="1" ref="K57">IF($AC57=-1,"",RemoveDelimiter(GetValues(INDEX(Risks!BN:BN,$AC57),'DS Overview'!$A:$B," ",","&amp;CHAR(10),TRUE),","&amp;CHAR(10)))</f>
        <v/>
      </c>
      <c r="L57" s="33" t="str" cm="1">
        <f t="array" ca="1" aca="1" ref="L57">IF($AC57=-1,"",INDEX(Risks!BP:BP,$AC57))</f>
        <v/>
      </c>
      <c r="M57" s="34" t="str" cm="1">
        <f t="array" ca="1" aca="1" ref="M57">_xlfn.LET(_xlpm._calculatedRAP,IFERROR(SimpleLookup($B57,Risks!$A:$BG),""),_xlpm._inlineRAP,IFERROR(SimpleLookup($B57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57,_xlpm._mitigationSheetName&amp;" sheet "&amp;_xlfn.UNICHAR(8702)&amp;" Comment column:"&amp;CHAR(10)&amp;$AE57)))</f>
        <v/>
      </c>
      <c r="N57" s="33" t="str" cm="1">
        <f t="array" ca="1" aca="1" ref="N57">IF($AC57=-1,"",INDEX(Risks!CN:CN,$AC57))</f>
        <v>Basic</v>
      </c>
      <c r="O57" s="33" t="str" cm="1">
        <f t="array" ca="1" aca="1" ref="O57">IF($AC57=-1,"",INDEX(Risks!CO:CO,$AC57))</f>
        <v>No Risk</v>
      </c>
      <c r="P57" s="33" t="str">
        <f ca="1">IF($C57="","",IF($AF57&lt;=Definitions!$AF$6,Definitions!$M$4,""))</f>
        <v/>
      </c>
      <c r="Q57" s="23"/>
      <c r="R57" s="33" t="str">
        <f t="shared" ca="1" si="1"/>
        <v/>
      </c>
      <c r="S57" s="23"/>
      <c r="T57" s="13"/>
      <c r="U57" s="10" cm="1">
        <f t="array" ca="1" aca="1" ref="U57">GenerateShadowID(ROW(),$U$5,$U:$U,0,B57&lt;&gt;"")</f>
        <v>38</v>
      </c>
      <c r="V57" s="10" cm="1">
        <f t="array" ref="V57">CreateTaskID($V$5,$V:$V,Tasks!$B$17,$T57)</f>
        <v>0</v>
      </c>
      <c r="W57" s="14" t="str" cm="1">
        <f t="array" ca="1" aca="1" ref="W57">IF($B57="","",SimpleLookup($B57,'Risk Treatment'!$C:$AW))</f>
        <v/>
      </c>
      <c r="X57" s="14" t="str" cm="1">
        <f t="array" ca="1" aca="1" ref="X57">IF($B57="","",_xlfn.LET(_xlpm._attackSteps,SimpleLookup($B57,'Risk Treatment'!$C:$Y),GetValues(_xlpm._attackSteps,Mitigation!$A:$AG,"",CHAR(1),FALSE)))</f>
        <v/>
      </c>
      <c r="Y57" s="14" t="str" cm="1">
        <f t="array" ca="1" aca="1" ref="Y5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57,CHAR(1))</f>
        <v/>
      </c>
      <c r="Z57" s="14" t="str" cm="1">
        <f t="array" ca="1" aca="1" ref="Z57">FilterElementsFromList($W57,Helper!$J$4,TRUE,",")</f>
        <v/>
      </c>
      <c r="AA57" s="14" t="str" cm="1">
        <f t="array" ca="1" aca="1" ref="AA57">FilterElementsFromList($Y57,Helper!$J$4,TRUE,",")</f>
        <v/>
      </c>
      <c r="AB57" s="20" t="str" cm="1">
        <f t="array" ca="1" aca="1" ref="AB5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57,CreateSearchString($AA57),CHAR(1),","&amp;CHAR(10))</f>
        <v/>
      </c>
      <c r="AC57" s="20">
        <f ca="1">IFERROR(MATCH($B57,Risks!$A:$A,0),-1)</f>
        <v>41</v>
      </c>
      <c r="AD57" s="20" t="str" cm="1">
        <f t="array" ca="1" aca="1" ref="AD57">IF($B57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57,Risks!$A:CA,Definitions!$Y:$Y,Definitions!$AB:$AB,1)&amp;CHAR(10)&amp;_xlpm._factorFunction($B57,Risks!$A:CB,Definitions!$Y:$Y,Definitions!$AB:$AB,2)&amp;CHAR(10)&amp;_xlpm._factorFunction($B57,Risks!$A:CC,Definitions!$Y:$Y,Definitions!$AB:$AB,3)&amp;CHAR(10)&amp;_xlpm._factorFunction($B57,Risks!$A:CD,Definitions!$Y:$Y,Definitions!$AB:$AB,4)&amp;CHAR(10)&amp;_xlpm._factorFunction($B57,Risks!$A:CE,Definitions!$Y:$Y,Definitions!$AB:$AB,5)))</f>
        <v/>
      </c>
      <c r="AE57" s="20" t="str" cm="1">
        <f t="array" ca="1" aca="1" ref="AE57">RemoveDelimiter(SUBSTITUTE(SUBSTITUTE($AB57,"{",""),"}",""),","&amp;CHAR(10))</f>
        <v/>
      </c>
      <c r="AF57" s="20" cm="1">
        <f t="array" ca="1" aca="1" ref="AF57">IF($O57="",0,SimpleLookup($O57,Definitions!$AE:$AF))</f>
        <v>0</v>
      </c>
    </row>
    <row r="58" spans="2:32" ht="15">
      <c r="B58" s="16" t="str">
        <f ca="1">OFFSET(Risks!$A$2,ROW()-ROW($B$5),0)</f>
        <v/>
      </c>
      <c r="C58" s="33" t="str" cm="1">
        <f t="array" ca="1" aca="1" ref="C58">IF($B58="","",IFERROR(SimpleLookup($B58,'Risk Treatment'!$C:D),"Please ensure that all risks are covered in the "&amp;Helper!$G$14&amp;" sheet. Currently, these risks are not covered: "&amp;'Risk Treatment'!$D$2&amp;"."))</f>
        <v/>
      </c>
      <c r="D58" s="37" t="str" cm="1">
        <f t="array" ca="1" aca="1" ref="D58">IF($B58="","",IFERROR(SimpleLookup($B58,'Risk Treatment'!$C:K),"Please ensure that all risks are covered in the "&amp;Helper!$G$14&amp;" sheet. Currently, these risks are not covered: "&amp;'Risk Treatment'!$D$2&amp;"."))</f>
        <v/>
      </c>
      <c r="E58" s="16" t="str" cm="1">
        <f t="array" ca="1" aca="1" ref="E58">IF($B58="","",IFERROR(SimpleLookup($B58,'Risk Treatment'!$C:L),"Please ensure that all risks are covered in the "&amp;Helper!$G$14&amp;" sheet. Currently, these risks are not covered: "&amp;'Risk Treatment'!$D$2&amp;"."))</f>
        <v/>
      </c>
      <c r="F58" s="34" t="str" cm="1">
        <f t="array" ca="1" aca="1" ref="F58">IF($B58="","",IFERROR(SimpleLookup($B58,'Risk Treatment'!$C:M),"Please ensure that all risks are covered in the "&amp;Helper!$G$14&amp;" sheet. Currently, these risks are not covered: "&amp;'Risk Treatment'!$D$2&amp;"."))</f>
        <v/>
      </c>
      <c r="G58" s="16" t="str" cm="1">
        <f t="array" ca="1" aca="1" ref="G58">IF($B58="","",IFERROR(SimpleLookup($B58,'Risk Treatment'!$C:N),"Please ensure that all risks are covered in the "&amp;Helper!$G$14&amp;" sheet. Currently, these risks are not covered: "&amp;'Risk Treatment'!$D$2&amp;"."))</f>
        <v/>
      </c>
      <c r="H58" s="16" t="str" cm="1">
        <f t="array" ca="1" aca="1" ref="H58">IF($B58="","",IFERROR(SimpleLookup($B58,'Risk Treatment'!$C:J),"Please ensure that all risks are covered in the "&amp;Helper!$G$14&amp;" sheet. Currently, these risks are not covered: "&amp;'Risk Treatment'!$D$2&amp;"."))</f>
        <v/>
      </c>
      <c r="I58" s="33" t="str" cm="1">
        <f t="array" ca="1" aca="1" ref="I58">IF($B58="","",IFERROR(SimpleLookup($B58,'Risk Treatment'!$C:O),"Please ensure that all risks are covered in the "&amp;Helper!$G$14&amp;" sheet. Currently, these risks are not covered: "&amp;'Risk Treatment'!$D$2&amp;"."))</f>
        <v/>
      </c>
      <c r="J58" s="33" t="str" cm="1">
        <f t="array" ca="1" aca="1" ref="J58">_xlfn.LET(_xlpm._assignedMitigations,IF($B58="","",IFERROR(RemoveDelimiter(GetValuesWithFallback($Z58,Countermeasures!$A:$B,Assumptions!$A:$B," ",","&amp;CHAR(10),TRUE),","&amp;CHAR(10)),"Error: Unknown risk ID "&amp;$B58)),_xlpm._inlineMitigations,$AE58,_xlpm._assignedMitigations&amp;IF(OR(_xlpm._assignedMitigations="",_xlpm._inlineMitigations=""),"",","&amp;CHAR(10))&amp;_xlpm._inlineMitigations)</f>
        <v/>
      </c>
      <c r="K58" s="37" t="str" cm="1">
        <f t="array" ca="1" aca="1" ref="K58">IF($AC58=-1,"",RemoveDelimiter(GetValues(INDEX(Risks!BN:BN,$AC58),'DS Overview'!$A:$B," ",","&amp;CHAR(10),TRUE),","&amp;CHAR(10)))</f>
        <v/>
      </c>
      <c r="L58" s="33" t="str" cm="1">
        <f t="array" ca="1" aca="1" ref="L58">IF($AC58=-1,"",INDEX(Risks!BP:BP,$AC58))</f>
        <v/>
      </c>
      <c r="M58" s="34" t="str" cm="1">
        <f t="array" ca="1" aca="1" ref="M58">_xlfn.LET(_xlpm._calculatedRAP,IFERROR(SimpleLookup($B58,Risks!$A:$BG),""),_xlpm._inlineRAP,IFERROR(SimpleLookup($B58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58,_xlpm._mitigationSheetName&amp;" sheet "&amp;_xlfn.UNICHAR(8702)&amp;" Comment column:"&amp;CHAR(10)&amp;$AE58)))</f>
        <v/>
      </c>
      <c r="N58" s="33" t="str" cm="1">
        <f t="array" ca="1" aca="1" ref="N58">IF($AC58=-1,"",INDEX(Risks!CN:CN,$AC58))</f>
        <v>Basic</v>
      </c>
      <c r="O58" s="33" t="str" cm="1">
        <f t="array" ca="1" aca="1" ref="O58">IF($AC58=-1,"",INDEX(Risks!CO:CO,$AC58))</f>
        <v>No Risk</v>
      </c>
      <c r="P58" s="33" t="str">
        <f ca="1">IF($C58="","",IF($AF58&lt;=Definitions!$AF$6,Definitions!$M$4,""))</f>
        <v/>
      </c>
      <c r="Q58" s="23"/>
      <c r="R58" s="33" t="str">
        <f t="shared" ca="1" si="1"/>
        <v/>
      </c>
      <c r="S58" s="23"/>
      <c r="T58" s="13"/>
      <c r="U58" s="10" cm="1">
        <f t="array" ca="1" aca="1" ref="U58">GenerateShadowID(ROW(),$U$5,$U:$U,0,B58&lt;&gt;"")</f>
        <v>38</v>
      </c>
      <c r="V58" s="10" cm="1">
        <f t="array" ref="V58">CreateTaskID($V$5,$V:$V,Tasks!$B$17,$T58)</f>
        <v>0</v>
      </c>
      <c r="W58" s="14" t="str" cm="1">
        <f t="array" ca="1" aca="1" ref="W58">IF($B58="","",SimpleLookup($B58,'Risk Treatment'!$C:$AW))</f>
        <v/>
      </c>
      <c r="X58" s="14" t="str" cm="1">
        <f t="array" ca="1" aca="1" ref="X58">IF($B58="","",_xlfn.LET(_xlpm._attackSteps,SimpleLookup($B58,'Risk Treatment'!$C:$Y),GetValues(_xlpm._attackSteps,Mitigation!$A:$AG,"",CHAR(1),FALSE)))</f>
        <v/>
      </c>
      <c r="Y58" s="14" t="str" cm="1">
        <f t="array" ca="1" aca="1" ref="Y5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58,CHAR(1))</f>
        <v/>
      </c>
      <c r="Z58" s="14" t="str" cm="1">
        <f t="array" ca="1" aca="1" ref="Z58">FilterElementsFromList($W58,Helper!$J$4,TRUE,",")</f>
        <v/>
      </c>
      <c r="AA58" s="14" t="str" cm="1">
        <f t="array" ca="1" aca="1" ref="AA58">FilterElementsFromList($Y58,Helper!$J$4,TRUE,",")</f>
        <v/>
      </c>
      <c r="AB58" s="20" t="str" cm="1">
        <f t="array" ca="1" aca="1" ref="AB5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58,CreateSearchString($AA58),CHAR(1),","&amp;CHAR(10))</f>
        <v/>
      </c>
      <c r="AC58" s="20">
        <f ca="1">IFERROR(MATCH($B58,Risks!$A:$A,0),-1)</f>
        <v>41</v>
      </c>
      <c r="AD58" s="20" t="str" cm="1">
        <f t="array" ca="1" aca="1" ref="AD58">IF($B58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58,Risks!$A:CA,Definitions!$Y:$Y,Definitions!$AB:$AB,1)&amp;CHAR(10)&amp;_xlpm._factorFunction($B58,Risks!$A:CB,Definitions!$Y:$Y,Definitions!$AB:$AB,2)&amp;CHAR(10)&amp;_xlpm._factorFunction($B58,Risks!$A:CC,Definitions!$Y:$Y,Definitions!$AB:$AB,3)&amp;CHAR(10)&amp;_xlpm._factorFunction($B58,Risks!$A:CD,Definitions!$Y:$Y,Definitions!$AB:$AB,4)&amp;CHAR(10)&amp;_xlpm._factorFunction($B58,Risks!$A:CE,Definitions!$Y:$Y,Definitions!$AB:$AB,5)))</f>
        <v/>
      </c>
      <c r="AE58" s="20" t="str" cm="1">
        <f t="array" ca="1" aca="1" ref="AE58">RemoveDelimiter(SUBSTITUTE(SUBSTITUTE($AB58,"{",""),"}",""),","&amp;CHAR(10))</f>
        <v/>
      </c>
      <c r="AF58" s="20" cm="1">
        <f t="array" ca="1" aca="1" ref="AF58">IF($O58="",0,SimpleLookup($O58,Definitions!$AE:$AF))</f>
        <v>0</v>
      </c>
    </row>
    <row r="59" spans="2:32" ht="15">
      <c r="B59" s="16" t="str">
        <f ca="1">OFFSET(Risks!$A$2,ROW()-ROW($B$5),0)</f>
        <v/>
      </c>
      <c r="C59" s="33" t="str" cm="1">
        <f t="array" ca="1" aca="1" ref="C59">IF($B59="","",IFERROR(SimpleLookup($B59,'Risk Treatment'!$C:D),"Please ensure that all risks are covered in the "&amp;Helper!$G$14&amp;" sheet. Currently, these risks are not covered: "&amp;'Risk Treatment'!$D$2&amp;"."))</f>
        <v/>
      </c>
      <c r="D59" s="37" t="str" cm="1">
        <f t="array" ca="1" aca="1" ref="D59">IF($B59="","",IFERROR(SimpleLookup($B59,'Risk Treatment'!$C:K),"Please ensure that all risks are covered in the "&amp;Helper!$G$14&amp;" sheet. Currently, these risks are not covered: "&amp;'Risk Treatment'!$D$2&amp;"."))</f>
        <v/>
      </c>
      <c r="E59" s="16" t="str" cm="1">
        <f t="array" ca="1" aca="1" ref="E59">IF($B59="","",IFERROR(SimpleLookup($B59,'Risk Treatment'!$C:L),"Please ensure that all risks are covered in the "&amp;Helper!$G$14&amp;" sheet. Currently, these risks are not covered: "&amp;'Risk Treatment'!$D$2&amp;"."))</f>
        <v/>
      </c>
      <c r="F59" s="34" t="str" cm="1">
        <f t="array" ca="1" aca="1" ref="F59">IF($B59="","",IFERROR(SimpleLookup($B59,'Risk Treatment'!$C:M),"Please ensure that all risks are covered in the "&amp;Helper!$G$14&amp;" sheet. Currently, these risks are not covered: "&amp;'Risk Treatment'!$D$2&amp;"."))</f>
        <v/>
      </c>
      <c r="G59" s="16" t="str" cm="1">
        <f t="array" ca="1" aca="1" ref="G59">IF($B59="","",IFERROR(SimpleLookup($B59,'Risk Treatment'!$C:N),"Please ensure that all risks are covered in the "&amp;Helper!$G$14&amp;" sheet. Currently, these risks are not covered: "&amp;'Risk Treatment'!$D$2&amp;"."))</f>
        <v/>
      </c>
      <c r="H59" s="16" t="str" cm="1">
        <f t="array" ca="1" aca="1" ref="H59">IF($B59="","",IFERROR(SimpleLookup($B59,'Risk Treatment'!$C:J),"Please ensure that all risks are covered in the "&amp;Helper!$G$14&amp;" sheet. Currently, these risks are not covered: "&amp;'Risk Treatment'!$D$2&amp;"."))</f>
        <v/>
      </c>
      <c r="I59" s="33" t="str" cm="1">
        <f t="array" ca="1" aca="1" ref="I59">IF($B59="","",IFERROR(SimpleLookup($B59,'Risk Treatment'!$C:O),"Please ensure that all risks are covered in the "&amp;Helper!$G$14&amp;" sheet. Currently, these risks are not covered: "&amp;'Risk Treatment'!$D$2&amp;"."))</f>
        <v/>
      </c>
      <c r="J59" s="33" t="str" cm="1">
        <f t="array" ca="1" aca="1" ref="J59">_xlfn.LET(_xlpm._assignedMitigations,IF($B59="","",IFERROR(RemoveDelimiter(GetValuesWithFallback($Z59,Countermeasures!$A:$B,Assumptions!$A:$B," ",","&amp;CHAR(10),TRUE),","&amp;CHAR(10)),"Error: Unknown risk ID "&amp;$B59)),_xlpm._inlineMitigations,$AE59,_xlpm._assignedMitigations&amp;IF(OR(_xlpm._assignedMitigations="",_xlpm._inlineMitigations=""),"",","&amp;CHAR(10))&amp;_xlpm._inlineMitigations)</f>
        <v/>
      </c>
      <c r="K59" s="37" t="str" cm="1">
        <f t="array" ca="1" aca="1" ref="K59">IF($AC59=-1,"",RemoveDelimiter(GetValues(INDEX(Risks!BN:BN,$AC59),'DS Overview'!$A:$B," ",","&amp;CHAR(10),TRUE),","&amp;CHAR(10)))</f>
        <v/>
      </c>
      <c r="L59" s="33" t="str" cm="1">
        <f t="array" ca="1" aca="1" ref="L59">IF($AC59=-1,"",INDEX(Risks!BP:BP,$AC59))</f>
        <v/>
      </c>
      <c r="M59" s="34" t="str" cm="1">
        <f t="array" ca="1" aca="1" ref="M59">_xlfn.LET(_xlpm._calculatedRAP,IFERROR(SimpleLookup($B59,Risks!$A:$BG),""),_xlpm._inlineRAP,IFERROR(SimpleLookup($B59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59,_xlpm._mitigationSheetName&amp;" sheet "&amp;_xlfn.UNICHAR(8702)&amp;" Comment column:"&amp;CHAR(10)&amp;$AE59)))</f>
        <v/>
      </c>
      <c r="N59" s="33" t="str" cm="1">
        <f t="array" ca="1" aca="1" ref="N59">IF($AC59=-1,"",INDEX(Risks!CN:CN,$AC59))</f>
        <v>Basic</v>
      </c>
      <c r="O59" s="33" t="str" cm="1">
        <f t="array" ca="1" aca="1" ref="O59">IF($AC59=-1,"",INDEX(Risks!CO:CO,$AC59))</f>
        <v>No Risk</v>
      </c>
      <c r="P59" s="33" t="str">
        <f ca="1">IF($C59="","",IF($AF59&lt;=Definitions!$AF$6,Definitions!$M$4,""))</f>
        <v/>
      </c>
      <c r="Q59" s="23"/>
      <c r="R59" s="33" t="str">
        <f t="shared" ca="1" si="1"/>
        <v/>
      </c>
      <c r="S59" s="23"/>
      <c r="T59" s="13"/>
      <c r="U59" s="10" cm="1">
        <f t="array" ca="1" aca="1" ref="U59">GenerateShadowID(ROW(),$U$5,$U:$U,0,B59&lt;&gt;"")</f>
        <v>38</v>
      </c>
      <c r="V59" s="10" cm="1">
        <f t="array" ref="V59">CreateTaskID($V$5,$V:$V,Tasks!$B$17,$T59)</f>
        <v>0</v>
      </c>
      <c r="W59" s="14" t="str" cm="1">
        <f t="array" ca="1" aca="1" ref="W59">IF($B59="","",SimpleLookup($B59,'Risk Treatment'!$C:$AW))</f>
        <v/>
      </c>
      <c r="X59" s="14" t="str" cm="1">
        <f t="array" ca="1" aca="1" ref="X59">IF($B59="","",_xlfn.LET(_xlpm._attackSteps,SimpleLookup($B59,'Risk Treatment'!$C:$Y),GetValues(_xlpm._attackSteps,Mitigation!$A:$AG,"",CHAR(1),FALSE)))</f>
        <v/>
      </c>
      <c r="Y59" s="14" t="str" cm="1">
        <f t="array" ca="1" aca="1" ref="Y5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59,CHAR(1))</f>
        <v/>
      </c>
      <c r="Z59" s="14" t="str" cm="1">
        <f t="array" ca="1" aca="1" ref="Z59">FilterElementsFromList($W59,Helper!$J$4,TRUE,",")</f>
        <v/>
      </c>
      <c r="AA59" s="14" t="str" cm="1">
        <f t="array" ca="1" aca="1" ref="AA59">FilterElementsFromList($Y59,Helper!$J$4,TRUE,",")</f>
        <v/>
      </c>
      <c r="AB59" s="20" t="str" cm="1">
        <f t="array" ca="1" aca="1" ref="AB5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59,CreateSearchString($AA59),CHAR(1),","&amp;CHAR(10))</f>
        <v/>
      </c>
      <c r="AC59" s="20">
        <f ca="1">IFERROR(MATCH($B59,Risks!$A:$A,0),-1)</f>
        <v>41</v>
      </c>
      <c r="AD59" s="20" t="str" cm="1">
        <f t="array" ca="1" aca="1" ref="AD59">IF($B59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59,Risks!$A:CA,Definitions!$Y:$Y,Definitions!$AB:$AB,1)&amp;CHAR(10)&amp;_xlpm._factorFunction($B59,Risks!$A:CB,Definitions!$Y:$Y,Definitions!$AB:$AB,2)&amp;CHAR(10)&amp;_xlpm._factorFunction($B59,Risks!$A:CC,Definitions!$Y:$Y,Definitions!$AB:$AB,3)&amp;CHAR(10)&amp;_xlpm._factorFunction($B59,Risks!$A:CD,Definitions!$Y:$Y,Definitions!$AB:$AB,4)&amp;CHAR(10)&amp;_xlpm._factorFunction($B59,Risks!$A:CE,Definitions!$Y:$Y,Definitions!$AB:$AB,5)))</f>
        <v/>
      </c>
      <c r="AE59" s="20" t="str" cm="1">
        <f t="array" ca="1" aca="1" ref="AE59">RemoveDelimiter(SUBSTITUTE(SUBSTITUTE($AB59,"{",""),"}",""),","&amp;CHAR(10))</f>
        <v/>
      </c>
      <c r="AF59" s="20" cm="1">
        <f t="array" ca="1" aca="1" ref="AF59">IF($O59="",0,SimpleLookup($O59,Definitions!$AE:$AF))</f>
        <v>0</v>
      </c>
    </row>
    <row r="60" spans="2:32" ht="15">
      <c r="B60" s="16" t="str">
        <f ca="1">OFFSET(Risks!$A$2,ROW()-ROW($B$5),0)</f>
        <v/>
      </c>
      <c r="C60" s="33" t="str" cm="1">
        <f t="array" ca="1" aca="1" ref="C60">IF($B60="","",IFERROR(SimpleLookup($B60,'Risk Treatment'!$C:D),"Please ensure that all risks are covered in the "&amp;Helper!$G$14&amp;" sheet. Currently, these risks are not covered: "&amp;'Risk Treatment'!$D$2&amp;"."))</f>
        <v/>
      </c>
      <c r="D60" s="37" t="str" cm="1">
        <f t="array" ca="1" aca="1" ref="D60">IF($B60="","",IFERROR(SimpleLookup($B60,'Risk Treatment'!$C:K),"Please ensure that all risks are covered in the "&amp;Helper!$G$14&amp;" sheet. Currently, these risks are not covered: "&amp;'Risk Treatment'!$D$2&amp;"."))</f>
        <v/>
      </c>
      <c r="E60" s="16" t="str" cm="1">
        <f t="array" ca="1" aca="1" ref="E60">IF($B60="","",IFERROR(SimpleLookup($B60,'Risk Treatment'!$C:L),"Please ensure that all risks are covered in the "&amp;Helper!$G$14&amp;" sheet. Currently, these risks are not covered: "&amp;'Risk Treatment'!$D$2&amp;"."))</f>
        <v/>
      </c>
      <c r="F60" s="34" t="str" cm="1">
        <f t="array" ca="1" aca="1" ref="F60">IF($B60="","",IFERROR(SimpleLookup($B60,'Risk Treatment'!$C:M),"Please ensure that all risks are covered in the "&amp;Helper!$G$14&amp;" sheet. Currently, these risks are not covered: "&amp;'Risk Treatment'!$D$2&amp;"."))</f>
        <v/>
      </c>
      <c r="G60" s="16" t="str" cm="1">
        <f t="array" ca="1" aca="1" ref="G60">IF($B60="","",IFERROR(SimpleLookup($B60,'Risk Treatment'!$C:N),"Please ensure that all risks are covered in the "&amp;Helper!$G$14&amp;" sheet. Currently, these risks are not covered: "&amp;'Risk Treatment'!$D$2&amp;"."))</f>
        <v/>
      </c>
      <c r="H60" s="16" t="str" cm="1">
        <f t="array" ca="1" aca="1" ref="H60">IF($B60="","",IFERROR(SimpleLookup($B60,'Risk Treatment'!$C:J),"Please ensure that all risks are covered in the "&amp;Helper!$G$14&amp;" sheet. Currently, these risks are not covered: "&amp;'Risk Treatment'!$D$2&amp;"."))</f>
        <v/>
      </c>
      <c r="I60" s="33" t="str" cm="1">
        <f t="array" ca="1" aca="1" ref="I60">IF($B60="","",IFERROR(SimpleLookup($B60,'Risk Treatment'!$C:O),"Please ensure that all risks are covered in the "&amp;Helper!$G$14&amp;" sheet. Currently, these risks are not covered: "&amp;'Risk Treatment'!$D$2&amp;"."))</f>
        <v/>
      </c>
      <c r="J60" s="33" t="str" cm="1">
        <f t="array" ca="1" aca="1" ref="J60">_xlfn.LET(_xlpm._assignedMitigations,IF($B60="","",IFERROR(RemoveDelimiter(GetValuesWithFallback($Z60,Countermeasures!$A:$B,Assumptions!$A:$B," ",","&amp;CHAR(10),TRUE),","&amp;CHAR(10)),"Error: Unknown risk ID "&amp;$B60)),_xlpm._inlineMitigations,$AE60,_xlpm._assignedMitigations&amp;IF(OR(_xlpm._assignedMitigations="",_xlpm._inlineMitigations=""),"",","&amp;CHAR(10))&amp;_xlpm._inlineMitigations)</f>
        <v/>
      </c>
      <c r="K60" s="37" t="str" cm="1">
        <f t="array" ca="1" aca="1" ref="K60">IF($AC60=-1,"",RemoveDelimiter(GetValues(INDEX(Risks!BN:BN,$AC60),'DS Overview'!$A:$B," ",","&amp;CHAR(10),TRUE),","&amp;CHAR(10)))</f>
        <v/>
      </c>
      <c r="L60" s="33" t="str" cm="1">
        <f t="array" ca="1" aca="1" ref="L60">IF($AC60=-1,"",INDEX(Risks!BP:BP,$AC60))</f>
        <v/>
      </c>
      <c r="M60" s="34" t="str" cm="1">
        <f t="array" ca="1" aca="1" ref="M60">_xlfn.LET(_xlpm._calculatedRAP,IFERROR(SimpleLookup($B60,Risks!$A:$BG),""),_xlpm._inlineRAP,IFERROR(SimpleLookup($B60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60,_xlpm._mitigationSheetName&amp;" sheet "&amp;_xlfn.UNICHAR(8702)&amp;" Comment column:"&amp;CHAR(10)&amp;$AE60)))</f>
        <v/>
      </c>
      <c r="N60" s="33" t="str" cm="1">
        <f t="array" ca="1" aca="1" ref="N60">IF($AC60=-1,"",INDEX(Risks!CN:CN,$AC60))</f>
        <v>Basic</v>
      </c>
      <c r="O60" s="33" t="str" cm="1">
        <f t="array" ca="1" aca="1" ref="O60">IF($AC60=-1,"",INDEX(Risks!CO:CO,$AC60))</f>
        <v>No Risk</v>
      </c>
      <c r="P60" s="33" t="str">
        <f ca="1">IF($C60="","",IF($AF60&lt;=Definitions!$AF$6,Definitions!$M$4,""))</f>
        <v/>
      </c>
      <c r="Q60" s="23"/>
      <c r="R60" s="33" t="str">
        <f t="shared" ca="1" si="1"/>
        <v/>
      </c>
      <c r="S60" s="23"/>
      <c r="T60" s="13"/>
      <c r="U60" s="10" cm="1">
        <f t="array" ca="1" aca="1" ref="U60">GenerateShadowID(ROW(),$U$5,$U:$U,0,B60&lt;&gt;"")</f>
        <v>38</v>
      </c>
      <c r="V60" s="10" cm="1">
        <f t="array" ref="V60">CreateTaskID($V$5,$V:$V,Tasks!$B$17,$T60)</f>
        <v>0</v>
      </c>
      <c r="W60" s="14" t="str" cm="1">
        <f t="array" ca="1" aca="1" ref="W60">IF($B60="","",SimpleLookup($B60,'Risk Treatment'!$C:$AW))</f>
        <v/>
      </c>
      <c r="X60" s="14" t="str" cm="1">
        <f t="array" ca="1" aca="1" ref="X60">IF($B60="","",_xlfn.LET(_xlpm._attackSteps,SimpleLookup($B60,'Risk Treatment'!$C:$Y),GetValues(_xlpm._attackSteps,Mitigation!$A:$AG,"",CHAR(1),FALSE)))</f>
        <v/>
      </c>
      <c r="Y60" s="14" t="str" cm="1">
        <f t="array" ca="1" aca="1" ref="Y6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60,CHAR(1))</f>
        <v/>
      </c>
      <c r="Z60" s="14" t="str" cm="1">
        <f t="array" ca="1" aca="1" ref="Z60">FilterElementsFromList($W60,Helper!$J$4,TRUE,",")</f>
        <v/>
      </c>
      <c r="AA60" s="14" t="str" cm="1">
        <f t="array" ca="1" aca="1" ref="AA60">FilterElementsFromList($Y60,Helper!$J$4,TRUE,",")</f>
        <v/>
      </c>
      <c r="AB60" s="20" t="str" cm="1">
        <f t="array" ca="1" aca="1" ref="AB6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60,CreateSearchString($AA60),CHAR(1),","&amp;CHAR(10))</f>
        <v/>
      </c>
      <c r="AC60" s="20">
        <f ca="1">IFERROR(MATCH($B60,Risks!$A:$A,0),-1)</f>
        <v>41</v>
      </c>
      <c r="AD60" s="20" t="str" cm="1">
        <f t="array" ca="1" aca="1" ref="AD60">IF($B60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60,Risks!$A:CA,Definitions!$Y:$Y,Definitions!$AB:$AB,1)&amp;CHAR(10)&amp;_xlpm._factorFunction($B60,Risks!$A:CB,Definitions!$Y:$Y,Definitions!$AB:$AB,2)&amp;CHAR(10)&amp;_xlpm._factorFunction($B60,Risks!$A:CC,Definitions!$Y:$Y,Definitions!$AB:$AB,3)&amp;CHAR(10)&amp;_xlpm._factorFunction($B60,Risks!$A:CD,Definitions!$Y:$Y,Definitions!$AB:$AB,4)&amp;CHAR(10)&amp;_xlpm._factorFunction($B60,Risks!$A:CE,Definitions!$Y:$Y,Definitions!$AB:$AB,5)))</f>
        <v/>
      </c>
      <c r="AE60" s="20" t="str" cm="1">
        <f t="array" ca="1" aca="1" ref="AE60">RemoveDelimiter(SUBSTITUTE(SUBSTITUTE($AB60,"{",""),"}",""),","&amp;CHAR(10))</f>
        <v/>
      </c>
      <c r="AF60" s="20" cm="1">
        <f t="array" ca="1" aca="1" ref="AF60">IF($O60="",0,SimpleLookup($O60,Definitions!$AE:$AF))</f>
        <v>0</v>
      </c>
    </row>
    <row r="61" spans="2:32" ht="15">
      <c r="B61" s="16" t="str">
        <f ca="1">OFFSET(Risks!$A$2,ROW()-ROW($B$5),0)</f>
        <v/>
      </c>
      <c r="C61" s="33" t="str" cm="1">
        <f t="array" ca="1" aca="1" ref="C61">IF($B61="","",IFERROR(SimpleLookup($B61,'Risk Treatment'!$C:D),"Please ensure that all risks are covered in the "&amp;Helper!$G$14&amp;" sheet. Currently, these risks are not covered: "&amp;'Risk Treatment'!$D$2&amp;"."))</f>
        <v/>
      </c>
      <c r="D61" s="37" t="str" cm="1">
        <f t="array" ca="1" aca="1" ref="D61">IF($B61="","",IFERROR(SimpleLookup($B61,'Risk Treatment'!$C:K),"Please ensure that all risks are covered in the "&amp;Helper!$G$14&amp;" sheet. Currently, these risks are not covered: "&amp;'Risk Treatment'!$D$2&amp;"."))</f>
        <v/>
      </c>
      <c r="E61" s="16" t="str" cm="1">
        <f t="array" ca="1" aca="1" ref="E61">IF($B61="","",IFERROR(SimpleLookup($B61,'Risk Treatment'!$C:L),"Please ensure that all risks are covered in the "&amp;Helper!$G$14&amp;" sheet. Currently, these risks are not covered: "&amp;'Risk Treatment'!$D$2&amp;"."))</f>
        <v/>
      </c>
      <c r="F61" s="34" t="str" cm="1">
        <f t="array" ca="1" aca="1" ref="F61">IF($B61="","",IFERROR(SimpleLookup($B61,'Risk Treatment'!$C:M),"Please ensure that all risks are covered in the "&amp;Helper!$G$14&amp;" sheet. Currently, these risks are not covered: "&amp;'Risk Treatment'!$D$2&amp;"."))</f>
        <v/>
      </c>
      <c r="G61" s="16" t="str" cm="1">
        <f t="array" ca="1" aca="1" ref="G61">IF($B61="","",IFERROR(SimpleLookup($B61,'Risk Treatment'!$C:N),"Please ensure that all risks are covered in the "&amp;Helper!$G$14&amp;" sheet. Currently, these risks are not covered: "&amp;'Risk Treatment'!$D$2&amp;"."))</f>
        <v/>
      </c>
      <c r="H61" s="16" t="str" cm="1">
        <f t="array" ca="1" aca="1" ref="H61">IF($B61="","",IFERROR(SimpleLookup($B61,'Risk Treatment'!$C:J),"Please ensure that all risks are covered in the "&amp;Helper!$G$14&amp;" sheet. Currently, these risks are not covered: "&amp;'Risk Treatment'!$D$2&amp;"."))</f>
        <v/>
      </c>
      <c r="I61" s="33" t="str" cm="1">
        <f t="array" ca="1" aca="1" ref="I61">IF($B61="","",IFERROR(SimpleLookup($B61,'Risk Treatment'!$C:O),"Please ensure that all risks are covered in the "&amp;Helper!$G$14&amp;" sheet. Currently, these risks are not covered: "&amp;'Risk Treatment'!$D$2&amp;"."))</f>
        <v/>
      </c>
      <c r="J61" s="33" t="str" cm="1">
        <f t="array" ca="1" aca="1" ref="J61">_xlfn.LET(_xlpm._assignedMitigations,IF($B61="","",IFERROR(RemoveDelimiter(GetValuesWithFallback($Z61,Countermeasures!$A:$B,Assumptions!$A:$B," ",","&amp;CHAR(10),TRUE),","&amp;CHAR(10)),"Error: Unknown risk ID "&amp;$B61)),_xlpm._inlineMitigations,$AE61,_xlpm._assignedMitigations&amp;IF(OR(_xlpm._assignedMitigations="",_xlpm._inlineMitigations=""),"",","&amp;CHAR(10))&amp;_xlpm._inlineMitigations)</f>
        <v/>
      </c>
      <c r="K61" s="37" t="str" cm="1">
        <f t="array" ca="1" aca="1" ref="K61">IF($AC61=-1,"",RemoveDelimiter(GetValues(INDEX(Risks!BN:BN,$AC61),'DS Overview'!$A:$B," ",","&amp;CHAR(10),TRUE),","&amp;CHAR(10)))</f>
        <v/>
      </c>
      <c r="L61" s="33" t="str" cm="1">
        <f t="array" ca="1" aca="1" ref="L61">IF($AC61=-1,"",INDEX(Risks!BP:BP,$AC61))</f>
        <v/>
      </c>
      <c r="M61" s="34" t="str" cm="1">
        <f t="array" ca="1" aca="1" ref="M61">_xlfn.LET(_xlpm._calculatedRAP,IFERROR(SimpleLookup($B61,Risks!$A:$BG),""),_xlpm._inlineRAP,IFERROR(SimpleLookup($B61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61,_xlpm._mitigationSheetName&amp;" sheet "&amp;_xlfn.UNICHAR(8702)&amp;" Comment column:"&amp;CHAR(10)&amp;$AE61)))</f>
        <v/>
      </c>
      <c r="N61" s="33" t="str" cm="1">
        <f t="array" ca="1" aca="1" ref="N61">IF($AC61=-1,"",INDEX(Risks!CN:CN,$AC61))</f>
        <v>Basic</v>
      </c>
      <c r="O61" s="33" t="str" cm="1">
        <f t="array" ca="1" aca="1" ref="O61">IF($AC61=-1,"",INDEX(Risks!CO:CO,$AC61))</f>
        <v>No Risk</v>
      </c>
      <c r="P61" s="33" t="str">
        <f ca="1">IF($C61="","",IF($AF61&lt;=Definitions!$AF$6,Definitions!$M$4,""))</f>
        <v/>
      </c>
      <c r="Q61" s="23"/>
      <c r="R61" s="33" t="str">
        <f t="shared" ca="1" si="1"/>
        <v/>
      </c>
      <c r="S61" s="23"/>
      <c r="T61" s="13"/>
      <c r="U61" s="10" cm="1">
        <f t="array" ca="1" aca="1" ref="U61">GenerateShadowID(ROW(),$U$5,$U:$U,0,B61&lt;&gt;"")</f>
        <v>38</v>
      </c>
      <c r="V61" s="10" cm="1">
        <f t="array" ref="V61">CreateTaskID($V$5,$V:$V,Tasks!$B$17,$T61)</f>
        <v>0</v>
      </c>
      <c r="W61" s="14" t="str" cm="1">
        <f t="array" ca="1" aca="1" ref="W61">IF($B61="","",SimpleLookup($B61,'Risk Treatment'!$C:$AW))</f>
        <v/>
      </c>
      <c r="X61" s="14" t="str" cm="1">
        <f t="array" ca="1" aca="1" ref="X61">IF($B61="","",_xlfn.LET(_xlpm._attackSteps,SimpleLookup($B61,'Risk Treatment'!$C:$Y),GetValues(_xlpm._attackSteps,Mitigation!$A:$AG,"",CHAR(1),FALSE)))</f>
        <v/>
      </c>
      <c r="Y61" s="14" t="str" cm="1">
        <f t="array" ca="1" aca="1" ref="Y6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61,CHAR(1))</f>
        <v/>
      </c>
      <c r="Z61" s="14" t="str" cm="1">
        <f t="array" ca="1" aca="1" ref="Z61">FilterElementsFromList($W61,Helper!$J$4,TRUE,",")</f>
        <v/>
      </c>
      <c r="AA61" s="14" t="str" cm="1">
        <f t="array" ca="1" aca="1" ref="AA61">FilterElementsFromList($Y61,Helper!$J$4,TRUE,",")</f>
        <v/>
      </c>
      <c r="AB61" s="20" t="str" cm="1">
        <f t="array" ca="1" aca="1" ref="AB6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61,CreateSearchString($AA61),CHAR(1),","&amp;CHAR(10))</f>
        <v/>
      </c>
      <c r="AC61" s="20">
        <f ca="1">IFERROR(MATCH($B61,Risks!$A:$A,0),-1)</f>
        <v>41</v>
      </c>
      <c r="AD61" s="20" t="str" cm="1">
        <f t="array" ca="1" aca="1" ref="AD61">IF($B61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61,Risks!$A:CA,Definitions!$Y:$Y,Definitions!$AB:$AB,1)&amp;CHAR(10)&amp;_xlpm._factorFunction($B61,Risks!$A:CB,Definitions!$Y:$Y,Definitions!$AB:$AB,2)&amp;CHAR(10)&amp;_xlpm._factorFunction($B61,Risks!$A:CC,Definitions!$Y:$Y,Definitions!$AB:$AB,3)&amp;CHAR(10)&amp;_xlpm._factorFunction($B61,Risks!$A:CD,Definitions!$Y:$Y,Definitions!$AB:$AB,4)&amp;CHAR(10)&amp;_xlpm._factorFunction($B61,Risks!$A:CE,Definitions!$Y:$Y,Definitions!$AB:$AB,5)))</f>
        <v/>
      </c>
      <c r="AE61" s="20" t="str" cm="1">
        <f t="array" ca="1" aca="1" ref="AE61">RemoveDelimiter(SUBSTITUTE(SUBSTITUTE($AB61,"{",""),"}",""),","&amp;CHAR(10))</f>
        <v/>
      </c>
      <c r="AF61" s="20" cm="1">
        <f t="array" ca="1" aca="1" ref="AF61">IF($O61="",0,SimpleLookup($O61,Definitions!$AE:$AF))</f>
        <v>0</v>
      </c>
    </row>
    <row r="62" spans="2:32" ht="15">
      <c r="B62" s="16" t="str">
        <f ca="1">OFFSET(Risks!$A$2,ROW()-ROW($B$5),0)</f>
        <v/>
      </c>
      <c r="C62" s="33" t="str" cm="1">
        <f t="array" ca="1" aca="1" ref="C62">IF($B62="","",IFERROR(SimpleLookup($B62,'Risk Treatment'!$C:D),"Please ensure that all risks are covered in the "&amp;Helper!$G$14&amp;" sheet. Currently, these risks are not covered: "&amp;'Risk Treatment'!$D$2&amp;"."))</f>
        <v/>
      </c>
      <c r="D62" s="37" t="str" cm="1">
        <f t="array" ca="1" aca="1" ref="D62">IF($B62="","",IFERROR(SimpleLookup($B62,'Risk Treatment'!$C:K),"Please ensure that all risks are covered in the "&amp;Helper!$G$14&amp;" sheet. Currently, these risks are not covered: "&amp;'Risk Treatment'!$D$2&amp;"."))</f>
        <v/>
      </c>
      <c r="E62" s="16" t="str" cm="1">
        <f t="array" ca="1" aca="1" ref="E62">IF($B62="","",IFERROR(SimpleLookup($B62,'Risk Treatment'!$C:L),"Please ensure that all risks are covered in the "&amp;Helper!$G$14&amp;" sheet. Currently, these risks are not covered: "&amp;'Risk Treatment'!$D$2&amp;"."))</f>
        <v/>
      </c>
      <c r="F62" s="34" t="str" cm="1">
        <f t="array" ca="1" aca="1" ref="F62">IF($B62="","",IFERROR(SimpleLookup($B62,'Risk Treatment'!$C:M),"Please ensure that all risks are covered in the "&amp;Helper!$G$14&amp;" sheet. Currently, these risks are not covered: "&amp;'Risk Treatment'!$D$2&amp;"."))</f>
        <v/>
      </c>
      <c r="G62" s="16" t="str" cm="1">
        <f t="array" ca="1" aca="1" ref="G62">IF($B62="","",IFERROR(SimpleLookup($B62,'Risk Treatment'!$C:N),"Please ensure that all risks are covered in the "&amp;Helper!$G$14&amp;" sheet. Currently, these risks are not covered: "&amp;'Risk Treatment'!$D$2&amp;"."))</f>
        <v/>
      </c>
      <c r="H62" s="16" t="str" cm="1">
        <f t="array" ca="1" aca="1" ref="H62">IF($B62="","",IFERROR(SimpleLookup($B62,'Risk Treatment'!$C:J),"Please ensure that all risks are covered in the "&amp;Helper!$G$14&amp;" sheet. Currently, these risks are not covered: "&amp;'Risk Treatment'!$D$2&amp;"."))</f>
        <v/>
      </c>
      <c r="I62" s="33" t="str" cm="1">
        <f t="array" ca="1" aca="1" ref="I62">IF($B62="","",IFERROR(SimpleLookup($B62,'Risk Treatment'!$C:O),"Please ensure that all risks are covered in the "&amp;Helper!$G$14&amp;" sheet. Currently, these risks are not covered: "&amp;'Risk Treatment'!$D$2&amp;"."))</f>
        <v/>
      </c>
      <c r="J62" s="33" t="str" cm="1">
        <f t="array" ca="1" aca="1" ref="J62">_xlfn.LET(_xlpm._assignedMitigations,IF($B62="","",IFERROR(RemoveDelimiter(GetValuesWithFallback($Z62,Countermeasures!$A:$B,Assumptions!$A:$B," ",","&amp;CHAR(10),TRUE),","&amp;CHAR(10)),"Error: Unknown risk ID "&amp;$B62)),_xlpm._inlineMitigations,$AE62,_xlpm._assignedMitigations&amp;IF(OR(_xlpm._assignedMitigations="",_xlpm._inlineMitigations=""),"",","&amp;CHAR(10))&amp;_xlpm._inlineMitigations)</f>
        <v/>
      </c>
      <c r="K62" s="37" t="str" cm="1">
        <f t="array" ca="1" aca="1" ref="K62">IF($AC62=-1,"",RemoveDelimiter(GetValues(INDEX(Risks!BN:BN,$AC62),'DS Overview'!$A:$B," ",","&amp;CHAR(10),TRUE),","&amp;CHAR(10)))</f>
        <v/>
      </c>
      <c r="L62" s="33" t="str" cm="1">
        <f t="array" ca="1" aca="1" ref="L62">IF($AC62=-1,"",INDEX(Risks!BP:BP,$AC62))</f>
        <v/>
      </c>
      <c r="M62" s="34" t="str" cm="1">
        <f t="array" ca="1" aca="1" ref="M62">_xlfn.LET(_xlpm._calculatedRAP,IFERROR(SimpleLookup($B62,Risks!$A:$BG),""),_xlpm._inlineRAP,IFERROR(SimpleLookup($B62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62,_xlpm._mitigationSheetName&amp;" sheet "&amp;_xlfn.UNICHAR(8702)&amp;" Comment column:"&amp;CHAR(10)&amp;$AE62)))</f>
        <v/>
      </c>
      <c r="N62" s="33" t="str" cm="1">
        <f t="array" ca="1" aca="1" ref="N62">IF($AC62=-1,"",INDEX(Risks!CN:CN,$AC62))</f>
        <v>Basic</v>
      </c>
      <c r="O62" s="33" t="str" cm="1">
        <f t="array" ca="1" aca="1" ref="O62">IF($AC62=-1,"",INDEX(Risks!CO:CO,$AC62))</f>
        <v>No Risk</v>
      </c>
      <c r="P62" s="33" t="str">
        <f ca="1">IF($C62="","",IF($AF62&lt;=Definitions!$AF$6,Definitions!$M$4,""))</f>
        <v/>
      </c>
      <c r="Q62" s="23"/>
      <c r="R62" s="33" t="str">
        <f t="shared" ca="1" si="1"/>
        <v/>
      </c>
      <c r="S62" s="23"/>
      <c r="T62" s="13"/>
      <c r="U62" s="10" cm="1">
        <f t="array" ca="1" aca="1" ref="U62">GenerateShadowID(ROW(),$U$5,$U:$U,0,B62&lt;&gt;"")</f>
        <v>38</v>
      </c>
      <c r="V62" s="10" cm="1">
        <f t="array" ref="V62">CreateTaskID($V$5,$V:$V,Tasks!$B$17,$T62)</f>
        <v>0</v>
      </c>
      <c r="W62" s="14" t="str" cm="1">
        <f t="array" ca="1" aca="1" ref="W62">IF($B62="","",SimpleLookup($B62,'Risk Treatment'!$C:$AW))</f>
        <v/>
      </c>
      <c r="X62" s="14" t="str" cm="1">
        <f t="array" ca="1" aca="1" ref="X62">IF($B62="","",_xlfn.LET(_xlpm._attackSteps,SimpleLookup($B62,'Risk Treatment'!$C:$Y),GetValues(_xlpm._attackSteps,Mitigation!$A:$AG,"",CHAR(1),FALSE)))</f>
        <v/>
      </c>
      <c r="Y62" s="14" t="str" cm="1">
        <f t="array" ca="1" aca="1" ref="Y6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62,CHAR(1))</f>
        <v/>
      </c>
      <c r="Z62" s="14" t="str" cm="1">
        <f t="array" ca="1" aca="1" ref="Z62">FilterElementsFromList($W62,Helper!$J$4,TRUE,",")</f>
        <v/>
      </c>
      <c r="AA62" s="14" t="str" cm="1">
        <f t="array" ca="1" aca="1" ref="AA62">FilterElementsFromList($Y62,Helper!$J$4,TRUE,",")</f>
        <v/>
      </c>
      <c r="AB62" s="20" t="str" cm="1">
        <f t="array" ca="1" aca="1" ref="AB6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62,CreateSearchString($AA62),CHAR(1),","&amp;CHAR(10))</f>
        <v/>
      </c>
      <c r="AC62" s="20">
        <f ca="1">IFERROR(MATCH($B62,Risks!$A:$A,0),-1)</f>
        <v>41</v>
      </c>
      <c r="AD62" s="20" t="str" cm="1">
        <f t="array" ca="1" aca="1" ref="AD62">IF($B62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62,Risks!$A:CA,Definitions!$Y:$Y,Definitions!$AB:$AB,1)&amp;CHAR(10)&amp;_xlpm._factorFunction($B62,Risks!$A:CB,Definitions!$Y:$Y,Definitions!$AB:$AB,2)&amp;CHAR(10)&amp;_xlpm._factorFunction($B62,Risks!$A:CC,Definitions!$Y:$Y,Definitions!$AB:$AB,3)&amp;CHAR(10)&amp;_xlpm._factorFunction($B62,Risks!$A:CD,Definitions!$Y:$Y,Definitions!$AB:$AB,4)&amp;CHAR(10)&amp;_xlpm._factorFunction($B62,Risks!$A:CE,Definitions!$Y:$Y,Definitions!$AB:$AB,5)))</f>
        <v/>
      </c>
      <c r="AE62" s="20" t="str" cm="1">
        <f t="array" ca="1" aca="1" ref="AE62">RemoveDelimiter(SUBSTITUTE(SUBSTITUTE($AB62,"{",""),"}",""),","&amp;CHAR(10))</f>
        <v/>
      </c>
      <c r="AF62" s="20" cm="1">
        <f t="array" ca="1" aca="1" ref="AF62">IF($O62="",0,SimpleLookup($O62,Definitions!$AE:$AF))</f>
        <v>0</v>
      </c>
    </row>
    <row r="63" spans="2:32" ht="15">
      <c r="B63" s="16" t="str">
        <f ca="1">OFFSET(Risks!$A$2,ROW()-ROW($B$5),0)</f>
        <v/>
      </c>
      <c r="C63" s="33" t="str" cm="1">
        <f t="array" ca="1" aca="1" ref="C63">IF($B63="","",IFERROR(SimpleLookup($B63,'Risk Treatment'!$C:D),"Please ensure that all risks are covered in the "&amp;Helper!$G$14&amp;" sheet. Currently, these risks are not covered: "&amp;'Risk Treatment'!$D$2&amp;"."))</f>
        <v/>
      </c>
      <c r="D63" s="37" t="str" cm="1">
        <f t="array" ca="1" aca="1" ref="D63">IF($B63="","",IFERROR(SimpleLookup($B63,'Risk Treatment'!$C:K),"Please ensure that all risks are covered in the "&amp;Helper!$G$14&amp;" sheet. Currently, these risks are not covered: "&amp;'Risk Treatment'!$D$2&amp;"."))</f>
        <v/>
      </c>
      <c r="E63" s="16" t="str" cm="1">
        <f t="array" ca="1" aca="1" ref="E63">IF($B63="","",IFERROR(SimpleLookup($B63,'Risk Treatment'!$C:L),"Please ensure that all risks are covered in the "&amp;Helper!$G$14&amp;" sheet. Currently, these risks are not covered: "&amp;'Risk Treatment'!$D$2&amp;"."))</f>
        <v/>
      </c>
      <c r="F63" s="34" t="str" cm="1">
        <f t="array" ca="1" aca="1" ref="F63">IF($B63="","",IFERROR(SimpleLookup($B63,'Risk Treatment'!$C:M),"Please ensure that all risks are covered in the "&amp;Helper!$G$14&amp;" sheet. Currently, these risks are not covered: "&amp;'Risk Treatment'!$D$2&amp;"."))</f>
        <v/>
      </c>
      <c r="G63" s="16" t="str" cm="1">
        <f t="array" ca="1" aca="1" ref="G63">IF($B63="","",IFERROR(SimpleLookup($B63,'Risk Treatment'!$C:N),"Please ensure that all risks are covered in the "&amp;Helper!$G$14&amp;" sheet. Currently, these risks are not covered: "&amp;'Risk Treatment'!$D$2&amp;"."))</f>
        <v/>
      </c>
      <c r="H63" s="16" t="str" cm="1">
        <f t="array" ca="1" aca="1" ref="H63">IF($B63="","",IFERROR(SimpleLookup($B63,'Risk Treatment'!$C:J),"Please ensure that all risks are covered in the "&amp;Helper!$G$14&amp;" sheet. Currently, these risks are not covered: "&amp;'Risk Treatment'!$D$2&amp;"."))</f>
        <v/>
      </c>
      <c r="I63" s="33" t="str" cm="1">
        <f t="array" ca="1" aca="1" ref="I63">IF($B63="","",IFERROR(SimpleLookup($B63,'Risk Treatment'!$C:O),"Please ensure that all risks are covered in the "&amp;Helper!$G$14&amp;" sheet. Currently, these risks are not covered: "&amp;'Risk Treatment'!$D$2&amp;"."))</f>
        <v/>
      </c>
      <c r="J63" s="33" t="str" cm="1">
        <f t="array" ca="1" aca="1" ref="J63">_xlfn.LET(_xlpm._assignedMitigations,IF($B63="","",IFERROR(RemoveDelimiter(GetValuesWithFallback($Z63,Countermeasures!$A:$B,Assumptions!$A:$B," ",","&amp;CHAR(10),TRUE),","&amp;CHAR(10)),"Error: Unknown risk ID "&amp;$B63)),_xlpm._inlineMitigations,$AE63,_xlpm._assignedMitigations&amp;IF(OR(_xlpm._assignedMitigations="",_xlpm._inlineMitigations=""),"",","&amp;CHAR(10))&amp;_xlpm._inlineMitigations)</f>
        <v/>
      </c>
      <c r="K63" s="37" t="str" cm="1">
        <f t="array" ca="1" aca="1" ref="K63">IF($AC63=-1,"",RemoveDelimiter(GetValues(INDEX(Risks!BN:BN,$AC63),'DS Overview'!$A:$B," ",","&amp;CHAR(10),TRUE),","&amp;CHAR(10)))</f>
        <v/>
      </c>
      <c r="L63" s="33" t="str" cm="1">
        <f t="array" ca="1" aca="1" ref="L63">IF($AC63=-1,"",INDEX(Risks!BP:BP,$AC63))</f>
        <v/>
      </c>
      <c r="M63" s="34" t="str" cm="1">
        <f t="array" ca="1" aca="1" ref="M63">_xlfn.LET(_xlpm._calculatedRAP,IFERROR(SimpleLookup($B63,Risks!$A:$BG),""),_xlpm._inlineRAP,IFERROR(SimpleLookup($B63,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63,_xlpm._mitigationSheetName&amp;" sheet "&amp;_xlfn.UNICHAR(8702)&amp;" Comment column:"&amp;CHAR(10)&amp;$AE63)))</f>
        <v/>
      </c>
      <c r="N63" s="33" t="str" cm="1">
        <f t="array" ca="1" aca="1" ref="N63">IF($AC63=-1,"",INDEX(Risks!CN:CN,$AC63))</f>
        <v>Basic</v>
      </c>
      <c r="O63" s="33" t="str" cm="1">
        <f t="array" ca="1" aca="1" ref="O63">IF($AC63=-1,"",INDEX(Risks!CO:CO,$AC63))</f>
        <v>No Risk</v>
      </c>
      <c r="P63" s="33" t="str">
        <f ca="1">IF($C63="","",IF($AF63&lt;=Definitions!$AF$6,Definitions!$M$4,""))</f>
        <v/>
      </c>
      <c r="Q63" s="23"/>
      <c r="R63" s="33" t="str">
        <f t="shared" ca="1" si="1"/>
        <v/>
      </c>
      <c r="S63" s="23"/>
      <c r="T63" s="13"/>
      <c r="U63" s="10" cm="1">
        <f t="array" ca="1" aca="1" ref="U63">GenerateShadowID(ROW(),$U$5,$U:$U,0,B63&lt;&gt;"")</f>
        <v>38</v>
      </c>
      <c r="V63" s="10" cm="1">
        <f t="array" ref="V63">CreateTaskID($V$5,$V:$V,Tasks!$B$17,$T63)</f>
        <v>0</v>
      </c>
      <c r="W63" s="14" t="str" cm="1">
        <f t="array" ca="1" aca="1" ref="W63">IF($B63="","",SimpleLookup($B63,'Risk Treatment'!$C:$AW))</f>
        <v/>
      </c>
      <c r="X63" s="14" t="str" cm="1">
        <f t="array" ca="1" aca="1" ref="X63">IF($B63="","",_xlfn.LET(_xlpm._attackSteps,SimpleLookup($B63,'Risk Treatment'!$C:$Y),GetValues(_xlpm._attackSteps,Mitigation!$A:$AG,"",CHAR(1),FALSE)))</f>
        <v/>
      </c>
      <c r="Y63" s="14" t="str" cm="1">
        <f t="array" ca="1" aca="1" ref="Y63">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63,CHAR(1))</f>
        <v/>
      </c>
      <c r="Z63" s="14" t="str" cm="1">
        <f t="array" ca="1" aca="1" ref="Z63">FilterElementsFromList($W63,Helper!$J$4,TRUE,",")</f>
        <v/>
      </c>
      <c r="AA63" s="14" t="str" cm="1">
        <f t="array" ca="1" aca="1" ref="AA63">FilterElementsFromList($Y63,Helper!$J$4,TRUE,",")</f>
        <v/>
      </c>
      <c r="AB63" s="20" t="str" cm="1">
        <f t="array" ca="1" aca="1" ref="AB63">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63,CreateSearchString($AA63),CHAR(1),","&amp;CHAR(10))</f>
        <v/>
      </c>
      <c r="AC63" s="20">
        <f ca="1">IFERROR(MATCH($B63,Risks!$A:$A,0),-1)</f>
        <v>41</v>
      </c>
      <c r="AD63" s="20" t="str" cm="1">
        <f t="array" ca="1" aca="1" ref="AD63">IF($B63="","",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63,Risks!$A:CA,Definitions!$Y:$Y,Definitions!$AB:$AB,1)&amp;CHAR(10)&amp;_xlpm._factorFunction($B63,Risks!$A:CB,Definitions!$Y:$Y,Definitions!$AB:$AB,2)&amp;CHAR(10)&amp;_xlpm._factorFunction($B63,Risks!$A:CC,Definitions!$Y:$Y,Definitions!$AB:$AB,3)&amp;CHAR(10)&amp;_xlpm._factorFunction($B63,Risks!$A:CD,Definitions!$Y:$Y,Definitions!$AB:$AB,4)&amp;CHAR(10)&amp;_xlpm._factorFunction($B63,Risks!$A:CE,Definitions!$Y:$Y,Definitions!$AB:$AB,5)))</f>
        <v/>
      </c>
      <c r="AE63" s="20" t="str" cm="1">
        <f t="array" ca="1" aca="1" ref="AE63">RemoveDelimiter(SUBSTITUTE(SUBSTITUTE($AB63,"{",""),"}",""),","&amp;CHAR(10))</f>
        <v/>
      </c>
      <c r="AF63" s="20" cm="1">
        <f t="array" ca="1" aca="1" ref="AF63">IF($O63="",0,SimpleLookup($O63,Definitions!$AE:$AF))</f>
        <v>0</v>
      </c>
    </row>
    <row r="64" spans="2:32" ht="15">
      <c r="B64" s="16" t="str">
        <f ca="1">OFFSET(Risks!$A$2,ROW()-ROW($B$5),0)</f>
        <v/>
      </c>
      <c r="C64" s="33" t="str" cm="1">
        <f t="array" ca="1" aca="1" ref="C64">IF($B64="","",IFERROR(SimpleLookup($B64,'Risk Treatment'!$C:D),"Please ensure that all risks are covered in the "&amp;Helper!$G$14&amp;" sheet. Currently, these risks are not covered: "&amp;'Risk Treatment'!$D$2&amp;"."))</f>
        <v/>
      </c>
      <c r="D64" s="37" t="str" cm="1">
        <f t="array" ca="1" aca="1" ref="D64">IF($B64="","",IFERROR(SimpleLookup($B64,'Risk Treatment'!$C:K),"Please ensure that all risks are covered in the "&amp;Helper!$G$14&amp;" sheet. Currently, these risks are not covered: "&amp;'Risk Treatment'!$D$2&amp;"."))</f>
        <v/>
      </c>
      <c r="E64" s="16" t="str" cm="1">
        <f t="array" ca="1" aca="1" ref="E64">IF($B64="","",IFERROR(SimpleLookup($B64,'Risk Treatment'!$C:L),"Please ensure that all risks are covered in the "&amp;Helper!$G$14&amp;" sheet. Currently, these risks are not covered: "&amp;'Risk Treatment'!$D$2&amp;"."))</f>
        <v/>
      </c>
      <c r="F64" s="34" t="str" cm="1">
        <f t="array" ca="1" aca="1" ref="F64">IF($B64="","",IFERROR(SimpleLookup($B64,'Risk Treatment'!$C:M),"Please ensure that all risks are covered in the "&amp;Helper!$G$14&amp;" sheet. Currently, these risks are not covered: "&amp;'Risk Treatment'!$D$2&amp;"."))</f>
        <v/>
      </c>
      <c r="G64" s="16" t="str" cm="1">
        <f t="array" ca="1" aca="1" ref="G64">IF($B64="","",IFERROR(SimpleLookup($B64,'Risk Treatment'!$C:N),"Please ensure that all risks are covered in the "&amp;Helper!$G$14&amp;" sheet. Currently, these risks are not covered: "&amp;'Risk Treatment'!$D$2&amp;"."))</f>
        <v/>
      </c>
      <c r="H64" s="16" t="str" cm="1">
        <f t="array" ca="1" aca="1" ref="H64">IF($B64="","",IFERROR(SimpleLookup($B64,'Risk Treatment'!$C:J),"Please ensure that all risks are covered in the "&amp;Helper!$G$14&amp;" sheet. Currently, these risks are not covered: "&amp;'Risk Treatment'!$D$2&amp;"."))</f>
        <v/>
      </c>
      <c r="I64" s="33" t="str" cm="1">
        <f t="array" ca="1" aca="1" ref="I64">IF($B64="","",IFERROR(SimpleLookup($B64,'Risk Treatment'!$C:O),"Please ensure that all risks are covered in the "&amp;Helper!$G$14&amp;" sheet. Currently, these risks are not covered: "&amp;'Risk Treatment'!$D$2&amp;"."))</f>
        <v/>
      </c>
      <c r="J64" s="33" t="str" cm="1">
        <f t="array" ca="1" aca="1" ref="J64">_xlfn.LET(_xlpm._assignedMitigations,IF($B64="","",IFERROR(RemoveDelimiter(GetValuesWithFallback($Z64,Countermeasures!$A:$B,Assumptions!$A:$B," ",","&amp;CHAR(10),TRUE),","&amp;CHAR(10)),"Error: Unknown risk ID "&amp;$B64)),_xlpm._inlineMitigations,$AE64,_xlpm._assignedMitigations&amp;IF(OR(_xlpm._assignedMitigations="",_xlpm._inlineMitigations=""),"",","&amp;CHAR(10))&amp;_xlpm._inlineMitigations)</f>
        <v/>
      </c>
      <c r="K64" s="37" t="str" cm="1">
        <f t="array" ca="1" aca="1" ref="K64">IF($AC64=-1,"",RemoveDelimiter(GetValues(INDEX(Risks!BN:BN,$AC64),'DS Overview'!$A:$B," ",","&amp;CHAR(10),TRUE),","&amp;CHAR(10)))</f>
        <v/>
      </c>
      <c r="L64" s="33" t="str" cm="1">
        <f t="array" ca="1" aca="1" ref="L64">IF($AC64=-1,"",INDEX(Risks!BP:BP,$AC64))</f>
        <v/>
      </c>
      <c r="M64" s="34" t="str" cm="1">
        <f t="array" ca="1" aca="1" ref="M64">_xlfn.LET(_xlpm._calculatedRAP,IFERROR(SimpleLookup($B64,Risks!$A:$BG),""),_xlpm._inlineRAP,IFERROR(SimpleLookup($B64,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64,_xlpm._mitigationSheetName&amp;" sheet "&amp;_xlfn.UNICHAR(8702)&amp;" Comment column:"&amp;CHAR(10)&amp;$AE64)))</f>
        <v/>
      </c>
      <c r="N64" s="33" t="str" cm="1">
        <f t="array" ca="1" aca="1" ref="N64">IF($AC64=-1,"",INDEX(Risks!CN:CN,$AC64))</f>
        <v>Basic</v>
      </c>
      <c r="O64" s="33" t="str" cm="1">
        <f t="array" ca="1" aca="1" ref="O64">IF($AC64=-1,"",INDEX(Risks!CO:CO,$AC64))</f>
        <v>No Risk</v>
      </c>
      <c r="P64" s="33" t="str">
        <f ca="1">IF($C64="","",IF($AF64&lt;=Definitions!$AF$6,Definitions!$M$4,""))</f>
        <v/>
      </c>
      <c r="Q64" s="23"/>
      <c r="R64" s="33" t="str">
        <f t="shared" ca="1" si="1"/>
        <v/>
      </c>
      <c r="S64" s="23"/>
      <c r="T64" s="13"/>
      <c r="U64" s="10" cm="1">
        <f t="array" ca="1" aca="1" ref="U64">GenerateShadowID(ROW(),$U$5,$U:$U,0,B64&lt;&gt;"")</f>
        <v>38</v>
      </c>
      <c r="V64" s="10" cm="1">
        <f t="array" ref="V64">CreateTaskID($V$5,$V:$V,Tasks!$B$17,$T64)</f>
        <v>0</v>
      </c>
      <c r="W64" s="14" t="str" cm="1">
        <f t="array" ca="1" aca="1" ref="W64">IF($B64="","",SimpleLookup($B64,'Risk Treatment'!$C:$AW))</f>
        <v/>
      </c>
      <c r="X64" s="14" t="str" cm="1">
        <f t="array" ca="1" aca="1" ref="X64">IF($B64="","",_xlfn.LET(_xlpm._attackSteps,SimpleLookup($B64,'Risk Treatment'!$C:$Y),GetValues(_xlpm._attackSteps,Mitigation!$A:$AG,"",CHAR(1),FALSE)))</f>
        <v/>
      </c>
      <c r="Y64" s="14" t="str" cm="1">
        <f t="array" ca="1" aca="1" ref="Y64">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64,CHAR(1))</f>
        <v/>
      </c>
      <c r="Z64" s="14" t="str" cm="1">
        <f t="array" ca="1" aca="1" ref="Z64">FilterElementsFromList($W64,Helper!$J$4,TRUE,",")</f>
        <v/>
      </c>
      <c r="AA64" s="14" t="str" cm="1">
        <f t="array" ca="1" aca="1" ref="AA64">FilterElementsFromList($Y64,Helper!$J$4,TRUE,",")</f>
        <v/>
      </c>
      <c r="AB64" s="20" t="str" cm="1">
        <f t="array" ca="1" aca="1" ref="AB64">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64,CreateSearchString($AA64),CHAR(1),","&amp;CHAR(10))</f>
        <v/>
      </c>
      <c r="AC64" s="20">
        <f ca="1">IFERROR(MATCH($B64,Risks!$A:$A,0),-1)</f>
        <v>41</v>
      </c>
      <c r="AD64" s="20" t="str" cm="1">
        <f t="array" ca="1" aca="1" ref="AD64">IF($B64="","",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64,Risks!$A:CA,Definitions!$Y:$Y,Definitions!$AB:$AB,1)&amp;CHAR(10)&amp;_xlpm._factorFunction($B64,Risks!$A:CB,Definitions!$Y:$Y,Definitions!$AB:$AB,2)&amp;CHAR(10)&amp;_xlpm._factorFunction($B64,Risks!$A:CC,Definitions!$Y:$Y,Definitions!$AB:$AB,3)&amp;CHAR(10)&amp;_xlpm._factorFunction($B64,Risks!$A:CD,Definitions!$Y:$Y,Definitions!$AB:$AB,4)&amp;CHAR(10)&amp;_xlpm._factorFunction($B64,Risks!$A:CE,Definitions!$Y:$Y,Definitions!$AB:$AB,5)))</f>
        <v/>
      </c>
      <c r="AE64" s="20" t="str" cm="1">
        <f t="array" ca="1" aca="1" ref="AE64">RemoveDelimiter(SUBSTITUTE(SUBSTITUTE($AB64,"{",""),"}",""),","&amp;CHAR(10))</f>
        <v/>
      </c>
      <c r="AF64" s="20" cm="1">
        <f t="array" ca="1" aca="1" ref="AF64">IF($O64="",0,SimpleLookup($O64,Definitions!$AE:$AF))</f>
        <v>0</v>
      </c>
    </row>
    <row r="65" spans="2:32" ht="15">
      <c r="B65" s="16" t="str">
        <f ca="1">OFFSET(Risks!$A$2,ROW()-ROW($B$5),0)</f>
        <v/>
      </c>
      <c r="C65" s="33" t="str" cm="1">
        <f t="array" ca="1" aca="1" ref="C65">IF($B65="","",IFERROR(SimpleLookup($B65,'Risk Treatment'!$C:D),"Please ensure that all risks are covered in the "&amp;Helper!$G$14&amp;" sheet. Currently, these risks are not covered: "&amp;'Risk Treatment'!$D$2&amp;"."))</f>
        <v/>
      </c>
      <c r="D65" s="37" t="str" cm="1">
        <f t="array" ca="1" aca="1" ref="D65">IF($B65="","",IFERROR(SimpleLookup($B65,'Risk Treatment'!$C:K),"Please ensure that all risks are covered in the "&amp;Helper!$G$14&amp;" sheet. Currently, these risks are not covered: "&amp;'Risk Treatment'!$D$2&amp;"."))</f>
        <v/>
      </c>
      <c r="E65" s="16" t="str" cm="1">
        <f t="array" ca="1" aca="1" ref="E65">IF($B65="","",IFERROR(SimpleLookup($B65,'Risk Treatment'!$C:L),"Please ensure that all risks are covered in the "&amp;Helper!$G$14&amp;" sheet. Currently, these risks are not covered: "&amp;'Risk Treatment'!$D$2&amp;"."))</f>
        <v/>
      </c>
      <c r="F65" s="34" t="str" cm="1">
        <f t="array" ca="1" aca="1" ref="F65">IF($B65="","",IFERROR(SimpleLookup($B65,'Risk Treatment'!$C:M),"Please ensure that all risks are covered in the "&amp;Helper!$G$14&amp;" sheet. Currently, these risks are not covered: "&amp;'Risk Treatment'!$D$2&amp;"."))</f>
        <v/>
      </c>
      <c r="G65" s="16" t="str" cm="1">
        <f t="array" ca="1" aca="1" ref="G65">IF($B65="","",IFERROR(SimpleLookup($B65,'Risk Treatment'!$C:N),"Please ensure that all risks are covered in the "&amp;Helper!$G$14&amp;" sheet. Currently, these risks are not covered: "&amp;'Risk Treatment'!$D$2&amp;"."))</f>
        <v/>
      </c>
      <c r="H65" s="16" t="str" cm="1">
        <f t="array" ca="1" aca="1" ref="H65">IF($B65="","",IFERROR(SimpleLookup($B65,'Risk Treatment'!$C:J),"Please ensure that all risks are covered in the "&amp;Helper!$G$14&amp;" sheet. Currently, these risks are not covered: "&amp;'Risk Treatment'!$D$2&amp;"."))</f>
        <v/>
      </c>
      <c r="I65" s="33" t="str" cm="1">
        <f t="array" ca="1" aca="1" ref="I65">IF($B65="","",IFERROR(SimpleLookup($B65,'Risk Treatment'!$C:O),"Please ensure that all risks are covered in the "&amp;Helper!$G$14&amp;" sheet. Currently, these risks are not covered: "&amp;'Risk Treatment'!$D$2&amp;"."))</f>
        <v/>
      </c>
      <c r="J65" s="33" t="str" cm="1">
        <f t="array" ca="1" aca="1" ref="J65">_xlfn.LET(_xlpm._assignedMitigations,IF($B65="","",IFERROR(RemoveDelimiter(GetValuesWithFallback($Z65,Countermeasures!$A:$B,Assumptions!$A:$B," ",","&amp;CHAR(10),TRUE),","&amp;CHAR(10)),"Error: Unknown risk ID "&amp;$B65)),_xlpm._inlineMitigations,$AE65,_xlpm._assignedMitigations&amp;IF(OR(_xlpm._assignedMitigations="",_xlpm._inlineMitigations=""),"",","&amp;CHAR(10))&amp;_xlpm._inlineMitigations)</f>
        <v/>
      </c>
      <c r="K65" s="37" t="str" cm="1">
        <f t="array" ca="1" aca="1" ref="K65">IF($AC65=-1,"",RemoveDelimiter(GetValues(INDEX(Risks!BN:BN,$AC65),'DS Overview'!$A:$B," ",","&amp;CHAR(10),TRUE),","&amp;CHAR(10)))</f>
        <v/>
      </c>
      <c r="L65" s="33" t="str" cm="1">
        <f t="array" ca="1" aca="1" ref="L65">IF($AC65=-1,"",INDEX(Risks!BP:BP,$AC65))</f>
        <v/>
      </c>
      <c r="M65" s="34" t="str" cm="1">
        <f t="array" ca="1" aca="1" ref="M65">_xlfn.LET(_xlpm._calculatedRAP,IFERROR(SimpleLookup($B65,Risks!$A:$BG),""),_xlpm._inlineRAP,IFERROR(SimpleLookup($B65,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65,_xlpm._mitigationSheetName&amp;" sheet "&amp;_xlfn.UNICHAR(8702)&amp;" Comment column:"&amp;CHAR(10)&amp;$AE65)))</f>
        <v/>
      </c>
      <c r="N65" s="33" t="str" cm="1">
        <f t="array" ca="1" aca="1" ref="N65">IF($AC65=-1,"",INDEX(Risks!CN:CN,$AC65))</f>
        <v>Basic</v>
      </c>
      <c r="O65" s="33" t="str" cm="1">
        <f t="array" ca="1" aca="1" ref="O65">IF($AC65=-1,"",INDEX(Risks!CO:CO,$AC65))</f>
        <v>No Risk</v>
      </c>
      <c r="P65" s="33" t="str">
        <f ca="1">IF($C65="","",IF($AF65&lt;=Definitions!$AF$6,Definitions!$M$4,""))</f>
        <v/>
      </c>
      <c r="Q65" s="23"/>
      <c r="R65" s="33" t="str">
        <f t="shared" ca="1" si="1"/>
        <v/>
      </c>
      <c r="S65" s="23"/>
      <c r="T65" s="13"/>
      <c r="U65" s="10" cm="1">
        <f t="array" ca="1" aca="1" ref="U65">GenerateShadowID(ROW(),$U$5,$U:$U,0,B65&lt;&gt;"")</f>
        <v>38</v>
      </c>
      <c r="V65" s="10" cm="1">
        <f t="array" ref="V65">CreateTaskID($V$5,$V:$V,Tasks!$B$17,$T65)</f>
        <v>0</v>
      </c>
      <c r="W65" s="14" t="str" cm="1">
        <f t="array" ca="1" aca="1" ref="W65">IF($B65="","",SimpleLookup($B65,'Risk Treatment'!$C:$AW))</f>
        <v/>
      </c>
      <c r="X65" s="14" t="str" cm="1">
        <f t="array" ca="1" aca="1" ref="X65">IF($B65="","",_xlfn.LET(_xlpm._attackSteps,SimpleLookup($B65,'Risk Treatment'!$C:$Y),GetValues(_xlpm._attackSteps,Mitigation!$A:$AG,"",CHAR(1),FALSE)))</f>
        <v/>
      </c>
      <c r="Y65" s="14" t="str" cm="1">
        <f t="array" ca="1" aca="1" ref="Y65">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65,CHAR(1))</f>
        <v/>
      </c>
      <c r="Z65" s="14" t="str" cm="1">
        <f t="array" ca="1" aca="1" ref="Z65">FilterElementsFromList($W65,Helper!$J$4,TRUE,",")</f>
        <v/>
      </c>
      <c r="AA65" s="14" t="str" cm="1">
        <f t="array" ca="1" aca="1" ref="AA65">FilterElementsFromList($Y65,Helper!$J$4,TRUE,",")</f>
        <v/>
      </c>
      <c r="AB65" s="20" t="str" cm="1">
        <f t="array" ca="1" aca="1" ref="AB65">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65,CreateSearchString($AA65),CHAR(1),","&amp;CHAR(10))</f>
        <v/>
      </c>
      <c r="AC65" s="20">
        <f ca="1">IFERROR(MATCH($B65,Risks!$A:$A,0),-1)</f>
        <v>41</v>
      </c>
      <c r="AD65" s="20" t="str" cm="1">
        <f t="array" ca="1" aca="1" ref="AD65">IF($B65="","",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65,Risks!$A:CA,Definitions!$Y:$Y,Definitions!$AB:$AB,1)&amp;CHAR(10)&amp;_xlpm._factorFunction($B65,Risks!$A:CB,Definitions!$Y:$Y,Definitions!$AB:$AB,2)&amp;CHAR(10)&amp;_xlpm._factorFunction($B65,Risks!$A:CC,Definitions!$Y:$Y,Definitions!$AB:$AB,3)&amp;CHAR(10)&amp;_xlpm._factorFunction($B65,Risks!$A:CD,Definitions!$Y:$Y,Definitions!$AB:$AB,4)&amp;CHAR(10)&amp;_xlpm._factorFunction($B65,Risks!$A:CE,Definitions!$Y:$Y,Definitions!$AB:$AB,5)))</f>
        <v/>
      </c>
      <c r="AE65" s="20" t="str" cm="1">
        <f t="array" ca="1" aca="1" ref="AE65">RemoveDelimiter(SUBSTITUTE(SUBSTITUTE($AB65,"{",""),"}",""),","&amp;CHAR(10))</f>
        <v/>
      </c>
      <c r="AF65" s="20" cm="1">
        <f t="array" ca="1" aca="1" ref="AF65">IF($O65="",0,SimpleLookup($O65,Definitions!$AE:$AF))</f>
        <v>0</v>
      </c>
    </row>
    <row r="66" spans="2:32" ht="15">
      <c r="B66" s="16" t="str">
        <f ca="1">OFFSET(Risks!$A$2,ROW()-ROW($B$5),0)</f>
        <v/>
      </c>
      <c r="C66" s="33" t="str" cm="1">
        <f t="array" ca="1" aca="1" ref="C66">IF($B66="","",IFERROR(SimpleLookup($B66,'Risk Treatment'!$C:D),"Please ensure that all risks are covered in the "&amp;Helper!$G$14&amp;" sheet. Currently, these risks are not covered: "&amp;'Risk Treatment'!$D$2&amp;"."))</f>
        <v/>
      </c>
      <c r="D66" s="37" t="str" cm="1">
        <f t="array" ca="1" aca="1" ref="D66">IF($B66="","",IFERROR(SimpleLookup($B66,'Risk Treatment'!$C:K),"Please ensure that all risks are covered in the "&amp;Helper!$G$14&amp;" sheet. Currently, these risks are not covered: "&amp;'Risk Treatment'!$D$2&amp;"."))</f>
        <v/>
      </c>
      <c r="E66" s="16" t="str" cm="1">
        <f t="array" ca="1" aca="1" ref="E66">IF($B66="","",IFERROR(SimpleLookup($B66,'Risk Treatment'!$C:L),"Please ensure that all risks are covered in the "&amp;Helper!$G$14&amp;" sheet. Currently, these risks are not covered: "&amp;'Risk Treatment'!$D$2&amp;"."))</f>
        <v/>
      </c>
      <c r="F66" s="34" t="str" cm="1">
        <f t="array" ca="1" aca="1" ref="F66">IF($B66="","",IFERROR(SimpleLookup($B66,'Risk Treatment'!$C:M),"Please ensure that all risks are covered in the "&amp;Helper!$G$14&amp;" sheet. Currently, these risks are not covered: "&amp;'Risk Treatment'!$D$2&amp;"."))</f>
        <v/>
      </c>
      <c r="G66" s="16" t="str" cm="1">
        <f t="array" ca="1" aca="1" ref="G66">IF($B66="","",IFERROR(SimpleLookup($B66,'Risk Treatment'!$C:N),"Please ensure that all risks are covered in the "&amp;Helper!$G$14&amp;" sheet. Currently, these risks are not covered: "&amp;'Risk Treatment'!$D$2&amp;"."))</f>
        <v/>
      </c>
      <c r="H66" s="16" t="str" cm="1">
        <f t="array" ca="1" aca="1" ref="H66">IF($B66="","",IFERROR(SimpleLookup($B66,'Risk Treatment'!$C:J),"Please ensure that all risks are covered in the "&amp;Helper!$G$14&amp;" sheet. Currently, these risks are not covered: "&amp;'Risk Treatment'!$D$2&amp;"."))</f>
        <v/>
      </c>
      <c r="I66" s="33" t="str" cm="1">
        <f t="array" ca="1" aca="1" ref="I66">IF($B66="","",IFERROR(SimpleLookup($B66,'Risk Treatment'!$C:O),"Please ensure that all risks are covered in the "&amp;Helper!$G$14&amp;" sheet. Currently, these risks are not covered: "&amp;'Risk Treatment'!$D$2&amp;"."))</f>
        <v/>
      </c>
      <c r="J66" s="33" t="str" cm="1">
        <f t="array" ca="1" aca="1" ref="J66">_xlfn.LET(_xlpm._assignedMitigations,IF($B66="","",IFERROR(RemoveDelimiter(GetValuesWithFallback($Z66,Countermeasures!$A:$B,Assumptions!$A:$B," ",","&amp;CHAR(10),TRUE),","&amp;CHAR(10)),"Error: Unknown risk ID "&amp;$B66)),_xlpm._inlineMitigations,$AE66,_xlpm._assignedMitigations&amp;IF(OR(_xlpm._assignedMitigations="",_xlpm._inlineMitigations=""),"",","&amp;CHAR(10))&amp;_xlpm._inlineMitigations)</f>
        <v/>
      </c>
      <c r="K66" s="37" t="str" cm="1">
        <f t="array" ca="1" aca="1" ref="K66">IF($AC66=-1,"",RemoveDelimiter(GetValues(INDEX(Risks!BN:BN,$AC66),'DS Overview'!$A:$B," ",","&amp;CHAR(10),TRUE),","&amp;CHAR(10)))</f>
        <v/>
      </c>
      <c r="L66" s="33" t="str" cm="1">
        <f t="array" ca="1" aca="1" ref="L66">IF($AC66=-1,"",INDEX(Risks!BP:BP,$AC66))</f>
        <v/>
      </c>
      <c r="M66" s="34" t="str" cm="1">
        <f t="array" ca="1" aca="1" ref="M66">_xlfn.LET(_xlpm._calculatedRAP,IFERROR(SimpleLookup($B66,Risks!$A:$BG),""),_xlpm._inlineRAP,IFERROR(SimpleLookup($B66,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66,_xlpm._mitigationSheetName&amp;" sheet "&amp;_xlfn.UNICHAR(8702)&amp;" Comment column:"&amp;CHAR(10)&amp;$AE66)))</f>
        <v/>
      </c>
      <c r="N66" s="33" t="str" cm="1">
        <f t="array" ca="1" aca="1" ref="N66">IF($AC66=-1,"",INDEX(Risks!CN:CN,$AC66))</f>
        <v>Basic</v>
      </c>
      <c r="O66" s="33" t="str" cm="1">
        <f t="array" ca="1" aca="1" ref="O66">IF($AC66=-1,"",INDEX(Risks!CO:CO,$AC66))</f>
        <v>No Risk</v>
      </c>
      <c r="P66" s="33" t="str">
        <f ca="1">IF($C66="","",IF($AF66&lt;=Definitions!$AF$6,Definitions!$M$4,""))</f>
        <v/>
      </c>
      <c r="Q66" s="23"/>
      <c r="R66" s="33" t="str">
        <f t="shared" ca="1" si="1"/>
        <v/>
      </c>
      <c r="S66" s="23"/>
      <c r="T66" s="13"/>
      <c r="U66" s="10" cm="1">
        <f t="array" ca="1" aca="1" ref="U66">GenerateShadowID(ROW(),$U$5,$U:$U,0,B66&lt;&gt;"")</f>
        <v>38</v>
      </c>
      <c r="V66" s="10" cm="1">
        <f t="array" ref="V66">CreateTaskID($V$5,$V:$V,Tasks!$B$17,$T66)</f>
        <v>0</v>
      </c>
      <c r="W66" s="14" t="str" cm="1">
        <f t="array" ca="1" aca="1" ref="W66">IF($B66="","",SimpleLookup($B66,'Risk Treatment'!$C:$AW))</f>
        <v/>
      </c>
      <c r="X66" s="14" t="str" cm="1">
        <f t="array" ca="1" aca="1" ref="X66">IF($B66="","",_xlfn.LET(_xlpm._attackSteps,SimpleLookup($B66,'Risk Treatment'!$C:$Y),GetValues(_xlpm._attackSteps,Mitigation!$A:$AG,"",CHAR(1),FALSE)))</f>
        <v/>
      </c>
      <c r="Y66" s="14" t="str" cm="1">
        <f t="array" ca="1" aca="1" ref="Y66">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66,CHAR(1))</f>
        <v/>
      </c>
      <c r="Z66" s="14" t="str" cm="1">
        <f t="array" ca="1" aca="1" ref="Z66">FilterElementsFromList($W66,Helper!$J$4,TRUE,",")</f>
        <v/>
      </c>
      <c r="AA66" s="14" t="str" cm="1">
        <f t="array" ca="1" aca="1" ref="AA66">FilterElementsFromList($Y66,Helper!$J$4,TRUE,",")</f>
        <v/>
      </c>
      <c r="AB66" s="20" t="str" cm="1">
        <f t="array" ca="1" aca="1" ref="AB66">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66,CreateSearchString($AA66),CHAR(1),","&amp;CHAR(10))</f>
        <v/>
      </c>
      <c r="AC66" s="20">
        <f ca="1">IFERROR(MATCH($B66,Risks!$A:$A,0),-1)</f>
        <v>41</v>
      </c>
      <c r="AD66" s="20" t="str" cm="1">
        <f t="array" ca="1" aca="1" ref="AD66">IF($B66="","",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66,Risks!$A:CA,Definitions!$Y:$Y,Definitions!$AB:$AB,1)&amp;CHAR(10)&amp;_xlpm._factorFunction($B66,Risks!$A:CB,Definitions!$Y:$Y,Definitions!$AB:$AB,2)&amp;CHAR(10)&amp;_xlpm._factorFunction($B66,Risks!$A:CC,Definitions!$Y:$Y,Definitions!$AB:$AB,3)&amp;CHAR(10)&amp;_xlpm._factorFunction($B66,Risks!$A:CD,Definitions!$Y:$Y,Definitions!$AB:$AB,4)&amp;CHAR(10)&amp;_xlpm._factorFunction($B66,Risks!$A:CE,Definitions!$Y:$Y,Definitions!$AB:$AB,5)))</f>
        <v/>
      </c>
      <c r="AE66" s="20" t="str" cm="1">
        <f t="array" ca="1" aca="1" ref="AE66">RemoveDelimiter(SUBSTITUTE(SUBSTITUTE($AB66,"{",""),"}",""),","&amp;CHAR(10))</f>
        <v/>
      </c>
      <c r="AF66" s="20" cm="1">
        <f t="array" ca="1" aca="1" ref="AF66">IF($O66="",0,SimpleLookup($O66,Definitions!$AE:$AF))</f>
        <v>0</v>
      </c>
    </row>
    <row r="67" spans="2:32" ht="15">
      <c r="B67" s="16" t="str">
        <f ca="1">OFFSET(Risks!$A$2,ROW()-ROW($B$5),0)</f>
        <v/>
      </c>
      <c r="C67" s="33" t="str" cm="1">
        <f t="array" ca="1" aca="1" ref="C67">IF($B67="","",IFERROR(SimpleLookup($B67,'Risk Treatment'!$C:D),"Please ensure that all risks are covered in the "&amp;Helper!$G$14&amp;" sheet. Currently, these risks are not covered: "&amp;'Risk Treatment'!$D$2&amp;"."))</f>
        <v/>
      </c>
      <c r="D67" s="37" t="str" cm="1">
        <f t="array" ca="1" aca="1" ref="D67">IF($B67="","",IFERROR(SimpleLookup($B67,'Risk Treatment'!$C:K),"Please ensure that all risks are covered in the "&amp;Helper!$G$14&amp;" sheet. Currently, these risks are not covered: "&amp;'Risk Treatment'!$D$2&amp;"."))</f>
        <v/>
      </c>
      <c r="E67" s="16" t="str" cm="1">
        <f t="array" ca="1" aca="1" ref="E67">IF($B67="","",IFERROR(SimpleLookup($B67,'Risk Treatment'!$C:L),"Please ensure that all risks are covered in the "&amp;Helper!$G$14&amp;" sheet. Currently, these risks are not covered: "&amp;'Risk Treatment'!$D$2&amp;"."))</f>
        <v/>
      </c>
      <c r="F67" s="34" t="str" cm="1">
        <f t="array" ca="1" aca="1" ref="F67">IF($B67="","",IFERROR(SimpleLookup($B67,'Risk Treatment'!$C:M),"Please ensure that all risks are covered in the "&amp;Helper!$G$14&amp;" sheet. Currently, these risks are not covered: "&amp;'Risk Treatment'!$D$2&amp;"."))</f>
        <v/>
      </c>
      <c r="G67" s="16" t="str" cm="1">
        <f t="array" ca="1" aca="1" ref="G67">IF($B67="","",IFERROR(SimpleLookup($B67,'Risk Treatment'!$C:N),"Please ensure that all risks are covered in the "&amp;Helper!$G$14&amp;" sheet. Currently, these risks are not covered: "&amp;'Risk Treatment'!$D$2&amp;"."))</f>
        <v/>
      </c>
      <c r="H67" s="16" t="str" cm="1">
        <f t="array" ca="1" aca="1" ref="H67">IF($B67="","",IFERROR(SimpleLookup($B67,'Risk Treatment'!$C:J),"Please ensure that all risks are covered in the "&amp;Helper!$G$14&amp;" sheet. Currently, these risks are not covered: "&amp;'Risk Treatment'!$D$2&amp;"."))</f>
        <v/>
      </c>
      <c r="I67" s="33" t="str" cm="1">
        <f t="array" ca="1" aca="1" ref="I67">IF($B67="","",IFERROR(SimpleLookup($B67,'Risk Treatment'!$C:O),"Please ensure that all risks are covered in the "&amp;Helper!$G$14&amp;" sheet. Currently, these risks are not covered: "&amp;'Risk Treatment'!$D$2&amp;"."))</f>
        <v/>
      </c>
      <c r="J67" s="33" t="str" cm="1">
        <f t="array" ca="1" aca="1" ref="J67">_xlfn.LET(_xlpm._assignedMitigations,IF($B67="","",IFERROR(RemoveDelimiter(GetValuesWithFallback($Z67,Countermeasures!$A:$B,Assumptions!$A:$B," ",","&amp;CHAR(10),TRUE),","&amp;CHAR(10)),"Error: Unknown risk ID "&amp;$B67)),_xlpm._inlineMitigations,$AE67,_xlpm._assignedMitigations&amp;IF(OR(_xlpm._assignedMitigations="",_xlpm._inlineMitigations=""),"",","&amp;CHAR(10))&amp;_xlpm._inlineMitigations)</f>
        <v/>
      </c>
      <c r="K67" s="37" t="str" cm="1">
        <f t="array" ca="1" aca="1" ref="K67">IF($AC67=-1,"",RemoveDelimiter(GetValues(INDEX(Risks!BN:BN,$AC67),'DS Overview'!$A:$B," ",","&amp;CHAR(10),TRUE),","&amp;CHAR(10)))</f>
        <v/>
      </c>
      <c r="L67" s="33" t="str" cm="1">
        <f t="array" ca="1" aca="1" ref="L67">IF($AC67=-1,"",INDEX(Risks!BP:BP,$AC67))</f>
        <v/>
      </c>
      <c r="M67" s="34" t="str" cm="1">
        <f t="array" ca="1" aca="1" ref="M67">_xlfn.LET(_xlpm._calculatedRAP,IFERROR(SimpleLookup($B67,Risks!$A:$BG),""),_xlpm._inlineRAP,IFERROR(SimpleLookup($B67,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67,_xlpm._mitigationSheetName&amp;" sheet "&amp;_xlfn.UNICHAR(8702)&amp;" Comment column:"&amp;CHAR(10)&amp;$AE67)))</f>
        <v/>
      </c>
      <c r="N67" s="33" t="str" cm="1">
        <f t="array" ca="1" aca="1" ref="N67">IF($AC67=-1,"",INDEX(Risks!CN:CN,$AC67))</f>
        <v>Basic</v>
      </c>
      <c r="O67" s="33" t="str" cm="1">
        <f t="array" ca="1" aca="1" ref="O67">IF($AC67=-1,"",INDEX(Risks!CO:CO,$AC67))</f>
        <v>No Risk</v>
      </c>
      <c r="P67" s="33" t="str">
        <f ca="1">IF($C67="","",IF($AF67&lt;=Definitions!$AF$6,Definitions!$M$4,""))</f>
        <v/>
      </c>
      <c r="Q67" s="23"/>
      <c r="R67" s="33" t="str">
        <f t="shared" ca="1" si="1"/>
        <v/>
      </c>
      <c r="S67" s="23"/>
      <c r="T67" s="13"/>
      <c r="U67" s="10" cm="1">
        <f t="array" ca="1" aca="1" ref="U67">GenerateShadowID(ROW(),$U$5,$U:$U,0,B67&lt;&gt;"")</f>
        <v>38</v>
      </c>
      <c r="V67" s="10" cm="1">
        <f t="array" ref="V67">CreateTaskID($V$5,$V:$V,Tasks!$B$17,$T67)</f>
        <v>0</v>
      </c>
      <c r="W67" s="14" t="str" cm="1">
        <f t="array" ca="1" aca="1" ref="W67">IF($B67="","",SimpleLookup($B67,'Risk Treatment'!$C:$AW))</f>
        <v/>
      </c>
      <c r="X67" s="14" t="str" cm="1">
        <f t="array" ca="1" aca="1" ref="X67">IF($B67="","",_xlfn.LET(_xlpm._attackSteps,SimpleLookup($B67,'Risk Treatment'!$C:$Y),GetValues(_xlpm._attackSteps,Mitigation!$A:$AG,"",CHAR(1),FALSE)))</f>
        <v/>
      </c>
      <c r="Y67" s="14" t="str" cm="1">
        <f t="array" ca="1" aca="1" ref="Y67">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67,CHAR(1))</f>
        <v/>
      </c>
      <c r="Z67" s="14" t="str" cm="1">
        <f t="array" ca="1" aca="1" ref="Z67">FilterElementsFromList($W67,Helper!$J$4,TRUE,",")</f>
        <v/>
      </c>
      <c r="AA67" s="14" t="str" cm="1">
        <f t="array" ca="1" aca="1" ref="AA67">FilterElementsFromList($Y67,Helper!$J$4,TRUE,",")</f>
        <v/>
      </c>
      <c r="AB67" s="20" t="str" cm="1">
        <f t="array" ca="1" aca="1" ref="AB67">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67,CreateSearchString($AA67),CHAR(1),","&amp;CHAR(10))</f>
        <v/>
      </c>
      <c r="AC67" s="20">
        <f ca="1">IFERROR(MATCH($B67,Risks!$A:$A,0),-1)</f>
        <v>41</v>
      </c>
      <c r="AD67" s="20" t="str" cm="1">
        <f t="array" ca="1" aca="1" ref="AD67">IF($B67="","",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67,Risks!$A:CA,Definitions!$Y:$Y,Definitions!$AB:$AB,1)&amp;CHAR(10)&amp;_xlpm._factorFunction($B67,Risks!$A:CB,Definitions!$Y:$Y,Definitions!$AB:$AB,2)&amp;CHAR(10)&amp;_xlpm._factorFunction($B67,Risks!$A:CC,Definitions!$Y:$Y,Definitions!$AB:$AB,3)&amp;CHAR(10)&amp;_xlpm._factorFunction($B67,Risks!$A:CD,Definitions!$Y:$Y,Definitions!$AB:$AB,4)&amp;CHAR(10)&amp;_xlpm._factorFunction($B67,Risks!$A:CE,Definitions!$Y:$Y,Definitions!$AB:$AB,5)))</f>
        <v/>
      </c>
      <c r="AE67" s="20" t="str" cm="1">
        <f t="array" ca="1" aca="1" ref="AE67">RemoveDelimiter(SUBSTITUTE(SUBSTITUTE($AB67,"{",""),"}",""),","&amp;CHAR(10))</f>
        <v/>
      </c>
      <c r="AF67" s="20" cm="1">
        <f t="array" ca="1" aca="1" ref="AF67">IF($O67="",0,SimpleLookup($O67,Definitions!$AE:$AF))</f>
        <v>0</v>
      </c>
    </row>
    <row r="68" spans="2:32" ht="15">
      <c r="B68" s="16" t="str">
        <f ca="1">OFFSET(Risks!$A$2,ROW()-ROW($B$5),0)</f>
        <v/>
      </c>
      <c r="C68" s="33" t="str" cm="1">
        <f t="array" ca="1" aca="1" ref="C68">IF($B68="","",IFERROR(SimpleLookup($B68,'Risk Treatment'!$C:D),"Please ensure that all risks are covered in the "&amp;Helper!$G$14&amp;" sheet. Currently, these risks are not covered: "&amp;'Risk Treatment'!$D$2&amp;"."))</f>
        <v/>
      </c>
      <c r="D68" s="37" t="str" cm="1">
        <f t="array" ca="1" aca="1" ref="D68">IF($B68="","",IFERROR(SimpleLookup($B68,'Risk Treatment'!$C:K),"Please ensure that all risks are covered in the "&amp;Helper!$G$14&amp;" sheet. Currently, these risks are not covered: "&amp;'Risk Treatment'!$D$2&amp;"."))</f>
        <v/>
      </c>
      <c r="E68" s="16" t="str" cm="1">
        <f t="array" ca="1" aca="1" ref="E68">IF($B68="","",IFERROR(SimpleLookup($B68,'Risk Treatment'!$C:L),"Please ensure that all risks are covered in the "&amp;Helper!$G$14&amp;" sheet. Currently, these risks are not covered: "&amp;'Risk Treatment'!$D$2&amp;"."))</f>
        <v/>
      </c>
      <c r="F68" s="34" t="str" cm="1">
        <f t="array" ca="1" aca="1" ref="F68">IF($B68="","",IFERROR(SimpleLookup($B68,'Risk Treatment'!$C:M),"Please ensure that all risks are covered in the "&amp;Helper!$G$14&amp;" sheet. Currently, these risks are not covered: "&amp;'Risk Treatment'!$D$2&amp;"."))</f>
        <v/>
      </c>
      <c r="G68" s="16" t="str" cm="1">
        <f t="array" ca="1" aca="1" ref="G68">IF($B68="","",IFERROR(SimpleLookup($B68,'Risk Treatment'!$C:N),"Please ensure that all risks are covered in the "&amp;Helper!$G$14&amp;" sheet. Currently, these risks are not covered: "&amp;'Risk Treatment'!$D$2&amp;"."))</f>
        <v/>
      </c>
      <c r="H68" s="16" t="str" cm="1">
        <f t="array" ca="1" aca="1" ref="H68">IF($B68="","",IFERROR(SimpleLookup($B68,'Risk Treatment'!$C:J),"Please ensure that all risks are covered in the "&amp;Helper!$G$14&amp;" sheet. Currently, these risks are not covered: "&amp;'Risk Treatment'!$D$2&amp;"."))</f>
        <v/>
      </c>
      <c r="I68" s="33" t="str" cm="1">
        <f t="array" ca="1" aca="1" ref="I68">IF($B68="","",IFERROR(SimpleLookup($B68,'Risk Treatment'!$C:O),"Please ensure that all risks are covered in the "&amp;Helper!$G$14&amp;" sheet. Currently, these risks are not covered: "&amp;'Risk Treatment'!$D$2&amp;"."))</f>
        <v/>
      </c>
      <c r="J68" s="33" t="str" cm="1">
        <f t="array" ca="1" aca="1" ref="J68">_xlfn.LET(_xlpm._assignedMitigations,IF($B68="","",IFERROR(RemoveDelimiter(GetValuesWithFallback($Z68,Countermeasures!$A:$B,Assumptions!$A:$B," ",","&amp;CHAR(10),TRUE),","&amp;CHAR(10)),"Error: Unknown risk ID "&amp;$B68)),_xlpm._inlineMitigations,$AE68,_xlpm._assignedMitigations&amp;IF(OR(_xlpm._assignedMitigations="",_xlpm._inlineMitigations=""),"",","&amp;CHAR(10))&amp;_xlpm._inlineMitigations)</f>
        <v/>
      </c>
      <c r="K68" s="37" t="str" cm="1">
        <f t="array" ca="1" aca="1" ref="K68">IF($AC68=-1,"",RemoveDelimiter(GetValues(INDEX(Risks!BN:BN,$AC68),'DS Overview'!$A:$B," ",","&amp;CHAR(10),TRUE),","&amp;CHAR(10)))</f>
        <v/>
      </c>
      <c r="L68" s="33" t="str" cm="1">
        <f t="array" ca="1" aca="1" ref="L68">IF($AC68=-1,"",INDEX(Risks!BP:BP,$AC68))</f>
        <v/>
      </c>
      <c r="M68" s="34" t="str" cm="1">
        <f t="array" ca="1" aca="1" ref="M68">_xlfn.LET(_xlpm._calculatedRAP,IFERROR(SimpleLookup($B68,Risks!$A:$BG),""),_xlpm._inlineRAP,IFERROR(SimpleLookup($B68,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68,_xlpm._mitigationSheetName&amp;" sheet "&amp;_xlfn.UNICHAR(8702)&amp;" Comment column:"&amp;CHAR(10)&amp;$AE68)))</f>
        <v/>
      </c>
      <c r="N68" s="33" t="str" cm="1">
        <f t="array" ca="1" aca="1" ref="N68">IF($AC68=-1,"",INDEX(Risks!CN:CN,$AC68))</f>
        <v>Basic</v>
      </c>
      <c r="O68" s="33" t="str" cm="1">
        <f t="array" ca="1" aca="1" ref="O68">IF($AC68=-1,"",INDEX(Risks!CO:CO,$AC68))</f>
        <v>No Risk</v>
      </c>
      <c r="P68" s="33" t="str">
        <f ca="1">IF($C68="","",IF($AF68&lt;=Definitions!$AF$6,Definitions!$M$4,""))</f>
        <v/>
      </c>
      <c r="Q68" s="23"/>
      <c r="R68" s="33" t="str">
        <f t="shared" ca="1" si="1"/>
        <v/>
      </c>
      <c r="S68" s="23"/>
      <c r="T68" s="13"/>
      <c r="U68" s="10" cm="1">
        <f t="array" ca="1" aca="1" ref="U68">GenerateShadowID(ROW(),$U$5,$U:$U,0,B68&lt;&gt;"")</f>
        <v>38</v>
      </c>
      <c r="V68" s="10" cm="1">
        <f t="array" ref="V68">CreateTaskID($V$5,$V:$V,Tasks!$B$17,$T68)</f>
        <v>0</v>
      </c>
      <c r="W68" s="14" t="str" cm="1">
        <f t="array" ca="1" aca="1" ref="W68">IF($B68="","",SimpleLookup($B68,'Risk Treatment'!$C:$AW))</f>
        <v/>
      </c>
      <c r="X68" s="14" t="str" cm="1">
        <f t="array" ca="1" aca="1" ref="X68">IF($B68="","",_xlfn.LET(_xlpm._attackSteps,SimpleLookup($B68,'Risk Treatment'!$C:$Y),GetValues(_xlpm._attackSteps,Mitigation!$A:$AG,"",CHAR(1),FALSE)))</f>
        <v/>
      </c>
      <c r="Y68" s="14" t="str" cm="1">
        <f t="array" ca="1" aca="1" ref="Y68">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68,CHAR(1))</f>
        <v/>
      </c>
      <c r="Z68" s="14" t="str" cm="1">
        <f t="array" ca="1" aca="1" ref="Z68">FilterElementsFromList($W68,Helper!$J$4,TRUE,",")</f>
        <v/>
      </c>
      <c r="AA68" s="14" t="str" cm="1">
        <f t="array" ca="1" aca="1" ref="AA68">FilterElementsFromList($Y68,Helper!$J$4,TRUE,",")</f>
        <v/>
      </c>
      <c r="AB68" s="20" t="str" cm="1">
        <f t="array" ca="1" aca="1" ref="AB68">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68,CreateSearchString($AA68),CHAR(1),","&amp;CHAR(10))</f>
        <v/>
      </c>
      <c r="AC68" s="20">
        <f ca="1">IFERROR(MATCH($B68,Risks!$A:$A,0),-1)</f>
        <v>41</v>
      </c>
      <c r="AD68" s="20" t="str" cm="1">
        <f t="array" ca="1" aca="1" ref="AD68">IF($B68="","",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68,Risks!$A:CA,Definitions!$Y:$Y,Definitions!$AB:$AB,1)&amp;CHAR(10)&amp;_xlpm._factorFunction($B68,Risks!$A:CB,Definitions!$Y:$Y,Definitions!$AB:$AB,2)&amp;CHAR(10)&amp;_xlpm._factorFunction($B68,Risks!$A:CC,Definitions!$Y:$Y,Definitions!$AB:$AB,3)&amp;CHAR(10)&amp;_xlpm._factorFunction($B68,Risks!$A:CD,Definitions!$Y:$Y,Definitions!$AB:$AB,4)&amp;CHAR(10)&amp;_xlpm._factorFunction($B68,Risks!$A:CE,Definitions!$Y:$Y,Definitions!$AB:$AB,5)))</f>
        <v/>
      </c>
      <c r="AE68" s="20" t="str" cm="1">
        <f t="array" ca="1" aca="1" ref="AE68">RemoveDelimiter(SUBSTITUTE(SUBSTITUTE($AB68,"{",""),"}",""),","&amp;CHAR(10))</f>
        <v/>
      </c>
      <c r="AF68" s="20" cm="1">
        <f t="array" ca="1" aca="1" ref="AF68">IF($O68="",0,SimpleLookup($O68,Definitions!$AE:$AF))</f>
        <v>0</v>
      </c>
    </row>
    <row r="69" spans="2:32" ht="15">
      <c r="B69" s="16" t="str">
        <f ca="1">OFFSET(Risks!$A$2,ROW()-ROW($B$5),0)</f>
        <v/>
      </c>
      <c r="C69" s="33" t="str" cm="1">
        <f t="array" ca="1" aca="1" ref="C69">IF($B69="","",IFERROR(SimpleLookup($B69,'Risk Treatment'!$C:D),"Please ensure that all risks are covered in the "&amp;Helper!$G$14&amp;" sheet. Currently, these risks are not covered: "&amp;'Risk Treatment'!$D$2&amp;"."))</f>
        <v/>
      </c>
      <c r="D69" s="37" t="str" cm="1">
        <f t="array" ca="1" aca="1" ref="D69">IF($B69="","",IFERROR(SimpleLookup($B69,'Risk Treatment'!$C:K),"Please ensure that all risks are covered in the "&amp;Helper!$G$14&amp;" sheet. Currently, these risks are not covered: "&amp;'Risk Treatment'!$D$2&amp;"."))</f>
        <v/>
      </c>
      <c r="E69" s="16" t="str" cm="1">
        <f t="array" ca="1" aca="1" ref="E69">IF($B69="","",IFERROR(SimpleLookup($B69,'Risk Treatment'!$C:L),"Please ensure that all risks are covered in the "&amp;Helper!$G$14&amp;" sheet. Currently, these risks are not covered: "&amp;'Risk Treatment'!$D$2&amp;"."))</f>
        <v/>
      </c>
      <c r="F69" s="34" t="str" cm="1">
        <f t="array" ca="1" aca="1" ref="F69">IF($B69="","",IFERROR(SimpleLookup($B69,'Risk Treatment'!$C:M),"Please ensure that all risks are covered in the "&amp;Helper!$G$14&amp;" sheet. Currently, these risks are not covered: "&amp;'Risk Treatment'!$D$2&amp;"."))</f>
        <v/>
      </c>
      <c r="G69" s="16" t="str" cm="1">
        <f t="array" ca="1" aca="1" ref="G69">IF($B69="","",IFERROR(SimpleLookup($B69,'Risk Treatment'!$C:N),"Please ensure that all risks are covered in the "&amp;Helper!$G$14&amp;" sheet. Currently, these risks are not covered: "&amp;'Risk Treatment'!$D$2&amp;"."))</f>
        <v/>
      </c>
      <c r="H69" s="16" t="str" cm="1">
        <f t="array" ca="1" aca="1" ref="H69">IF($B69="","",IFERROR(SimpleLookup($B69,'Risk Treatment'!$C:J),"Please ensure that all risks are covered in the "&amp;Helper!$G$14&amp;" sheet. Currently, these risks are not covered: "&amp;'Risk Treatment'!$D$2&amp;"."))</f>
        <v/>
      </c>
      <c r="I69" s="33" t="str" cm="1">
        <f t="array" ca="1" aca="1" ref="I69">IF($B69="","",IFERROR(SimpleLookup($B69,'Risk Treatment'!$C:O),"Please ensure that all risks are covered in the "&amp;Helper!$G$14&amp;" sheet. Currently, these risks are not covered: "&amp;'Risk Treatment'!$D$2&amp;"."))</f>
        <v/>
      </c>
      <c r="J69" s="33" t="str" cm="1">
        <f t="array" ca="1" aca="1" ref="J69">_xlfn.LET(_xlpm._assignedMitigations,IF($B69="","",IFERROR(RemoveDelimiter(GetValuesWithFallback($Z69,Countermeasures!$A:$B,Assumptions!$A:$B," ",","&amp;CHAR(10),TRUE),","&amp;CHAR(10)),"Error: Unknown risk ID "&amp;$B69)),_xlpm._inlineMitigations,$AE69,_xlpm._assignedMitigations&amp;IF(OR(_xlpm._assignedMitigations="",_xlpm._inlineMitigations=""),"",","&amp;CHAR(10))&amp;_xlpm._inlineMitigations)</f>
        <v/>
      </c>
      <c r="K69" s="37" t="str" cm="1">
        <f t="array" ca="1" aca="1" ref="K69">IF($AC69=-1,"",RemoveDelimiter(GetValues(INDEX(Risks!BN:BN,$AC69),'DS Overview'!$A:$B," ",","&amp;CHAR(10),TRUE),","&amp;CHAR(10)))</f>
        <v/>
      </c>
      <c r="L69" s="33" t="str" cm="1">
        <f t="array" ca="1" aca="1" ref="L69">IF($AC69=-1,"",INDEX(Risks!BP:BP,$AC69))</f>
        <v/>
      </c>
      <c r="M69" s="34" t="str" cm="1">
        <f t="array" ca="1" aca="1" ref="M69">_xlfn.LET(_xlpm._calculatedRAP,IFERROR(SimpleLookup($B69,Risks!$A:$BG),""),_xlpm._inlineRAP,IFERROR(SimpleLookup($B69,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69,_xlpm._mitigationSheetName&amp;" sheet "&amp;_xlfn.UNICHAR(8702)&amp;" Comment column:"&amp;CHAR(10)&amp;$AE69)))</f>
        <v/>
      </c>
      <c r="N69" s="33" t="str" cm="1">
        <f t="array" ca="1" aca="1" ref="N69">IF($AC69=-1,"",INDEX(Risks!CN:CN,$AC69))</f>
        <v>Basic</v>
      </c>
      <c r="O69" s="33" t="str" cm="1">
        <f t="array" ca="1" aca="1" ref="O69">IF($AC69=-1,"",INDEX(Risks!CO:CO,$AC69))</f>
        <v>No Risk</v>
      </c>
      <c r="P69" s="33" t="str">
        <f ca="1">IF($C69="","",IF($AF69&lt;=Definitions!$AF$6,Definitions!$M$4,""))</f>
        <v/>
      </c>
      <c r="Q69" s="23"/>
      <c r="R69" s="33" t="str">
        <f t="shared" ca="1" si="1"/>
        <v/>
      </c>
      <c r="S69" s="23"/>
      <c r="T69" s="13"/>
      <c r="U69" s="10" cm="1">
        <f t="array" ca="1" aca="1" ref="U69">GenerateShadowID(ROW(),$U$5,$U:$U,0,B69&lt;&gt;"")</f>
        <v>38</v>
      </c>
      <c r="V69" s="10" cm="1">
        <f t="array" ref="V69">CreateTaskID($V$5,$V:$V,Tasks!$B$17,$T69)</f>
        <v>0</v>
      </c>
      <c r="W69" s="14" t="str" cm="1">
        <f t="array" ca="1" aca="1" ref="W69">IF($B69="","",SimpleLookup($B69,'Risk Treatment'!$C:$AW))</f>
        <v/>
      </c>
      <c r="X69" s="14" t="str" cm="1">
        <f t="array" ca="1" aca="1" ref="X69">IF($B69="","",_xlfn.LET(_xlpm._attackSteps,SimpleLookup($B69,'Risk Treatment'!$C:$Y),GetValues(_xlpm._attackSteps,Mitigation!$A:$AG,"",CHAR(1),FALSE)))</f>
        <v/>
      </c>
      <c r="Y69" s="14" t="str" cm="1">
        <f t="array" ca="1" aca="1" ref="Y69">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69,CHAR(1))</f>
        <v/>
      </c>
      <c r="Z69" s="14" t="str" cm="1">
        <f t="array" ca="1" aca="1" ref="Z69">FilterElementsFromList($W69,Helper!$J$4,TRUE,",")</f>
        <v/>
      </c>
      <c r="AA69" s="14" t="str" cm="1">
        <f t="array" ca="1" aca="1" ref="AA69">FilterElementsFromList($Y69,Helper!$J$4,TRUE,",")</f>
        <v/>
      </c>
      <c r="AB69" s="20" t="str" cm="1">
        <f t="array" ca="1" aca="1" ref="AB69">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69,CreateSearchString($AA69),CHAR(1),","&amp;CHAR(10))</f>
        <v/>
      </c>
      <c r="AC69" s="20">
        <f ca="1">IFERROR(MATCH($B69,Risks!$A:$A,0),-1)</f>
        <v>41</v>
      </c>
      <c r="AD69" s="20" t="str" cm="1">
        <f t="array" ca="1" aca="1" ref="AD69">IF($B69="","",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69,Risks!$A:CA,Definitions!$Y:$Y,Definitions!$AB:$AB,1)&amp;CHAR(10)&amp;_xlpm._factorFunction($B69,Risks!$A:CB,Definitions!$Y:$Y,Definitions!$AB:$AB,2)&amp;CHAR(10)&amp;_xlpm._factorFunction($B69,Risks!$A:CC,Definitions!$Y:$Y,Definitions!$AB:$AB,3)&amp;CHAR(10)&amp;_xlpm._factorFunction($B69,Risks!$A:CD,Definitions!$Y:$Y,Definitions!$AB:$AB,4)&amp;CHAR(10)&amp;_xlpm._factorFunction($B69,Risks!$A:CE,Definitions!$Y:$Y,Definitions!$AB:$AB,5)))</f>
        <v/>
      </c>
      <c r="AE69" s="20" t="str" cm="1">
        <f t="array" ca="1" aca="1" ref="AE69">RemoveDelimiter(SUBSTITUTE(SUBSTITUTE($AB69,"{",""),"}",""),","&amp;CHAR(10))</f>
        <v/>
      </c>
      <c r="AF69" s="20" cm="1">
        <f t="array" ca="1" aca="1" ref="AF69">IF($O69="",0,SimpleLookup($O69,Definitions!$AE:$AF))</f>
        <v>0</v>
      </c>
    </row>
    <row r="70" spans="2:32" ht="15">
      <c r="B70" s="16" t="str">
        <f ca="1">OFFSET(Risks!$A$2,ROW()-ROW($B$5),0)</f>
        <v/>
      </c>
      <c r="C70" s="33" t="str" cm="1">
        <f t="array" ca="1" aca="1" ref="C70">IF($B70="","",IFERROR(SimpleLookup($B70,'Risk Treatment'!$C:D),"Please ensure that all risks are covered in the "&amp;Helper!$G$14&amp;" sheet. Currently, these risks are not covered: "&amp;'Risk Treatment'!$D$2&amp;"."))</f>
        <v/>
      </c>
      <c r="D70" s="37" t="str" cm="1">
        <f t="array" ca="1" aca="1" ref="D70">IF($B70="","",IFERROR(SimpleLookup($B70,'Risk Treatment'!$C:K),"Please ensure that all risks are covered in the "&amp;Helper!$G$14&amp;" sheet. Currently, these risks are not covered: "&amp;'Risk Treatment'!$D$2&amp;"."))</f>
        <v/>
      </c>
      <c r="E70" s="16" t="str" cm="1">
        <f t="array" ca="1" aca="1" ref="E70">IF($B70="","",IFERROR(SimpleLookup($B70,'Risk Treatment'!$C:L),"Please ensure that all risks are covered in the "&amp;Helper!$G$14&amp;" sheet. Currently, these risks are not covered: "&amp;'Risk Treatment'!$D$2&amp;"."))</f>
        <v/>
      </c>
      <c r="F70" s="34" t="str" cm="1">
        <f t="array" ca="1" aca="1" ref="F70">IF($B70="","",IFERROR(SimpleLookup($B70,'Risk Treatment'!$C:M),"Please ensure that all risks are covered in the "&amp;Helper!$G$14&amp;" sheet. Currently, these risks are not covered: "&amp;'Risk Treatment'!$D$2&amp;"."))</f>
        <v/>
      </c>
      <c r="G70" s="16" t="str" cm="1">
        <f t="array" ca="1" aca="1" ref="G70">IF($B70="","",IFERROR(SimpleLookup($B70,'Risk Treatment'!$C:N),"Please ensure that all risks are covered in the "&amp;Helper!$G$14&amp;" sheet. Currently, these risks are not covered: "&amp;'Risk Treatment'!$D$2&amp;"."))</f>
        <v/>
      </c>
      <c r="H70" s="16" t="str" cm="1">
        <f t="array" ca="1" aca="1" ref="H70">IF($B70="","",IFERROR(SimpleLookup($B70,'Risk Treatment'!$C:J),"Please ensure that all risks are covered in the "&amp;Helper!$G$14&amp;" sheet. Currently, these risks are not covered: "&amp;'Risk Treatment'!$D$2&amp;"."))</f>
        <v/>
      </c>
      <c r="I70" s="33" t="str" cm="1">
        <f t="array" ca="1" aca="1" ref="I70">IF($B70="","",IFERROR(SimpleLookup($B70,'Risk Treatment'!$C:O),"Please ensure that all risks are covered in the "&amp;Helper!$G$14&amp;" sheet. Currently, these risks are not covered: "&amp;'Risk Treatment'!$D$2&amp;"."))</f>
        <v/>
      </c>
      <c r="J70" s="33" t="str" cm="1">
        <f t="array" ca="1" aca="1" ref="J70">_xlfn.LET(_xlpm._assignedMitigations,IF($B70="","",IFERROR(RemoveDelimiter(GetValuesWithFallback($Z70,Countermeasures!$A:$B,Assumptions!$A:$B," ",","&amp;CHAR(10),TRUE),","&amp;CHAR(10)),"Error: Unknown risk ID "&amp;$B70)),_xlpm._inlineMitigations,$AE70,_xlpm._assignedMitigations&amp;IF(OR(_xlpm._assignedMitigations="",_xlpm._inlineMitigations=""),"",","&amp;CHAR(10))&amp;_xlpm._inlineMitigations)</f>
        <v/>
      </c>
      <c r="K70" s="37" t="str" cm="1">
        <f t="array" ca="1" aca="1" ref="K70">IF($AC70=-1,"",RemoveDelimiter(GetValues(INDEX(Risks!BN:BN,$AC70),'DS Overview'!$A:$B," ",","&amp;CHAR(10),TRUE),","&amp;CHAR(10)))</f>
        <v/>
      </c>
      <c r="L70" s="33" t="str" cm="1">
        <f t="array" ca="1" aca="1" ref="L70">IF($AC70=-1,"",INDEX(Risks!BP:BP,$AC70))</f>
        <v/>
      </c>
      <c r="M70" s="34" t="str" cm="1">
        <f t="array" ca="1" aca="1" ref="M70">_xlfn.LET(_xlpm._calculatedRAP,IFERROR(SimpleLookup($B70,Risks!$A:$BG),""),_xlpm._inlineRAP,IFERROR(SimpleLookup($B70,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70,_xlpm._mitigationSheetName&amp;" sheet "&amp;_xlfn.UNICHAR(8702)&amp;" Comment column:"&amp;CHAR(10)&amp;$AE70)))</f>
        <v/>
      </c>
      <c r="N70" s="33" t="str" cm="1">
        <f t="array" ca="1" aca="1" ref="N70">IF($AC70=-1,"",INDEX(Risks!CN:CN,$AC70))</f>
        <v>Basic</v>
      </c>
      <c r="O70" s="33" t="str" cm="1">
        <f t="array" ca="1" aca="1" ref="O70">IF($AC70=-1,"",INDEX(Risks!CO:CO,$AC70))</f>
        <v>No Risk</v>
      </c>
      <c r="P70" s="33" t="str">
        <f ca="1">IF($C70="","",IF($AF70&lt;=Definitions!$AF$6,Definitions!$M$4,""))</f>
        <v/>
      </c>
      <c r="Q70" s="23"/>
      <c r="R70" s="33" t="str">
        <f t="shared" ca="1" si="1"/>
        <v/>
      </c>
      <c r="S70" s="23"/>
      <c r="T70" s="13"/>
      <c r="U70" s="10" cm="1">
        <f t="array" ca="1" aca="1" ref="U70">GenerateShadowID(ROW(),$U$5,$U:$U,0,B70&lt;&gt;"")</f>
        <v>38</v>
      </c>
      <c r="V70" s="10" cm="1">
        <f t="array" ref="V70">CreateTaskID($V$5,$V:$V,Tasks!$B$17,$T70)</f>
        <v>0</v>
      </c>
      <c r="W70" s="14" t="str" cm="1">
        <f t="array" ca="1" aca="1" ref="W70">IF($B70="","",SimpleLookup($B70,'Risk Treatment'!$C:$AW))</f>
        <v/>
      </c>
      <c r="X70" s="14" t="str" cm="1">
        <f t="array" ca="1" aca="1" ref="X70">IF($B70="","",_xlfn.LET(_xlpm._attackSteps,SimpleLookup($B70,'Risk Treatment'!$C:$Y),GetValues(_xlpm._attackSteps,Mitigation!$A:$AG,"",CHAR(1),FALSE)))</f>
        <v/>
      </c>
      <c r="Y70" s="14" t="str" cm="1">
        <f t="array" ca="1" aca="1" ref="Y70">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70,CHAR(1))</f>
        <v/>
      </c>
      <c r="Z70" s="14" t="str" cm="1">
        <f t="array" ca="1" aca="1" ref="Z70">FilterElementsFromList($W70,Helper!$J$4,TRUE,",")</f>
        <v/>
      </c>
      <c r="AA70" s="14" t="str" cm="1">
        <f t="array" ca="1" aca="1" ref="AA70">FilterElementsFromList($Y70,Helper!$J$4,TRUE,",")</f>
        <v/>
      </c>
      <c r="AB70" s="20" t="str" cm="1">
        <f t="array" ca="1" aca="1" ref="AB70">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70,CreateSearchString($AA70),CHAR(1),","&amp;CHAR(10))</f>
        <v/>
      </c>
      <c r="AC70" s="20">
        <f ca="1">IFERROR(MATCH($B70,Risks!$A:$A,0),-1)</f>
        <v>41</v>
      </c>
      <c r="AD70" s="20" t="str" cm="1">
        <f t="array" ca="1" aca="1" ref="AD70">IF($B70="","",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70,Risks!$A:CA,Definitions!$Y:$Y,Definitions!$AB:$AB,1)&amp;CHAR(10)&amp;_xlpm._factorFunction($B70,Risks!$A:CB,Definitions!$Y:$Y,Definitions!$AB:$AB,2)&amp;CHAR(10)&amp;_xlpm._factorFunction($B70,Risks!$A:CC,Definitions!$Y:$Y,Definitions!$AB:$AB,3)&amp;CHAR(10)&amp;_xlpm._factorFunction($B70,Risks!$A:CD,Definitions!$Y:$Y,Definitions!$AB:$AB,4)&amp;CHAR(10)&amp;_xlpm._factorFunction($B70,Risks!$A:CE,Definitions!$Y:$Y,Definitions!$AB:$AB,5)))</f>
        <v/>
      </c>
      <c r="AE70" s="20" t="str" cm="1">
        <f t="array" ca="1" aca="1" ref="AE70">RemoveDelimiter(SUBSTITUTE(SUBSTITUTE($AB70,"{",""),"}",""),","&amp;CHAR(10))</f>
        <v/>
      </c>
      <c r="AF70" s="20" cm="1">
        <f t="array" ca="1" aca="1" ref="AF70">IF($O70="",0,SimpleLookup($O70,Definitions!$AE:$AF))</f>
        <v>0</v>
      </c>
    </row>
    <row r="71" spans="2:32" ht="15">
      <c r="B71" s="16" t="str">
        <f ca="1">OFFSET(Risks!$A$2,ROW()-ROW($B$5),0)</f>
        <v/>
      </c>
      <c r="C71" s="33" t="str" cm="1">
        <f t="array" ca="1" aca="1" ref="C71">IF($B71="","",IFERROR(SimpleLookup($B71,'Risk Treatment'!$C:D),"Please ensure that all risks are covered in the "&amp;Helper!$G$14&amp;" sheet. Currently, these risks are not covered: "&amp;'Risk Treatment'!$D$2&amp;"."))</f>
        <v/>
      </c>
      <c r="D71" s="37" t="str" cm="1">
        <f t="array" ca="1" aca="1" ref="D71">IF($B71="","",IFERROR(SimpleLookup($B71,'Risk Treatment'!$C:K),"Please ensure that all risks are covered in the "&amp;Helper!$G$14&amp;" sheet. Currently, these risks are not covered: "&amp;'Risk Treatment'!$D$2&amp;"."))</f>
        <v/>
      </c>
      <c r="E71" s="16" t="str" cm="1">
        <f t="array" ca="1" aca="1" ref="E71">IF($B71="","",IFERROR(SimpleLookup($B71,'Risk Treatment'!$C:L),"Please ensure that all risks are covered in the "&amp;Helper!$G$14&amp;" sheet. Currently, these risks are not covered: "&amp;'Risk Treatment'!$D$2&amp;"."))</f>
        <v/>
      </c>
      <c r="F71" s="34" t="str" cm="1">
        <f t="array" ca="1" aca="1" ref="F71">IF($B71="","",IFERROR(SimpleLookup($B71,'Risk Treatment'!$C:M),"Please ensure that all risks are covered in the "&amp;Helper!$G$14&amp;" sheet. Currently, these risks are not covered: "&amp;'Risk Treatment'!$D$2&amp;"."))</f>
        <v/>
      </c>
      <c r="G71" s="16" t="str" cm="1">
        <f t="array" ca="1" aca="1" ref="G71">IF($B71="","",IFERROR(SimpleLookup($B71,'Risk Treatment'!$C:N),"Please ensure that all risks are covered in the "&amp;Helper!$G$14&amp;" sheet. Currently, these risks are not covered: "&amp;'Risk Treatment'!$D$2&amp;"."))</f>
        <v/>
      </c>
      <c r="H71" s="16" t="str" cm="1">
        <f t="array" ca="1" aca="1" ref="H71">IF($B71="","",IFERROR(SimpleLookup($B71,'Risk Treatment'!$C:J),"Please ensure that all risks are covered in the "&amp;Helper!$G$14&amp;" sheet. Currently, these risks are not covered: "&amp;'Risk Treatment'!$D$2&amp;"."))</f>
        <v/>
      </c>
      <c r="I71" s="33" t="str" cm="1">
        <f t="array" ca="1" aca="1" ref="I71">IF($B71="","",IFERROR(SimpleLookup($B71,'Risk Treatment'!$C:O),"Please ensure that all risks are covered in the "&amp;Helper!$G$14&amp;" sheet. Currently, these risks are not covered: "&amp;'Risk Treatment'!$D$2&amp;"."))</f>
        <v/>
      </c>
      <c r="J71" s="33" t="str" cm="1">
        <f t="array" ca="1" aca="1" ref="J71">_xlfn.LET(_xlpm._assignedMitigations,IF($B71="","",IFERROR(RemoveDelimiter(GetValuesWithFallback($Z71,Countermeasures!$A:$B,Assumptions!$A:$B," ",","&amp;CHAR(10),TRUE),","&amp;CHAR(10)),"Error: Unknown risk ID "&amp;$B71)),_xlpm._inlineMitigations,$AE71,_xlpm._assignedMitigations&amp;IF(OR(_xlpm._assignedMitigations="",_xlpm._inlineMitigations=""),"",","&amp;CHAR(10))&amp;_xlpm._inlineMitigations)</f>
        <v/>
      </c>
      <c r="K71" s="37" t="str" cm="1">
        <f t="array" ca="1" aca="1" ref="K71">IF($AC71=-1,"",RemoveDelimiter(GetValues(INDEX(Risks!BN:BN,$AC71),'DS Overview'!$A:$B," ",","&amp;CHAR(10),TRUE),","&amp;CHAR(10)))</f>
        <v/>
      </c>
      <c r="L71" s="33" t="str" cm="1">
        <f t="array" ca="1" aca="1" ref="L71">IF($AC71=-1,"",INDEX(Risks!BP:BP,$AC71))</f>
        <v/>
      </c>
      <c r="M71" s="34" t="str" cm="1">
        <f t="array" ca="1" aca="1" ref="M71">_xlfn.LET(_xlpm._calculatedRAP,IFERROR(SimpleLookup($B71,Risks!$A:$BG),""),_xlpm._inlineRAP,IFERROR(SimpleLookup($B71,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71,_xlpm._mitigationSheetName&amp;" sheet "&amp;_xlfn.UNICHAR(8702)&amp;" Comment column:"&amp;CHAR(10)&amp;$AE71)))</f>
        <v/>
      </c>
      <c r="N71" s="33" t="str" cm="1">
        <f t="array" ca="1" aca="1" ref="N71">IF($AC71=-1,"",INDEX(Risks!CN:CN,$AC71))</f>
        <v>Basic</v>
      </c>
      <c r="O71" s="33" t="str" cm="1">
        <f t="array" ca="1" aca="1" ref="O71">IF($AC71=-1,"",INDEX(Risks!CO:CO,$AC71))</f>
        <v>No Risk</v>
      </c>
      <c r="P71" s="33" t="str">
        <f ca="1">IF($C71="","",IF($AF71&lt;=Definitions!$AF$6,Definitions!$M$4,""))</f>
        <v/>
      </c>
      <c r="Q71" s="23"/>
      <c r="R71" s="33" t="str">
        <f t="shared" ca="1" si="1"/>
        <v/>
      </c>
      <c r="S71" s="23"/>
      <c r="T71" s="13"/>
      <c r="U71" s="10" cm="1">
        <f t="array" ca="1" aca="1" ref="U71">GenerateShadowID(ROW(),$U$5,$U:$U,0,B71&lt;&gt;"")</f>
        <v>38</v>
      </c>
      <c r="V71" s="10" cm="1">
        <f t="array" ref="V71">CreateTaskID($V$5,$V:$V,Tasks!$B$17,$T71)</f>
        <v>0</v>
      </c>
      <c r="W71" s="14" t="str" cm="1">
        <f t="array" ca="1" aca="1" ref="W71">IF($B71="","",SimpleLookup($B71,'Risk Treatment'!$C:$AW))</f>
        <v/>
      </c>
      <c r="X71" s="14" t="str" cm="1">
        <f t="array" ca="1" aca="1" ref="X71">IF($B71="","",_xlfn.LET(_xlpm._attackSteps,SimpleLookup($B71,'Risk Treatment'!$C:$Y),GetValues(_xlpm._attackSteps,Mitigation!$A:$AG,"",CHAR(1),FALSE)))</f>
        <v/>
      </c>
      <c r="Y71" s="14" t="str" cm="1">
        <f t="array" ca="1" aca="1" ref="Y71">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71,CHAR(1))</f>
        <v/>
      </c>
      <c r="Z71" s="14" t="str" cm="1">
        <f t="array" ca="1" aca="1" ref="Z71">FilterElementsFromList($W71,Helper!$J$4,TRUE,",")</f>
        <v/>
      </c>
      <c r="AA71" s="14" t="str" cm="1">
        <f t="array" ca="1" aca="1" ref="AA71">FilterElementsFromList($Y71,Helper!$J$4,TRUE,",")</f>
        <v/>
      </c>
      <c r="AB71" s="20" t="str" cm="1">
        <f t="array" ca="1" aca="1" ref="AB71">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71,CreateSearchString($AA71),CHAR(1),","&amp;CHAR(10))</f>
        <v/>
      </c>
      <c r="AC71" s="20">
        <f ca="1">IFERROR(MATCH($B71,Risks!$A:$A,0),-1)</f>
        <v>41</v>
      </c>
      <c r="AD71" s="20" t="str" cm="1">
        <f t="array" ca="1" aca="1" ref="AD71">IF($B71="","",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71,Risks!$A:CA,Definitions!$Y:$Y,Definitions!$AB:$AB,1)&amp;CHAR(10)&amp;_xlpm._factorFunction($B71,Risks!$A:CB,Definitions!$Y:$Y,Definitions!$AB:$AB,2)&amp;CHAR(10)&amp;_xlpm._factorFunction($B71,Risks!$A:CC,Definitions!$Y:$Y,Definitions!$AB:$AB,3)&amp;CHAR(10)&amp;_xlpm._factorFunction($B71,Risks!$A:CD,Definitions!$Y:$Y,Definitions!$AB:$AB,4)&amp;CHAR(10)&amp;_xlpm._factorFunction($B71,Risks!$A:CE,Definitions!$Y:$Y,Definitions!$AB:$AB,5)))</f>
        <v/>
      </c>
      <c r="AE71" s="20" t="str" cm="1">
        <f t="array" ca="1" aca="1" ref="AE71">RemoveDelimiter(SUBSTITUTE(SUBSTITUTE($AB71,"{",""),"}",""),","&amp;CHAR(10))</f>
        <v/>
      </c>
      <c r="AF71" s="20" cm="1">
        <f t="array" ca="1" aca="1" ref="AF71">IF($O71="",0,SimpleLookup($O71,Definitions!$AE:$AF))</f>
        <v>0</v>
      </c>
    </row>
    <row r="72" spans="2:32" ht="15">
      <c r="B72" s="16" t="str">
        <f ca="1">OFFSET(Risks!$A$2,ROW()-ROW($B$5),0)</f>
        <v/>
      </c>
      <c r="C72" s="33" t="str" cm="1">
        <f t="array" ca="1" aca="1" ref="C72">IF($B72="","",IFERROR(SimpleLookup($B72,'Risk Treatment'!$C:D),"Please ensure that all risks are covered in the "&amp;Helper!$G$14&amp;" sheet. Currently, these risks are not covered: "&amp;'Risk Treatment'!$D$2&amp;"."))</f>
        <v/>
      </c>
      <c r="D72" s="37" t="str" cm="1">
        <f t="array" ca="1" aca="1" ref="D72">IF($B72="","",IFERROR(SimpleLookup($B72,'Risk Treatment'!$C:K),"Please ensure that all risks are covered in the "&amp;Helper!$G$14&amp;" sheet. Currently, these risks are not covered: "&amp;'Risk Treatment'!$D$2&amp;"."))</f>
        <v/>
      </c>
      <c r="E72" s="16" t="str" cm="1">
        <f t="array" ca="1" aca="1" ref="E72">IF($B72="","",IFERROR(SimpleLookup($B72,'Risk Treatment'!$C:L),"Please ensure that all risks are covered in the "&amp;Helper!$G$14&amp;" sheet. Currently, these risks are not covered: "&amp;'Risk Treatment'!$D$2&amp;"."))</f>
        <v/>
      </c>
      <c r="F72" s="34" t="str" cm="1">
        <f t="array" ca="1" aca="1" ref="F72">IF($B72="","",IFERROR(SimpleLookup($B72,'Risk Treatment'!$C:M),"Please ensure that all risks are covered in the "&amp;Helper!$G$14&amp;" sheet. Currently, these risks are not covered: "&amp;'Risk Treatment'!$D$2&amp;"."))</f>
        <v/>
      </c>
      <c r="G72" s="16" t="str" cm="1">
        <f t="array" ca="1" aca="1" ref="G72">IF($B72="","",IFERROR(SimpleLookup($B72,'Risk Treatment'!$C:N),"Please ensure that all risks are covered in the "&amp;Helper!$G$14&amp;" sheet. Currently, these risks are not covered: "&amp;'Risk Treatment'!$D$2&amp;"."))</f>
        <v/>
      </c>
      <c r="H72" s="16" t="str" cm="1">
        <f t="array" ca="1" aca="1" ref="H72">IF($B72="","",IFERROR(SimpleLookup($B72,'Risk Treatment'!$C:J),"Please ensure that all risks are covered in the "&amp;Helper!$G$14&amp;" sheet. Currently, these risks are not covered: "&amp;'Risk Treatment'!$D$2&amp;"."))</f>
        <v/>
      </c>
      <c r="I72" s="33" t="str" cm="1">
        <f t="array" ca="1" aca="1" ref="I72">IF($B72="","",IFERROR(SimpleLookup($B72,'Risk Treatment'!$C:O),"Please ensure that all risks are covered in the "&amp;Helper!$G$14&amp;" sheet. Currently, these risks are not covered: "&amp;'Risk Treatment'!$D$2&amp;"."))</f>
        <v/>
      </c>
      <c r="J72" s="33" t="str" cm="1">
        <f t="array" ca="1" aca="1" ref="J72">_xlfn.LET(_xlpm._assignedMitigations,IF($B72="","",IFERROR(RemoveDelimiter(GetValuesWithFallback($Z72,Countermeasures!$A:$B,Assumptions!$A:$B," ",","&amp;CHAR(10),TRUE),","&amp;CHAR(10)),"Error: Unknown risk ID "&amp;$B72)),_xlpm._inlineMitigations,$AE72,_xlpm._assignedMitigations&amp;IF(OR(_xlpm._assignedMitigations="",_xlpm._inlineMitigations=""),"",","&amp;CHAR(10))&amp;_xlpm._inlineMitigations)</f>
        <v/>
      </c>
      <c r="K72" s="37" t="str" cm="1">
        <f t="array" ca="1" aca="1" ref="K72">IF($AC72=-1,"",RemoveDelimiter(GetValues(INDEX(Risks!BN:BN,$AC72),'DS Overview'!$A:$B," ",","&amp;CHAR(10),TRUE),","&amp;CHAR(10)))</f>
        <v/>
      </c>
      <c r="L72" s="33" t="str" cm="1">
        <f t="array" ca="1" aca="1" ref="L72">IF($AC72=-1,"",INDEX(Risks!BP:BP,$AC72))</f>
        <v/>
      </c>
      <c r="M72" s="34" t="str" cm="1">
        <f t="array" ca="1" aca="1" ref="M72">_xlfn.LET(_xlpm._calculatedRAP,IFERROR(SimpleLookup($B72,Risks!$A:$BG),""),_xlpm._inlineRAP,IFERROR(SimpleLookup($B72,Risks!$A:$BH),""),_xlpm._calculatedValue,IFERROR(MATCH(_xlpm._calculatedRAP,Definitions!$W:$W,0),0),_xlpm._inlineValue,IFERROR(MATCH(_xlpm._inlineRAP,Definitions!$W:$W,0),0),_xlpm._mitigationSheetAddress,CELL("address",Mitigation!$A$2),_xlpm._sheetNameStart,FIND("]",_xlpm._mitigationSheetAddress),_xlpm._sheetNameEnd,FIND("!",_xlpm._mitigationSheetAddress),_xlpm._mitigationSheetName,SUBSTITUTE(MID(_xlpm._mitigationSheetAddress,_xlpm._sheetNameStart+1,_xlpm._sheetNameEnd-_xlpm._sheetNameStart-1),"'",""),IF(_xlpm._calculatedValue+_xlpm._inlineValue=0,"",IF(_xlpm._calculatedValue&gt;=_xlpm._inlineValue,$AD72,_xlpm._mitigationSheetName&amp;" sheet "&amp;_xlfn.UNICHAR(8702)&amp;" Comment column:"&amp;CHAR(10)&amp;$AE72)))</f>
        <v/>
      </c>
      <c r="N72" s="33" t="str" cm="1">
        <f t="array" ca="1" aca="1" ref="N72">IF($AC72=-1,"",INDEX(Risks!CN:CN,$AC72))</f>
        <v>Basic</v>
      </c>
      <c r="O72" s="33" t="str" cm="1">
        <f t="array" ca="1" aca="1" ref="O72">IF($AC72=-1,"",INDEX(Risks!CO:CO,$AC72))</f>
        <v>No Risk</v>
      </c>
      <c r="P72" s="33" t="str">
        <f ca="1">IF($C72="","",IF($AF72&lt;=Definitions!$AF$6,Definitions!$M$4,""))</f>
        <v/>
      </c>
      <c r="Q72" s="23"/>
      <c r="R72" s="33" t="str">
        <f t="shared" ca="1" si="1"/>
        <v/>
      </c>
      <c r="S72" s="23"/>
      <c r="T72" s="13"/>
      <c r="U72" s="10" cm="1">
        <f t="array" ca="1" aca="1" ref="U72">GenerateShadowID(ROW(),$U$5,$U:$U,0,B72&lt;&gt;"")</f>
        <v>38</v>
      </c>
      <c r="V72" s="10" cm="1">
        <f t="array" ref="V72">CreateTaskID($V$5,$V:$V,Tasks!$B$17,$T72)</f>
        <v>0</v>
      </c>
      <c r="W72" s="14" t="str" cm="1">
        <f t="array" ca="1" aca="1" ref="W72">IF($B72="","",SimpleLookup($B72,'Risk Treatment'!$C:$AW))</f>
        <v/>
      </c>
      <c r="X72" s="14" t="str" cm="1">
        <f t="array" ca="1" aca="1" ref="X72">IF($B72="","",_xlfn.LET(_xlpm._attackSteps,SimpleLookup($B72,'Risk Treatment'!$C:$Y),GetValues(_xlpm._attackSteps,Mitigation!$A:$AG,"",CHAR(1),FALSE)))</f>
        <v/>
      </c>
      <c r="Y72" s="14" t="str" cm="1">
        <f t="array" ca="1" aca="1" ref="Y72">_xlfn.LAMBDA(_xlpm._inlineMitigationString,_xlpm._delimiter,IF(_xlpm._inlineMitigationString="","",_xlfn.LET(_xlpm._id,LEFT(_xlpm._inlineMitigationString,FIND(" ",_xlpm._inlineMitigationString)-1),_xlpm._remainingString,RIGHT(_xlpm._inlineMitigationString,LEN(_xlpm._inlineMitigationString)-FIND(_xlpm._delimiter,_xlpm._inlineMitigationString)),_xlpm._id&amp;","&amp;ParseInlineMitigationString(_xlpm._remainingString,_xlpm._delimiter))))($X72,CHAR(1))</f>
        <v/>
      </c>
      <c r="Z72" s="14" t="str" cm="1">
        <f t="array" ca="1" aca="1" ref="Z72">FilterElementsFromList($W72,Helper!$J$4,TRUE,",")</f>
        <v/>
      </c>
      <c r="AA72" s="14" t="str" cm="1">
        <f t="array" ca="1" aca="1" ref="AA72">FilterElementsFromList($Y72,Helper!$J$4,TRUE,",")</f>
        <v/>
      </c>
      <c r="AB72" s="20" t="str" cm="1">
        <f t="array" ca="1" aca="1" ref="AB72">_xlfn.LAMBDA(_xlpm._inlineCandAString,_xlpm._confirmedCandAIDs,_xlpm._delimiterSearchString,_xlpm._delimiterResultString,IF(_xlpm._inlineCandAString="","",_xlfn.LET(_xlpm._delimiterPos,FIND(_xlpm._delimiterSearchString,_xlpm._inlineCandAString),_xlpm._inlineCorA,LEFT(_xlpm._inlineCandAString,_xlpm._delimiterPos-1),_xlpm._id,LEFT(_xlpm._inlineCorA,FIND(" ",_xlpm._inlineCorA)-1),_xlpm._remainingString,RIGHT(_xlpm._inlineCandAString,LEN(_xlpm._inlineCandAString)-_xlpm._delimiterPos),IF(IFERROR(FIND(","&amp;_xlpm._id&amp;",",_xlpm._confirmedCandAIDs)&gt;0,FALSE),"{"&amp;_xlpm._inlineCorA&amp;"}"&amp;_xlpm._delimiterResultString,"")&amp;CreateConfirmedInlineMitigations(_xlpm._remainingString,_xlpm._confirmedCandAIDs,_xlpm._delimiterSearchString,_xlpm._delimiterResultString))))($X72,CreateSearchString($AA72),CHAR(1),","&amp;CHAR(10))</f>
        <v/>
      </c>
      <c r="AC72" s="20">
        <f ca="1">IFERROR(MATCH($B72,Risks!$A:$A,0),-1)</f>
        <v>41</v>
      </c>
      <c r="AD72" s="20" t="str" cm="1">
        <f t="array" ca="1" aca="1" ref="AD72">IF($B72="","",_xlfn.LET(_xlpm._factorFunction,_xlfn.LAMBDA(_xlpm._riskID,_xlpm._range,_xlpm._classesColumn,_xlpm._classNumberColumn,_xlpm._classNumber,_xlfn.LET(_xlpm._rfString,VLOOKUP(_xlpm._riskID,_xlpm._range,COLUMNS(_xlpm._range),FALSE),_xlpm._factorValue,LEFT(_xlpm._rfString,FIND(":",_xlpm._rfString)-1),INDEX(_xlpm._classesColumn,MATCH(_xlpm._classNumber,_xlpm._classNumberColumn,0))&amp;" ["&amp;_xlpm._factorValue&amp;"]: "&amp;SUBSTITUTE(RemoveDelimiter(RIGHT(_xlpm._rfString,LEN(_xlpm._rfString)-FIND(":",_xlpm._rfString)),","),",",", "))),_xlpm._factorFunction($B72,Risks!$A:CA,Definitions!$Y:$Y,Definitions!$AB:$AB,1)&amp;CHAR(10)&amp;_xlpm._factorFunction($B72,Risks!$A:CB,Definitions!$Y:$Y,Definitions!$AB:$AB,2)&amp;CHAR(10)&amp;_xlpm._factorFunction($B72,Risks!$A:CC,Definitions!$Y:$Y,Definitions!$AB:$AB,3)&amp;CHAR(10)&amp;_xlpm._factorFunction($B72,Risks!$A:CD,Definitions!$Y:$Y,Definitions!$AB:$AB,4)&amp;CHAR(10)&amp;_xlpm._factorFunction($B72,Risks!$A:CE,Definitions!$Y:$Y,Definitions!$AB:$AB,5)))</f>
        <v/>
      </c>
      <c r="AE72" s="20" t="str" cm="1">
        <f t="array" ca="1" aca="1" ref="AE72">RemoveDelimiter(SUBSTITUTE(SUBSTITUTE($AB72,"{",""),"}",""),","&amp;CHAR(10))</f>
        <v/>
      </c>
      <c r="AF72" s="20" cm="1">
        <f t="array" ca="1" aca="1" ref="AF72">IF($O72="",0,SimpleLookup($O72,Definitions!$AE:$AF))</f>
        <v>0</v>
      </c>
    </row>
  </sheetData>
  <sheetProtection password="EEC3" sheet="1" objects="1" scenarios="1"/>
  <conditionalFormatting sqref="S1:S1048576">
    <cfRule type="expression" priority="2" dxfId="74">
      <formula>AND($Q1&lt;&gt;"",$S1="")</formula>
    </cfRule>
  </conditionalFormatting>
  <conditionalFormatting sqref="B1:T1048576">
    <cfRule type="expression" priority="423" dxfId="41">
      <formula>AND(ROW($B1)&gt;ROW($B$5),ROW($B1)-ROW($B$5)&lt;=Helper!$B$1,$B1="")</formula>
    </cfRule>
  </conditionalFormatting>
  <conditionalFormatting sqref="I1:I1048576 O1:O1048576">
    <cfRule type="expression" priority="5" dxfId="690">
      <formula>I1=Definitions!$AE$4</formula>
    </cfRule>
    <cfRule type="expression" priority="6" dxfId="691">
      <formula>I1=Definitions!$AE$5</formula>
    </cfRule>
    <cfRule type="expression" priority="7" dxfId="692">
      <formula>I1=Definitions!$AE$6</formula>
    </cfRule>
    <cfRule type="expression" priority="8" dxfId="693">
      <formula>I1=Definitions!$AE$7</formula>
    </cfRule>
    <cfRule type="expression" priority="9" dxfId="694">
      <formula>I1=Definitions!$AE$8</formula>
    </cfRule>
  </conditionalFormatting>
  <conditionalFormatting sqref="Q1:Q1048576">
    <cfRule type="expression" priority="3" dxfId="74">
      <formula>AND($O1&lt;&gt;"",$Q1="",$P1&lt;&gt;Definitions!$M$4)</formula>
    </cfRule>
  </conditionalFormatting>
  <conditionalFormatting sqref="T1:T1048576">
    <cfRule type="expression" priority="4" dxfId="685">
      <formula>IFERROR(FIND(Tasks!$B$17,T1)&gt;0,FALSE)</formula>
    </cfRule>
  </conditionalFormatting>
  <dataValidations count="1">
    <dataValidation type="list" allowBlank="1" showInputMessage="1" showErrorMessage="1" sqref="Q6:Q72">
      <formula1>Definitions!$M$4:$M$7</formula1>
    </dataValidation>
  </dataValidations>
  <pageMargins left="0.7" right="0.7" top="0.75" bottom="0.75" header="0.3" footer="0.3"/>
  <pageSetup orientation="portrait" paperSize="9" r:id="rId2"/>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016375-2F51-4B8A-9942-370FFDD0D7A9}">
  <sheetPr>
    <tabColor theme="3"/>
  </sheetPr>
  <dimension ref="A1:L68"/>
  <sheetViews>
    <sheetView windowProtection="1" workbookViewId="0" topLeftCell="A16">
      <selection pane="topLeft" activeCell="B21" sqref="B21"/>
    </sheetView>
  </sheetViews>
  <sheetFormatPr defaultColWidth="9.14428571428571" defaultRowHeight="15"/>
  <cols>
    <col min="1" max="2" width="60.7142857142857" style="2" customWidth="1"/>
    <col min="3" max="4" width="60.7142857142857" style="2" hidden="1" customWidth="1"/>
    <col min="5" max="5" width="14" style="2" hidden="1" customWidth="1"/>
    <col min="6" max="6" width="12.4285714285714" style="2" hidden="1" customWidth="1"/>
    <col min="7" max="7" width="16" style="2" hidden="1" customWidth="1"/>
    <col min="8" max="8" width="19.5714285714286" style="2" hidden="1" customWidth="1"/>
    <col min="9" max="9" width="16.8571428571429" style="2" hidden="1" customWidth="1"/>
    <col min="10" max="10" width="18.1428571428571" style="2" customWidth="1"/>
    <col min="11" max="11" width="22.7142857142857" style="2" customWidth="1"/>
    <col min="12" max="12" width="14" style="2" customWidth="1"/>
    <col min="13" max="16384" width="9.14285714285714" style="2"/>
  </cols>
  <sheetData>
    <row r="1" spans="1:12" ht="15" hidden="1">
      <c r="A1" s="1" t="s">
        <v>231</v>
      </c>
      <c r="B1" s="1" t="s">
        <v>232</v>
      </c>
      <c r="C1" s="1" t="s">
        <v>233</v>
      </c>
      <c r="D1" s="1" t="s">
        <v>234</v>
      </c>
      <c r="E1" s="10" t="s">
        <v>235</v>
      </c>
      <c r="F1" s="10" t="s">
        <v>236</v>
      </c>
      <c r="G1" s="10" t="s">
        <v>237</v>
      </c>
      <c r="H1" s="10" t="s">
        <v>238</v>
      </c>
      <c r="I1" s="10" t="s">
        <v>239</v>
      </c>
      <c r="J1" s="10" t="s">
        <v>240</v>
      </c>
      <c r="K1" s="10" t="s">
        <v>242</v>
      </c>
      <c r="L1" s="10" t="s">
        <v>248</v>
      </c>
    </row>
    <row r="2" spans="1:12" ht="15" hidden="1">
      <c r="A2" s="2" t="str" cm="1">
        <f t="array" ca="1" aca="1" ref="A2">CELL("address",Questions!$A$3)</f>
        <v>'[QuBA-libre.xlsx]Questions'!$A$3</v>
      </c>
      <c r="B2" s="2" t="str" cm="1">
        <f t="array" ca="1" aca="1" ref="B2">CELL("address",Questions!$B$3)</f>
        <v>'[QuBA-libre.xlsx]Questions'!$B$3</v>
      </c>
      <c r="C2" s="2" t="str" cm="1">
        <f t="array" ca="1" aca="1" ref="C2">CELL("address",Questions!$N$3)</f>
        <v>'[QuBA-libre.xlsx]Questions'!$N$3</v>
      </c>
      <c r="D2" s="2" t="str" cm="1">
        <f t="array" ca="1" aca="1" ref="D2">CELL("address",Questions!$P$3)</f>
        <v>'[QuBA-libre.xlsx]Questions'!$P$3</v>
      </c>
      <c r="E2" s="21" t="str">
        <f ca="1">IF(A2="","",_xlfn.LET(_xlpm._in,A2,_xlpm._start,FIND("]",_xlpm._in)+1,SUBSTITUTE(MID(_xlpm._in,_xlpm._start,FIND("!",_xlpm._in)-_xlpm._start),"'","")))</f>
        <v>Questions</v>
      </c>
      <c r="F2" s="21" t="str">
        <f ca="1">IF($E2="","",_xlfn.LET(_xlpm._in,A2,_xlpm._start,FIND("$",_xlpm._in)+1,MID(_xlpm._in,_xlpm._start,FIND("$",SUBSTITUTE(_xlpm._in,"$","§",1))-_xlpm._start)))</f>
        <v>A</v>
      </c>
      <c r="G2" s="21" t="str">
        <f ca="1">IF($E2="","",_xlfn.LET(_xlpm._in,B2,_xlpm._start,FIND("$",_xlpm._in)+1,MID(_xlpm._in,_xlpm._start,FIND("$",SUBSTITUTE(_xlpm._in,"$","§",1))-_xlpm._start)))</f>
        <v>B</v>
      </c>
      <c r="H2" s="21" t="str">
        <f ca="1">IF($E2="","",_xlfn.LET(_xlpm._in,C2,_xlpm._start,FIND("$",_xlpm._in)+1,MID(_xlpm._in,_xlpm._start,FIND("$",SUBSTITUTE(_xlpm._in,"$","§",1))-_xlpm._start)))</f>
        <v>N</v>
      </c>
      <c r="I2" s="21" t="str">
        <f ca="1">IF($E2="","",_xlfn.LET(_xlpm._in,D2,_xlpm._start,FIND("$",_xlpm._in)+1,MID(_xlpm._in,_xlpm._start,FIND("$",SUBSTITUTE(_xlpm._in,"$","§",1))-_xlpm._start)))</f>
        <v>P</v>
      </c>
      <c r="J2" s="21">
        <f ca="1">IF($E2="","",MAX(INDIRECT("'"&amp;$E2&amp;"'!"&amp;$I2&amp;":"&amp;$I2)))</f>
        <v>0</v>
      </c>
      <c r="K2" s="21" cm="1">
        <f t="array" ca="1" aca="1" ref="K2">IF(ROW()=ROW($K$1)+1,0,INDEX($K:$K,ROW()-1))+IF($J2="",0,IF($J2&gt;0,1,0))</f>
        <v>0</v>
      </c>
      <c r="L2" s="21" t="str">
        <f ca="1">IF($A2="","",RIGHT($A2,LEN($A2)-FIND("$",SUBSTITUTE($A2,"$","§",1))))</f>
        <v>3</v>
      </c>
    </row>
    <row r="3" spans="1:12" ht="15" hidden="1">
      <c r="A3" s="2" t="str" cm="1">
        <f t="array" ca="1" aca="1" ref="A3">CELL("address",'Damage Scenarios'!$A$2)</f>
        <v>'[QuBA-libre.xlsx]Damage Scenarios'!$A$2</v>
      </c>
      <c r="B3" s="2" t="str" cm="1">
        <f t="array" ca="1" aca="1" ref="B3">CELL("address",'Damage Scenarios'!$J$2)</f>
        <v>'[QuBA-libre.xlsx]Damage Scenarios'!$J$2</v>
      </c>
      <c r="C3" s="2" t="str" cm="1">
        <f t="array" ca="1" aca="1" ref="C3">CELL("address",'Damage Scenarios'!$P$2)</f>
        <v>'[QuBA-libre.xlsx]Damage Scenarios'!$P$2</v>
      </c>
      <c r="D3" s="2" t="str" cm="1">
        <f t="array" ca="1" aca="1" ref="D3">CELL("address",'Damage Scenarios'!$R$2)</f>
        <v>'[QuBA-libre.xlsx]Damage Scenarios'!$R$2</v>
      </c>
      <c r="E3" s="10" t="str">
        <f ca="1" t="shared" si="0" ref="E3:E15">IF(A3="","",_xlfn.LET(_xlpm._in,A3,_xlpm._start,FIND("]",_xlpm._in)+1,SUBSTITUTE(MID(_xlpm._in,_xlpm._start,FIND("!",_xlpm._in)-_xlpm._start),"'","")))</f>
        <v>Damage Scenarios</v>
      </c>
      <c r="F3" s="10" t="str">
        <f ca="1" t="shared" si="1" ref="F3:F15">IF($E3="","",_xlfn.LET(_xlpm._in,A3,_xlpm._start,FIND("$",_xlpm._in)+1,MID(_xlpm._in,_xlpm._start,FIND("$",SUBSTITUTE(_xlpm._in,"$","§",1))-_xlpm._start)))</f>
        <v>A</v>
      </c>
      <c r="G3" s="10" t="str">
        <f ca="1" t="shared" si="2" ref="G3:G15">IF($E3="","",_xlfn.LET(_xlpm._in,B3,_xlpm._start,FIND("$",_xlpm._in)+1,MID(_xlpm._in,_xlpm._start,FIND("$",SUBSTITUTE(_xlpm._in,"$","§",1))-_xlpm._start)))</f>
        <v>J</v>
      </c>
      <c r="H3" s="10" t="str">
        <f ca="1" t="shared" si="3" ref="H3:H15">IF($E3="","",_xlfn.LET(_xlpm._in,C3,_xlpm._start,FIND("$",_xlpm._in)+1,MID(_xlpm._in,_xlpm._start,FIND("$",SUBSTITUTE(_xlpm._in,"$","§",1))-_xlpm._start)))</f>
        <v>P</v>
      </c>
      <c r="I3" s="10" t="str">
        <f ca="1" t="shared" si="4" ref="I3:I15">IF($E3="","",_xlfn.LET(_xlpm._in,D3,_xlpm._start,FIND("$",_xlpm._in)+1,MID(_xlpm._in,_xlpm._start,FIND("$",SUBSTITUTE(_xlpm._in,"$","§",1))-_xlpm._start)))</f>
        <v>R</v>
      </c>
      <c r="J3" s="10">
        <f ca="1" t="shared" si="5" ref="J3:J15">IF($E3="","",MAX(INDIRECT("'"&amp;$E3&amp;"'!"&amp;$I3&amp;":"&amp;$I3)))</f>
        <v>0</v>
      </c>
      <c r="K3" s="21" cm="1">
        <f t="array" ca="1" aca="1" ref="K3">IF(ROW()=ROW($K$1)+1,0,INDEX($K:$K,ROW()-1))+IF($J3="",0,IF($J3&gt;0,1,0))</f>
        <v>0</v>
      </c>
      <c r="L3" s="21" t="str">
        <f ca="1" t="shared" si="6" ref="L3:L15">IF($A3="","",RIGHT($A3,LEN($A3)-FIND("$",SUBSTITUTE($A3,"$","§",1))))</f>
        <v>2</v>
      </c>
    </row>
    <row r="4" spans="1:12" ht="15" hidden="1">
      <c r="A4" s="2" t="str" cm="1">
        <f t="array" ca="1" aca="1" ref="A4">CELL("address",'Attack Steps'!A$2)</f>
        <v>'[QuBA-libre.xlsx]Attack Steps'!$A$2</v>
      </c>
      <c r="B4" s="2" t="str" cm="1">
        <f t="array" ca="1" aca="1" ref="B4">CELL("address",'Attack Steps'!B$2)</f>
        <v>'[QuBA-libre.xlsx]Attack Steps'!$B$2</v>
      </c>
      <c r="C4" s="2" t="str" cm="1">
        <f t="array" ca="1" aca="1" ref="C4">CELL("address",'Attack Steps'!P$2)</f>
        <v>'[QuBA-libre.xlsx]Attack Steps'!$P$2</v>
      </c>
      <c r="D4" s="2" t="str" cm="1">
        <f t="array" ca="1" aca="1" ref="D4">CELL("address",'Attack Steps'!AD$2)</f>
        <v>'[QuBA-libre.xlsx]Attack Steps'!$AD$2</v>
      </c>
      <c r="E4" s="21" t="str">
        <f ca="1">IF(A4="","",_xlfn.LET(_xlpm._in,A4,_xlpm._start,FIND("]",_xlpm._in)+1,SUBSTITUTE(MID(_xlpm._in,_xlpm._start,FIND("!",_xlpm._in)-_xlpm._start),"'","")))</f>
        <v>Attack Steps</v>
      </c>
      <c r="F4" s="21" t="str">
        <f t="shared" ca="1" si="1"/>
        <v>A</v>
      </c>
      <c r="G4" s="21" t="str">
        <f t="shared" ca="1" si="2"/>
        <v>B</v>
      </c>
      <c r="H4" s="21" t="str">
        <f t="shared" ca="1" si="3"/>
        <v>P</v>
      </c>
      <c r="I4" s="21" t="str">
        <f t="shared" ca="1" si="4"/>
        <v>AD</v>
      </c>
      <c r="J4" s="21">
        <f ca="1">IF($E4="","",MAX(INDIRECT("'"&amp;$E4&amp;"'!"&amp;$I4&amp;":"&amp;$I4)))</f>
        <v>0</v>
      </c>
      <c r="K4" s="21" cm="1">
        <f t="array" ca="1" aca="1" ref="K4">IF(ROW()=ROW($K$1)+1,0,INDEX($K:$K,ROW()-1))+IF($J4="",0,IF($J4&gt;0,1,0))</f>
        <v>0</v>
      </c>
      <c r="L4" s="21" t="str">
        <f ca="1">IF($A4="","",RIGHT($A4,LEN($A4)-FIND("$",SUBSTITUTE($A4,"$","§",1))))</f>
        <v>2</v>
      </c>
    </row>
    <row r="5" spans="1:12" ht="15" hidden="1">
      <c r="A5" s="2" t="str" cm="1">
        <f t="array" ca="1" aca="1" ref="A5">CELL("address",Assumptions!A$3)</f>
        <v>'[QuBA-libre.xlsx]Assumptions'!$A$3</v>
      </c>
      <c r="B5" s="2" t="str" cm="1">
        <f t="array" ca="1" aca="1" ref="B5">CELL("address",Assumptions!B$3)</f>
        <v>'[QuBA-libre.xlsx]Assumptions'!$B$3</v>
      </c>
      <c r="C5" s="2" t="str" cm="1">
        <f t="array" ca="1" aca="1" ref="C5">CELL("address",Assumptions!S$3)</f>
        <v>'[QuBA-libre.xlsx]Assumptions'!$S$3</v>
      </c>
      <c r="D5" s="2" t="str" cm="1">
        <f t="array" ca="1" aca="1" ref="D5">CELL("address",Assumptions!W$3)</f>
        <v>'[QuBA-libre.xlsx]Assumptions'!$W$3</v>
      </c>
      <c r="E5" s="10" t="str">
        <f t="shared" ca="1" si="0"/>
        <v>Assumptions</v>
      </c>
      <c r="F5" s="10" t="str">
        <f t="shared" ca="1" si="1"/>
        <v>A</v>
      </c>
      <c r="G5" s="10" t="str">
        <f t="shared" ca="1" si="2"/>
        <v>B</v>
      </c>
      <c r="H5" s="10" t="str">
        <f t="shared" ca="1" si="3"/>
        <v>S</v>
      </c>
      <c r="I5" s="10" t="str">
        <f t="shared" ca="1" si="4"/>
        <v>W</v>
      </c>
      <c r="J5" s="10">
        <f t="shared" ca="1" si="5"/>
        <v>0</v>
      </c>
      <c r="K5" s="21" cm="1">
        <f t="array" ca="1" aca="1" ref="K5">IF(ROW()=ROW($K$1)+1,0,INDEX($K:$K,ROW()-1))+IF($J5="",0,IF($J5&gt;0,1,0))</f>
        <v>0</v>
      </c>
      <c r="L5" s="21" t="str">
        <f t="shared" ca="1" si="6"/>
        <v>3</v>
      </c>
    </row>
    <row r="6" spans="1:12" ht="15" hidden="1">
      <c r="A6" s="2" t="str" cm="1">
        <f t="array" ca="1" aca="1" ref="A6">CELL("address",Countermeasures!A$2)</f>
        <v>'[QuBA-libre.xlsx]Countermeasures'!$A$2</v>
      </c>
      <c r="B6" s="2" t="str" cm="1">
        <f t="array" ca="1" aca="1" ref="B6">CELL("address",Countermeasures!B$2)</f>
        <v>'[QuBA-libre.xlsx]Countermeasures'!$B$2</v>
      </c>
      <c r="C6" s="2" t="str" cm="1">
        <f t="array" ca="1" aca="1" ref="C6">CELL("address",Countermeasures!S$2)</f>
        <v>'[QuBA-libre.xlsx]Countermeasures'!$S$2</v>
      </c>
      <c r="D6" s="2" t="str" cm="1">
        <f t="array" ca="1" aca="1" ref="D6">CELL("address",Countermeasures!W$2)</f>
        <v>'[QuBA-libre.xlsx]Countermeasures'!$W$2</v>
      </c>
      <c r="E6" s="21" t="str">
        <f ca="1">IF(A6="","",_xlfn.LET(_xlpm._in,A6,_xlpm._start,FIND("]",_xlpm._in)+1,SUBSTITUTE(MID(_xlpm._in,_xlpm._start,FIND("!",_xlpm._in)-_xlpm._start),"'","")))</f>
        <v>Countermeasures</v>
      </c>
      <c r="F6" s="21" t="str">
        <f t="shared" ca="1" si="1"/>
        <v>A</v>
      </c>
      <c r="G6" s="21" t="str">
        <f t="shared" ca="1" si="2"/>
        <v>B</v>
      </c>
      <c r="H6" s="21" t="str">
        <f t="shared" ca="1" si="3"/>
        <v>S</v>
      </c>
      <c r="I6" s="21" t="str">
        <f t="shared" ca="1" si="4"/>
        <v>W</v>
      </c>
      <c r="J6" s="21">
        <f ca="1">IF($E6="","",MAX(INDIRECT("'"&amp;$E6&amp;"'!"&amp;$I6&amp;":"&amp;$I6)))</f>
        <v>1</v>
      </c>
      <c r="K6" s="21" cm="1">
        <f t="array" ca="1" aca="1" ref="K6">IF(ROW()=ROW($K$1)+1,0,INDEX($K:$K,ROW()-1))+IF($J6="",0,IF($J6&gt;0,1,0))</f>
        <v>1</v>
      </c>
      <c r="L6" s="21" t="str">
        <f ca="1">IF($A6="","",RIGHT($A6,LEN($A6)-FIND("$",SUBSTITUTE($A6,"$","§",1))))</f>
        <v>2</v>
      </c>
    </row>
    <row r="7" spans="1:12" ht="15" hidden="1">
      <c r="A7" s="2" t="str" cm="1">
        <f t="array" ca="1" aca="1" ref="A7">CELL("address",Questionnaire!$A$3)</f>
        <v>'[QuBA-libre.xlsx]Questionnaire'!$A$3</v>
      </c>
      <c r="B7" s="2" t="str" cm="1">
        <f t="array" ca="1" aca="1" ref="B7">CELL("address",Questionnaire!$K$3)</f>
        <v>'[QuBA-libre.xlsx]Questionnaire'!$K$3</v>
      </c>
      <c r="C7" s="2" t="str" cm="1">
        <f t="array" ca="1" aca="1" ref="C7">CELL("address",Questionnaire!$G$3)</f>
        <v>'[QuBA-libre.xlsx]Questionnaire'!$G$3</v>
      </c>
      <c r="D7" s="2" t="str" cm="1">
        <f t="array" ca="1" aca="1" ref="D7">CELL("address",Questionnaire!$M$3)</f>
        <v>'[QuBA-libre.xlsx]Questionnaire'!$M$3</v>
      </c>
      <c r="E7" s="21" t="str">
        <f ca="1">IF(A7="","",_xlfn.LET(_xlpm._in,A7,_xlpm._start,FIND("]",_xlpm._in)+1,SUBSTITUTE(MID(_xlpm._in,_xlpm._start,FIND("!",_xlpm._in)-_xlpm._start),"'","")))</f>
        <v>Questionnaire</v>
      </c>
      <c r="F7" s="21" t="str">
        <f t="shared" ca="1" si="1"/>
        <v>A</v>
      </c>
      <c r="G7" s="21" t="str">
        <f t="shared" ca="1" si="2"/>
        <v>K</v>
      </c>
      <c r="H7" s="21" t="str">
        <f t="shared" ca="1" si="3"/>
        <v>G</v>
      </c>
      <c r="I7" s="21" t="str">
        <f t="shared" ca="1" si="4"/>
        <v>M</v>
      </c>
      <c r="J7" s="21">
        <f ca="1">IF($E7="","",MAX(INDIRECT("'"&amp;$E7&amp;"'!"&amp;$I7&amp;":"&amp;$I7)))</f>
        <v>0</v>
      </c>
      <c r="K7" s="21" cm="1">
        <f t="array" ca="1" aca="1" ref="K7">IF(ROW()=ROW($K$1)+1,0,INDEX($K:$K,ROW()-1))+IF($J7="",0,IF($J7&gt;0,1,0))</f>
        <v>1</v>
      </c>
      <c r="L7" s="21" t="str">
        <f ca="1">IF($A7="","",RIGHT($A7,LEN($A7)-FIND("$",SUBSTITUTE($A7,"$","§",1))))</f>
        <v>3</v>
      </c>
    </row>
    <row r="8" spans="1:12" ht="15" hidden="1">
      <c r="A8" s="2" t="str" cm="1">
        <f t="array" ca="1" aca="1" ref="A8">CELL("address",'DS Overview'!A$2)</f>
        <v>'[QuBA-libre.xlsx]DS Overview'!$A$2</v>
      </c>
      <c r="B8" s="2" t="str" cm="1">
        <f t="array" ca="1" aca="1" ref="B8">CELL("address",'DS Overview'!B$2)</f>
        <v>'[QuBA-libre.xlsx]DS Overview'!$B$2</v>
      </c>
      <c r="C8" s="2" t="str" cm="1">
        <f t="array" ca="1" aca="1" ref="C8">CELL("address",'DS Overview'!E$2)</f>
        <v>'[QuBA-libre.xlsx]DS Overview'!$E$2</v>
      </c>
      <c r="D8" s="2" t="str" cm="1">
        <f t="array" ca="1" aca="1" ref="D8">CELL("address",'DS Overview'!H$2)</f>
        <v>'[QuBA-libre.xlsx]DS Overview'!$H$2</v>
      </c>
      <c r="E8" s="10" t="str">
        <f t="shared" ca="1" si="0"/>
        <v>DS Overview</v>
      </c>
      <c r="F8" s="10" t="str">
        <f t="shared" ca="1" si="1"/>
        <v>A</v>
      </c>
      <c r="G8" s="10" t="str">
        <f t="shared" ca="1" si="2"/>
        <v>B</v>
      </c>
      <c r="H8" s="10" t="str">
        <f t="shared" ca="1" si="3"/>
        <v>E</v>
      </c>
      <c r="I8" s="10" t="str">
        <f t="shared" ca="1" si="4"/>
        <v>H</v>
      </c>
      <c r="J8" s="10">
        <f t="shared" ca="1" si="5"/>
        <v>0</v>
      </c>
      <c r="K8" s="21" cm="1">
        <f t="array" ca="1" aca="1" ref="K8">IF(ROW()=ROW($K$1)+1,0,INDEX($K:$K,ROW()-1))+IF($J8="",0,IF($J8&gt;0,1,0))</f>
        <v>1</v>
      </c>
      <c r="L8" s="21" t="str">
        <f t="shared" ca="1" si="6"/>
        <v>2</v>
      </c>
    </row>
    <row r="9" spans="1:12" ht="15" hidden="1">
      <c r="A9" s="2" t="str" cm="1">
        <f t="array" ca="1" aca="1" ref="A9">CELL("address",Mitigation!A$2)</f>
        <v>'[QuBA-libre.xlsx]Mitigation'!$A$2</v>
      </c>
      <c r="B9" s="2" t="str" cm="1">
        <f t="array" ca="1" aca="1" ref="B9">CELL("address",Mitigation!B$2)</f>
        <v>'[QuBA-libre.xlsx]Mitigation'!$B$2</v>
      </c>
      <c r="C9" s="2" t="str" cm="1">
        <f t="array" ca="1" aca="1" ref="C9">CELL("address",Mitigation!O$2)</f>
        <v>'[QuBA-libre.xlsx]Mitigation'!$O$2</v>
      </c>
      <c r="D9" s="2" t="str" cm="1">
        <f t="array" ca="1" aca="1" ref="D9">CELL("address",Mitigation!Q$2)</f>
        <v>'[QuBA-libre.xlsx]Mitigation'!$Q$2</v>
      </c>
      <c r="E9" s="21" t="str">
        <f ca="1">IF(A9="","",_xlfn.LET(_xlpm._in,A9,_xlpm._start,FIND("]",_xlpm._in)+1,SUBSTITUTE(MID(_xlpm._in,_xlpm._start,FIND("!",_xlpm._in)-_xlpm._start),"'","")))</f>
        <v>Mitigation</v>
      </c>
      <c r="F9" s="21" t="str">
        <f t="shared" ca="1" si="1"/>
        <v>A</v>
      </c>
      <c r="G9" s="21" t="str">
        <f t="shared" ca="1" si="2"/>
        <v>B</v>
      </c>
      <c r="H9" s="21" t="str">
        <f t="shared" ca="1" si="3"/>
        <v>O</v>
      </c>
      <c r="I9" s="21" t="str">
        <f t="shared" ca="1" si="4"/>
        <v>Q</v>
      </c>
      <c r="J9" s="21">
        <f ca="1">IF($E9="","",MAX(INDIRECT("'"&amp;$E9&amp;"'!"&amp;$I9&amp;":"&amp;$I9)))</f>
        <v>0</v>
      </c>
      <c r="K9" s="21" cm="1">
        <f t="array" ca="1" aca="1" ref="K9">IF(ROW()=ROW($K$1)+1,0,INDEX($K:$K,ROW()-1))+IF($J9="",0,IF($J9&gt;0,1,0))</f>
        <v>1</v>
      </c>
      <c r="L9" s="21" t="str">
        <f ca="1">IF($A9="","",RIGHT($A9,LEN($A9)-FIND("$",SUBSTITUTE($A9,"$","§",1))))</f>
        <v>2</v>
      </c>
    </row>
    <row r="10" spans="1:12" ht="15" hidden="1">
      <c r="A10" s="2" t="str" cm="1">
        <f t="array" ca="1" aca="1" ref="A10">CELL("address",'Risk Treatment'!C$4)</f>
        <v>'[QuBA-libre.xlsx]Risk Treatment'!$C$4</v>
      </c>
      <c r="B10" s="2" t="str" cm="1">
        <f t="array" ca="1" aca="1" ref="B10">CELL("address",'Risk Treatment'!D$4)</f>
        <v>'[QuBA-libre.xlsx]Risk Treatment'!$D$4</v>
      </c>
      <c r="C10" s="2" t="str" cm="1">
        <f t="array" ca="1" aca="1" ref="C10">CELL("address",'Risk Treatment'!T$4)</f>
        <v>'[QuBA-libre.xlsx]Risk Treatment'!$T$4</v>
      </c>
      <c r="D10" s="2" t="str" cm="1">
        <f t="array" ca="1" aca="1" ref="D10">CELL("address",'Risk Treatment'!V$4)</f>
        <v>'[QuBA-libre.xlsx]Risk Treatment'!$V$4</v>
      </c>
      <c r="E10" s="10" t="str">
        <f t="shared" ca="1" si="0"/>
        <v>Risk Treatment</v>
      </c>
      <c r="F10" s="10" t="str">
        <f t="shared" ca="1" si="1"/>
        <v>C</v>
      </c>
      <c r="G10" s="10" t="str">
        <f t="shared" ca="1" si="2"/>
        <v>D</v>
      </c>
      <c r="H10" s="10" t="str">
        <f t="shared" ca="1" si="3"/>
        <v>T</v>
      </c>
      <c r="I10" s="10" t="str">
        <f t="shared" ca="1" si="4"/>
        <v>V</v>
      </c>
      <c r="J10" s="10">
        <f t="shared" ca="1" si="5"/>
        <v>0</v>
      </c>
      <c r="K10" s="21" cm="1">
        <f t="array" ca="1" aca="1" ref="K10">IF(ROW()=ROW($K$1)+1,0,INDEX($K:$K,ROW()-1))+IF($J10="",0,IF($J10&gt;0,1,0))</f>
        <v>1</v>
      </c>
      <c r="L10" s="21" t="str">
        <f t="shared" ca="1" si="6"/>
        <v>4</v>
      </c>
    </row>
    <row r="11" spans="1:12" ht="15" hidden="1">
      <c r="A11" s="2" t="str" cm="1">
        <f t="array" ca="1" aca="1" ref="A11">CELL("address",'Annex I 1.2 Report'!$A$2)</f>
        <v>'[QuBA-libre.xlsx]Annex I 1.2 Report'!$A$2</v>
      </c>
      <c r="B11" s="2" t="str" cm="1">
        <f t="array" ca="1" aca="1" ref="B11">CELL("address",'Annex I 1.2 Report'!$B$2)</f>
        <v>'[QuBA-libre.xlsx]Annex I 1.2 Report'!$B$2</v>
      </c>
      <c r="C11" s="2" t="str" cm="1">
        <f t="array" ca="1" aca="1" ref="C11">CELL("address",'Annex I 1.2 Report'!$F$2)</f>
        <v>'[QuBA-libre.xlsx]Annex I 1.2 Report'!$F$2</v>
      </c>
      <c r="D11" s="2" t="str" cm="1">
        <f t="array" ca="1" aca="1" ref="D11">CELL("address",'Annex I 1.2 Report'!$H$2)</f>
        <v>'[QuBA-libre.xlsx]Annex I 1.2 Report'!$H$2</v>
      </c>
      <c r="E11" s="10" t="str">
        <f t="shared" ca="1" si="0"/>
        <v>Annex I 1.2 Report</v>
      </c>
      <c r="F11" s="10" t="str">
        <f t="shared" ca="1" si="1"/>
        <v>A</v>
      </c>
      <c r="G11" s="10" t="str">
        <f t="shared" ca="1" si="2"/>
        <v>B</v>
      </c>
      <c r="H11" s="10" t="str">
        <f t="shared" ca="1" si="3"/>
        <v>F</v>
      </c>
      <c r="I11" s="10" t="str">
        <f t="shared" ca="1" si="4"/>
        <v>H</v>
      </c>
      <c r="J11" s="10">
        <f t="shared" ca="1" si="5"/>
        <v>0</v>
      </c>
      <c r="K11" s="21" cm="1">
        <f t="array" ca="1" aca="1" ref="K11">IF(ROW()=ROW($K$1)+1,0,INDEX($K:$K,ROW()-1))+IF($J11="",0,IF($J11&gt;0,1,0))</f>
        <v>1</v>
      </c>
      <c r="L11" s="21" t="str">
        <f t="shared" ca="1" si="6"/>
        <v>2</v>
      </c>
    </row>
    <row r="12" spans="1:12" ht="15" hidden="1">
      <c r="A12" s="2" t="str" cm="1">
        <f t="array" ca="1" aca="1" ref="A12">CELL("address",Tracing!$B$5)</f>
        <v>'[QuBA-libre.xlsx]Tracing'!$B$5</v>
      </c>
      <c r="B12" s="2" t="str" cm="1">
        <f t="array" ca="1" aca="1" ref="B12">CELL("address",Tracing!$C$5)</f>
        <v>'[QuBA-libre.xlsx]Tracing'!$C$5</v>
      </c>
      <c r="C12" s="2" t="str" cm="1">
        <f t="array" ca="1" aca="1" ref="C12">CELL("address",Tracing!$T$5)</f>
        <v>'[QuBA-libre.xlsx]Tracing'!$T$5</v>
      </c>
      <c r="D12" s="2" t="str" cm="1">
        <f t="array" ca="1" aca="1" ref="D12">CELL("address",Tracing!$V$5)</f>
        <v>'[QuBA-libre.xlsx]Tracing'!$V$5</v>
      </c>
      <c r="E12" s="10" t="str">
        <f t="shared" ca="1" si="0"/>
        <v>Tracing</v>
      </c>
      <c r="F12" s="10" t="str">
        <f t="shared" ca="1" si="1"/>
        <v>B</v>
      </c>
      <c r="G12" s="10" t="str">
        <f t="shared" ca="1" si="2"/>
        <v>C</v>
      </c>
      <c r="H12" s="10" t="str">
        <f t="shared" ca="1" si="3"/>
        <v>T</v>
      </c>
      <c r="I12" s="10" t="str">
        <f t="shared" ca="1" si="4"/>
        <v>V</v>
      </c>
      <c r="J12" s="10">
        <f t="shared" ca="1" si="5"/>
        <v>0</v>
      </c>
      <c r="K12" s="21" cm="1">
        <f t="array" ca="1" aca="1" ref="K12">IF(ROW()=ROW($K$1)+1,0,INDEX($K:$K,ROW()-1))+IF($J12="",0,IF($J12&gt;0,1,0))</f>
        <v>1</v>
      </c>
      <c r="L12" s="21" t="str">
        <f t="shared" ca="1" si="6"/>
        <v>5</v>
      </c>
    </row>
    <row r="13" spans="5:12" ht="15" hidden="1">
      <c r="E13" s="10" t="str">
        <f t="shared" si="0"/>
        <v/>
      </c>
      <c r="F13" s="10" t="str">
        <f t="shared" si="1"/>
        <v/>
      </c>
      <c r="G13" s="10" t="str">
        <f t="shared" si="2"/>
        <v/>
      </c>
      <c r="H13" s="10" t="str">
        <f t="shared" si="3"/>
        <v/>
      </c>
      <c r="I13" s="10" t="str">
        <f t="shared" si="4"/>
        <v/>
      </c>
      <c r="J13" s="10" t="str">
        <f t="shared" ca="1" si="5"/>
        <v/>
      </c>
      <c r="K13" s="21" cm="1">
        <f t="array" ca="1" aca="1" ref="K13">IF(ROW()=ROW($K$1)+1,0,INDEX($K:$K,ROW()-1))+IF($J13="",0,IF($J13&gt;0,1,0))</f>
        <v>1</v>
      </c>
      <c r="L13" s="21" t="str">
        <f t="shared" si="6"/>
        <v/>
      </c>
    </row>
    <row r="14" spans="5:12" ht="15" hidden="1">
      <c r="E14" s="10" t="str">
        <f t="shared" si="0"/>
        <v/>
      </c>
      <c r="F14" s="10" t="str">
        <f t="shared" si="1"/>
        <v/>
      </c>
      <c r="G14" s="10" t="str">
        <f t="shared" si="2"/>
        <v/>
      </c>
      <c r="H14" s="10" t="str">
        <f t="shared" si="3"/>
        <v/>
      </c>
      <c r="I14" s="10" t="str">
        <f t="shared" si="4"/>
        <v/>
      </c>
      <c r="J14" s="10" t="str">
        <f t="shared" ca="1" si="5"/>
        <v/>
      </c>
      <c r="K14" s="21" cm="1">
        <f t="array" ca="1" aca="1" ref="K14">IF(ROW()=ROW($K$1)+1,0,INDEX($K:$K,ROW()-1))+IF($J14="",0,IF($J14&gt;0,1,0))</f>
        <v>1</v>
      </c>
      <c r="L14" s="21" t="str">
        <f t="shared" si="6"/>
        <v/>
      </c>
    </row>
    <row r="15" spans="5:12" ht="15" hidden="1">
      <c r="E15" s="10" t="str">
        <f t="shared" si="0"/>
        <v/>
      </c>
      <c r="F15" s="10" t="str">
        <f t="shared" si="1"/>
        <v/>
      </c>
      <c r="G15" s="10" t="str">
        <f t="shared" si="2"/>
        <v/>
      </c>
      <c r="H15" s="10" t="str">
        <f t="shared" si="3"/>
        <v/>
      </c>
      <c r="I15" s="10" t="str">
        <f t="shared" si="4"/>
        <v/>
      </c>
      <c r="J15" s="10" t="str">
        <f t="shared" ca="1" si="5"/>
        <v/>
      </c>
      <c r="K15" s="21" cm="1">
        <f t="array" ca="1" aca="1" ref="K15">IF(ROW()=ROW($K$1)+1,0,INDEX($K:$K,ROW()-1))+IF($J15="",0,IF($J15&gt;0,1,0))</f>
        <v>1</v>
      </c>
      <c r="L15" s="21" t="str">
        <f t="shared" si="6"/>
        <v/>
      </c>
    </row>
    <row r="16" spans="2:2" s="115" customFormat="1" ht="15">
      <c r="B16" s="115" t="str" cm="1">
        <f t="array" ca="1" aca="1" ref="B16">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$17,A$17,README!$E:$E,README!$I$36,README!$B$36)</f>
        <v>◈</v>
      </c>
    </row>
    <row r="17" spans="1:2" ht="15">
      <c r="A17" s="27" t="s">
        <v>228</v>
      </c>
      <c r="B17" s="29" t="s">
        <v>1241</v>
      </c>
    </row>
    <row r="18" spans="1:2" s="115" customFormat="1" ht="15">
      <c r="A18" s="115" t="str" cm="1">
        <f t="array" ca="1" aca="1" ref="A18">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$17,A$19,README!$E:$E,README!$I$36,README!$B$36)</f>
        <v>◈</v>
      </c>
      <c r="B18" s="115" t="str" cm="1">
        <f t="array" ca="1" aca="1" ref="B18">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$17,B$19,README!$E:$E,README!$I$36,README!$B$36)</f>
        <v>◈</v>
      </c>
    </row>
    <row r="19" spans="1:9" ht="15">
      <c r="A19" s="10" t="s">
        <v>229</v>
      </c>
      <c r="B19" s="10" t="s">
        <v>724</v>
      </c>
      <c r="C19" s="10" t="s">
        <v>243</v>
      </c>
      <c r="D19" s="10" t="s">
        <v>241</v>
      </c>
      <c r="E19" s="10" t="s">
        <v>244</v>
      </c>
      <c r="F19" s="10" t="s">
        <v>104</v>
      </c>
      <c r="G19" s="10" t="s">
        <v>247</v>
      </c>
      <c r="H19" s="10" t="s">
        <v>245</v>
      </c>
      <c r="I19" s="10" t="s">
        <v>246</v>
      </c>
    </row>
    <row r="20" spans="1:9" ht="45">
      <c r="A20" s="30" t="str" cm="1">
        <f t="array" ca="1" aca="1" ref="A20">IF($E20="","",HYPERLINK("#'"&amp;INDEX(Table11[Sheet Name],$F20)&amp;"'!"&amp;INDEX(Table11[ID Column],$F20)&amp;$G20,IF(LEN(H20)&gt;255,LEFT(H20,250)&amp;" …",H20)))</f>
        <v>CM2a acontis techonlogies GmbH-specific SDL</v>
      </c>
      <c r="B20" s="30" t="str" cm="1">
        <f t="array" ca="1" aca="1" ref="B20">IF($E20="","",HYPERLINK("#'"&amp;INDEX(Table11[Sheet Name],$F20)&amp;"'!"&amp;INDEX(Table11[Comment Column],$F20)&amp;$G20,IF(LEN(I20)&gt;255,LEFT(I20,250)&amp;" …",I20)))</f>
        <v>TODO: No values are given, as the process is OEM-individual -- please set the values accordingly for the initial setup of the template!</v>
      </c>
      <c r="C20" s="10" cm="1">
        <f t="array" ref="C20">IFERROR(IF(ROW()=ROW($C$19)+1,1,INDEX($C:$C,ROW()-1))+IF(INDEX($E:$E,ROW()-1)=TRUE,1,0),"")</f>
        <v>1</v>
      </c>
      <c r="D20" s="10">
        <f ca="1" t="shared" si="7" ref="D20:D33">COUNTIF(OFFSET($C$19,1,0,ROW()-ROW($D$19),1),$C20)</f>
        <v>1</v>
      </c>
      <c r="E20" s="10" t="b" cm="1">
        <f t="array" ca="1" aca="1" ref="E20">IFERROR(INDEX(Table11[Number of Tasks],$F20)=$D20,"")</f>
        <v>1</v>
      </c>
      <c r="F20" s="21">
        <f ca="1">IFERROR(MATCH($C20,Table11[Task Sheet Shadow ID],0),"")</f>
        <v>5</v>
      </c>
      <c r="G20" s="21" cm="1">
        <f t="array" ca="1" aca="1" ref="G20">IFERROR(_xlfn.LET(_xlpm._column,INDEX(Table11[Task ID Column],$F20),MATCH($D20,INDIRECT("'"&amp;INDEX(Table11[Sheet Name],$F20)&amp;"'!"&amp;_xlpm._column&amp;":"&amp;_xlpm._column),0)),"")</f>
        <v>41</v>
      </c>
      <c r="H20" s="21" t="str" cm="1">
        <f t="array" ca="1" aca="1" ref="H20">IF($G20="","",(_xlfn.LET(_xlpm._columnID,INDEX(Table11[ID Column],$F20),_xlpm._columnName,INDEX(Table11[Name Column],$F20),INDEX(INDIRECT("'"&amp;INDEX(Table11[Sheet Name],$F20)&amp;"'!"&amp;_xlpm._columnID&amp;":"&amp;_xlpm._columnID),$G20)&amp;" "&amp;INDEX(INDIRECT("'"&amp;INDEX(Table11[Sheet Name],$F20)&amp;"'!"&amp;_xlpm._columnName&amp;":"&amp;_xlpm._columnName),$G20))))</f>
        <v>CM2a acontis techonlogies GmbH-specific SDL</v>
      </c>
      <c r="I20" s="21" t="str" cm="1">
        <f t="array" ca="1" aca="1" ref="I20">IF($G20="","",(_xlfn.LET(_xlpm._columnID,INDEX(Table11[Comment Column],$F20),INDEX(INDIRECT("'"&amp;INDEX(Table11[Sheet Name],$F20)&amp;"'!"&amp;_xlpm._columnID&amp;":"&amp;_xlpm._columnID),$G20))))</f>
        <v>TODO: No values are given, as the process is OEM-individual -- please set the values accordingly for the initial setup of the template!</v>
      </c>
    </row>
    <row r="21" spans="1:9" ht="15">
      <c r="A21" s="30" t="str" cm="1">
        <f t="array" ca="1" aca="1" ref="A21">IF($E21="","",HYPERLINK("#'"&amp;INDEX(Table11[Sheet Name],$F21)&amp;"'!"&amp;INDEX(Table11[ID Column],$F21)&amp;$G21,IF(LEN(H21)&gt;255,LEFT(H21,250)&amp;" …",H21)))</f>
        <v/>
      </c>
      <c r="B21" s="30" t="str" cm="1">
        <f t="array" ca="1" aca="1" ref="B21">IF($E21="","",HYPERLINK("#'"&amp;INDEX(Table11[Sheet Name],$F21)&amp;"'!"&amp;INDEX(Table11[Comment Column],$F21)&amp;$G21,IF(LEN(I21)&gt;255,LEFT(I21,250)&amp;" …",I21)))</f>
        <v/>
      </c>
      <c r="C21" s="10" cm="1">
        <f t="array" ca="1" aca="1" ref="C21">IFERROR(IF(ROW()=ROW($C$19)+1,1,INDEX($C:$C,ROW()-1))+IF(INDEX($E:$E,ROW()-1)=TRUE,1,0),"")</f>
        <v>2</v>
      </c>
      <c r="D21" s="10">
        <f t="shared" ca="1" si="7"/>
        <v>1</v>
      </c>
      <c r="E21" s="10" t="str" cm="1">
        <f t="array" ca="1" aca="1" ref="E21">IFERROR(INDEX(Table11[Number of Tasks],$F21)=$D21,"")</f>
        <v/>
      </c>
      <c r="F21" s="21" t="str">
        <f ca="1">IFERROR(MATCH($C21,Table11[Task Sheet Shadow ID],0),"")</f>
        <v/>
      </c>
      <c r="G21" s="21" t="str" cm="1">
        <f t="array" ca="1" aca="1" ref="G21">IFERROR(_xlfn.LET(_xlpm._column,INDEX(Table11[Task ID Column],$F21),MATCH($D21,INDIRECT("'"&amp;INDEX(Table11[Sheet Name],$F21)&amp;"'!"&amp;_xlpm._column&amp;":"&amp;_xlpm._column),0)),"")</f>
        <v/>
      </c>
      <c r="H21" s="21" t="str" cm="1">
        <f t="array" ca="1" aca="1" ref="H21">IF($G21="","",(_xlfn.LET(_xlpm._columnID,INDEX(Table11[ID Column],$F21),_xlpm._columnName,INDEX(Table11[Name Column],$F21),INDEX(INDIRECT("'"&amp;INDEX(Table11[Sheet Name],$F21)&amp;"'!"&amp;_xlpm._columnID&amp;":"&amp;_xlpm._columnID),$G21)&amp;" "&amp;INDEX(INDIRECT("'"&amp;INDEX(Table11[Sheet Name],$F21)&amp;"'!"&amp;_xlpm._columnName&amp;":"&amp;_xlpm._columnName),$G21))))</f>
        <v/>
      </c>
      <c r="I21" s="21" t="str" cm="1">
        <f t="array" ca="1" aca="1" ref="I21">IF($G21="","",(_xlfn.LET(_xlpm._columnID,INDEX(Table11[Comment Column],$F21),INDEX(INDIRECT("'"&amp;INDEX(Table11[Sheet Name],$F21)&amp;"'!"&amp;_xlpm._columnID&amp;":"&amp;_xlpm._columnID),$G21))))</f>
        <v/>
      </c>
    </row>
    <row r="22" spans="1:9" ht="15">
      <c r="A22" s="30" t="str" cm="1">
        <f t="array" ca="1" aca="1" ref="A22">IF($E22="","",HYPERLINK("#'"&amp;INDEX(Table11[Sheet Name],$F22)&amp;"'!"&amp;INDEX(Table11[ID Column],$F22)&amp;$G22,IF(LEN(H22)&gt;255,LEFT(H22,250)&amp;" …",H22)))</f>
        <v/>
      </c>
      <c r="B22" s="30" t="str" cm="1">
        <f t="array" ca="1" aca="1" ref="B22">IF($E22="","",HYPERLINK("#'"&amp;INDEX(Table11[Sheet Name],$F22)&amp;"'!"&amp;INDEX(Table11[Comment Column],$F22)&amp;$G22,IF(LEN(I22)&gt;255,LEFT(I22,250)&amp;" …",I22)))</f>
        <v/>
      </c>
      <c r="C22" s="10" cm="1">
        <f t="array" ca="1" aca="1" ref="C22">IFERROR(IF(ROW()=ROW($C$19)+1,1,INDEX($C:$C,ROW()-1))+IF(INDEX($E:$E,ROW()-1)=TRUE,1,0),"")</f>
        <v>2</v>
      </c>
      <c r="D22" s="10">
        <f t="shared" ca="1" si="7"/>
        <v>2</v>
      </c>
      <c r="E22" s="10" t="str" cm="1">
        <f t="array" ca="1" aca="1" ref="E22">IFERROR(INDEX(Table11[Number of Tasks],$F22)=$D22,"")</f>
        <v/>
      </c>
      <c r="F22" s="21" t="str">
        <f ca="1">IFERROR(MATCH($C22,Table11[Task Sheet Shadow ID],0),"")</f>
        <v/>
      </c>
      <c r="G22" s="21" t="str" cm="1">
        <f t="array" ca="1" aca="1" ref="G22">IFERROR(_xlfn.LET(_xlpm._column,INDEX(Table11[Task ID Column],$F22),MATCH($D22,INDIRECT("'"&amp;INDEX(Table11[Sheet Name],$F22)&amp;"'!"&amp;_xlpm._column&amp;":"&amp;_xlpm._column),0)),"")</f>
        <v/>
      </c>
      <c r="H22" s="21" t="str" cm="1">
        <f t="array" ca="1" aca="1" ref="H22">IF($G22="","",(_xlfn.LET(_xlpm._columnID,INDEX(Table11[ID Column],$F22),_xlpm._columnName,INDEX(Table11[Name Column],$F22),INDEX(INDIRECT("'"&amp;INDEX(Table11[Sheet Name],$F22)&amp;"'!"&amp;_xlpm._columnID&amp;":"&amp;_xlpm._columnID),$G22)&amp;" "&amp;INDEX(INDIRECT("'"&amp;INDEX(Table11[Sheet Name],$F22)&amp;"'!"&amp;_xlpm._columnName&amp;":"&amp;_xlpm._columnName),$G22))))</f>
        <v/>
      </c>
      <c r="I22" s="21" t="str" cm="1">
        <f t="array" ca="1" aca="1" ref="I22">IF($G22="","",(_xlfn.LET(_xlpm._columnID,INDEX(Table11[Comment Column],$F22),INDEX(INDIRECT("'"&amp;INDEX(Table11[Sheet Name],$F22)&amp;"'!"&amp;_xlpm._columnID&amp;":"&amp;_xlpm._columnID),$G22))))</f>
        <v/>
      </c>
    </row>
    <row r="23" spans="1:9" ht="15">
      <c r="A23" s="30" t="str" cm="1">
        <f t="array" ca="1" aca="1" ref="A23">IF($E23="","",HYPERLINK("#'"&amp;INDEX(Table11[Sheet Name],$F23)&amp;"'!"&amp;INDEX(Table11[ID Column],$F23)&amp;$G23,IF(LEN(H23)&gt;255,LEFT(H23,250)&amp;" …",H23)))</f>
        <v/>
      </c>
      <c r="B23" s="30" t="str" cm="1">
        <f t="array" ca="1" aca="1" ref="B23">IF($E23="","",HYPERLINK("#'"&amp;INDEX(Table11[Sheet Name],$F23)&amp;"'!"&amp;INDEX(Table11[Comment Column],$F23)&amp;$G23,IF(LEN(I23)&gt;255,LEFT(I23,250)&amp;" …",I23)))</f>
        <v/>
      </c>
      <c r="C23" s="10" cm="1">
        <f t="array" ca="1" aca="1" ref="C23">IFERROR(IF(ROW()=ROW($C$19)+1,1,INDEX($C:$C,ROW()-1))+IF(INDEX($E:$E,ROW()-1)=TRUE,1,0),"")</f>
        <v>2</v>
      </c>
      <c r="D23" s="10">
        <f t="shared" ca="1" si="7"/>
        <v>3</v>
      </c>
      <c r="E23" s="10" t="str" cm="1">
        <f t="array" ca="1" aca="1" ref="E23">IFERROR(INDEX(Table11[Number of Tasks],$F23)=$D23,"")</f>
        <v/>
      </c>
      <c r="F23" s="21" t="str">
        <f ca="1">IFERROR(MATCH($C23,Table11[Task Sheet Shadow ID],0),"")</f>
        <v/>
      </c>
      <c r="G23" s="21" t="str" cm="1">
        <f t="array" ca="1" aca="1" ref="G23">IFERROR(_xlfn.LET(_xlpm._column,INDEX(Table11[Task ID Column],$F23),MATCH($D23,INDIRECT("'"&amp;INDEX(Table11[Sheet Name],$F23)&amp;"'!"&amp;_xlpm._column&amp;":"&amp;_xlpm._column),0)),"")</f>
        <v/>
      </c>
      <c r="H23" s="21" t="str" cm="1">
        <f t="array" ca="1" aca="1" ref="H23">IF($G23="","",(_xlfn.LET(_xlpm._columnID,INDEX(Table11[ID Column],$F23),_xlpm._columnName,INDEX(Table11[Name Column],$F23),INDEX(INDIRECT("'"&amp;INDEX(Table11[Sheet Name],$F23)&amp;"'!"&amp;_xlpm._columnID&amp;":"&amp;_xlpm._columnID),$G23)&amp;" "&amp;INDEX(INDIRECT("'"&amp;INDEX(Table11[Sheet Name],$F23)&amp;"'!"&amp;_xlpm._columnName&amp;":"&amp;_xlpm._columnName),$G23))))</f>
        <v/>
      </c>
      <c r="I23" s="21" t="str" cm="1">
        <f t="array" ca="1" aca="1" ref="I23">IF($G23="","",(_xlfn.LET(_xlpm._columnID,INDEX(Table11[Comment Column],$F23),INDEX(INDIRECT("'"&amp;INDEX(Table11[Sheet Name],$F23)&amp;"'!"&amp;_xlpm._columnID&amp;":"&amp;_xlpm._columnID),$G23))))</f>
        <v/>
      </c>
    </row>
    <row r="24" spans="1:9" ht="15">
      <c r="A24" s="30" t="str" cm="1">
        <f t="array" ca="1" aca="1" ref="A24">IF($E24="","",HYPERLINK("#'"&amp;INDEX(Table11[Sheet Name],$F24)&amp;"'!"&amp;INDEX(Table11[ID Column],$F24)&amp;$G24,IF(LEN(H24)&gt;255,LEFT(H24,250)&amp;" …",H24)))</f>
        <v/>
      </c>
      <c r="B24" s="30" t="str" cm="1">
        <f t="array" ca="1" aca="1" ref="B24">IF($E24="","",HYPERLINK("#'"&amp;INDEX(Table11[Sheet Name],$F24)&amp;"'!"&amp;INDEX(Table11[Comment Column],$F24)&amp;$G24,IF(LEN(I24)&gt;255,LEFT(I24,250)&amp;" …",I24)))</f>
        <v/>
      </c>
      <c r="C24" s="10" cm="1">
        <f t="array" ca="1" aca="1" ref="C24">IFERROR(IF(ROW()=ROW($C$19)+1,1,INDEX($C:$C,ROW()-1))+IF(INDEX($E:$E,ROW()-1)=TRUE,1,0),"")</f>
        <v>2</v>
      </c>
      <c r="D24" s="10">
        <f t="shared" ca="1" si="7"/>
        <v>4</v>
      </c>
      <c r="E24" s="10" t="str" cm="1">
        <f t="array" ca="1" aca="1" ref="E24">IFERROR(INDEX(Table11[Number of Tasks],$F24)=$D24,"")</f>
        <v/>
      </c>
      <c r="F24" s="21" t="str">
        <f ca="1">IFERROR(MATCH($C24,Table11[Task Sheet Shadow ID],0),"")</f>
        <v/>
      </c>
      <c r="G24" s="21" t="str" cm="1">
        <f t="array" ca="1" aca="1" ref="G24">IFERROR(_xlfn.LET(_xlpm._column,INDEX(Table11[Task ID Column],$F24),MATCH($D24,INDIRECT("'"&amp;INDEX(Table11[Sheet Name],$F24)&amp;"'!"&amp;_xlpm._column&amp;":"&amp;_xlpm._column),0)),"")</f>
        <v/>
      </c>
      <c r="H24" s="21" t="str" cm="1">
        <f t="array" ca="1" aca="1" ref="H24">IF($G24="","",(_xlfn.LET(_xlpm._columnID,INDEX(Table11[ID Column],$F24),_xlpm._columnName,INDEX(Table11[Name Column],$F24),INDEX(INDIRECT("'"&amp;INDEX(Table11[Sheet Name],$F24)&amp;"'!"&amp;_xlpm._columnID&amp;":"&amp;_xlpm._columnID),$G24)&amp;" "&amp;INDEX(INDIRECT("'"&amp;INDEX(Table11[Sheet Name],$F24)&amp;"'!"&amp;_xlpm._columnName&amp;":"&amp;_xlpm._columnName),$G24))))</f>
        <v/>
      </c>
      <c r="I24" s="21" t="str" cm="1">
        <f t="array" ca="1" aca="1" ref="I24">IF($G24="","",(_xlfn.LET(_xlpm._columnID,INDEX(Table11[Comment Column],$F24),INDEX(INDIRECT("'"&amp;INDEX(Table11[Sheet Name],$F24)&amp;"'!"&amp;_xlpm._columnID&amp;":"&amp;_xlpm._columnID),$G24))))</f>
        <v/>
      </c>
    </row>
    <row r="25" spans="1:9" ht="15">
      <c r="A25" s="30" t="str" cm="1">
        <f t="array" ca="1" aca="1" ref="A25">IF($E25="","",HYPERLINK("#'"&amp;INDEX(Table11[Sheet Name],$F25)&amp;"'!"&amp;INDEX(Table11[ID Column],$F25)&amp;$G25,IF(LEN(H25)&gt;255,LEFT(H25,250)&amp;" …",H25)))</f>
        <v/>
      </c>
      <c r="B25" s="30" t="str" cm="1">
        <f t="array" ca="1" aca="1" ref="B25">IF($E25="","",HYPERLINK("#'"&amp;INDEX(Table11[Sheet Name],$F25)&amp;"'!"&amp;INDEX(Table11[Comment Column],$F25)&amp;$G25,IF(LEN(I25)&gt;255,LEFT(I25,250)&amp;" …",I25)))</f>
        <v/>
      </c>
      <c r="C25" s="10" cm="1">
        <f t="array" ca="1" aca="1" ref="C25">IFERROR(IF(ROW()=ROW($C$19)+1,1,INDEX($C:$C,ROW()-1))+IF(INDEX($E:$E,ROW()-1)=TRUE,1,0),"")</f>
        <v>2</v>
      </c>
      <c r="D25" s="10">
        <f t="shared" ca="1" si="7"/>
        <v>5</v>
      </c>
      <c r="E25" s="10" t="str" cm="1">
        <f t="array" ca="1" aca="1" ref="E25">IFERROR(INDEX(Table11[Number of Tasks],$F25)=$D25,"")</f>
        <v/>
      </c>
      <c r="F25" s="21" t="str">
        <f ca="1">IFERROR(MATCH($C25,Table11[Task Sheet Shadow ID],0),"")</f>
        <v/>
      </c>
      <c r="G25" s="21" t="str" cm="1">
        <f t="array" ca="1" aca="1" ref="G25">IFERROR(_xlfn.LET(_xlpm._column,INDEX(Table11[Task ID Column],$F25),MATCH($D25,INDIRECT("'"&amp;INDEX(Table11[Sheet Name],$F25)&amp;"'!"&amp;_xlpm._column&amp;":"&amp;_xlpm._column),0)),"")</f>
        <v/>
      </c>
      <c r="H25" s="21" t="str" cm="1">
        <f t="array" ca="1" aca="1" ref="H25">IF($G25="","",(_xlfn.LET(_xlpm._columnID,INDEX(Table11[ID Column],$F25),_xlpm._columnName,INDEX(Table11[Name Column],$F25),INDEX(INDIRECT("'"&amp;INDEX(Table11[Sheet Name],$F25)&amp;"'!"&amp;_xlpm._columnID&amp;":"&amp;_xlpm._columnID),$G25)&amp;" "&amp;INDEX(INDIRECT("'"&amp;INDEX(Table11[Sheet Name],$F25)&amp;"'!"&amp;_xlpm._columnName&amp;":"&amp;_xlpm._columnName),$G25))))</f>
        <v/>
      </c>
      <c r="I25" s="21" t="str" cm="1">
        <f t="array" ca="1" aca="1" ref="I25">IF($G25="","",(_xlfn.LET(_xlpm._columnID,INDEX(Table11[Comment Column],$F25),INDEX(INDIRECT("'"&amp;INDEX(Table11[Sheet Name],$F25)&amp;"'!"&amp;_xlpm._columnID&amp;":"&amp;_xlpm._columnID),$G25))))</f>
        <v/>
      </c>
    </row>
    <row r="26" spans="1:9" ht="15">
      <c r="A26" s="30" t="str" cm="1">
        <f t="array" ca="1" aca="1" ref="A26">IF($E26="","",HYPERLINK("#'"&amp;INDEX(Table11[Sheet Name],$F26)&amp;"'!"&amp;INDEX(Table11[ID Column],$F26)&amp;$G26,IF(LEN(H26)&gt;255,LEFT(H26,250)&amp;" …",H26)))</f>
        <v/>
      </c>
      <c r="B26" s="30" t="str" cm="1">
        <f t="array" ca="1" aca="1" ref="B26">IF($E26="","",HYPERLINK("#'"&amp;INDEX(Table11[Sheet Name],$F26)&amp;"'!"&amp;INDEX(Table11[Comment Column],$F26)&amp;$G26,IF(LEN(I26)&gt;255,LEFT(I26,250)&amp;" …",I26)))</f>
        <v/>
      </c>
      <c r="C26" s="10" cm="1">
        <f t="array" ca="1" aca="1" ref="C26">IFERROR(IF(ROW()=ROW($C$19)+1,1,INDEX($C:$C,ROW()-1))+IF(INDEX($E:$E,ROW()-1)=TRUE,1,0),"")</f>
        <v>2</v>
      </c>
      <c r="D26" s="10">
        <f t="shared" ca="1" si="7"/>
        <v>6</v>
      </c>
      <c r="E26" s="10" t="str" cm="1">
        <f t="array" ca="1" aca="1" ref="E26">IFERROR(INDEX(Table11[Number of Tasks],$F26)=$D26,"")</f>
        <v/>
      </c>
      <c r="F26" s="21" t="str">
        <f ca="1">IFERROR(MATCH($C26,Table11[Task Sheet Shadow ID],0),"")</f>
        <v/>
      </c>
      <c r="G26" s="21" t="str" cm="1">
        <f t="array" ca="1" aca="1" ref="G26">IFERROR(_xlfn.LET(_xlpm._column,INDEX(Table11[Task ID Column],$F26),MATCH($D26,INDIRECT("'"&amp;INDEX(Table11[Sheet Name],$F26)&amp;"'!"&amp;_xlpm._column&amp;":"&amp;_xlpm._column),0)),"")</f>
        <v/>
      </c>
      <c r="H26" s="21" t="str" cm="1">
        <f t="array" ca="1" aca="1" ref="H26">IF($G26="","",(_xlfn.LET(_xlpm._columnID,INDEX(Table11[ID Column],$F26),_xlpm._columnName,INDEX(Table11[Name Column],$F26),INDEX(INDIRECT("'"&amp;INDEX(Table11[Sheet Name],$F26)&amp;"'!"&amp;_xlpm._columnID&amp;":"&amp;_xlpm._columnID),$G26)&amp;" "&amp;INDEX(INDIRECT("'"&amp;INDEX(Table11[Sheet Name],$F26)&amp;"'!"&amp;_xlpm._columnName&amp;":"&amp;_xlpm._columnName),$G26))))</f>
        <v/>
      </c>
      <c r="I26" s="21" t="str" cm="1">
        <f t="array" ca="1" aca="1" ref="I26">IF($G26="","",(_xlfn.LET(_xlpm._columnID,INDEX(Table11[Comment Column],$F26),INDEX(INDIRECT("'"&amp;INDEX(Table11[Sheet Name],$F26)&amp;"'!"&amp;_xlpm._columnID&amp;":"&amp;_xlpm._columnID),$G26))))</f>
        <v/>
      </c>
    </row>
    <row r="27" spans="1:9" ht="15">
      <c r="A27" s="30" t="str" cm="1">
        <f t="array" ca="1" aca="1" ref="A27">IF($E27="","",HYPERLINK("#'"&amp;INDEX(Table11[Sheet Name],$F27)&amp;"'!"&amp;INDEX(Table11[ID Column],$F27)&amp;$G27,IF(LEN(H27)&gt;255,LEFT(H27,250)&amp;" …",H27)))</f>
        <v/>
      </c>
      <c r="B27" s="30" t="str" cm="1">
        <f t="array" ca="1" aca="1" ref="B27">IF($E27="","",HYPERLINK("#'"&amp;INDEX(Table11[Sheet Name],$F27)&amp;"'!"&amp;INDEX(Table11[Comment Column],$F27)&amp;$G27,IF(LEN(I27)&gt;255,LEFT(I27,250)&amp;" …",I27)))</f>
        <v/>
      </c>
      <c r="C27" s="10" cm="1">
        <f t="array" ca="1" aca="1" ref="C27">IFERROR(IF(ROW()=ROW($C$19)+1,1,INDEX($C:$C,ROW()-1))+IF(INDEX($E:$E,ROW()-1)=TRUE,1,0),"")</f>
        <v>2</v>
      </c>
      <c r="D27" s="10">
        <f t="shared" ca="1" si="7"/>
        <v>7</v>
      </c>
      <c r="E27" s="10" t="str" cm="1">
        <f t="array" ca="1" aca="1" ref="E27">IFERROR(INDEX(Table11[Number of Tasks],$F27)=$D27,"")</f>
        <v/>
      </c>
      <c r="F27" s="21" t="str">
        <f ca="1">IFERROR(MATCH($C27,Table11[Task Sheet Shadow ID],0),"")</f>
        <v/>
      </c>
      <c r="G27" s="21" t="str" cm="1">
        <f t="array" ca="1" aca="1" ref="G27">IFERROR(_xlfn.LET(_xlpm._column,INDEX(Table11[Task ID Column],$F27),MATCH($D27,INDIRECT("'"&amp;INDEX(Table11[Sheet Name],$F27)&amp;"'!"&amp;_xlpm._column&amp;":"&amp;_xlpm._column),0)),"")</f>
        <v/>
      </c>
      <c r="H27" s="21" t="str" cm="1">
        <f t="array" ca="1" aca="1" ref="H27">IF($G27="","",(_xlfn.LET(_xlpm._columnID,INDEX(Table11[ID Column],$F27),_xlpm._columnName,INDEX(Table11[Name Column],$F27),INDEX(INDIRECT("'"&amp;INDEX(Table11[Sheet Name],$F27)&amp;"'!"&amp;_xlpm._columnID&amp;":"&amp;_xlpm._columnID),$G27)&amp;" "&amp;INDEX(INDIRECT("'"&amp;INDEX(Table11[Sheet Name],$F27)&amp;"'!"&amp;_xlpm._columnName&amp;":"&amp;_xlpm._columnName),$G27))))</f>
        <v/>
      </c>
      <c r="I27" s="21" t="str" cm="1">
        <f t="array" ca="1" aca="1" ref="I27">IF($G27="","",(_xlfn.LET(_xlpm._columnID,INDEX(Table11[Comment Column],$F27),INDEX(INDIRECT("'"&amp;INDEX(Table11[Sheet Name],$F27)&amp;"'!"&amp;_xlpm._columnID&amp;":"&amp;_xlpm._columnID),$G27))))</f>
        <v/>
      </c>
    </row>
    <row r="28" spans="1:9" ht="15">
      <c r="A28" s="30" t="str" cm="1">
        <f t="array" ca="1" aca="1" ref="A28">IF($E28="","",HYPERLINK("#'"&amp;INDEX(Table11[Sheet Name],$F28)&amp;"'!"&amp;INDEX(Table11[ID Column],$F28)&amp;$G28,IF(LEN(H28)&gt;255,LEFT(H28,250)&amp;" …",H28)))</f>
        <v/>
      </c>
      <c r="B28" s="30" t="str" cm="1">
        <f t="array" ca="1" aca="1" ref="B28">IF($E28="","",HYPERLINK("#'"&amp;INDEX(Table11[Sheet Name],$F28)&amp;"'!"&amp;INDEX(Table11[Comment Column],$F28)&amp;$G28,IF(LEN(I28)&gt;255,LEFT(I28,250)&amp;" …",I28)))</f>
        <v/>
      </c>
      <c r="C28" s="10" cm="1">
        <f t="array" ca="1" aca="1" ref="C28">IFERROR(IF(ROW()=ROW($C$19)+1,1,INDEX($C:$C,ROW()-1))+IF(INDEX($E:$E,ROW()-1)=TRUE,1,0),"")</f>
        <v>2</v>
      </c>
      <c r="D28" s="10">
        <f t="shared" ca="1" si="7"/>
        <v>8</v>
      </c>
      <c r="E28" s="10" t="str" cm="1">
        <f t="array" ca="1" aca="1" ref="E28">IFERROR(INDEX(Table11[Number of Tasks],$F28)=$D28,"")</f>
        <v/>
      </c>
      <c r="F28" s="21" t="str">
        <f ca="1">IFERROR(MATCH($C28,Table11[Task Sheet Shadow ID],0),"")</f>
        <v/>
      </c>
      <c r="G28" s="21" t="str" cm="1">
        <f t="array" ca="1" aca="1" ref="G28">IFERROR(_xlfn.LET(_xlpm._column,INDEX(Table11[Task ID Column],$F28),MATCH($D28,INDIRECT("'"&amp;INDEX(Table11[Sheet Name],$F28)&amp;"'!"&amp;_xlpm._column&amp;":"&amp;_xlpm._column),0)),"")</f>
        <v/>
      </c>
      <c r="H28" s="21" t="str" cm="1">
        <f t="array" ca="1" aca="1" ref="H28">IF($G28="","",(_xlfn.LET(_xlpm._columnID,INDEX(Table11[ID Column],$F28),_xlpm._columnName,INDEX(Table11[Name Column],$F28),INDEX(INDIRECT("'"&amp;INDEX(Table11[Sheet Name],$F28)&amp;"'!"&amp;_xlpm._columnID&amp;":"&amp;_xlpm._columnID),$G28)&amp;" "&amp;INDEX(INDIRECT("'"&amp;INDEX(Table11[Sheet Name],$F28)&amp;"'!"&amp;_xlpm._columnName&amp;":"&amp;_xlpm._columnName),$G28))))</f>
        <v/>
      </c>
      <c r="I28" s="21" t="str" cm="1">
        <f t="array" ca="1" aca="1" ref="I28">IF($G28="","",(_xlfn.LET(_xlpm._columnID,INDEX(Table11[Comment Column],$F28),INDEX(INDIRECT("'"&amp;INDEX(Table11[Sheet Name],$F28)&amp;"'!"&amp;_xlpm._columnID&amp;":"&amp;_xlpm._columnID),$G28))))</f>
        <v/>
      </c>
    </row>
    <row r="29" spans="1:9" ht="15">
      <c r="A29" s="30" t="str" cm="1">
        <f t="array" ca="1" aca="1" ref="A29">IF($E29="","",HYPERLINK("#'"&amp;INDEX(Table11[Sheet Name],$F29)&amp;"'!"&amp;INDEX(Table11[ID Column],$F29)&amp;$G29,IF(LEN(H29)&gt;255,LEFT(H29,250)&amp;" …",H29)))</f>
        <v/>
      </c>
      <c r="B29" s="30" t="str" cm="1">
        <f t="array" ca="1" aca="1" ref="B29">IF($E29="","",HYPERLINK("#'"&amp;INDEX(Table11[Sheet Name],$F29)&amp;"'!"&amp;INDEX(Table11[Comment Column],$F29)&amp;$G29,IF(LEN(I29)&gt;255,LEFT(I29,250)&amp;" …",I29)))</f>
        <v/>
      </c>
      <c r="C29" s="10" cm="1">
        <f t="array" ca="1" aca="1" ref="C29">IFERROR(IF(ROW()=ROW($C$19)+1,1,INDEX($C:$C,ROW()-1))+IF(INDEX($E:$E,ROW()-1)=TRUE,1,0),"")</f>
        <v>2</v>
      </c>
      <c r="D29" s="10">
        <f t="shared" ca="1" si="7"/>
        <v>9</v>
      </c>
      <c r="E29" s="10" t="str" cm="1">
        <f t="array" ca="1" aca="1" ref="E29">IFERROR(INDEX(Table11[Number of Tasks],$F29)=$D29,"")</f>
        <v/>
      </c>
      <c r="F29" s="21" t="str">
        <f ca="1">IFERROR(MATCH($C29,Table11[Task Sheet Shadow ID],0),"")</f>
        <v/>
      </c>
      <c r="G29" s="21" t="str" cm="1">
        <f t="array" ca="1" aca="1" ref="G29">IFERROR(_xlfn.LET(_xlpm._column,INDEX(Table11[Task ID Column],$F29),MATCH($D29,INDIRECT("'"&amp;INDEX(Table11[Sheet Name],$F29)&amp;"'!"&amp;_xlpm._column&amp;":"&amp;_xlpm._column),0)),"")</f>
        <v/>
      </c>
      <c r="H29" s="21" t="str" cm="1">
        <f t="array" ca="1" aca="1" ref="H29">IF($G29="","",(_xlfn.LET(_xlpm._columnID,INDEX(Table11[ID Column],$F29),_xlpm._columnName,INDEX(Table11[Name Column],$F29),INDEX(INDIRECT("'"&amp;INDEX(Table11[Sheet Name],$F29)&amp;"'!"&amp;_xlpm._columnID&amp;":"&amp;_xlpm._columnID),$G29)&amp;" "&amp;INDEX(INDIRECT("'"&amp;INDEX(Table11[Sheet Name],$F29)&amp;"'!"&amp;_xlpm._columnName&amp;":"&amp;_xlpm._columnName),$G29))))</f>
        <v/>
      </c>
      <c r="I29" s="21" t="str" cm="1">
        <f t="array" ca="1" aca="1" ref="I29">IF($G29="","",(_xlfn.LET(_xlpm._columnID,INDEX(Table11[Comment Column],$F29),INDEX(INDIRECT("'"&amp;INDEX(Table11[Sheet Name],$F29)&amp;"'!"&amp;_xlpm._columnID&amp;":"&amp;_xlpm._columnID),$G29))))</f>
        <v/>
      </c>
    </row>
    <row r="30" spans="1:9" ht="15">
      <c r="A30" s="30" t="str" cm="1">
        <f t="array" ca="1" aca="1" ref="A30">IF($E30="","",HYPERLINK("#'"&amp;INDEX(Table11[Sheet Name],$F30)&amp;"'!"&amp;INDEX(Table11[ID Column],$F30)&amp;$G30,IF(LEN(H30)&gt;255,LEFT(H30,250)&amp;" …",H30)))</f>
        <v/>
      </c>
      <c r="B30" s="30" t="str" cm="1">
        <f t="array" ca="1" aca="1" ref="B30">IF($E30="","",HYPERLINK("#'"&amp;INDEX(Table11[Sheet Name],$F30)&amp;"'!"&amp;INDEX(Table11[Comment Column],$F30)&amp;$G30,IF(LEN(I30)&gt;255,LEFT(I30,250)&amp;" …",I30)))</f>
        <v/>
      </c>
      <c r="C30" s="10" cm="1">
        <f t="array" ca="1" aca="1" ref="C30">IFERROR(IF(ROW()=ROW($C$19)+1,1,INDEX($C:$C,ROW()-1))+IF(INDEX($E:$E,ROW()-1)=TRUE,1,0),"")</f>
        <v>2</v>
      </c>
      <c r="D30" s="10">
        <f t="shared" ca="1" si="7"/>
        <v>10</v>
      </c>
      <c r="E30" s="10" t="str" cm="1">
        <f t="array" ca="1" aca="1" ref="E30">IFERROR(INDEX(Table11[Number of Tasks],$F30)=$D30,"")</f>
        <v/>
      </c>
      <c r="F30" s="21" t="str">
        <f ca="1">IFERROR(MATCH($C30,Table11[Task Sheet Shadow ID],0),"")</f>
        <v/>
      </c>
      <c r="G30" s="21" t="str" cm="1">
        <f t="array" ca="1" aca="1" ref="G30">IFERROR(_xlfn.LET(_xlpm._column,INDEX(Table11[Task ID Column],$F30),MATCH($D30,INDIRECT("'"&amp;INDEX(Table11[Sheet Name],$F30)&amp;"'!"&amp;_xlpm._column&amp;":"&amp;_xlpm._column),0)),"")</f>
        <v/>
      </c>
      <c r="H30" s="21" t="str" cm="1">
        <f t="array" ca="1" aca="1" ref="H30">IF($G30="","",(_xlfn.LET(_xlpm._columnID,INDEX(Table11[ID Column],$F30),_xlpm._columnName,INDEX(Table11[Name Column],$F30),INDEX(INDIRECT("'"&amp;INDEX(Table11[Sheet Name],$F30)&amp;"'!"&amp;_xlpm._columnID&amp;":"&amp;_xlpm._columnID),$G30)&amp;" "&amp;INDEX(INDIRECT("'"&amp;INDEX(Table11[Sheet Name],$F30)&amp;"'!"&amp;_xlpm._columnName&amp;":"&amp;_xlpm._columnName),$G30))))</f>
        <v/>
      </c>
      <c r="I30" s="21" t="str" cm="1">
        <f t="array" ca="1" aca="1" ref="I30">IF($G30="","",(_xlfn.LET(_xlpm._columnID,INDEX(Table11[Comment Column],$F30),INDEX(INDIRECT("'"&amp;INDEX(Table11[Sheet Name],$F30)&amp;"'!"&amp;_xlpm._columnID&amp;":"&amp;_xlpm._columnID),$G30))))</f>
        <v/>
      </c>
    </row>
    <row r="31" spans="1:9" ht="15">
      <c r="A31" s="30" t="str" cm="1">
        <f t="array" ca="1" aca="1" ref="A31">IF($E31="","",HYPERLINK("#'"&amp;INDEX(Table11[Sheet Name],$F31)&amp;"'!"&amp;INDEX(Table11[ID Column],$F31)&amp;$G31,IF(LEN(H31)&gt;255,LEFT(H31,250)&amp;" …",H31)))</f>
        <v/>
      </c>
      <c r="B31" s="30" t="str" cm="1">
        <f t="array" ca="1" aca="1" ref="B31">IF($E31="","",HYPERLINK("#'"&amp;INDEX(Table11[Sheet Name],$F31)&amp;"'!"&amp;INDEX(Table11[Comment Column],$F31)&amp;$G31,IF(LEN(I31)&gt;255,LEFT(I31,250)&amp;" …",I31)))</f>
        <v/>
      </c>
      <c r="C31" s="10" cm="1">
        <f t="array" ca="1" aca="1" ref="C31">IFERROR(IF(ROW()=ROW($C$19)+1,1,INDEX($C:$C,ROW()-1))+IF(INDEX($E:$E,ROW()-1)=TRUE,1,0),"")</f>
        <v>2</v>
      </c>
      <c r="D31" s="10">
        <f t="shared" ca="1" si="7"/>
        <v>11</v>
      </c>
      <c r="E31" s="10" t="str" cm="1">
        <f t="array" ca="1" aca="1" ref="E31">IFERROR(INDEX(Table11[Number of Tasks],$F31)=$D31,"")</f>
        <v/>
      </c>
      <c r="F31" s="21" t="str">
        <f ca="1">IFERROR(MATCH($C31,Table11[Task Sheet Shadow ID],0),"")</f>
        <v/>
      </c>
      <c r="G31" s="21" t="str" cm="1">
        <f t="array" ca="1" aca="1" ref="G31">IFERROR(_xlfn.LET(_xlpm._column,INDEX(Table11[Task ID Column],$F31),MATCH($D31,INDIRECT("'"&amp;INDEX(Table11[Sheet Name],$F31)&amp;"'!"&amp;_xlpm._column&amp;":"&amp;_xlpm._column),0)),"")</f>
        <v/>
      </c>
      <c r="H31" s="21" t="str" cm="1">
        <f t="array" ca="1" aca="1" ref="H31">IF($G31="","",(_xlfn.LET(_xlpm._columnID,INDEX(Table11[ID Column],$F31),_xlpm._columnName,INDEX(Table11[Name Column],$F31),INDEX(INDIRECT("'"&amp;INDEX(Table11[Sheet Name],$F31)&amp;"'!"&amp;_xlpm._columnID&amp;":"&amp;_xlpm._columnID),$G31)&amp;" "&amp;INDEX(INDIRECT("'"&amp;INDEX(Table11[Sheet Name],$F31)&amp;"'!"&amp;_xlpm._columnName&amp;":"&amp;_xlpm._columnName),$G31))))</f>
        <v/>
      </c>
      <c r="I31" s="21" t="str" cm="1">
        <f t="array" ca="1" aca="1" ref="I31">IF($G31="","",(_xlfn.LET(_xlpm._columnID,INDEX(Table11[Comment Column],$F31),INDEX(INDIRECT("'"&amp;INDEX(Table11[Sheet Name],$F31)&amp;"'!"&amp;_xlpm._columnID&amp;":"&amp;_xlpm._columnID),$G31))))</f>
        <v/>
      </c>
    </row>
    <row r="32" spans="1:9" ht="15">
      <c r="A32" s="30" t="str" cm="1">
        <f t="array" ca="1" aca="1" ref="A32">IF($E32="","",HYPERLINK("#'"&amp;INDEX(Table11[Sheet Name],$F32)&amp;"'!"&amp;INDEX(Table11[ID Column],$F32)&amp;$G32,IF(LEN(H32)&gt;255,LEFT(H32,250)&amp;" …",H32)))</f>
        <v/>
      </c>
      <c r="B32" s="30" t="str" cm="1">
        <f t="array" ca="1" aca="1" ref="B32">IF($E32="","",HYPERLINK("#'"&amp;INDEX(Table11[Sheet Name],$F32)&amp;"'!"&amp;INDEX(Table11[Comment Column],$F32)&amp;$G32,IF(LEN(I32)&gt;255,LEFT(I32,250)&amp;" …",I32)))</f>
        <v/>
      </c>
      <c r="C32" s="10" cm="1">
        <f t="array" ca="1" aca="1" ref="C32">IFERROR(IF(ROW()=ROW($C$19)+1,1,INDEX($C:$C,ROW()-1))+IF(INDEX($E:$E,ROW()-1)=TRUE,1,0),"")</f>
        <v>2</v>
      </c>
      <c r="D32" s="10">
        <f t="shared" ca="1" si="7"/>
        <v>12</v>
      </c>
      <c r="E32" s="10" t="str" cm="1">
        <f t="array" ca="1" aca="1" ref="E32">IFERROR(INDEX(Table11[Number of Tasks],$F32)=$D32,"")</f>
        <v/>
      </c>
      <c r="F32" s="21" t="str">
        <f ca="1">IFERROR(MATCH($C32,Table11[Task Sheet Shadow ID],0),"")</f>
        <v/>
      </c>
      <c r="G32" s="21" t="str" cm="1">
        <f t="array" ca="1" aca="1" ref="G32">IFERROR(_xlfn.LET(_xlpm._column,INDEX(Table11[Task ID Column],$F32),MATCH($D32,INDIRECT("'"&amp;INDEX(Table11[Sheet Name],$F32)&amp;"'!"&amp;_xlpm._column&amp;":"&amp;_xlpm._column),0)),"")</f>
        <v/>
      </c>
      <c r="H32" s="21" t="str" cm="1">
        <f t="array" ca="1" aca="1" ref="H32">IF($G32="","",(_xlfn.LET(_xlpm._columnID,INDEX(Table11[ID Column],$F32),_xlpm._columnName,INDEX(Table11[Name Column],$F32),INDEX(INDIRECT("'"&amp;INDEX(Table11[Sheet Name],$F32)&amp;"'!"&amp;_xlpm._columnID&amp;":"&amp;_xlpm._columnID),$G32)&amp;" "&amp;INDEX(INDIRECT("'"&amp;INDEX(Table11[Sheet Name],$F32)&amp;"'!"&amp;_xlpm._columnName&amp;":"&amp;_xlpm._columnName),$G32))))</f>
        <v/>
      </c>
      <c r="I32" s="21" t="str" cm="1">
        <f t="array" ca="1" aca="1" ref="I32">IF($G32="","",(_xlfn.LET(_xlpm._columnID,INDEX(Table11[Comment Column],$F32),INDEX(INDIRECT("'"&amp;INDEX(Table11[Sheet Name],$F32)&amp;"'!"&amp;_xlpm._columnID&amp;":"&amp;_xlpm._columnID),$G32))))</f>
        <v/>
      </c>
    </row>
    <row r="33" spans="1:9" ht="15">
      <c r="A33" s="30" t="str" cm="1">
        <f t="array" ca="1" aca="1" ref="A33">IF($E33="","",HYPERLINK("#'"&amp;INDEX(Table11[Sheet Name],$F33)&amp;"'!"&amp;INDEX(Table11[ID Column],$F33)&amp;$G33,IF(LEN(H33)&gt;255,LEFT(H33,250)&amp;" …",H33)))</f>
        <v/>
      </c>
      <c r="B33" s="30" t="str" cm="1">
        <f t="array" ca="1" aca="1" ref="B33">IF($E33="","",HYPERLINK("#'"&amp;INDEX(Table11[Sheet Name],$F33)&amp;"'!"&amp;INDEX(Table11[Comment Column],$F33)&amp;$G33,IF(LEN(I33)&gt;255,LEFT(I33,250)&amp;" …",I33)))</f>
        <v/>
      </c>
      <c r="C33" s="10" cm="1">
        <f t="array" ca="1" aca="1" ref="C33">IFERROR(IF(ROW()=ROW($C$19)+1,1,INDEX($C:$C,ROW()-1))+IF(INDEX($E:$E,ROW()-1)=TRUE,1,0),"")</f>
        <v>2</v>
      </c>
      <c r="D33" s="10">
        <f t="shared" ca="1" si="7"/>
        <v>13</v>
      </c>
      <c r="E33" s="10" t="str" cm="1">
        <f t="array" ca="1" aca="1" ref="E33">IFERROR(INDEX(Table11[Number of Tasks],$F33)=$D33,"")</f>
        <v/>
      </c>
      <c r="F33" s="21" t="str">
        <f ca="1">IFERROR(MATCH($C33,Table11[Task Sheet Shadow ID],0),"")</f>
        <v/>
      </c>
      <c r="G33" s="21" t="str" cm="1">
        <f t="array" ca="1" aca="1" ref="G33">IFERROR(_xlfn.LET(_xlpm._column,INDEX(Table11[Task ID Column],$F33),MATCH($D33,INDIRECT("'"&amp;INDEX(Table11[Sheet Name],$F33)&amp;"'!"&amp;_xlpm._column&amp;":"&amp;_xlpm._column),0)),"")</f>
        <v/>
      </c>
      <c r="H33" s="21" t="str" cm="1">
        <f t="array" ca="1" aca="1" ref="H33">IF($G33="","",(_xlfn.LET(_xlpm._columnID,INDEX(Table11[ID Column],$F33),_xlpm._columnName,INDEX(Table11[Name Column],$F33),INDEX(INDIRECT("'"&amp;INDEX(Table11[Sheet Name],$F33)&amp;"'!"&amp;_xlpm._columnID&amp;":"&amp;_xlpm._columnID),$G33)&amp;" "&amp;INDEX(INDIRECT("'"&amp;INDEX(Table11[Sheet Name],$F33)&amp;"'!"&amp;_xlpm._columnName&amp;":"&amp;_xlpm._columnName),$G33))))</f>
        <v/>
      </c>
      <c r="I33" s="21" t="str" cm="1">
        <f t="array" ca="1" aca="1" ref="I33">IF($G33="","",(_xlfn.LET(_xlpm._columnID,INDEX(Table11[Comment Column],$F33),INDEX(INDIRECT("'"&amp;INDEX(Table11[Sheet Name],$F33)&amp;"'!"&amp;_xlpm._columnID&amp;":"&amp;_xlpm._columnID),$G33))))</f>
        <v/>
      </c>
    </row>
    <row r="34" spans="1:9" ht="15">
      <c r="A34" s="35" t="str" cm="1">
        <f t="array" ca="1" aca="1" ref="A34">IF($E34="","",HYPERLINK("#'"&amp;INDEX(Table11[Sheet Name],$F34)&amp;"'!"&amp;INDEX(Table11[ID Column],$F34)&amp;$G34,IF(LEN(H34)&gt;255,LEFT(H34,250)&amp;" …",H34)))</f>
        <v/>
      </c>
      <c r="B34" s="35" t="str" cm="1">
        <f t="array" ca="1" aca="1" ref="B34">IF($E34="","",HYPERLINK("#'"&amp;INDEX(Table11[Sheet Name],$F34)&amp;"'!"&amp;INDEX(Table11[Comment Column],$F34)&amp;$G34,IF(LEN(I34)&gt;255,LEFT(I34,250)&amp;" …",I34)))</f>
        <v/>
      </c>
      <c r="C34" s="21" cm="1">
        <f t="array" ca="1" aca="1" ref="C34">IFERROR(IF(ROW()=ROW($C$19)+1,1,INDEX($C:$C,ROW()-1))+IF(INDEX($E:$E,ROW()-1)=TRUE,1,0),"")</f>
        <v>2</v>
      </c>
      <c r="D34" s="21">
        <f ca="1" t="shared" si="8" ref="D34:D49">COUNTIF(OFFSET($C$19,1,0,ROW()-ROW($D$19),1),$C34)</f>
        <v>14</v>
      </c>
      <c r="E34" s="21" t="str" cm="1">
        <f t="array" ca="1" aca="1" ref="E34">IFERROR(INDEX(Table11[Number of Tasks],$F34)=$D34,"")</f>
        <v/>
      </c>
      <c r="F34" s="21" t="str">
        <f ca="1">IFERROR(MATCH($C34,Table11[Task Sheet Shadow ID],0),"")</f>
        <v/>
      </c>
      <c r="G34" s="21" t="str" cm="1">
        <f t="array" ca="1" aca="1" ref="G34">IFERROR(_xlfn.LET(_xlpm._column,INDEX(Table11[Task ID Column],$F34),MATCH($D34,INDIRECT("'"&amp;INDEX(Table11[Sheet Name],$F34)&amp;"'!"&amp;_xlpm._column&amp;":"&amp;_xlpm._column),0)),"")</f>
        <v/>
      </c>
      <c r="H34" s="21" t="str" cm="1">
        <f t="array" ca="1" aca="1" ref="H34">IF($G34="","",(_xlfn.LET(_xlpm._columnID,INDEX(Table11[ID Column],$F34),_xlpm._columnName,INDEX(Table11[Name Column],$F34),INDEX(INDIRECT("'"&amp;INDEX(Table11[Sheet Name],$F34)&amp;"'!"&amp;_xlpm._columnID&amp;":"&amp;_xlpm._columnID),$G34)&amp;" "&amp;INDEX(INDIRECT("'"&amp;INDEX(Table11[Sheet Name],$F34)&amp;"'!"&amp;_xlpm._columnName&amp;":"&amp;_xlpm._columnName),$G34))))</f>
        <v/>
      </c>
      <c r="I34" s="21" t="str" cm="1">
        <f t="array" ca="1" aca="1" ref="I34">IF($G34="","",(_xlfn.LET(_xlpm._columnID,INDEX(Table11[Comment Column],$F34),INDEX(INDIRECT("'"&amp;INDEX(Table11[Sheet Name],$F34)&amp;"'!"&amp;_xlpm._columnID&amp;":"&amp;_xlpm._columnID),$G34))))</f>
        <v/>
      </c>
    </row>
    <row r="35" spans="1:9" ht="15">
      <c r="A35" s="35" t="str" cm="1">
        <f t="array" ca="1" aca="1" ref="A35">IF($E35="","",HYPERLINK("#'"&amp;INDEX(Table11[Sheet Name],$F35)&amp;"'!"&amp;INDEX(Table11[ID Column],$F35)&amp;$G35,IF(LEN(H35)&gt;255,LEFT(H35,250)&amp;" …",H35)))</f>
        <v/>
      </c>
      <c r="B35" s="35" t="str" cm="1">
        <f t="array" ca="1" aca="1" ref="B35">IF($E35="","",HYPERLINK("#'"&amp;INDEX(Table11[Sheet Name],$F35)&amp;"'!"&amp;INDEX(Table11[Comment Column],$F35)&amp;$G35,IF(LEN(I35)&gt;255,LEFT(I35,250)&amp;" …",I35)))</f>
        <v/>
      </c>
      <c r="C35" s="21" cm="1">
        <f t="array" ca="1" aca="1" ref="C35">IFERROR(IF(ROW()=ROW($C$19)+1,1,INDEX($C:$C,ROW()-1))+IF(INDEX($E:$E,ROW()-1)=TRUE,1,0),"")</f>
        <v>2</v>
      </c>
      <c r="D35" s="21">
        <f t="shared" ca="1" si="8"/>
        <v>15</v>
      </c>
      <c r="E35" s="21" t="str" cm="1">
        <f t="array" ca="1" aca="1" ref="E35">IFERROR(INDEX(Table11[Number of Tasks],$F35)=$D35,"")</f>
        <v/>
      </c>
      <c r="F35" s="21" t="str">
        <f ca="1">IFERROR(MATCH($C35,Table11[Task Sheet Shadow ID],0),"")</f>
        <v/>
      </c>
      <c r="G35" s="21" t="str" cm="1">
        <f t="array" ca="1" aca="1" ref="G35">IFERROR(_xlfn.LET(_xlpm._column,INDEX(Table11[Task ID Column],$F35),MATCH($D35,INDIRECT("'"&amp;INDEX(Table11[Sheet Name],$F35)&amp;"'!"&amp;_xlpm._column&amp;":"&amp;_xlpm._column),0)),"")</f>
        <v/>
      </c>
      <c r="H35" s="21" t="str" cm="1">
        <f t="array" ca="1" aca="1" ref="H35">IF($G35="","",(_xlfn.LET(_xlpm._columnID,INDEX(Table11[ID Column],$F35),_xlpm._columnName,INDEX(Table11[Name Column],$F35),INDEX(INDIRECT("'"&amp;INDEX(Table11[Sheet Name],$F35)&amp;"'!"&amp;_xlpm._columnID&amp;":"&amp;_xlpm._columnID),$G35)&amp;" "&amp;INDEX(INDIRECT("'"&amp;INDEX(Table11[Sheet Name],$F35)&amp;"'!"&amp;_xlpm._columnName&amp;":"&amp;_xlpm._columnName),$G35))))</f>
        <v/>
      </c>
      <c r="I35" s="21" t="str" cm="1">
        <f t="array" ca="1" aca="1" ref="I35">IF($G35="","",(_xlfn.LET(_xlpm._columnID,INDEX(Table11[Comment Column],$F35),INDEX(INDIRECT("'"&amp;INDEX(Table11[Sheet Name],$F35)&amp;"'!"&amp;_xlpm._columnID&amp;":"&amp;_xlpm._columnID),$G35))))</f>
        <v/>
      </c>
    </row>
    <row r="36" spans="1:9" ht="15">
      <c r="A36" s="35" t="str" cm="1">
        <f t="array" ca="1" aca="1" ref="A36">IF($E36="","",HYPERLINK("#'"&amp;INDEX(Table11[Sheet Name],$F36)&amp;"'!"&amp;INDEX(Table11[ID Column],$F36)&amp;$G36,IF(LEN(H36)&gt;255,LEFT(H36,250)&amp;" …",H36)))</f>
        <v/>
      </c>
      <c r="B36" s="35" t="str" cm="1">
        <f t="array" ca="1" aca="1" ref="B36">IF($E36="","",HYPERLINK("#'"&amp;INDEX(Table11[Sheet Name],$F36)&amp;"'!"&amp;INDEX(Table11[Comment Column],$F36)&amp;$G36,IF(LEN(I36)&gt;255,LEFT(I36,250)&amp;" …",I36)))</f>
        <v/>
      </c>
      <c r="C36" s="21" cm="1">
        <f t="array" ca="1" aca="1" ref="C36">IFERROR(IF(ROW()=ROW($C$19)+1,1,INDEX($C:$C,ROW()-1))+IF(INDEX($E:$E,ROW()-1)=TRUE,1,0),"")</f>
        <v>2</v>
      </c>
      <c r="D36" s="21">
        <f t="shared" ca="1" si="8"/>
        <v>16</v>
      </c>
      <c r="E36" s="21" t="str" cm="1">
        <f t="array" ca="1" aca="1" ref="E36">IFERROR(INDEX(Table11[Number of Tasks],$F36)=$D36,"")</f>
        <v/>
      </c>
      <c r="F36" s="21" t="str">
        <f ca="1">IFERROR(MATCH($C36,Table11[Task Sheet Shadow ID],0),"")</f>
        <v/>
      </c>
      <c r="G36" s="21" t="str" cm="1">
        <f t="array" ca="1" aca="1" ref="G36">IFERROR(_xlfn.LET(_xlpm._column,INDEX(Table11[Task ID Column],$F36),MATCH($D36,INDIRECT("'"&amp;INDEX(Table11[Sheet Name],$F36)&amp;"'!"&amp;_xlpm._column&amp;":"&amp;_xlpm._column),0)),"")</f>
        <v/>
      </c>
      <c r="H36" s="21" t="str" cm="1">
        <f t="array" ca="1" aca="1" ref="H36">IF($G36="","",(_xlfn.LET(_xlpm._columnID,INDEX(Table11[ID Column],$F36),_xlpm._columnName,INDEX(Table11[Name Column],$F36),INDEX(INDIRECT("'"&amp;INDEX(Table11[Sheet Name],$F36)&amp;"'!"&amp;_xlpm._columnID&amp;":"&amp;_xlpm._columnID),$G36)&amp;" "&amp;INDEX(INDIRECT("'"&amp;INDEX(Table11[Sheet Name],$F36)&amp;"'!"&amp;_xlpm._columnName&amp;":"&amp;_xlpm._columnName),$G36))))</f>
        <v/>
      </c>
      <c r="I36" s="21" t="str" cm="1">
        <f t="array" ca="1" aca="1" ref="I36">IF($G36="","",(_xlfn.LET(_xlpm._columnID,INDEX(Table11[Comment Column],$F36),INDEX(INDIRECT("'"&amp;INDEX(Table11[Sheet Name],$F36)&amp;"'!"&amp;_xlpm._columnID&amp;":"&amp;_xlpm._columnID),$G36))))</f>
        <v/>
      </c>
    </row>
    <row r="37" spans="1:9" ht="15">
      <c r="A37" s="35" t="str" cm="1">
        <f t="array" ca="1" aca="1" ref="A37">IF($E37="","",HYPERLINK("#'"&amp;INDEX(Table11[Sheet Name],$F37)&amp;"'!"&amp;INDEX(Table11[ID Column],$F37)&amp;$G37,IF(LEN(H37)&gt;255,LEFT(H37,250)&amp;" …",H37)))</f>
        <v/>
      </c>
      <c r="B37" s="35" t="str" cm="1">
        <f t="array" ca="1" aca="1" ref="B37">IF($E37="","",HYPERLINK("#'"&amp;INDEX(Table11[Sheet Name],$F37)&amp;"'!"&amp;INDEX(Table11[Comment Column],$F37)&amp;$G37,IF(LEN(I37)&gt;255,LEFT(I37,250)&amp;" …",I37)))</f>
        <v/>
      </c>
      <c r="C37" s="21" cm="1">
        <f t="array" ca="1" aca="1" ref="C37">IFERROR(IF(ROW()=ROW($C$19)+1,1,INDEX($C:$C,ROW()-1))+IF(INDEX($E:$E,ROW()-1)=TRUE,1,0),"")</f>
        <v>2</v>
      </c>
      <c r="D37" s="21">
        <f t="shared" ca="1" si="8"/>
        <v>17</v>
      </c>
      <c r="E37" s="21" t="str" cm="1">
        <f t="array" ca="1" aca="1" ref="E37">IFERROR(INDEX(Table11[Number of Tasks],$F37)=$D37,"")</f>
        <v/>
      </c>
      <c r="F37" s="21" t="str">
        <f ca="1">IFERROR(MATCH($C37,Table11[Task Sheet Shadow ID],0),"")</f>
        <v/>
      </c>
      <c r="G37" s="21" t="str" cm="1">
        <f t="array" ca="1" aca="1" ref="G37">IFERROR(_xlfn.LET(_xlpm._column,INDEX(Table11[Task ID Column],$F37),MATCH($D37,INDIRECT("'"&amp;INDEX(Table11[Sheet Name],$F37)&amp;"'!"&amp;_xlpm._column&amp;":"&amp;_xlpm._column),0)),"")</f>
        <v/>
      </c>
      <c r="H37" s="21" t="str" cm="1">
        <f t="array" ca="1" aca="1" ref="H37">IF($G37="","",(_xlfn.LET(_xlpm._columnID,INDEX(Table11[ID Column],$F37),_xlpm._columnName,INDEX(Table11[Name Column],$F37),INDEX(INDIRECT("'"&amp;INDEX(Table11[Sheet Name],$F37)&amp;"'!"&amp;_xlpm._columnID&amp;":"&amp;_xlpm._columnID),$G37)&amp;" "&amp;INDEX(INDIRECT("'"&amp;INDEX(Table11[Sheet Name],$F37)&amp;"'!"&amp;_xlpm._columnName&amp;":"&amp;_xlpm._columnName),$G37))))</f>
        <v/>
      </c>
      <c r="I37" s="21" t="str" cm="1">
        <f t="array" ca="1" aca="1" ref="I37">IF($G37="","",(_xlfn.LET(_xlpm._columnID,INDEX(Table11[Comment Column],$F37),INDEX(INDIRECT("'"&amp;INDEX(Table11[Sheet Name],$F37)&amp;"'!"&amp;_xlpm._columnID&amp;":"&amp;_xlpm._columnID),$G37))))</f>
        <v/>
      </c>
    </row>
    <row r="38" spans="1:9" ht="15">
      <c r="A38" s="35" t="str" cm="1">
        <f t="array" ca="1" aca="1" ref="A38">IF($E38="","",HYPERLINK("#'"&amp;INDEX(Table11[Sheet Name],$F38)&amp;"'!"&amp;INDEX(Table11[ID Column],$F38)&amp;$G38,IF(LEN(H38)&gt;255,LEFT(H38,250)&amp;" …",H38)))</f>
        <v/>
      </c>
      <c r="B38" s="35" t="str" cm="1">
        <f t="array" ca="1" aca="1" ref="B38">IF($E38="","",HYPERLINK("#'"&amp;INDEX(Table11[Sheet Name],$F38)&amp;"'!"&amp;INDEX(Table11[Comment Column],$F38)&amp;$G38,IF(LEN(I38)&gt;255,LEFT(I38,250)&amp;" …",I38)))</f>
        <v/>
      </c>
      <c r="C38" s="21" cm="1">
        <f t="array" ca="1" aca="1" ref="C38">IFERROR(IF(ROW()=ROW($C$19)+1,1,INDEX($C:$C,ROW()-1))+IF(INDEX($E:$E,ROW()-1)=TRUE,1,0),"")</f>
        <v>2</v>
      </c>
      <c r="D38" s="21">
        <f t="shared" ca="1" si="8"/>
        <v>18</v>
      </c>
      <c r="E38" s="21" t="str" cm="1">
        <f t="array" ca="1" aca="1" ref="E38">IFERROR(INDEX(Table11[Number of Tasks],$F38)=$D38,"")</f>
        <v/>
      </c>
      <c r="F38" s="21" t="str">
        <f ca="1">IFERROR(MATCH($C38,Table11[Task Sheet Shadow ID],0),"")</f>
        <v/>
      </c>
      <c r="G38" s="21" t="str" cm="1">
        <f t="array" ca="1" aca="1" ref="G38">IFERROR(_xlfn.LET(_xlpm._column,INDEX(Table11[Task ID Column],$F38),MATCH($D38,INDIRECT("'"&amp;INDEX(Table11[Sheet Name],$F38)&amp;"'!"&amp;_xlpm._column&amp;":"&amp;_xlpm._column),0)),"")</f>
        <v/>
      </c>
      <c r="H38" s="21" t="str" cm="1">
        <f t="array" ca="1" aca="1" ref="H38">IF($G38="","",(_xlfn.LET(_xlpm._columnID,INDEX(Table11[ID Column],$F38),_xlpm._columnName,INDEX(Table11[Name Column],$F38),INDEX(INDIRECT("'"&amp;INDEX(Table11[Sheet Name],$F38)&amp;"'!"&amp;_xlpm._columnID&amp;":"&amp;_xlpm._columnID),$G38)&amp;" "&amp;INDEX(INDIRECT("'"&amp;INDEX(Table11[Sheet Name],$F38)&amp;"'!"&amp;_xlpm._columnName&amp;":"&amp;_xlpm._columnName),$G38))))</f>
        <v/>
      </c>
      <c r="I38" s="21" t="str" cm="1">
        <f t="array" ca="1" aca="1" ref="I38">IF($G38="","",(_xlfn.LET(_xlpm._columnID,INDEX(Table11[Comment Column],$F38),INDEX(INDIRECT("'"&amp;INDEX(Table11[Sheet Name],$F38)&amp;"'!"&amp;_xlpm._columnID&amp;":"&amp;_xlpm._columnID),$G38))))</f>
        <v/>
      </c>
    </row>
    <row r="39" spans="1:9" ht="15">
      <c r="A39" s="35" t="str" cm="1">
        <f t="array" ca="1" aca="1" ref="A39">IF($E39="","",HYPERLINK("#'"&amp;INDEX(Table11[Sheet Name],$F39)&amp;"'!"&amp;INDEX(Table11[ID Column],$F39)&amp;$G39,IF(LEN(H39)&gt;255,LEFT(H39,250)&amp;" …",H39)))</f>
        <v/>
      </c>
      <c r="B39" s="35" t="str" cm="1">
        <f t="array" ca="1" aca="1" ref="B39">IF($E39="","",HYPERLINK("#'"&amp;INDEX(Table11[Sheet Name],$F39)&amp;"'!"&amp;INDEX(Table11[Comment Column],$F39)&amp;$G39,IF(LEN(I39)&gt;255,LEFT(I39,250)&amp;" …",I39)))</f>
        <v/>
      </c>
      <c r="C39" s="21" cm="1">
        <f t="array" ca="1" aca="1" ref="C39">IFERROR(IF(ROW()=ROW($C$19)+1,1,INDEX($C:$C,ROW()-1))+IF(INDEX($E:$E,ROW()-1)=TRUE,1,0),"")</f>
        <v>2</v>
      </c>
      <c r="D39" s="21">
        <f t="shared" ca="1" si="8"/>
        <v>19</v>
      </c>
      <c r="E39" s="21" t="str" cm="1">
        <f t="array" ca="1" aca="1" ref="E39">IFERROR(INDEX(Table11[Number of Tasks],$F39)=$D39,"")</f>
        <v/>
      </c>
      <c r="F39" s="21" t="str">
        <f ca="1">IFERROR(MATCH($C39,Table11[Task Sheet Shadow ID],0),"")</f>
        <v/>
      </c>
      <c r="G39" s="21" t="str" cm="1">
        <f t="array" ca="1" aca="1" ref="G39">IFERROR(_xlfn.LET(_xlpm._column,INDEX(Table11[Task ID Column],$F39),MATCH($D39,INDIRECT("'"&amp;INDEX(Table11[Sheet Name],$F39)&amp;"'!"&amp;_xlpm._column&amp;":"&amp;_xlpm._column),0)),"")</f>
        <v/>
      </c>
      <c r="H39" s="21" t="str" cm="1">
        <f t="array" ca="1" aca="1" ref="H39">IF($G39="","",(_xlfn.LET(_xlpm._columnID,INDEX(Table11[ID Column],$F39),_xlpm._columnName,INDEX(Table11[Name Column],$F39),INDEX(INDIRECT("'"&amp;INDEX(Table11[Sheet Name],$F39)&amp;"'!"&amp;_xlpm._columnID&amp;":"&amp;_xlpm._columnID),$G39)&amp;" "&amp;INDEX(INDIRECT("'"&amp;INDEX(Table11[Sheet Name],$F39)&amp;"'!"&amp;_xlpm._columnName&amp;":"&amp;_xlpm._columnName),$G39))))</f>
        <v/>
      </c>
      <c r="I39" s="21" t="str" cm="1">
        <f t="array" ca="1" aca="1" ref="I39">IF($G39="","",(_xlfn.LET(_xlpm._columnID,INDEX(Table11[Comment Column],$F39),INDEX(INDIRECT("'"&amp;INDEX(Table11[Sheet Name],$F39)&amp;"'!"&amp;_xlpm._columnID&amp;":"&amp;_xlpm._columnID),$G39))))</f>
        <v/>
      </c>
    </row>
    <row r="40" spans="1:9" ht="15">
      <c r="A40" s="35" t="str" cm="1">
        <f t="array" ca="1" aca="1" ref="A40">IF($E40="","",HYPERLINK("#'"&amp;INDEX(Table11[Sheet Name],$F40)&amp;"'!"&amp;INDEX(Table11[ID Column],$F40)&amp;$G40,IF(LEN(H40)&gt;255,LEFT(H40,250)&amp;" …",H40)))</f>
        <v/>
      </c>
      <c r="B40" s="35" t="str" cm="1">
        <f t="array" ca="1" aca="1" ref="B40">IF($E40="","",HYPERLINK("#'"&amp;INDEX(Table11[Sheet Name],$F40)&amp;"'!"&amp;INDEX(Table11[Comment Column],$F40)&amp;$G40,IF(LEN(I40)&gt;255,LEFT(I40,250)&amp;" …",I40)))</f>
        <v/>
      </c>
      <c r="C40" s="21" cm="1">
        <f t="array" ca="1" aca="1" ref="C40">IFERROR(IF(ROW()=ROW($C$19)+1,1,INDEX($C:$C,ROW()-1))+IF(INDEX($E:$E,ROW()-1)=TRUE,1,0),"")</f>
        <v>2</v>
      </c>
      <c r="D40" s="21">
        <f t="shared" ca="1" si="8"/>
        <v>20</v>
      </c>
      <c r="E40" s="21" t="str" cm="1">
        <f t="array" ca="1" aca="1" ref="E40">IFERROR(INDEX(Table11[Number of Tasks],$F40)=$D40,"")</f>
        <v/>
      </c>
      <c r="F40" s="21" t="str">
        <f ca="1">IFERROR(MATCH($C40,Table11[Task Sheet Shadow ID],0),"")</f>
        <v/>
      </c>
      <c r="G40" s="21" t="str" cm="1">
        <f t="array" ca="1" aca="1" ref="G40">IFERROR(_xlfn.LET(_xlpm._column,INDEX(Table11[Task ID Column],$F40),MATCH($D40,INDIRECT("'"&amp;INDEX(Table11[Sheet Name],$F40)&amp;"'!"&amp;_xlpm._column&amp;":"&amp;_xlpm._column),0)),"")</f>
        <v/>
      </c>
      <c r="H40" s="21" t="str" cm="1">
        <f t="array" ca="1" aca="1" ref="H40">IF($G40="","",(_xlfn.LET(_xlpm._columnID,INDEX(Table11[ID Column],$F40),_xlpm._columnName,INDEX(Table11[Name Column],$F40),INDEX(INDIRECT("'"&amp;INDEX(Table11[Sheet Name],$F40)&amp;"'!"&amp;_xlpm._columnID&amp;":"&amp;_xlpm._columnID),$G40)&amp;" "&amp;INDEX(INDIRECT("'"&amp;INDEX(Table11[Sheet Name],$F40)&amp;"'!"&amp;_xlpm._columnName&amp;":"&amp;_xlpm._columnName),$G40))))</f>
        <v/>
      </c>
      <c r="I40" s="21" t="str" cm="1">
        <f t="array" ca="1" aca="1" ref="I40">IF($G40="","",(_xlfn.LET(_xlpm._columnID,INDEX(Table11[Comment Column],$F40),INDEX(INDIRECT("'"&amp;INDEX(Table11[Sheet Name],$F40)&amp;"'!"&amp;_xlpm._columnID&amp;":"&amp;_xlpm._columnID),$G40))))</f>
        <v/>
      </c>
    </row>
    <row r="41" spans="1:9" ht="15">
      <c r="A41" s="35" t="str" cm="1">
        <f t="array" ca="1" aca="1" ref="A41">IF($E41="","",HYPERLINK("#'"&amp;INDEX(Table11[Sheet Name],$F41)&amp;"'!"&amp;INDEX(Table11[ID Column],$F41)&amp;$G41,IF(LEN(H41)&gt;255,LEFT(H41,250)&amp;" …",H41)))</f>
        <v/>
      </c>
      <c r="B41" s="35" t="str" cm="1">
        <f t="array" ca="1" aca="1" ref="B41">IF($E41="","",HYPERLINK("#'"&amp;INDEX(Table11[Sheet Name],$F41)&amp;"'!"&amp;INDEX(Table11[Comment Column],$F41)&amp;$G41,IF(LEN(I41)&gt;255,LEFT(I41,250)&amp;" …",I41)))</f>
        <v/>
      </c>
      <c r="C41" s="21" cm="1">
        <f t="array" ca="1" aca="1" ref="C41">IFERROR(IF(ROW()=ROW($C$19)+1,1,INDEX($C:$C,ROW()-1))+IF(INDEX($E:$E,ROW()-1)=TRUE,1,0),"")</f>
        <v>2</v>
      </c>
      <c r="D41" s="21">
        <f t="shared" ca="1" si="8"/>
        <v>21</v>
      </c>
      <c r="E41" s="21" t="str" cm="1">
        <f t="array" ca="1" aca="1" ref="E41">IFERROR(INDEX(Table11[Number of Tasks],$F41)=$D41,"")</f>
        <v/>
      </c>
      <c r="F41" s="21" t="str">
        <f ca="1">IFERROR(MATCH($C41,Table11[Task Sheet Shadow ID],0),"")</f>
        <v/>
      </c>
      <c r="G41" s="21" t="str" cm="1">
        <f t="array" ca="1" aca="1" ref="G41">IFERROR(_xlfn.LET(_xlpm._column,INDEX(Table11[Task ID Column],$F41),MATCH($D41,INDIRECT("'"&amp;INDEX(Table11[Sheet Name],$F41)&amp;"'!"&amp;_xlpm._column&amp;":"&amp;_xlpm._column),0)),"")</f>
        <v/>
      </c>
      <c r="H41" s="21" t="str" cm="1">
        <f t="array" ca="1" aca="1" ref="H41">IF($G41="","",(_xlfn.LET(_xlpm._columnID,INDEX(Table11[ID Column],$F41),_xlpm._columnName,INDEX(Table11[Name Column],$F41),INDEX(INDIRECT("'"&amp;INDEX(Table11[Sheet Name],$F41)&amp;"'!"&amp;_xlpm._columnID&amp;":"&amp;_xlpm._columnID),$G41)&amp;" "&amp;INDEX(INDIRECT("'"&amp;INDEX(Table11[Sheet Name],$F41)&amp;"'!"&amp;_xlpm._columnName&amp;":"&amp;_xlpm._columnName),$G41))))</f>
        <v/>
      </c>
      <c r="I41" s="21" t="str" cm="1">
        <f t="array" ca="1" aca="1" ref="I41">IF($G41="","",(_xlfn.LET(_xlpm._columnID,INDEX(Table11[Comment Column],$F41),INDEX(INDIRECT("'"&amp;INDEX(Table11[Sheet Name],$F41)&amp;"'!"&amp;_xlpm._columnID&amp;":"&amp;_xlpm._columnID),$G41))))</f>
        <v/>
      </c>
    </row>
    <row r="42" spans="1:9" ht="15">
      <c r="A42" s="35" t="str" cm="1">
        <f t="array" ca="1" aca="1" ref="A42">IF($E42="","",HYPERLINK("#'"&amp;INDEX(Table11[Sheet Name],$F42)&amp;"'!"&amp;INDEX(Table11[ID Column],$F42)&amp;$G42,IF(LEN(H42)&gt;255,LEFT(H42,250)&amp;" …",H42)))</f>
        <v/>
      </c>
      <c r="B42" s="35" t="str" cm="1">
        <f t="array" ca="1" aca="1" ref="B42">IF($E42="","",HYPERLINK("#'"&amp;INDEX(Table11[Sheet Name],$F42)&amp;"'!"&amp;INDEX(Table11[Comment Column],$F42)&amp;$G42,IF(LEN(I42)&gt;255,LEFT(I42,250)&amp;" …",I42)))</f>
        <v/>
      </c>
      <c r="C42" s="21" cm="1">
        <f t="array" ca="1" aca="1" ref="C42">IFERROR(IF(ROW()=ROW($C$19)+1,1,INDEX($C:$C,ROW()-1))+IF(INDEX($E:$E,ROW()-1)=TRUE,1,0),"")</f>
        <v>2</v>
      </c>
      <c r="D42" s="21">
        <f t="shared" ca="1" si="8"/>
        <v>22</v>
      </c>
      <c r="E42" s="21" t="str" cm="1">
        <f t="array" ca="1" aca="1" ref="E42">IFERROR(INDEX(Table11[Number of Tasks],$F42)=$D42,"")</f>
        <v/>
      </c>
      <c r="F42" s="21" t="str">
        <f ca="1">IFERROR(MATCH($C42,Table11[Task Sheet Shadow ID],0),"")</f>
        <v/>
      </c>
      <c r="G42" s="21" t="str" cm="1">
        <f t="array" ca="1" aca="1" ref="G42">IFERROR(_xlfn.LET(_xlpm._column,INDEX(Table11[Task ID Column],$F42),MATCH($D42,INDIRECT("'"&amp;INDEX(Table11[Sheet Name],$F42)&amp;"'!"&amp;_xlpm._column&amp;":"&amp;_xlpm._column),0)),"")</f>
        <v/>
      </c>
      <c r="H42" s="21" t="str" cm="1">
        <f t="array" ca="1" aca="1" ref="H42">IF($G42="","",(_xlfn.LET(_xlpm._columnID,INDEX(Table11[ID Column],$F42),_xlpm._columnName,INDEX(Table11[Name Column],$F42),INDEX(INDIRECT("'"&amp;INDEX(Table11[Sheet Name],$F42)&amp;"'!"&amp;_xlpm._columnID&amp;":"&amp;_xlpm._columnID),$G42)&amp;" "&amp;INDEX(INDIRECT("'"&amp;INDEX(Table11[Sheet Name],$F42)&amp;"'!"&amp;_xlpm._columnName&amp;":"&amp;_xlpm._columnName),$G42))))</f>
        <v/>
      </c>
      <c r="I42" s="21" t="str" cm="1">
        <f t="array" ca="1" aca="1" ref="I42">IF($G42="","",(_xlfn.LET(_xlpm._columnID,INDEX(Table11[Comment Column],$F42),INDEX(INDIRECT("'"&amp;INDEX(Table11[Sheet Name],$F42)&amp;"'!"&amp;_xlpm._columnID&amp;":"&amp;_xlpm._columnID),$G42))))</f>
        <v/>
      </c>
    </row>
    <row r="43" spans="1:9" ht="15">
      <c r="A43" s="35" t="str" cm="1">
        <f t="array" ca="1" aca="1" ref="A43">IF($E43="","",HYPERLINK("#'"&amp;INDEX(Table11[Sheet Name],$F43)&amp;"'!"&amp;INDEX(Table11[ID Column],$F43)&amp;$G43,IF(LEN(H43)&gt;255,LEFT(H43,250)&amp;" …",H43)))</f>
        <v/>
      </c>
      <c r="B43" s="35" t="str" cm="1">
        <f t="array" ca="1" aca="1" ref="B43">IF($E43="","",HYPERLINK("#'"&amp;INDEX(Table11[Sheet Name],$F43)&amp;"'!"&amp;INDEX(Table11[Comment Column],$F43)&amp;$G43,IF(LEN(I43)&gt;255,LEFT(I43,250)&amp;" …",I43)))</f>
        <v/>
      </c>
      <c r="C43" s="21" cm="1">
        <f t="array" ca="1" aca="1" ref="C43">IFERROR(IF(ROW()=ROW($C$19)+1,1,INDEX($C:$C,ROW()-1))+IF(INDEX($E:$E,ROW()-1)=TRUE,1,0),"")</f>
        <v>2</v>
      </c>
      <c r="D43" s="21">
        <f t="shared" ca="1" si="8"/>
        <v>23</v>
      </c>
      <c r="E43" s="21" t="str" cm="1">
        <f t="array" ca="1" aca="1" ref="E43">IFERROR(INDEX(Table11[Number of Tasks],$F43)=$D43,"")</f>
        <v/>
      </c>
      <c r="F43" s="21" t="str">
        <f ca="1">IFERROR(MATCH($C43,Table11[Task Sheet Shadow ID],0),"")</f>
        <v/>
      </c>
      <c r="G43" s="21" t="str" cm="1">
        <f t="array" ca="1" aca="1" ref="G43">IFERROR(_xlfn.LET(_xlpm._column,INDEX(Table11[Task ID Column],$F43),MATCH($D43,INDIRECT("'"&amp;INDEX(Table11[Sheet Name],$F43)&amp;"'!"&amp;_xlpm._column&amp;":"&amp;_xlpm._column),0)),"")</f>
        <v/>
      </c>
      <c r="H43" s="21" t="str" cm="1">
        <f t="array" ca="1" aca="1" ref="H43">IF($G43="","",(_xlfn.LET(_xlpm._columnID,INDEX(Table11[ID Column],$F43),_xlpm._columnName,INDEX(Table11[Name Column],$F43),INDEX(INDIRECT("'"&amp;INDEX(Table11[Sheet Name],$F43)&amp;"'!"&amp;_xlpm._columnID&amp;":"&amp;_xlpm._columnID),$G43)&amp;" "&amp;INDEX(INDIRECT("'"&amp;INDEX(Table11[Sheet Name],$F43)&amp;"'!"&amp;_xlpm._columnName&amp;":"&amp;_xlpm._columnName),$G43))))</f>
        <v/>
      </c>
      <c r="I43" s="21" t="str" cm="1">
        <f t="array" ca="1" aca="1" ref="I43">IF($G43="","",(_xlfn.LET(_xlpm._columnID,INDEX(Table11[Comment Column],$F43),INDEX(INDIRECT("'"&amp;INDEX(Table11[Sheet Name],$F43)&amp;"'!"&amp;_xlpm._columnID&amp;":"&amp;_xlpm._columnID),$G43))))</f>
        <v/>
      </c>
    </row>
    <row r="44" spans="1:9" ht="15">
      <c r="A44" s="35" t="str" cm="1">
        <f t="array" ca="1" aca="1" ref="A44">IF($E44="","",HYPERLINK("#'"&amp;INDEX(Table11[Sheet Name],$F44)&amp;"'!"&amp;INDEX(Table11[ID Column],$F44)&amp;$G44,IF(LEN(H44)&gt;255,LEFT(H44,250)&amp;" …",H44)))</f>
        <v/>
      </c>
      <c r="B44" s="35" t="str" cm="1">
        <f t="array" ca="1" aca="1" ref="B44">IF($E44="","",HYPERLINK("#'"&amp;INDEX(Table11[Sheet Name],$F44)&amp;"'!"&amp;INDEX(Table11[Comment Column],$F44)&amp;$G44,IF(LEN(I44)&gt;255,LEFT(I44,250)&amp;" …",I44)))</f>
        <v/>
      </c>
      <c r="C44" s="21" cm="1">
        <f t="array" ca="1" aca="1" ref="C44">IFERROR(IF(ROW()=ROW($C$19)+1,1,INDEX($C:$C,ROW()-1))+IF(INDEX($E:$E,ROW()-1)=TRUE,1,0),"")</f>
        <v>2</v>
      </c>
      <c r="D44" s="21">
        <f t="shared" ca="1" si="8"/>
        <v>24</v>
      </c>
      <c r="E44" s="21" t="str" cm="1">
        <f t="array" ca="1" aca="1" ref="E44">IFERROR(INDEX(Table11[Number of Tasks],$F44)=$D44,"")</f>
        <v/>
      </c>
      <c r="F44" s="21" t="str">
        <f ca="1">IFERROR(MATCH($C44,Table11[Task Sheet Shadow ID],0),"")</f>
        <v/>
      </c>
      <c r="G44" s="21" t="str" cm="1">
        <f t="array" ca="1" aca="1" ref="G44">IFERROR(_xlfn.LET(_xlpm._column,INDEX(Table11[Task ID Column],$F44),MATCH($D44,INDIRECT("'"&amp;INDEX(Table11[Sheet Name],$F44)&amp;"'!"&amp;_xlpm._column&amp;":"&amp;_xlpm._column),0)),"")</f>
        <v/>
      </c>
      <c r="H44" s="21" t="str" cm="1">
        <f t="array" ca="1" aca="1" ref="H44">IF($G44="","",(_xlfn.LET(_xlpm._columnID,INDEX(Table11[ID Column],$F44),_xlpm._columnName,INDEX(Table11[Name Column],$F44),INDEX(INDIRECT("'"&amp;INDEX(Table11[Sheet Name],$F44)&amp;"'!"&amp;_xlpm._columnID&amp;":"&amp;_xlpm._columnID),$G44)&amp;" "&amp;INDEX(INDIRECT("'"&amp;INDEX(Table11[Sheet Name],$F44)&amp;"'!"&amp;_xlpm._columnName&amp;":"&amp;_xlpm._columnName),$G44))))</f>
        <v/>
      </c>
      <c r="I44" s="21" t="str" cm="1">
        <f t="array" ca="1" aca="1" ref="I44">IF($G44="","",(_xlfn.LET(_xlpm._columnID,INDEX(Table11[Comment Column],$F44),INDEX(INDIRECT("'"&amp;INDEX(Table11[Sheet Name],$F44)&amp;"'!"&amp;_xlpm._columnID&amp;":"&amp;_xlpm._columnID),$G44))))</f>
        <v/>
      </c>
    </row>
    <row r="45" spans="1:9" ht="15">
      <c r="A45" s="35" t="str" cm="1">
        <f t="array" ca="1" aca="1" ref="A45">IF($E45="","",HYPERLINK("#'"&amp;INDEX(Table11[Sheet Name],$F45)&amp;"'!"&amp;INDEX(Table11[ID Column],$F45)&amp;$G45,IF(LEN(H45)&gt;255,LEFT(H45,250)&amp;" …",H45)))</f>
        <v/>
      </c>
      <c r="B45" s="35" t="str" cm="1">
        <f t="array" ca="1" aca="1" ref="B45">IF($E45="","",HYPERLINK("#'"&amp;INDEX(Table11[Sheet Name],$F45)&amp;"'!"&amp;INDEX(Table11[Comment Column],$F45)&amp;$G45,IF(LEN(I45)&gt;255,LEFT(I45,250)&amp;" …",I45)))</f>
        <v/>
      </c>
      <c r="C45" s="21" cm="1">
        <f t="array" ca="1" aca="1" ref="C45">IFERROR(IF(ROW()=ROW($C$19)+1,1,INDEX($C:$C,ROW()-1))+IF(INDEX($E:$E,ROW()-1)=TRUE,1,0),"")</f>
        <v>2</v>
      </c>
      <c r="D45" s="21">
        <f t="shared" ca="1" si="8"/>
        <v>25</v>
      </c>
      <c r="E45" s="21" t="str" cm="1">
        <f t="array" ca="1" aca="1" ref="E45">IFERROR(INDEX(Table11[Number of Tasks],$F45)=$D45,"")</f>
        <v/>
      </c>
      <c r="F45" s="21" t="str">
        <f ca="1">IFERROR(MATCH($C45,Table11[Task Sheet Shadow ID],0),"")</f>
        <v/>
      </c>
      <c r="G45" s="21" t="str" cm="1">
        <f t="array" ca="1" aca="1" ref="G45">IFERROR(_xlfn.LET(_xlpm._column,INDEX(Table11[Task ID Column],$F45),MATCH($D45,INDIRECT("'"&amp;INDEX(Table11[Sheet Name],$F45)&amp;"'!"&amp;_xlpm._column&amp;":"&amp;_xlpm._column),0)),"")</f>
        <v/>
      </c>
      <c r="H45" s="21" t="str" cm="1">
        <f t="array" ca="1" aca="1" ref="H45">IF($G45="","",(_xlfn.LET(_xlpm._columnID,INDEX(Table11[ID Column],$F45),_xlpm._columnName,INDEX(Table11[Name Column],$F45),INDEX(INDIRECT("'"&amp;INDEX(Table11[Sheet Name],$F45)&amp;"'!"&amp;_xlpm._columnID&amp;":"&amp;_xlpm._columnID),$G45)&amp;" "&amp;INDEX(INDIRECT("'"&amp;INDEX(Table11[Sheet Name],$F45)&amp;"'!"&amp;_xlpm._columnName&amp;":"&amp;_xlpm._columnName),$G45))))</f>
        <v/>
      </c>
      <c r="I45" s="21" t="str" cm="1">
        <f t="array" ca="1" aca="1" ref="I45">IF($G45="","",(_xlfn.LET(_xlpm._columnID,INDEX(Table11[Comment Column],$F45),INDEX(INDIRECT("'"&amp;INDEX(Table11[Sheet Name],$F45)&amp;"'!"&amp;_xlpm._columnID&amp;":"&amp;_xlpm._columnID),$G45))))</f>
        <v/>
      </c>
    </row>
    <row r="46" spans="1:9" ht="15">
      <c r="A46" s="35" t="str" cm="1">
        <f t="array" ca="1" aca="1" ref="A46">IF($E46="","",HYPERLINK("#'"&amp;INDEX(Table11[Sheet Name],$F46)&amp;"'!"&amp;INDEX(Table11[ID Column],$F46)&amp;$G46,IF(LEN(H46)&gt;255,LEFT(H46,250)&amp;" …",H46)))</f>
        <v/>
      </c>
      <c r="B46" s="35" t="str" cm="1">
        <f t="array" ca="1" aca="1" ref="B46">IF($E46="","",HYPERLINK("#'"&amp;INDEX(Table11[Sheet Name],$F46)&amp;"'!"&amp;INDEX(Table11[Comment Column],$F46)&amp;$G46,IF(LEN(I46)&gt;255,LEFT(I46,250)&amp;" …",I46)))</f>
        <v/>
      </c>
      <c r="C46" s="21" cm="1">
        <f t="array" ca="1" aca="1" ref="C46">IFERROR(IF(ROW()=ROW($C$19)+1,1,INDEX($C:$C,ROW()-1))+IF(INDEX($E:$E,ROW()-1)=TRUE,1,0),"")</f>
        <v>2</v>
      </c>
      <c r="D46" s="21">
        <f t="shared" ca="1" si="8"/>
        <v>26</v>
      </c>
      <c r="E46" s="21" t="str" cm="1">
        <f t="array" ca="1" aca="1" ref="E46">IFERROR(INDEX(Table11[Number of Tasks],$F46)=$D46,"")</f>
        <v/>
      </c>
      <c r="F46" s="21" t="str">
        <f ca="1">IFERROR(MATCH($C46,Table11[Task Sheet Shadow ID],0),"")</f>
        <v/>
      </c>
      <c r="G46" s="21" t="str" cm="1">
        <f t="array" ca="1" aca="1" ref="G46">IFERROR(_xlfn.LET(_xlpm._column,INDEX(Table11[Task ID Column],$F46),MATCH($D46,INDIRECT("'"&amp;INDEX(Table11[Sheet Name],$F46)&amp;"'!"&amp;_xlpm._column&amp;":"&amp;_xlpm._column),0)),"")</f>
        <v/>
      </c>
      <c r="H46" s="21" t="str" cm="1">
        <f t="array" ca="1" aca="1" ref="H46">IF($G46="","",(_xlfn.LET(_xlpm._columnID,INDEX(Table11[ID Column],$F46),_xlpm._columnName,INDEX(Table11[Name Column],$F46),INDEX(INDIRECT("'"&amp;INDEX(Table11[Sheet Name],$F46)&amp;"'!"&amp;_xlpm._columnID&amp;":"&amp;_xlpm._columnID),$G46)&amp;" "&amp;INDEX(INDIRECT("'"&amp;INDEX(Table11[Sheet Name],$F46)&amp;"'!"&amp;_xlpm._columnName&amp;":"&amp;_xlpm._columnName),$G46))))</f>
        <v/>
      </c>
      <c r="I46" s="21" t="str" cm="1">
        <f t="array" ca="1" aca="1" ref="I46">IF($G46="","",(_xlfn.LET(_xlpm._columnID,INDEX(Table11[Comment Column],$F46),INDEX(INDIRECT("'"&amp;INDEX(Table11[Sheet Name],$F46)&amp;"'!"&amp;_xlpm._columnID&amp;":"&amp;_xlpm._columnID),$G46))))</f>
        <v/>
      </c>
    </row>
    <row r="47" spans="1:9" ht="15">
      <c r="A47" s="35" t="str" cm="1">
        <f t="array" ca="1" aca="1" ref="A47">IF($E47="","",HYPERLINK("#'"&amp;INDEX(Table11[Sheet Name],$F47)&amp;"'!"&amp;INDEX(Table11[ID Column],$F47)&amp;$G47,IF(LEN(H47)&gt;255,LEFT(H47,250)&amp;" …",H47)))</f>
        <v/>
      </c>
      <c r="B47" s="35" t="str" cm="1">
        <f t="array" ca="1" aca="1" ref="B47">IF($E47="","",HYPERLINK("#'"&amp;INDEX(Table11[Sheet Name],$F47)&amp;"'!"&amp;INDEX(Table11[Comment Column],$F47)&amp;$G47,IF(LEN(I47)&gt;255,LEFT(I47,250)&amp;" …",I47)))</f>
        <v/>
      </c>
      <c r="C47" s="21" cm="1">
        <f t="array" ca="1" aca="1" ref="C47">IFERROR(IF(ROW()=ROW($C$19)+1,1,INDEX($C:$C,ROW()-1))+IF(INDEX($E:$E,ROW()-1)=TRUE,1,0),"")</f>
        <v>2</v>
      </c>
      <c r="D47" s="21">
        <f t="shared" ca="1" si="8"/>
        <v>27</v>
      </c>
      <c r="E47" s="21" t="str" cm="1">
        <f t="array" ca="1" aca="1" ref="E47">IFERROR(INDEX(Table11[Number of Tasks],$F47)=$D47,"")</f>
        <v/>
      </c>
      <c r="F47" s="21" t="str">
        <f ca="1">IFERROR(MATCH($C47,Table11[Task Sheet Shadow ID],0),"")</f>
        <v/>
      </c>
      <c r="G47" s="21" t="str" cm="1">
        <f t="array" ca="1" aca="1" ref="G47">IFERROR(_xlfn.LET(_xlpm._column,INDEX(Table11[Task ID Column],$F47),MATCH($D47,INDIRECT("'"&amp;INDEX(Table11[Sheet Name],$F47)&amp;"'!"&amp;_xlpm._column&amp;":"&amp;_xlpm._column),0)),"")</f>
        <v/>
      </c>
      <c r="H47" s="21" t="str" cm="1">
        <f t="array" ca="1" aca="1" ref="H47">IF($G47="","",(_xlfn.LET(_xlpm._columnID,INDEX(Table11[ID Column],$F47),_xlpm._columnName,INDEX(Table11[Name Column],$F47),INDEX(INDIRECT("'"&amp;INDEX(Table11[Sheet Name],$F47)&amp;"'!"&amp;_xlpm._columnID&amp;":"&amp;_xlpm._columnID),$G47)&amp;" "&amp;INDEX(INDIRECT("'"&amp;INDEX(Table11[Sheet Name],$F47)&amp;"'!"&amp;_xlpm._columnName&amp;":"&amp;_xlpm._columnName),$G47))))</f>
        <v/>
      </c>
      <c r="I47" s="21" t="str" cm="1">
        <f t="array" ca="1" aca="1" ref="I47">IF($G47="","",(_xlfn.LET(_xlpm._columnID,INDEX(Table11[Comment Column],$F47),INDEX(INDIRECT("'"&amp;INDEX(Table11[Sheet Name],$F47)&amp;"'!"&amp;_xlpm._columnID&amp;":"&amp;_xlpm._columnID),$G47))))</f>
        <v/>
      </c>
    </row>
    <row r="48" spans="1:9" ht="15">
      <c r="A48" s="35" t="str" cm="1">
        <f t="array" ca="1" aca="1" ref="A48">IF($E48="","",HYPERLINK("#'"&amp;INDEX(Table11[Sheet Name],$F48)&amp;"'!"&amp;INDEX(Table11[ID Column],$F48)&amp;$G48,IF(LEN(H48)&gt;255,LEFT(H48,250)&amp;" …",H48)))</f>
        <v/>
      </c>
      <c r="B48" s="35" t="str" cm="1">
        <f t="array" ca="1" aca="1" ref="B48">IF($E48="","",HYPERLINK("#'"&amp;INDEX(Table11[Sheet Name],$F48)&amp;"'!"&amp;INDEX(Table11[Comment Column],$F48)&amp;$G48,IF(LEN(I48)&gt;255,LEFT(I48,250)&amp;" …",I48)))</f>
        <v/>
      </c>
      <c r="C48" s="21" cm="1">
        <f t="array" ca="1" aca="1" ref="C48">IFERROR(IF(ROW()=ROW($C$19)+1,1,INDEX($C:$C,ROW()-1))+IF(INDEX($E:$E,ROW()-1)=TRUE,1,0),"")</f>
        <v>2</v>
      </c>
      <c r="D48" s="21">
        <f t="shared" ca="1" si="8"/>
        <v>28</v>
      </c>
      <c r="E48" s="21" t="str" cm="1">
        <f t="array" ca="1" aca="1" ref="E48">IFERROR(INDEX(Table11[Number of Tasks],$F48)=$D48,"")</f>
        <v/>
      </c>
      <c r="F48" s="21" t="str">
        <f ca="1">IFERROR(MATCH($C48,Table11[Task Sheet Shadow ID],0),"")</f>
        <v/>
      </c>
      <c r="G48" s="21" t="str" cm="1">
        <f t="array" ca="1" aca="1" ref="G48">IFERROR(_xlfn.LET(_xlpm._column,INDEX(Table11[Task ID Column],$F48),MATCH($D48,INDIRECT("'"&amp;INDEX(Table11[Sheet Name],$F48)&amp;"'!"&amp;_xlpm._column&amp;":"&amp;_xlpm._column),0)),"")</f>
        <v/>
      </c>
      <c r="H48" s="21" t="str" cm="1">
        <f t="array" ca="1" aca="1" ref="H48">IF($G48="","",(_xlfn.LET(_xlpm._columnID,INDEX(Table11[ID Column],$F48),_xlpm._columnName,INDEX(Table11[Name Column],$F48),INDEX(INDIRECT("'"&amp;INDEX(Table11[Sheet Name],$F48)&amp;"'!"&amp;_xlpm._columnID&amp;":"&amp;_xlpm._columnID),$G48)&amp;" "&amp;INDEX(INDIRECT("'"&amp;INDEX(Table11[Sheet Name],$F48)&amp;"'!"&amp;_xlpm._columnName&amp;":"&amp;_xlpm._columnName),$G48))))</f>
        <v/>
      </c>
      <c r="I48" s="21" t="str" cm="1">
        <f t="array" ca="1" aca="1" ref="I48">IF($G48="","",(_xlfn.LET(_xlpm._columnID,INDEX(Table11[Comment Column],$F48),INDEX(INDIRECT("'"&amp;INDEX(Table11[Sheet Name],$F48)&amp;"'!"&amp;_xlpm._columnID&amp;":"&amp;_xlpm._columnID),$G48))))</f>
        <v/>
      </c>
    </row>
    <row r="49" spans="1:9" ht="15">
      <c r="A49" s="35" t="str" cm="1">
        <f t="array" ca="1" aca="1" ref="A49">IF($E49="","",HYPERLINK("#'"&amp;INDEX(Table11[Sheet Name],$F49)&amp;"'!"&amp;INDEX(Table11[ID Column],$F49)&amp;$G49,IF(LEN(H49)&gt;255,LEFT(H49,250)&amp;" …",H49)))</f>
        <v/>
      </c>
      <c r="B49" s="35" t="str" cm="1">
        <f t="array" ca="1" aca="1" ref="B49">IF($E49="","",HYPERLINK("#'"&amp;INDEX(Table11[Sheet Name],$F49)&amp;"'!"&amp;INDEX(Table11[Comment Column],$F49)&amp;$G49,IF(LEN(I49)&gt;255,LEFT(I49,250)&amp;" …",I49)))</f>
        <v/>
      </c>
      <c r="C49" s="21" cm="1">
        <f t="array" ca="1" aca="1" ref="C49">IFERROR(IF(ROW()=ROW($C$19)+1,1,INDEX($C:$C,ROW()-1))+IF(INDEX($E:$E,ROW()-1)=TRUE,1,0),"")</f>
        <v>2</v>
      </c>
      <c r="D49" s="21">
        <f t="shared" ca="1" si="8"/>
        <v>29</v>
      </c>
      <c r="E49" s="21" t="str" cm="1">
        <f t="array" ca="1" aca="1" ref="E49">IFERROR(INDEX(Table11[Number of Tasks],$F49)=$D49,"")</f>
        <v/>
      </c>
      <c r="F49" s="21" t="str">
        <f ca="1">IFERROR(MATCH($C49,Table11[Task Sheet Shadow ID],0),"")</f>
        <v/>
      </c>
      <c r="G49" s="21" t="str" cm="1">
        <f t="array" ca="1" aca="1" ref="G49">IFERROR(_xlfn.LET(_xlpm._column,INDEX(Table11[Task ID Column],$F49),MATCH($D49,INDIRECT("'"&amp;INDEX(Table11[Sheet Name],$F49)&amp;"'!"&amp;_xlpm._column&amp;":"&amp;_xlpm._column),0)),"")</f>
        <v/>
      </c>
      <c r="H49" s="21" t="str" cm="1">
        <f t="array" ca="1" aca="1" ref="H49">IF($G49="","",(_xlfn.LET(_xlpm._columnID,INDEX(Table11[ID Column],$F49),_xlpm._columnName,INDEX(Table11[Name Column],$F49),INDEX(INDIRECT("'"&amp;INDEX(Table11[Sheet Name],$F49)&amp;"'!"&amp;_xlpm._columnID&amp;":"&amp;_xlpm._columnID),$G49)&amp;" "&amp;INDEX(INDIRECT("'"&amp;INDEX(Table11[Sheet Name],$F49)&amp;"'!"&amp;_xlpm._columnName&amp;":"&amp;_xlpm._columnName),$G49))))</f>
        <v/>
      </c>
      <c r="I49" s="21" t="str" cm="1">
        <f t="array" ca="1" aca="1" ref="I49">IF($G49="","",(_xlfn.LET(_xlpm._columnID,INDEX(Table11[Comment Column],$F49),INDEX(INDIRECT("'"&amp;INDEX(Table11[Sheet Name],$F49)&amp;"'!"&amp;_xlpm._columnID&amp;":"&amp;_xlpm._columnID),$G49))))</f>
        <v/>
      </c>
    </row>
    <row r="50" spans="1:9" ht="15">
      <c r="A50" s="76" t="str" cm="1">
        <f t="array" ca="1" aca="1" ref="A50">IF($E50="","",HYPERLINK("#'"&amp;INDEX(Table11[Sheet Name],$F50)&amp;"'!"&amp;INDEX(Table11[ID Column],$F50)&amp;$G50,IF(LEN(H50)&gt;255,LEFT(H50,250)&amp;" …",H50)))</f>
        <v/>
      </c>
      <c r="B50" s="76" t="str" cm="1">
        <f t="array" ca="1" aca="1" ref="B50">IF($E50="","",HYPERLINK("#'"&amp;INDEX(Table11[Sheet Name],$F50)&amp;"'!"&amp;INDEX(Table11[Comment Column],$F50)&amp;$G50,IF(LEN(I50)&gt;255,LEFT(I50,250)&amp;" …",I50)))</f>
        <v/>
      </c>
      <c r="C50" s="21" cm="1">
        <f t="array" ca="1" aca="1" ref="C50">IFERROR(IF(ROW()=ROW($C$19)+1,1,INDEX($C:$C,ROW()-1))+IF(INDEX($E:$E,ROW()-1)=TRUE,1,0),"")</f>
        <v>2</v>
      </c>
      <c r="D50" s="21">
        <f ca="1" t="shared" si="9" ref="D50:D68">COUNTIF(OFFSET($C$19,1,0,ROW()-ROW($D$19),1),$C50)</f>
        <v>30</v>
      </c>
      <c r="E50" s="21" t="str" cm="1">
        <f t="array" ca="1" aca="1" ref="E50">IFERROR(INDEX(Table11[Number of Tasks],$F50)=$D50,"")</f>
        <v/>
      </c>
      <c r="F50" s="21" t="str">
        <f ca="1">IFERROR(MATCH($C50,Table11[Task Sheet Shadow ID],0),"")</f>
        <v/>
      </c>
      <c r="G50" s="21" t="str" cm="1">
        <f t="array" ca="1" aca="1" ref="G50">IFERROR(_xlfn.LET(_xlpm._column,INDEX(Table11[Task ID Column],$F50),MATCH($D50,INDIRECT("'"&amp;INDEX(Table11[Sheet Name],$F50)&amp;"'!"&amp;_xlpm._column&amp;":"&amp;_xlpm._column),0)),"")</f>
        <v/>
      </c>
      <c r="H50" s="21" t="str" cm="1">
        <f t="array" ca="1" aca="1" ref="H50">IF($G50="","",(_xlfn.LET(_xlpm._columnID,INDEX(Table11[ID Column],$F50),_xlpm._columnName,INDEX(Table11[Name Column],$F50),INDEX(INDIRECT("'"&amp;INDEX(Table11[Sheet Name],$F50)&amp;"'!"&amp;_xlpm._columnID&amp;":"&amp;_xlpm._columnID),$G50)&amp;" "&amp;INDEX(INDIRECT("'"&amp;INDEX(Table11[Sheet Name],$F50)&amp;"'!"&amp;_xlpm._columnName&amp;":"&amp;_xlpm._columnName),$G50))))</f>
        <v/>
      </c>
      <c r="I50" s="21" t="str" cm="1">
        <f t="array" ca="1" aca="1" ref="I50">IF($G50="","",(_xlfn.LET(_xlpm._columnID,INDEX(Table11[Comment Column],$F50),INDEX(INDIRECT("'"&amp;INDEX(Table11[Sheet Name],$F50)&amp;"'!"&amp;_xlpm._columnID&amp;":"&amp;_xlpm._columnID),$G50))))</f>
        <v/>
      </c>
    </row>
    <row r="51" spans="1:9" ht="15">
      <c r="A51" s="76" t="str" cm="1">
        <f t="array" ca="1" aca="1" ref="A51">IF($E51="","",HYPERLINK("#'"&amp;INDEX(Table11[Sheet Name],$F51)&amp;"'!"&amp;INDEX(Table11[ID Column],$F51)&amp;$G51,IF(LEN(H51)&gt;255,LEFT(H51,250)&amp;" …",H51)))</f>
        <v/>
      </c>
      <c r="B51" s="76" t="str" cm="1">
        <f t="array" ca="1" aca="1" ref="B51">IF($E51="","",HYPERLINK("#'"&amp;INDEX(Table11[Sheet Name],$F51)&amp;"'!"&amp;INDEX(Table11[Comment Column],$F51)&amp;$G51,IF(LEN(I51)&gt;255,LEFT(I51,250)&amp;" …",I51)))</f>
        <v/>
      </c>
      <c r="C51" s="21" cm="1">
        <f t="array" ca="1" aca="1" ref="C51">IFERROR(IF(ROW()=ROW($C$19)+1,1,INDEX($C:$C,ROW()-1))+IF(INDEX($E:$E,ROW()-1)=TRUE,1,0),"")</f>
        <v>2</v>
      </c>
      <c r="D51" s="21">
        <f t="shared" ca="1" si="9"/>
        <v>31</v>
      </c>
      <c r="E51" s="21" t="str" cm="1">
        <f t="array" ca="1" aca="1" ref="E51">IFERROR(INDEX(Table11[Number of Tasks],$F51)=$D51,"")</f>
        <v/>
      </c>
      <c r="F51" s="21" t="str">
        <f ca="1">IFERROR(MATCH($C51,Table11[Task Sheet Shadow ID],0),"")</f>
        <v/>
      </c>
      <c r="G51" s="21" t="str" cm="1">
        <f t="array" ca="1" aca="1" ref="G51">IFERROR(_xlfn.LET(_xlpm._column,INDEX(Table11[Task ID Column],$F51),MATCH($D51,INDIRECT("'"&amp;INDEX(Table11[Sheet Name],$F51)&amp;"'!"&amp;_xlpm._column&amp;":"&amp;_xlpm._column),0)),"")</f>
        <v/>
      </c>
      <c r="H51" s="21" t="str" cm="1">
        <f t="array" ca="1" aca="1" ref="H51">IF($G51="","",(_xlfn.LET(_xlpm._columnID,INDEX(Table11[ID Column],$F51),_xlpm._columnName,INDEX(Table11[Name Column],$F51),INDEX(INDIRECT("'"&amp;INDEX(Table11[Sheet Name],$F51)&amp;"'!"&amp;_xlpm._columnID&amp;":"&amp;_xlpm._columnID),$G51)&amp;" "&amp;INDEX(INDIRECT("'"&amp;INDEX(Table11[Sheet Name],$F51)&amp;"'!"&amp;_xlpm._columnName&amp;":"&amp;_xlpm._columnName),$G51))))</f>
        <v/>
      </c>
      <c r="I51" s="21" t="str" cm="1">
        <f t="array" ca="1" aca="1" ref="I51">IF($G51="","",(_xlfn.LET(_xlpm._columnID,INDEX(Table11[Comment Column],$F51),INDEX(INDIRECT("'"&amp;INDEX(Table11[Sheet Name],$F51)&amp;"'!"&amp;_xlpm._columnID&amp;":"&amp;_xlpm._columnID),$G51))))</f>
        <v/>
      </c>
    </row>
    <row r="52" spans="1:9" ht="15">
      <c r="A52" s="76" t="str" cm="1">
        <f t="array" ca="1" aca="1" ref="A52">IF($E52="","",HYPERLINK("#'"&amp;INDEX(Table11[Sheet Name],$F52)&amp;"'!"&amp;INDEX(Table11[ID Column],$F52)&amp;$G52,IF(LEN(H52)&gt;255,LEFT(H52,250)&amp;" …",H52)))</f>
        <v/>
      </c>
      <c r="B52" s="76" t="str" cm="1">
        <f t="array" ca="1" aca="1" ref="B52">IF($E52="","",HYPERLINK("#'"&amp;INDEX(Table11[Sheet Name],$F52)&amp;"'!"&amp;INDEX(Table11[Comment Column],$F52)&amp;$G52,IF(LEN(I52)&gt;255,LEFT(I52,250)&amp;" …",I52)))</f>
        <v/>
      </c>
      <c r="C52" s="21" cm="1">
        <f t="array" ca="1" aca="1" ref="C52">IFERROR(IF(ROW()=ROW($C$19)+1,1,INDEX($C:$C,ROW()-1))+IF(INDEX($E:$E,ROW()-1)=TRUE,1,0),"")</f>
        <v>2</v>
      </c>
      <c r="D52" s="21">
        <f t="shared" ca="1" si="9"/>
        <v>32</v>
      </c>
      <c r="E52" s="21" t="str" cm="1">
        <f t="array" ca="1" aca="1" ref="E52">IFERROR(INDEX(Table11[Number of Tasks],$F52)=$D52,"")</f>
        <v/>
      </c>
      <c r="F52" s="21" t="str">
        <f ca="1">IFERROR(MATCH($C52,Table11[Task Sheet Shadow ID],0),"")</f>
        <v/>
      </c>
      <c r="G52" s="21" t="str" cm="1">
        <f t="array" ca="1" aca="1" ref="G52">IFERROR(_xlfn.LET(_xlpm._column,INDEX(Table11[Task ID Column],$F52),MATCH($D52,INDIRECT("'"&amp;INDEX(Table11[Sheet Name],$F52)&amp;"'!"&amp;_xlpm._column&amp;":"&amp;_xlpm._column),0)),"")</f>
        <v/>
      </c>
      <c r="H52" s="21" t="str" cm="1">
        <f t="array" ca="1" aca="1" ref="H52">IF($G52="","",(_xlfn.LET(_xlpm._columnID,INDEX(Table11[ID Column],$F52),_xlpm._columnName,INDEX(Table11[Name Column],$F52),INDEX(INDIRECT("'"&amp;INDEX(Table11[Sheet Name],$F52)&amp;"'!"&amp;_xlpm._columnID&amp;":"&amp;_xlpm._columnID),$G52)&amp;" "&amp;INDEX(INDIRECT("'"&amp;INDEX(Table11[Sheet Name],$F52)&amp;"'!"&amp;_xlpm._columnName&amp;":"&amp;_xlpm._columnName),$G52))))</f>
        <v/>
      </c>
      <c r="I52" s="21" t="str" cm="1">
        <f t="array" ca="1" aca="1" ref="I52">IF($G52="","",(_xlfn.LET(_xlpm._columnID,INDEX(Table11[Comment Column],$F52),INDEX(INDIRECT("'"&amp;INDEX(Table11[Sheet Name],$F52)&amp;"'!"&amp;_xlpm._columnID&amp;":"&amp;_xlpm._columnID),$G52))))</f>
        <v/>
      </c>
    </row>
    <row r="53" spans="1:9" ht="15">
      <c r="A53" s="76" t="str" cm="1">
        <f t="array" ca="1" aca="1" ref="A53">IF($E53="","",HYPERLINK("#'"&amp;INDEX(Table11[Sheet Name],$F53)&amp;"'!"&amp;INDEX(Table11[ID Column],$F53)&amp;$G53,IF(LEN(H53)&gt;255,LEFT(H53,250)&amp;" …",H53)))</f>
        <v/>
      </c>
      <c r="B53" s="76" t="str" cm="1">
        <f t="array" ca="1" aca="1" ref="B53">IF($E53="","",HYPERLINK("#'"&amp;INDEX(Table11[Sheet Name],$F53)&amp;"'!"&amp;INDEX(Table11[Comment Column],$F53)&amp;$G53,IF(LEN(I53)&gt;255,LEFT(I53,250)&amp;" …",I53)))</f>
        <v/>
      </c>
      <c r="C53" s="21" cm="1">
        <f t="array" ca="1" aca="1" ref="C53">IFERROR(IF(ROW()=ROW($C$19)+1,1,INDEX($C:$C,ROW()-1))+IF(INDEX($E:$E,ROW()-1)=TRUE,1,0),"")</f>
        <v>2</v>
      </c>
      <c r="D53" s="21">
        <f t="shared" ca="1" si="9"/>
        <v>33</v>
      </c>
      <c r="E53" s="21" t="str" cm="1">
        <f t="array" ca="1" aca="1" ref="E53">IFERROR(INDEX(Table11[Number of Tasks],$F53)=$D53,"")</f>
        <v/>
      </c>
      <c r="F53" s="21" t="str">
        <f ca="1">IFERROR(MATCH($C53,Table11[Task Sheet Shadow ID],0),"")</f>
        <v/>
      </c>
      <c r="G53" s="21" t="str" cm="1">
        <f t="array" ca="1" aca="1" ref="G53">IFERROR(_xlfn.LET(_xlpm._column,INDEX(Table11[Task ID Column],$F53),MATCH($D53,INDIRECT("'"&amp;INDEX(Table11[Sheet Name],$F53)&amp;"'!"&amp;_xlpm._column&amp;":"&amp;_xlpm._column),0)),"")</f>
        <v/>
      </c>
      <c r="H53" s="21" t="str" cm="1">
        <f t="array" ca="1" aca="1" ref="H53">IF($G53="","",(_xlfn.LET(_xlpm._columnID,INDEX(Table11[ID Column],$F53),_xlpm._columnName,INDEX(Table11[Name Column],$F53),INDEX(INDIRECT("'"&amp;INDEX(Table11[Sheet Name],$F53)&amp;"'!"&amp;_xlpm._columnID&amp;":"&amp;_xlpm._columnID),$G53)&amp;" "&amp;INDEX(INDIRECT("'"&amp;INDEX(Table11[Sheet Name],$F53)&amp;"'!"&amp;_xlpm._columnName&amp;":"&amp;_xlpm._columnName),$G53))))</f>
        <v/>
      </c>
      <c r="I53" s="21" t="str" cm="1">
        <f t="array" ca="1" aca="1" ref="I53">IF($G53="","",(_xlfn.LET(_xlpm._columnID,INDEX(Table11[Comment Column],$F53),INDEX(INDIRECT("'"&amp;INDEX(Table11[Sheet Name],$F53)&amp;"'!"&amp;_xlpm._columnID&amp;":"&amp;_xlpm._columnID),$G53))))</f>
        <v/>
      </c>
    </row>
    <row r="54" spans="1:9" ht="15">
      <c r="A54" s="76" t="str" cm="1">
        <f t="array" ca="1" aca="1" ref="A54">IF($E54="","",HYPERLINK("#'"&amp;INDEX(Table11[Sheet Name],$F54)&amp;"'!"&amp;INDEX(Table11[ID Column],$F54)&amp;$G54,IF(LEN(H54)&gt;255,LEFT(H54,250)&amp;" …",H54)))</f>
        <v/>
      </c>
      <c r="B54" s="76" t="str" cm="1">
        <f t="array" ca="1" aca="1" ref="B54">IF($E54="","",HYPERLINK("#'"&amp;INDEX(Table11[Sheet Name],$F54)&amp;"'!"&amp;INDEX(Table11[Comment Column],$F54)&amp;$G54,IF(LEN(I54)&gt;255,LEFT(I54,250)&amp;" …",I54)))</f>
        <v/>
      </c>
      <c r="C54" s="21" cm="1">
        <f t="array" ca="1" aca="1" ref="C54">IFERROR(IF(ROW()=ROW($C$19)+1,1,INDEX($C:$C,ROW()-1))+IF(INDEX($E:$E,ROW()-1)=TRUE,1,0),"")</f>
        <v>2</v>
      </c>
      <c r="D54" s="21">
        <f t="shared" ca="1" si="9"/>
        <v>34</v>
      </c>
      <c r="E54" s="21" t="str" cm="1">
        <f t="array" ca="1" aca="1" ref="E54">IFERROR(INDEX(Table11[Number of Tasks],$F54)=$D54,"")</f>
        <v/>
      </c>
      <c r="F54" s="21" t="str">
        <f ca="1">IFERROR(MATCH($C54,Table11[Task Sheet Shadow ID],0),"")</f>
        <v/>
      </c>
      <c r="G54" s="21" t="str" cm="1">
        <f t="array" ca="1" aca="1" ref="G54">IFERROR(_xlfn.LET(_xlpm._column,INDEX(Table11[Task ID Column],$F54),MATCH($D54,INDIRECT("'"&amp;INDEX(Table11[Sheet Name],$F54)&amp;"'!"&amp;_xlpm._column&amp;":"&amp;_xlpm._column),0)),"")</f>
        <v/>
      </c>
      <c r="H54" s="21" t="str" cm="1">
        <f t="array" ca="1" aca="1" ref="H54">IF($G54="","",(_xlfn.LET(_xlpm._columnID,INDEX(Table11[ID Column],$F54),_xlpm._columnName,INDEX(Table11[Name Column],$F54),INDEX(INDIRECT("'"&amp;INDEX(Table11[Sheet Name],$F54)&amp;"'!"&amp;_xlpm._columnID&amp;":"&amp;_xlpm._columnID),$G54)&amp;" "&amp;INDEX(INDIRECT("'"&amp;INDEX(Table11[Sheet Name],$F54)&amp;"'!"&amp;_xlpm._columnName&amp;":"&amp;_xlpm._columnName),$G54))))</f>
        <v/>
      </c>
      <c r="I54" s="21" t="str" cm="1">
        <f t="array" ca="1" aca="1" ref="I54">IF($G54="","",(_xlfn.LET(_xlpm._columnID,INDEX(Table11[Comment Column],$F54),INDEX(INDIRECT("'"&amp;INDEX(Table11[Sheet Name],$F54)&amp;"'!"&amp;_xlpm._columnID&amp;":"&amp;_xlpm._columnID),$G54))))</f>
        <v/>
      </c>
    </row>
    <row r="55" spans="1:9" ht="15">
      <c r="A55" s="76" t="str" cm="1">
        <f t="array" ca="1" aca="1" ref="A55">IF($E55="","",HYPERLINK("#'"&amp;INDEX(Table11[Sheet Name],$F55)&amp;"'!"&amp;INDEX(Table11[ID Column],$F55)&amp;$G55,IF(LEN(H55)&gt;255,LEFT(H55,250)&amp;" …",H55)))</f>
        <v/>
      </c>
      <c r="B55" s="76" t="str" cm="1">
        <f t="array" ca="1" aca="1" ref="B55">IF($E55="","",HYPERLINK("#'"&amp;INDEX(Table11[Sheet Name],$F55)&amp;"'!"&amp;INDEX(Table11[Comment Column],$F55)&amp;$G55,IF(LEN(I55)&gt;255,LEFT(I55,250)&amp;" …",I55)))</f>
        <v/>
      </c>
      <c r="C55" s="21" cm="1">
        <f t="array" ca="1" aca="1" ref="C55">IFERROR(IF(ROW()=ROW($C$19)+1,1,INDEX($C:$C,ROW()-1))+IF(INDEX($E:$E,ROW()-1)=TRUE,1,0),"")</f>
        <v>2</v>
      </c>
      <c r="D55" s="21">
        <f t="shared" ca="1" si="9"/>
        <v>35</v>
      </c>
      <c r="E55" s="21" t="str" cm="1">
        <f t="array" ca="1" aca="1" ref="E55">IFERROR(INDEX(Table11[Number of Tasks],$F55)=$D55,"")</f>
        <v/>
      </c>
      <c r="F55" s="21" t="str">
        <f ca="1">IFERROR(MATCH($C55,Table11[Task Sheet Shadow ID],0),"")</f>
        <v/>
      </c>
      <c r="G55" s="21" t="str" cm="1">
        <f t="array" ca="1" aca="1" ref="G55">IFERROR(_xlfn.LET(_xlpm._column,INDEX(Table11[Task ID Column],$F55),MATCH($D55,INDIRECT("'"&amp;INDEX(Table11[Sheet Name],$F55)&amp;"'!"&amp;_xlpm._column&amp;":"&amp;_xlpm._column),0)),"")</f>
        <v/>
      </c>
      <c r="H55" s="21" t="str" cm="1">
        <f t="array" ca="1" aca="1" ref="H55">IF($G55="","",(_xlfn.LET(_xlpm._columnID,INDEX(Table11[ID Column],$F55),_xlpm._columnName,INDEX(Table11[Name Column],$F55),INDEX(INDIRECT("'"&amp;INDEX(Table11[Sheet Name],$F55)&amp;"'!"&amp;_xlpm._columnID&amp;":"&amp;_xlpm._columnID),$G55)&amp;" "&amp;INDEX(INDIRECT("'"&amp;INDEX(Table11[Sheet Name],$F55)&amp;"'!"&amp;_xlpm._columnName&amp;":"&amp;_xlpm._columnName),$G55))))</f>
        <v/>
      </c>
      <c r="I55" s="21" t="str" cm="1">
        <f t="array" ca="1" aca="1" ref="I55">IF($G55="","",(_xlfn.LET(_xlpm._columnID,INDEX(Table11[Comment Column],$F55),INDEX(INDIRECT("'"&amp;INDEX(Table11[Sheet Name],$F55)&amp;"'!"&amp;_xlpm._columnID&amp;":"&amp;_xlpm._columnID),$G55))))</f>
        <v/>
      </c>
    </row>
    <row r="56" spans="1:9" ht="15">
      <c r="A56" s="76" t="str" cm="1">
        <f t="array" ca="1" aca="1" ref="A56">IF($E56="","",HYPERLINK("#'"&amp;INDEX(Table11[Sheet Name],$F56)&amp;"'!"&amp;INDEX(Table11[ID Column],$F56)&amp;$G56,IF(LEN(H56)&gt;255,LEFT(H56,250)&amp;" …",H56)))</f>
        <v/>
      </c>
      <c r="B56" s="76" t="str" cm="1">
        <f t="array" ca="1" aca="1" ref="B56">IF($E56="","",HYPERLINK("#'"&amp;INDEX(Table11[Sheet Name],$F56)&amp;"'!"&amp;INDEX(Table11[Comment Column],$F56)&amp;$G56,IF(LEN(I56)&gt;255,LEFT(I56,250)&amp;" …",I56)))</f>
        <v/>
      </c>
      <c r="C56" s="21" cm="1">
        <f t="array" ca="1" aca="1" ref="C56">IFERROR(IF(ROW()=ROW($C$19)+1,1,INDEX($C:$C,ROW()-1))+IF(INDEX($E:$E,ROW()-1)=TRUE,1,0),"")</f>
        <v>2</v>
      </c>
      <c r="D56" s="21">
        <f t="shared" ca="1" si="9"/>
        <v>36</v>
      </c>
      <c r="E56" s="21" t="str" cm="1">
        <f t="array" ca="1" aca="1" ref="E56">IFERROR(INDEX(Table11[Number of Tasks],$F56)=$D56,"")</f>
        <v/>
      </c>
      <c r="F56" s="21" t="str">
        <f ca="1">IFERROR(MATCH($C56,Table11[Task Sheet Shadow ID],0),"")</f>
        <v/>
      </c>
      <c r="G56" s="21" t="str" cm="1">
        <f t="array" ca="1" aca="1" ref="G56">IFERROR(_xlfn.LET(_xlpm._column,INDEX(Table11[Task ID Column],$F56),MATCH($D56,INDIRECT("'"&amp;INDEX(Table11[Sheet Name],$F56)&amp;"'!"&amp;_xlpm._column&amp;":"&amp;_xlpm._column),0)),"")</f>
        <v/>
      </c>
      <c r="H56" s="21" t="str" cm="1">
        <f t="array" ca="1" aca="1" ref="H56">IF($G56="","",(_xlfn.LET(_xlpm._columnID,INDEX(Table11[ID Column],$F56),_xlpm._columnName,INDEX(Table11[Name Column],$F56),INDEX(INDIRECT("'"&amp;INDEX(Table11[Sheet Name],$F56)&amp;"'!"&amp;_xlpm._columnID&amp;":"&amp;_xlpm._columnID),$G56)&amp;" "&amp;INDEX(INDIRECT("'"&amp;INDEX(Table11[Sheet Name],$F56)&amp;"'!"&amp;_xlpm._columnName&amp;":"&amp;_xlpm._columnName),$G56))))</f>
        <v/>
      </c>
      <c r="I56" s="21" t="str" cm="1">
        <f t="array" ca="1" aca="1" ref="I56">IF($G56="","",(_xlfn.LET(_xlpm._columnID,INDEX(Table11[Comment Column],$F56),INDEX(INDIRECT("'"&amp;INDEX(Table11[Sheet Name],$F56)&amp;"'!"&amp;_xlpm._columnID&amp;":"&amp;_xlpm._columnID),$G56))))</f>
        <v/>
      </c>
    </row>
    <row r="57" spans="1:9" ht="15">
      <c r="A57" s="76" t="str" cm="1">
        <f t="array" ca="1" aca="1" ref="A57">IF($E57="","",HYPERLINK("#'"&amp;INDEX(Table11[Sheet Name],$F57)&amp;"'!"&amp;INDEX(Table11[ID Column],$F57)&amp;$G57,IF(LEN(H57)&gt;255,LEFT(H57,250)&amp;" …",H57)))</f>
        <v/>
      </c>
      <c r="B57" s="76" t="str" cm="1">
        <f t="array" ca="1" aca="1" ref="B57">IF($E57="","",HYPERLINK("#'"&amp;INDEX(Table11[Sheet Name],$F57)&amp;"'!"&amp;INDEX(Table11[Comment Column],$F57)&amp;$G57,IF(LEN(I57)&gt;255,LEFT(I57,250)&amp;" …",I57)))</f>
        <v/>
      </c>
      <c r="C57" s="21" cm="1">
        <f t="array" ca="1" aca="1" ref="C57">IFERROR(IF(ROW()=ROW($C$19)+1,1,INDEX($C:$C,ROW()-1))+IF(INDEX($E:$E,ROW()-1)=TRUE,1,0),"")</f>
        <v>2</v>
      </c>
      <c r="D57" s="21">
        <f t="shared" ca="1" si="9"/>
        <v>37</v>
      </c>
      <c r="E57" s="21" t="str" cm="1">
        <f t="array" ca="1" aca="1" ref="E57">IFERROR(INDEX(Table11[Number of Tasks],$F57)=$D57,"")</f>
        <v/>
      </c>
      <c r="F57" s="21" t="str">
        <f ca="1">IFERROR(MATCH($C57,Table11[Task Sheet Shadow ID],0),"")</f>
        <v/>
      </c>
      <c r="G57" s="21" t="str" cm="1">
        <f t="array" ca="1" aca="1" ref="G57">IFERROR(_xlfn.LET(_xlpm._column,INDEX(Table11[Task ID Column],$F57),MATCH($D57,INDIRECT("'"&amp;INDEX(Table11[Sheet Name],$F57)&amp;"'!"&amp;_xlpm._column&amp;":"&amp;_xlpm._column),0)),"")</f>
        <v/>
      </c>
      <c r="H57" s="21" t="str" cm="1">
        <f t="array" ca="1" aca="1" ref="H57">IF($G57="","",(_xlfn.LET(_xlpm._columnID,INDEX(Table11[ID Column],$F57),_xlpm._columnName,INDEX(Table11[Name Column],$F57),INDEX(INDIRECT("'"&amp;INDEX(Table11[Sheet Name],$F57)&amp;"'!"&amp;_xlpm._columnID&amp;":"&amp;_xlpm._columnID),$G57)&amp;" "&amp;INDEX(INDIRECT("'"&amp;INDEX(Table11[Sheet Name],$F57)&amp;"'!"&amp;_xlpm._columnName&amp;":"&amp;_xlpm._columnName),$G57))))</f>
        <v/>
      </c>
      <c r="I57" s="21" t="str" cm="1">
        <f t="array" ca="1" aca="1" ref="I57">IF($G57="","",(_xlfn.LET(_xlpm._columnID,INDEX(Table11[Comment Column],$F57),INDEX(INDIRECT("'"&amp;INDEX(Table11[Sheet Name],$F57)&amp;"'!"&amp;_xlpm._columnID&amp;":"&amp;_xlpm._columnID),$G57))))</f>
        <v/>
      </c>
    </row>
    <row r="58" spans="1:9" ht="15">
      <c r="A58" s="76" t="str" cm="1">
        <f t="array" ca="1" aca="1" ref="A58">IF($E58="","",HYPERLINK("#'"&amp;INDEX(Table11[Sheet Name],$F58)&amp;"'!"&amp;INDEX(Table11[ID Column],$F58)&amp;$G58,IF(LEN(H58)&gt;255,LEFT(H58,250)&amp;" …",H58)))</f>
        <v/>
      </c>
      <c r="B58" s="76" t="str" cm="1">
        <f t="array" ca="1" aca="1" ref="B58">IF($E58="","",HYPERLINK("#'"&amp;INDEX(Table11[Sheet Name],$F58)&amp;"'!"&amp;INDEX(Table11[Comment Column],$F58)&amp;$G58,IF(LEN(I58)&gt;255,LEFT(I58,250)&amp;" …",I58)))</f>
        <v/>
      </c>
      <c r="C58" s="21" cm="1">
        <f t="array" ca="1" aca="1" ref="C58">IFERROR(IF(ROW()=ROW($C$19)+1,1,INDEX($C:$C,ROW()-1))+IF(INDEX($E:$E,ROW()-1)=TRUE,1,0),"")</f>
        <v>2</v>
      </c>
      <c r="D58" s="21">
        <f t="shared" ca="1" si="9"/>
        <v>38</v>
      </c>
      <c r="E58" s="21" t="str" cm="1">
        <f t="array" ca="1" aca="1" ref="E58">IFERROR(INDEX(Table11[Number of Tasks],$F58)=$D58,"")</f>
        <v/>
      </c>
      <c r="F58" s="21" t="str">
        <f ca="1">IFERROR(MATCH($C58,Table11[Task Sheet Shadow ID],0),"")</f>
        <v/>
      </c>
      <c r="G58" s="21" t="str" cm="1">
        <f t="array" ca="1" aca="1" ref="G58">IFERROR(_xlfn.LET(_xlpm._column,INDEX(Table11[Task ID Column],$F58),MATCH($D58,INDIRECT("'"&amp;INDEX(Table11[Sheet Name],$F58)&amp;"'!"&amp;_xlpm._column&amp;":"&amp;_xlpm._column),0)),"")</f>
        <v/>
      </c>
      <c r="H58" s="21" t="str" cm="1">
        <f t="array" ca="1" aca="1" ref="H58">IF($G58="","",(_xlfn.LET(_xlpm._columnID,INDEX(Table11[ID Column],$F58),_xlpm._columnName,INDEX(Table11[Name Column],$F58),INDEX(INDIRECT("'"&amp;INDEX(Table11[Sheet Name],$F58)&amp;"'!"&amp;_xlpm._columnID&amp;":"&amp;_xlpm._columnID),$G58)&amp;" "&amp;INDEX(INDIRECT("'"&amp;INDEX(Table11[Sheet Name],$F58)&amp;"'!"&amp;_xlpm._columnName&amp;":"&amp;_xlpm._columnName),$G58))))</f>
        <v/>
      </c>
      <c r="I58" s="21" t="str" cm="1">
        <f t="array" ca="1" aca="1" ref="I58">IF($G58="","",(_xlfn.LET(_xlpm._columnID,INDEX(Table11[Comment Column],$F58),INDEX(INDIRECT("'"&amp;INDEX(Table11[Sheet Name],$F58)&amp;"'!"&amp;_xlpm._columnID&amp;":"&amp;_xlpm._columnID),$G58))))</f>
        <v/>
      </c>
    </row>
    <row r="59" spans="1:9" ht="15">
      <c r="A59" s="76" t="str" cm="1">
        <f t="array" ca="1" aca="1" ref="A59">IF($E59="","",HYPERLINK("#'"&amp;INDEX(Table11[Sheet Name],$F59)&amp;"'!"&amp;INDEX(Table11[ID Column],$F59)&amp;$G59,IF(LEN(H59)&gt;255,LEFT(H59,250)&amp;" …",H59)))</f>
        <v/>
      </c>
      <c r="B59" s="76" t="str" cm="1">
        <f t="array" ca="1" aca="1" ref="B59">IF($E59="","",HYPERLINK("#'"&amp;INDEX(Table11[Sheet Name],$F59)&amp;"'!"&amp;INDEX(Table11[Comment Column],$F59)&amp;$G59,IF(LEN(I59)&gt;255,LEFT(I59,250)&amp;" …",I59)))</f>
        <v/>
      </c>
      <c r="C59" s="21" cm="1">
        <f t="array" ca="1" aca="1" ref="C59">IFERROR(IF(ROW()=ROW($C$19)+1,1,INDEX($C:$C,ROW()-1))+IF(INDEX($E:$E,ROW()-1)=TRUE,1,0),"")</f>
        <v>2</v>
      </c>
      <c r="D59" s="21">
        <f t="shared" ca="1" si="9"/>
        <v>39</v>
      </c>
      <c r="E59" s="21" t="str" cm="1">
        <f t="array" ca="1" aca="1" ref="E59">IFERROR(INDEX(Table11[Number of Tasks],$F59)=$D59,"")</f>
        <v/>
      </c>
      <c r="F59" s="21" t="str">
        <f ca="1">IFERROR(MATCH($C59,Table11[Task Sheet Shadow ID],0),"")</f>
        <v/>
      </c>
      <c r="G59" s="21" t="str" cm="1">
        <f t="array" ca="1" aca="1" ref="G59">IFERROR(_xlfn.LET(_xlpm._column,INDEX(Table11[Task ID Column],$F59),MATCH($D59,INDIRECT("'"&amp;INDEX(Table11[Sheet Name],$F59)&amp;"'!"&amp;_xlpm._column&amp;":"&amp;_xlpm._column),0)),"")</f>
        <v/>
      </c>
      <c r="H59" s="21" t="str" cm="1">
        <f t="array" ca="1" aca="1" ref="H59">IF($G59="","",(_xlfn.LET(_xlpm._columnID,INDEX(Table11[ID Column],$F59),_xlpm._columnName,INDEX(Table11[Name Column],$F59),INDEX(INDIRECT("'"&amp;INDEX(Table11[Sheet Name],$F59)&amp;"'!"&amp;_xlpm._columnID&amp;":"&amp;_xlpm._columnID),$G59)&amp;" "&amp;INDEX(INDIRECT("'"&amp;INDEX(Table11[Sheet Name],$F59)&amp;"'!"&amp;_xlpm._columnName&amp;":"&amp;_xlpm._columnName),$G59))))</f>
        <v/>
      </c>
      <c r="I59" s="21" t="str" cm="1">
        <f t="array" ca="1" aca="1" ref="I59">IF($G59="","",(_xlfn.LET(_xlpm._columnID,INDEX(Table11[Comment Column],$F59),INDEX(INDIRECT("'"&amp;INDEX(Table11[Sheet Name],$F59)&amp;"'!"&amp;_xlpm._columnID&amp;":"&amp;_xlpm._columnID),$G59))))</f>
        <v/>
      </c>
    </row>
    <row r="60" spans="1:9" ht="15">
      <c r="A60" s="76" t="str" cm="1">
        <f t="array" ca="1" aca="1" ref="A60">IF($E60="","",HYPERLINK("#'"&amp;INDEX(Table11[Sheet Name],$F60)&amp;"'!"&amp;INDEX(Table11[ID Column],$F60)&amp;$G60,IF(LEN(H60)&gt;255,LEFT(H60,250)&amp;" …",H60)))</f>
        <v/>
      </c>
      <c r="B60" s="76" t="str" cm="1">
        <f t="array" ca="1" aca="1" ref="B60">IF($E60="","",HYPERLINK("#'"&amp;INDEX(Table11[Sheet Name],$F60)&amp;"'!"&amp;INDEX(Table11[Comment Column],$F60)&amp;$G60,IF(LEN(I60)&gt;255,LEFT(I60,250)&amp;" …",I60)))</f>
        <v/>
      </c>
      <c r="C60" s="21" cm="1">
        <f t="array" ca="1" aca="1" ref="C60">IFERROR(IF(ROW()=ROW($C$19)+1,1,INDEX($C:$C,ROW()-1))+IF(INDEX($E:$E,ROW()-1)=TRUE,1,0),"")</f>
        <v>2</v>
      </c>
      <c r="D60" s="21">
        <f t="shared" ca="1" si="9"/>
        <v>40</v>
      </c>
      <c r="E60" s="21" t="str" cm="1">
        <f t="array" ca="1" aca="1" ref="E60">IFERROR(INDEX(Table11[Number of Tasks],$F60)=$D60,"")</f>
        <v/>
      </c>
      <c r="F60" s="21" t="str">
        <f ca="1">IFERROR(MATCH($C60,Table11[Task Sheet Shadow ID],0),"")</f>
        <v/>
      </c>
      <c r="G60" s="21" t="str" cm="1">
        <f t="array" ca="1" aca="1" ref="G60">IFERROR(_xlfn.LET(_xlpm._column,INDEX(Table11[Task ID Column],$F60),MATCH($D60,INDIRECT("'"&amp;INDEX(Table11[Sheet Name],$F60)&amp;"'!"&amp;_xlpm._column&amp;":"&amp;_xlpm._column),0)),"")</f>
        <v/>
      </c>
      <c r="H60" s="21" t="str" cm="1">
        <f t="array" ca="1" aca="1" ref="H60">IF($G60="","",(_xlfn.LET(_xlpm._columnID,INDEX(Table11[ID Column],$F60),_xlpm._columnName,INDEX(Table11[Name Column],$F60),INDEX(INDIRECT("'"&amp;INDEX(Table11[Sheet Name],$F60)&amp;"'!"&amp;_xlpm._columnID&amp;":"&amp;_xlpm._columnID),$G60)&amp;" "&amp;INDEX(INDIRECT("'"&amp;INDEX(Table11[Sheet Name],$F60)&amp;"'!"&amp;_xlpm._columnName&amp;":"&amp;_xlpm._columnName),$G60))))</f>
        <v/>
      </c>
      <c r="I60" s="21" t="str" cm="1">
        <f t="array" ca="1" aca="1" ref="I60">IF($G60="","",(_xlfn.LET(_xlpm._columnID,INDEX(Table11[Comment Column],$F60),INDEX(INDIRECT("'"&amp;INDEX(Table11[Sheet Name],$F60)&amp;"'!"&amp;_xlpm._columnID&amp;":"&amp;_xlpm._columnID),$G60))))</f>
        <v/>
      </c>
    </row>
    <row r="61" spans="1:9" ht="15">
      <c r="A61" s="76" t="str" cm="1">
        <f t="array" ca="1" aca="1" ref="A61">IF($E61="","",HYPERLINK("#'"&amp;INDEX(Table11[Sheet Name],$F61)&amp;"'!"&amp;INDEX(Table11[ID Column],$F61)&amp;$G61,IF(LEN(H61)&gt;255,LEFT(H61,250)&amp;" …",H61)))</f>
        <v/>
      </c>
      <c r="B61" s="76" t="str" cm="1">
        <f t="array" ca="1" aca="1" ref="B61">IF($E61="","",HYPERLINK("#'"&amp;INDEX(Table11[Sheet Name],$F61)&amp;"'!"&amp;INDEX(Table11[Comment Column],$F61)&amp;$G61,IF(LEN(I61)&gt;255,LEFT(I61,250)&amp;" …",I61)))</f>
        <v/>
      </c>
      <c r="C61" s="21" cm="1">
        <f t="array" ca="1" aca="1" ref="C61">IFERROR(IF(ROW()=ROW($C$19)+1,1,INDEX($C:$C,ROW()-1))+IF(INDEX($E:$E,ROW()-1)=TRUE,1,0),"")</f>
        <v>2</v>
      </c>
      <c r="D61" s="21">
        <f t="shared" ca="1" si="9"/>
        <v>41</v>
      </c>
      <c r="E61" s="21" t="str" cm="1">
        <f t="array" ca="1" aca="1" ref="E61">IFERROR(INDEX(Table11[Number of Tasks],$F61)=$D61,"")</f>
        <v/>
      </c>
      <c r="F61" s="21" t="str">
        <f ca="1">IFERROR(MATCH($C61,Table11[Task Sheet Shadow ID],0),"")</f>
        <v/>
      </c>
      <c r="G61" s="21" t="str" cm="1">
        <f t="array" ca="1" aca="1" ref="G61">IFERROR(_xlfn.LET(_xlpm._column,INDEX(Table11[Task ID Column],$F61),MATCH($D61,INDIRECT("'"&amp;INDEX(Table11[Sheet Name],$F61)&amp;"'!"&amp;_xlpm._column&amp;":"&amp;_xlpm._column),0)),"")</f>
        <v/>
      </c>
      <c r="H61" s="21" t="str" cm="1">
        <f t="array" ca="1" aca="1" ref="H61">IF($G61="","",(_xlfn.LET(_xlpm._columnID,INDEX(Table11[ID Column],$F61),_xlpm._columnName,INDEX(Table11[Name Column],$F61),INDEX(INDIRECT("'"&amp;INDEX(Table11[Sheet Name],$F61)&amp;"'!"&amp;_xlpm._columnID&amp;":"&amp;_xlpm._columnID),$G61)&amp;" "&amp;INDEX(INDIRECT("'"&amp;INDEX(Table11[Sheet Name],$F61)&amp;"'!"&amp;_xlpm._columnName&amp;":"&amp;_xlpm._columnName),$G61))))</f>
        <v/>
      </c>
      <c r="I61" s="21" t="str" cm="1">
        <f t="array" ca="1" aca="1" ref="I61">IF($G61="","",(_xlfn.LET(_xlpm._columnID,INDEX(Table11[Comment Column],$F61),INDEX(INDIRECT("'"&amp;INDEX(Table11[Sheet Name],$F61)&amp;"'!"&amp;_xlpm._columnID&amp;":"&amp;_xlpm._columnID),$G61))))</f>
        <v/>
      </c>
    </row>
    <row r="62" spans="1:9" ht="15">
      <c r="A62" s="76" t="str" cm="1">
        <f t="array" ca="1" aca="1" ref="A62">IF($E62="","",HYPERLINK("#'"&amp;INDEX(Table11[Sheet Name],$F62)&amp;"'!"&amp;INDEX(Table11[ID Column],$F62)&amp;$G62,IF(LEN(H62)&gt;255,LEFT(H62,250)&amp;" …",H62)))</f>
        <v/>
      </c>
      <c r="B62" s="76" t="str" cm="1">
        <f t="array" ca="1" aca="1" ref="B62">IF($E62="","",HYPERLINK("#'"&amp;INDEX(Table11[Sheet Name],$F62)&amp;"'!"&amp;INDEX(Table11[Comment Column],$F62)&amp;$G62,IF(LEN(I62)&gt;255,LEFT(I62,250)&amp;" …",I62)))</f>
        <v/>
      </c>
      <c r="C62" s="21" cm="1">
        <f t="array" ca="1" aca="1" ref="C62">IFERROR(IF(ROW()=ROW($C$19)+1,1,INDEX($C:$C,ROW()-1))+IF(INDEX($E:$E,ROW()-1)=TRUE,1,0),"")</f>
        <v>2</v>
      </c>
      <c r="D62" s="21">
        <f t="shared" ca="1" si="9"/>
        <v>42</v>
      </c>
      <c r="E62" s="21" t="str" cm="1">
        <f t="array" ca="1" aca="1" ref="E62">IFERROR(INDEX(Table11[Number of Tasks],$F62)=$D62,"")</f>
        <v/>
      </c>
      <c r="F62" s="21" t="str">
        <f ca="1">IFERROR(MATCH($C62,Table11[Task Sheet Shadow ID],0),"")</f>
        <v/>
      </c>
      <c r="G62" s="21" t="str" cm="1">
        <f t="array" ca="1" aca="1" ref="G62">IFERROR(_xlfn.LET(_xlpm._column,INDEX(Table11[Task ID Column],$F62),MATCH($D62,INDIRECT("'"&amp;INDEX(Table11[Sheet Name],$F62)&amp;"'!"&amp;_xlpm._column&amp;":"&amp;_xlpm._column),0)),"")</f>
        <v/>
      </c>
      <c r="H62" s="21" t="str" cm="1">
        <f t="array" ca="1" aca="1" ref="H62">IF($G62="","",(_xlfn.LET(_xlpm._columnID,INDEX(Table11[ID Column],$F62),_xlpm._columnName,INDEX(Table11[Name Column],$F62),INDEX(INDIRECT("'"&amp;INDEX(Table11[Sheet Name],$F62)&amp;"'!"&amp;_xlpm._columnID&amp;":"&amp;_xlpm._columnID),$G62)&amp;" "&amp;INDEX(INDIRECT("'"&amp;INDEX(Table11[Sheet Name],$F62)&amp;"'!"&amp;_xlpm._columnName&amp;":"&amp;_xlpm._columnName),$G62))))</f>
        <v/>
      </c>
      <c r="I62" s="21" t="str" cm="1">
        <f t="array" ca="1" aca="1" ref="I62">IF($G62="","",(_xlfn.LET(_xlpm._columnID,INDEX(Table11[Comment Column],$F62),INDEX(INDIRECT("'"&amp;INDEX(Table11[Sheet Name],$F62)&amp;"'!"&amp;_xlpm._columnID&amp;":"&amp;_xlpm._columnID),$G62))))</f>
        <v/>
      </c>
    </row>
    <row r="63" spans="1:9" ht="15">
      <c r="A63" s="76" t="str" cm="1">
        <f t="array" ca="1" aca="1" ref="A63">IF($E63="","",HYPERLINK("#'"&amp;INDEX(Table11[Sheet Name],$F63)&amp;"'!"&amp;INDEX(Table11[ID Column],$F63)&amp;$G63,IF(LEN(H63)&gt;255,LEFT(H63,250)&amp;" …",H63)))</f>
        <v/>
      </c>
      <c r="B63" s="76" t="str" cm="1">
        <f t="array" ca="1" aca="1" ref="B63">IF($E63="","",HYPERLINK("#'"&amp;INDEX(Table11[Sheet Name],$F63)&amp;"'!"&amp;INDEX(Table11[Comment Column],$F63)&amp;$G63,IF(LEN(I63)&gt;255,LEFT(I63,250)&amp;" …",I63)))</f>
        <v/>
      </c>
      <c r="C63" s="21" cm="1">
        <f t="array" ca="1" aca="1" ref="C63">IFERROR(IF(ROW()=ROW($C$19)+1,1,INDEX($C:$C,ROW()-1))+IF(INDEX($E:$E,ROW()-1)=TRUE,1,0),"")</f>
        <v>2</v>
      </c>
      <c r="D63" s="21">
        <f t="shared" ca="1" si="9"/>
        <v>43</v>
      </c>
      <c r="E63" s="21" t="str" cm="1">
        <f t="array" ca="1" aca="1" ref="E63">IFERROR(INDEX(Table11[Number of Tasks],$F63)=$D63,"")</f>
        <v/>
      </c>
      <c r="F63" s="21" t="str">
        <f ca="1">IFERROR(MATCH($C63,Table11[Task Sheet Shadow ID],0),"")</f>
        <v/>
      </c>
      <c r="G63" s="21" t="str" cm="1">
        <f t="array" ca="1" aca="1" ref="G63">IFERROR(_xlfn.LET(_xlpm._column,INDEX(Table11[Task ID Column],$F63),MATCH($D63,INDIRECT("'"&amp;INDEX(Table11[Sheet Name],$F63)&amp;"'!"&amp;_xlpm._column&amp;":"&amp;_xlpm._column),0)),"")</f>
        <v/>
      </c>
      <c r="H63" s="21" t="str" cm="1">
        <f t="array" ca="1" aca="1" ref="H63">IF($G63="","",(_xlfn.LET(_xlpm._columnID,INDEX(Table11[ID Column],$F63),_xlpm._columnName,INDEX(Table11[Name Column],$F63),INDEX(INDIRECT("'"&amp;INDEX(Table11[Sheet Name],$F63)&amp;"'!"&amp;_xlpm._columnID&amp;":"&amp;_xlpm._columnID),$G63)&amp;" "&amp;INDEX(INDIRECT("'"&amp;INDEX(Table11[Sheet Name],$F63)&amp;"'!"&amp;_xlpm._columnName&amp;":"&amp;_xlpm._columnName),$G63))))</f>
        <v/>
      </c>
      <c r="I63" s="21" t="str" cm="1">
        <f t="array" ca="1" aca="1" ref="I63">IF($G63="","",(_xlfn.LET(_xlpm._columnID,INDEX(Table11[Comment Column],$F63),INDEX(INDIRECT("'"&amp;INDEX(Table11[Sheet Name],$F63)&amp;"'!"&amp;_xlpm._columnID&amp;":"&amp;_xlpm._columnID),$G63))))</f>
        <v/>
      </c>
    </row>
    <row r="64" spans="1:9" ht="15">
      <c r="A64" s="76" t="str" cm="1">
        <f t="array" ca="1" aca="1" ref="A64">IF($E64="","",HYPERLINK("#'"&amp;INDEX(Table11[Sheet Name],$F64)&amp;"'!"&amp;INDEX(Table11[ID Column],$F64)&amp;$G64,IF(LEN(H64)&gt;255,LEFT(H64,250)&amp;" …",H64)))</f>
        <v/>
      </c>
      <c r="B64" s="76" t="str" cm="1">
        <f t="array" ca="1" aca="1" ref="B64">IF($E64="","",HYPERLINK("#'"&amp;INDEX(Table11[Sheet Name],$F64)&amp;"'!"&amp;INDEX(Table11[Comment Column],$F64)&amp;$G64,IF(LEN(I64)&gt;255,LEFT(I64,250)&amp;" …",I64)))</f>
        <v/>
      </c>
      <c r="C64" s="21" cm="1">
        <f t="array" ca="1" aca="1" ref="C64">IFERROR(IF(ROW()=ROW($C$19)+1,1,INDEX($C:$C,ROW()-1))+IF(INDEX($E:$E,ROW()-1)=TRUE,1,0),"")</f>
        <v>2</v>
      </c>
      <c r="D64" s="21">
        <f t="shared" ca="1" si="9"/>
        <v>44</v>
      </c>
      <c r="E64" s="21" t="str" cm="1">
        <f t="array" ca="1" aca="1" ref="E64">IFERROR(INDEX(Table11[Number of Tasks],$F64)=$D64,"")</f>
        <v/>
      </c>
      <c r="F64" s="21" t="str">
        <f ca="1">IFERROR(MATCH($C64,Table11[Task Sheet Shadow ID],0),"")</f>
        <v/>
      </c>
      <c r="G64" s="21" t="str" cm="1">
        <f t="array" ca="1" aca="1" ref="G64">IFERROR(_xlfn.LET(_xlpm._column,INDEX(Table11[Task ID Column],$F64),MATCH($D64,INDIRECT("'"&amp;INDEX(Table11[Sheet Name],$F64)&amp;"'!"&amp;_xlpm._column&amp;":"&amp;_xlpm._column),0)),"")</f>
        <v/>
      </c>
      <c r="H64" s="21" t="str" cm="1">
        <f t="array" ca="1" aca="1" ref="H64">IF($G64="","",(_xlfn.LET(_xlpm._columnID,INDEX(Table11[ID Column],$F64),_xlpm._columnName,INDEX(Table11[Name Column],$F64),INDEX(INDIRECT("'"&amp;INDEX(Table11[Sheet Name],$F64)&amp;"'!"&amp;_xlpm._columnID&amp;":"&amp;_xlpm._columnID),$G64)&amp;" "&amp;INDEX(INDIRECT("'"&amp;INDEX(Table11[Sheet Name],$F64)&amp;"'!"&amp;_xlpm._columnName&amp;":"&amp;_xlpm._columnName),$G64))))</f>
        <v/>
      </c>
      <c r="I64" s="21" t="str" cm="1">
        <f t="array" ca="1" aca="1" ref="I64">IF($G64="","",(_xlfn.LET(_xlpm._columnID,INDEX(Table11[Comment Column],$F64),INDEX(INDIRECT("'"&amp;INDEX(Table11[Sheet Name],$F64)&amp;"'!"&amp;_xlpm._columnID&amp;":"&amp;_xlpm._columnID),$G64))))</f>
        <v/>
      </c>
    </row>
    <row r="65" spans="1:9" ht="15">
      <c r="A65" s="76" t="str" cm="1">
        <f t="array" ca="1" aca="1" ref="A65">IF($E65="","",HYPERLINK("#'"&amp;INDEX(Table11[Sheet Name],$F65)&amp;"'!"&amp;INDEX(Table11[ID Column],$F65)&amp;$G65,IF(LEN(H65)&gt;255,LEFT(H65,250)&amp;" …",H65)))</f>
        <v/>
      </c>
      <c r="B65" s="76" t="str" cm="1">
        <f t="array" ca="1" aca="1" ref="B65">IF($E65="","",HYPERLINK("#'"&amp;INDEX(Table11[Sheet Name],$F65)&amp;"'!"&amp;INDEX(Table11[Comment Column],$F65)&amp;$G65,IF(LEN(I65)&gt;255,LEFT(I65,250)&amp;" …",I65)))</f>
        <v/>
      </c>
      <c r="C65" s="21" cm="1">
        <f t="array" ca="1" aca="1" ref="C65">IFERROR(IF(ROW()=ROW($C$19)+1,1,INDEX($C:$C,ROW()-1))+IF(INDEX($E:$E,ROW()-1)=TRUE,1,0),"")</f>
        <v>2</v>
      </c>
      <c r="D65" s="21">
        <f t="shared" ca="1" si="9"/>
        <v>45</v>
      </c>
      <c r="E65" s="21" t="str" cm="1">
        <f t="array" ca="1" aca="1" ref="E65">IFERROR(INDEX(Table11[Number of Tasks],$F65)=$D65,"")</f>
        <v/>
      </c>
      <c r="F65" s="21" t="str">
        <f ca="1">IFERROR(MATCH($C65,Table11[Task Sheet Shadow ID],0),"")</f>
        <v/>
      </c>
      <c r="G65" s="21" t="str" cm="1">
        <f t="array" ca="1" aca="1" ref="G65">IFERROR(_xlfn.LET(_xlpm._column,INDEX(Table11[Task ID Column],$F65),MATCH($D65,INDIRECT("'"&amp;INDEX(Table11[Sheet Name],$F65)&amp;"'!"&amp;_xlpm._column&amp;":"&amp;_xlpm._column),0)),"")</f>
        <v/>
      </c>
      <c r="H65" s="21" t="str" cm="1">
        <f t="array" ca="1" aca="1" ref="H65">IF($G65="","",(_xlfn.LET(_xlpm._columnID,INDEX(Table11[ID Column],$F65),_xlpm._columnName,INDEX(Table11[Name Column],$F65),INDEX(INDIRECT("'"&amp;INDEX(Table11[Sheet Name],$F65)&amp;"'!"&amp;_xlpm._columnID&amp;":"&amp;_xlpm._columnID),$G65)&amp;" "&amp;INDEX(INDIRECT("'"&amp;INDEX(Table11[Sheet Name],$F65)&amp;"'!"&amp;_xlpm._columnName&amp;":"&amp;_xlpm._columnName),$G65))))</f>
        <v/>
      </c>
      <c r="I65" s="21" t="str" cm="1">
        <f t="array" ca="1" aca="1" ref="I65">IF($G65="","",(_xlfn.LET(_xlpm._columnID,INDEX(Table11[Comment Column],$F65),INDEX(INDIRECT("'"&amp;INDEX(Table11[Sheet Name],$F65)&amp;"'!"&amp;_xlpm._columnID&amp;":"&amp;_xlpm._columnID),$G65))))</f>
        <v/>
      </c>
    </row>
    <row r="66" spans="1:9" ht="15">
      <c r="A66" s="76" t="str" cm="1">
        <f t="array" ca="1" aca="1" ref="A66">IF($E66="","",HYPERLINK("#'"&amp;INDEX(Table11[Sheet Name],$F66)&amp;"'!"&amp;INDEX(Table11[ID Column],$F66)&amp;$G66,IF(LEN(H66)&gt;255,LEFT(H66,250)&amp;" …",H66)))</f>
        <v/>
      </c>
      <c r="B66" s="76" t="str" cm="1">
        <f t="array" ca="1" aca="1" ref="B66">IF($E66="","",HYPERLINK("#'"&amp;INDEX(Table11[Sheet Name],$F66)&amp;"'!"&amp;INDEX(Table11[Comment Column],$F66)&amp;$G66,IF(LEN(I66)&gt;255,LEFT(I66,250)&amp;" …",I66)))</f>
        <v/>
      </c>
      <c r="C66" s="21" cm="1">
        <f t="array" ca="1" aca="1" ref="C66">IFERROR(IF(ROW()=ROW($C$19)+1,1,INDEX($C:$C,ROW()-1))+IF(INDEX($E:$E,ROW()-1)=TRUE,1,0),"")</f>
        <v>2</v>
      </c>
      <c r="D66" s="21">
        <f t="shared" ca="1" si="9"/>
        <v>46</v>
      </c>
      <c r="E66" s="21" t="str" cm="1">
        <f t="array" ca="1" aca="1" ref="E66">IFERROR(INDEX(Table11[Number of Tasks],$F66)=$D66,"")</f>
        <v/>
      </c>
      <c r="F66" s="21" t="str">
        <f ca="1">IFERROR(MATCH($C66,Table11[Task Sheet Shadow ID],0),"")</f>
        <v/>
      </c>
      <c r="G66" s="21" t="str" cm="1">
        <f t="array" ca="1" aca="1" ref="G66">IFERROR(_xlfn.LET(_xlpm._column,INDEX(Table11[Task ID Column],$F66),MATCH($D66,INDIRECT("'"&amp;INDEX(Table11[Sheet Name],$F66)&amp;"'!"&amp;_xlpm._column&amp;":"&amp;_xlpm._column),0)),"")</f>
        <v/>
      </c>
      <c r="H66" s="21" t="str" cm="1">
        <f t="array" ca="1" aca="1" ref="H66">IF($G66="","",(_xlfn.LET(_xlpm._columnID,INDEX(Table11[ID Column],$F66),_xlpm._columnName,INDEX(Table11[Name Column],$F66),INDEX(INDIRECT("'"&amp;INDEX(Table11[Sheet Name],$F66)&amp;"'!"&amp;_xlpm._columnID&amp;":"&amp;_xlpm._columnID),$G66)&amp;" "&amp;INDEX(INDIRECT("'"&amp;INDEX(Table11[Sheet Name],$F66)&amp;"'!"&amp;_xlpm._columnName&amp;":"&amp;_xlpm._columnName),$G66))))</f>
        <v/>
      </c>
      <c r="I66" s="21" t="str" cm="1">
        <f t="array" ca="1" aca="1" ref="I66">IF($G66="","",(_xlfn.LET(_xlpm._columnID,INDEX(Table11[Comment Column],$F66),INDEX(INDIRECT("'"&amp;INDEX(Table11[Sheet Name],$F66)&amp;"'!"&amp;_xlpm._columnID&amp;":"&amp;_xlpm._columnID),$G66))))</f>
        <v/>
      </c>
    </row>
    <row r="67" spans="1:9" ht="15">
      <c r="A67" s="76" t="str" cm="1">
        <f t="array" ca="1" aca="1" ref="A67">IF($E67="","",HYPERLINK("#'"&amp;INDEX(Table11[Sheet Name],$F67)&amp;"'!"&amp;INDEX(Table11[ID Column],$F67)&amp;$G67,IF(LEN(H67)&gt;255,LEFT(H67,250)&amp;" …",H67)))</f>
        <v/>
      </c>
      <c r="B67" s="76" t="str" cm="1">
        <f t="array" ca="1" aca="1" ref="B67">IF($E67="","",HYPERLINK("#'"&amp;INDEX(Table11[Sheet Name],$F67)&amp;"'!"&amp;INDEX(Table11[Comment Column],$F67)&amp;$G67,IF(LEN(I67)&gt;255,LEFT(I67,250)&amp;" …",I67)))</f>
        <v/>
      </c>
      <c r="C67" s="21" cm="1">
        <f t="array" ca="1" aca="1" ref="C67">IFERROR(IF(ROW()=ROW($C$19)+1,1,INDEX($C:$C,ROW()-1))+IF(INDEX($E:$E,ROW()-1)=TRUE,1,0),"")</f>
        <v>2</v>
      </c>
      <c r="D67" s="21">
        <f t="shared" ca="1" si="9"/>
        <v>47</v>
      </c>
      <c r="E67" s="21" t="str" cm="1">
        <f t="array" ca="1" aca="1" ref="E67">IFERROR(INDEX(Table11[Number of Tasks],$F67)=$D67,"")</f>
        <v/>
      </c>
      <c r="F67" s="21" t="str">
        <f ca="1">IFERROR(MATCH($C67,Table11[Task Sheet Shadow ID],0),"")</f>
        <v/>
      </c>
      <c r="G67" s="21" t="str" cm="1">
        <f t="array" ca="1" aca="1" ref="G67">IFERROR(_xlfn.LET(_xlpm._column,INDEX(Table11[Task ID Column],$F67),MATCH($D67,INDIRECT("'"&amp;INDEX(Table11[Sheet Name],$F67)&amp;"'!"&amp;_xlpm._column&amp;":"&amp;_xlpm._column),0)),"")</f>
        <v/>
      </c>
      <c r="H67" s="21" t="str" cm="1">
        <f t="array" ca="1" aca="1" ref="H67">IF($G67="","",(_xlfn.LET(_xlpm._columnID,INDEX(Table11[ID Column],$F67),_xlpm._columnName,INDEX(Table11[Name Column],$F67),INDEX(INDIRECT("'"&amp;INDEX(Table11[Sheet Name],$F67)&amp;"'!"&amp;_xlpm._columnID&amp;":"&amp;_xlpm._columnID),$G67)&amp;" "&amp;INDEX(INDIRECT("'"&amp;INDEX(Table11[Sheet Name],$F67)&amp;"'!"&amp;_xlpm._columnName&amp;":"&amp;_xlpm._columnName),$G67))))</f>
        <v/>
      </c>
      <c r="I67" s="21" t="str" cm="1">
        <f t="array" ca="1" aca="1" ref="I67">IF($G67="","",(_xlfn.LET(_xlpm._columnID,INDEX(Table11[Comment Column],$F67),INDEX(INDIRECT("'"&amp;INDEX(Table11[Sheet Name],$F67)&amp;"'!"&amp;_xlpm._columnID&amp;":"&amp;_xlpm._columnID),$G67))))</f>
        <v/>
      </c>
    </row>
    <row r="68" spans="1:9" ht="15">
      <c r="A68" s="76" t="str" cm="1">
        <f t="array" ca="1" aca="1" ref="A68">IF($E68="","",HYPERLINK("#'"&amp;INDEX(Table11[Sheet Name],$F68)&amp;"'!"&amp;INDEX(Table11[ID Column],$F68)&amp;$G68,IF(LEN(H68)&gt;255,LEFT(H68,250)&amp;" …",H68)))</f>
        <v/>
      </c>
      <c r="B68" s="76" t="str" cm="1">
        <f t="array" ca="1" aca="1" ref="B68">IF($E68="","",HYPERLINK("#'"&amp;INDEX(Table11[Sheet Name],$F68)&amp;"'!"&amp;INDEX(Table11[Comment Column],$F68)&amp;$G68,IF(LEN(I68)&gt;255,LEFT(I68,250)&amp;" …",I68)))</f>
        <v/>
      </c>
      <c r="C68" s="21" cm="1">
        <f t="array" ca="1" aca="1" ref="C68">IFERROR(IF(ROW()=ROW($C$19)+1,1,INDEX($C:$C,ROW()-1))+IF(INDEX($E:$E,ROW()-1)=TRUE,1,0),"")</f>
        <v>2</v>
      </c>
      <c r="D68" s="21">
        <f t="shared" ca="1" si="9"/>
        <v>48</v>
      </c>
      <c r="E68" s="21" t="str" cm="1">
        <f t="array" ca="1" aca="1" ref="E68">IFERROR(INDEX(Table11[Number of Tasks],$F68)=$D68,"")</f>
        <v/>
      </c>
      <c r="F68" s="21" t="str">
        <f ca="1">IFERROR(MATCH($C68,Table11[Task Sheet Shadow ID],0),"")</f>
        <v/>
      </c>
      <c r="G68" s="21" t="str" cm="1">
        <f t="array" ca="1" aca="1" ref="G68">IFERROR(_xlfn.LET(_xlpm._column,INDEX(Table11[Task ID Column],$F68),MATCH($D68,INDIRECT("'"&amp;INDEX(Table11[Sheet Name],$F68)&amp;"'!"&amp;_xlpm._column&amp;":"&amp;_xlpm._column),0)),"")</f>
        <v/>
      </c>
      <c r="H68" s="21" t="str" cm="1">
        <f t="array" ca="1" aca="1" ref="H68">IF($G68="","",(_xlfn.LET(_xlpm._columnID,INDEX(Table11[ID Column],$F68),_xlpm._columnName,INDEX(Table11[Name Column],$F68),INDEX(INDIRECT("'"&amp;INDEX(Table11[Sheet Name],$F68)&amp;"'!"&amp;_xlpm._columnID&amp;":"&amp;_xlpm._columnID),$G68)&amp;" "&amp;INDEX(INDIRECT("'"&amp;INDEX(Table11[Sheet Name],$F68)&amp;"'!"&amp;_xlpm._columnName&amp;":"&amp;_xlpm._columnName),$G68))))</f>
        <v/>
      </c>
      <c r="I68" s="21" t="str" cm="1">
        <f t="array" ca="1" aca="1" ref="I68">IF($G68="","",(_xlfn.LET(_xlpm._columnID,INDEX(Table11[Comment Column],$F68),INDEX(INDIRECT("'"&amp;INDEX(Table11[Sheet Name],$F68)&amp;"'!"&amp;_xlpm._columnID&amp;":"&amp;_xlpm._columnID),$G68))))</f>
        <v/>
      </c>
    </row>
  </sheetData>
  <sheetProtection password="EA23" sheet="1" objects="1" scenarios="1"/>
  <pageMargins left="0.7" right="0.7" top="0.75" bottom="0.75" header="0.3" footer="0.3"/>
  <pageSetup orientation="portrait" paperSize="9" r:id="rId3"/>
  <tableParts>
    <tablePart r:id="rId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9F5FC8-FB23-4BED-AB88-7D152A8E6C49}">
  <sheetPr>
    <tabColor theme="3"/>
  </sheetPr>
  <dimension ref="A1:Q22"/>
  <sheetViews>
    <sheetView windowProtection="1" workbookViewId="0" topLeftCell="A1">
      <pane xSplit="1" ySplit="3" topLeftCell="B5" activePane="bottomRight" state="frozen"/>
      <selection pane="topLeft" activeCell="A1" sqref="A1"/>
      <selection pane="bottomLeft" activeCell="A4" sqref="A4"/>
      <selection pane="topRight" activeCell="B1" sqref="B1"/>
      <selection pane="bottomRight" activeCell="F4" sqref="F4"/>
    </sheetView>
  </sheetViews>
  <sheetFormatPr defaultColWidth="9.14428571428571" defaultRowHeight="15"/>
  <cols>
    <col min="1" max="1" width="8.71428571428571" style="45" customWidth="1"/>
    <col min="2" max="2" width="45.7142857142857" style="4" customWidth="1"/>
    <col min="3" max="3" width="60.7142857142857" style="48" customWidth="1"/>
    <col min="4" max="4" width="25.7142857142857" style="51" customWidth="1"/>
    <col min="5" max="5" width="15.7142857142857" style="8" customWidth="1"/>
    <col min="6" max="6" width="15.7142857142857" style="2" customWidth="1"/>
    <col min="7" max="7" width="60.7142857142857" style="2" customWidth="1"/>
    <col min="8" max="8" width="9.14285714285714" style="2"/>
    <col min="9" max="10" width="20.7142857142857" style="2" hidden="1" customWidth="1"/>
    <col min="11" max="11" width="23.1428571428571" style="2" hidden="1" customWidth="1"/>
    <col min="12" max="15" width="20.7142857142857" style="2" hidden="1" customWidth="1"/>
    <col min="16" max="16" width="22.1428571428571" style="2" hidden="1" customWidth="1"/>
    <col min="17" max="17" width="17" style="2" hidden="1" customWidth="1"/>
    <col min="18" max="16384" width="9.14285714285714" style="2"/>
  </cols>
  <sheetData>
    <row r="1" spans="1:7" s="116" customFormat="1" ht="15">
      <c r="A1" s="115" t="str" cm="1">
        <f t="array" ca="1" aca="1" ref="A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A$2,README!$E:$E,README!$I$36,README!$B$36)</f>
        <v>◈</v>
      </c>
      <c r="B1" s="115" t="str" cm="1">
        <f t="array" ca="1" aca="1" ref="B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B$2,README!$E:$E,README!$I$36,README!$B$36)</f>
        <v>◈</v>
      </c>
      <c r="C1" s="115" t="str" cm="1">
        <f t="array" ca="1" aca="1" ref="C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C$2,README!$E:$E,README!$I$36,README!$B$36)</f>
        <v>◈</v>
      </c>
      <c r="D1" s="115" t="str" cm="1">
        <f t="array" ca="1" aca="1" ref="D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D$2,README!$E:$E,README!$I$36,README!$B$36)</f>
        <v>◈</v>
      </c>
      <c r="E1" s="115" t="str" cm="1">
        <f t="array" ca="1" aca="1" ref="E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E$2,README!$E:$E,README!$I$36,README!$B$36)</f>
        <v>◈</v>
      </c>
      <c r="F1" s="115" t="str" cm="1">
        <f t="array" ca="1" aca="1" ref="F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F$2,README!$E:$E,README!$I$36,README!$B$36)</f>
        <v>◈</v>
      </c>
      <c r="G1" s="115" t="str" cm="1">
        <f t="array" ca="1" aca="1" ref="G1">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$18,G$2,README!$E:$E,README!$I$36,README!$B$36)</f>
        <v>◈</v>
      </c>
    </row>
    <row r="2" spans="1:17" s="40" customFormat="1" ht="15.75">
      <c r="A2" s="42" t="s">
        <v>541</v>
      </c>
      <c r="B2" s="72" t="s">
        <v>542</v>
      </c>
      <c r="C2" s="43" t="s">
        <v>543</v>
      </c>
      <c r="D2" s="43" t="s">
        <v>553</v>
      </c>
      <c r="E2" s="43" t="s">
        <v>549</v>
      </c>
      <c r="F2" s="44" t="s">
        <v>550</v>
      </c>
      <c r="G2" s="44" t="s">
        <v>551</v>
      </c>
      <c r="I2" s="39" t="s">
        <v>539</v>
      </c>
      <c r="J2" s="39" t="s">
        <v>538</v>
      </c>
      <c r="K2" s="39" t="s">
        <v>545</v>
      </c>
      <c r="L2" s="41" t="s">
        <v>540</v>
      </c>
      <c r="M2" s="41" t="s">
        <v>552</v>
      </c>
      <c r="N2" s="41" t="s">
        <v>548</v>
      </c>
      <c r="O2" s="41" t="s">
        <v>236</v>
      </c>
      <c r="P2" s="41" t="s">
        <v>546</v>
      </c>
      <c r="Q2" s="41" t="s">
        <v>547</v>
      </c>
    </row>
    <row r="3" spans="1:17" s="108" customFormat="1" ht="18.75">
      <c r="A3" s="149" t="s">
        <v>1356</v>
      </c>
      <c r="B3" s="149"/>
      <c r="C3" s="149"/>
      <c r="D3" s="149"/>
      <c r="E3" s="149"/>
      <c r="F3" s="149"/>
      <c r="G3" s="149"/>
      <c r="I3" s="31"/>
      <c r="J3" s="31"/>
      <c r="K3" s="31"/>
      <c r="L3" s="119" t="str">
        <f>IF($I3="","",_xlfn.LET(_xlpm._in,$I3,_xlpm._start,FIND("]",_xlpm._in)+1,"'"&amp;SUBSTITUTE(MID(_xlpm._in,_xlpm._start,FIND("!",_xlpm._in)-_xlpm._start),"'","")&amp;"'!"))</f>
        <v/>
      </c>
      <c r="M3" s="119" t="str">
        <f>IF(K3="","",_xlfn.LET(_xlpm._in,K3,_xlpm._start,FIND("$",_xlpm._in)+1,_xlpm._column,SUBSTITUTE(MID(_xlpm._in,_xlpm._start,FIND("$",SUBSTITUTE(_xlpm._in,"$","§",1))-_xlpm._start),"'",""),_xlpm._column))</f>
        <v/>
      </c>
      <c r="N3" s="119" t="str">
        <f>IF(I3="","",_xlfn.LET(_xlpm._in,I3,_xlpm._start,FIND("$",_xlpm._in)+1,_xlpm._column,SUBSTITUTE(MID(_xlpm._in,_xlpm._start,FIND("$",SUBSTITUTE(_xlpm._in,"$","§",1))-_xlpm._start),"'",""),$M3&amp;":"&amp;_xlpm._column))</f>
        <v/>
      </c>
      <c r="O3" s="119" t="str">
        <f>IF(J3="","",_xlfn.LET(_xlpm._in,J3,_xlpm._start,FIND("$",_xlpm._in)+1,_xlpm._column,SUBSTITUTE(MID(_xlpm._in,_xlpm._start,FIND("$",SUBSTITUTE(_xlpm._in,"$","§",1))-_xlpm._start),"'",""),_xlpm._column&amp;":"&amp;_xlpm._column))</f>
        <v/>
      </c>
      <c r="P3" s="119" t="str">
        <f>IF($L3="","",$M3&amp;":"&amp;$M3)</f>
        <v/>
      </c>
      <c r="Q3" s="119" t="str" cm="1">
        <f t="array" ca="1" aca="1" ref="Q3">GetQualityIssues($L3,$P3,$O3,1,",")</f>
        <v/>
      </c>
    </row>
    <row r="4" spans="1:17" ht="105">
      <c r="A4" s="45">
        <f ca="1">IF($E4="",0,LEN($E4)-LEN(SUBSTITUTE($E4,",",""))+1)</f>
        <v>4</v>
      </c>
      <c r="B4" s="73" t="s">
        <v>1691</v>
      </c>
      <c r="C4" s="48" t="str" cm="1">
        <f t="array" ca="1" aca="1" ref="C4">RemoveDelimiter(GetValues($Q4,INDIRECT($L4&amp;$N4),"",","&amp;CHAR(10),FALSE),","&amp;CHAR(10))</f>
        <v>RD Contact,
CSS,
CSTS,
QuBA Change History</v>
      </c>
      <c r="D4" s="50" t="str">
        <f ca="1">IF($E4="","",_xlfn.LET(_xlpm._in,SUBSTITUTE($E4,", ",",")&amp;",",_xlpm._id,LEFT(_xlpm._in,FIND(",",_xlpm._in)-1),_xlpm._sheet,$L4,_xlpm._row,MATCH(_xlpm._id,INDIRECT(_xlpm._sheet&amp;$P4),0),HYPERLINK("#"&amp;_xlpm._sheet&amp;$M4&amp;_xlpm._row,_xlpm._id)))</f>
        <v>RD Contact</v>
      </c>
      <c r="E4" s="8" t="str" cm="1">
        <f t="array" ca="1" aca="1" ref="E4">SUBSTITUTE(RemoveDelimiter(IF($F4="",$Q4,FilterElementsFromList($Q4,SanitizeInput($F4),FALSE,", ")),","),",",", ")</f>
        <v>RD Contact, CSS, CSTS, QuBA Change History</v>
      </c>
      <c r="F4" s="46"/>
      <c r="G4" s="46"/>
      <c r="I4" s="2" t="str" cm="1">
        <f t="array" ca="1" aca="1" ref="I4">CELL("address",Documentation!I1)</f>
        <v>'[QuBA-libre.xlsx]Documentation'!$I$1</v>
      </c>
      <c r="J4" s="2" t="str" cm="1">
        <f t="array" ca="1" aca="1" ref="J4">CELL("address",Documentation!J1)</f>
        <v>'[QuBA-libre.xlsx]Documentation'!$J$1</v>
      </c>
      <c r="K4" s="2" t="str" cm="1">
        <f t="array" ca="1" aca="1" ref="K4">CELL("address",Documentation!B1)</f>
        <v>'[QuBA-libre.xlsx]Documentation'!$B$1</v>
      </c>
      <c r="L4" s="10" t="str">
        <f ca="1" t="shared" si="0" ref="L4:L16">IF($I4="","",_xlfn.LET(_xlpm._in,$I4,_xlpm._start,FIND("]",_xlpm._in)+1,"'"&amp;SUBSTITUTE(MID(_xlpm._in,_xlpm._start,FIND("!",_xlpm._in)-_xlpm._start),"'","")&amp;"'!"))</f>
        <v>'Documentation'!</v>
      </c>
      <c r="M4" s="10" t="str">
        <f ca="1" t="shared" si="1" ref="M4:M16">IF(K4="","",_xlfn.LET(_xlpm._in,K4,_xlpm._start,FIND("$",_xlpm._in)+1,_xlpm._column,SUBSTITUTE(MID(_xlpm._in,_xlpm._start,FIND("$",SUBSTITUTE(_xlpm._in,"$","§",1))-_xlpm._start),"'",""),_xlpm._column))</f>
        <v>B</v>
      </c>
      <c r="N4" s="10" t="str">
        <f ca="1" t="shared" si="2" ref="N4:N16">IF(I4="","",_xlfn.LET(_xlpm._in,I4,_xlpm._start,FIND("$",_xlpm._in)+1,_xlpm._column,SUBSTITUTE(MID(_xlpm._in,_xlpm._start,FIND("$",SUBSTITUTE(_xlpm._in,"$","§",1))-_xlpm._start),"'",""),$M4&amp;":"&amp;_xlpm._column))</f>
        <v>B:I</v>
      </c>
      <c r="O4" s="10" t="str">
        <f ca="1" t="shared" si="3" ref="O4:O16">IF(J4="","",_xlfn.LET(_xlpm._in,J4,_xlpm._start,FIND("$",_xlpm._in)+1,_xlpm._column,SUBSTITUTE(MID(_xlpm._in,_xlpm._start,FIND("$",SUBSTITUTE(_xlpm._in,"$","§",1))-_xlpm._start),"'",""),_xlpm._column&amp;":"&amp;_xlpm._column))</f>
        <v>J:J</v>
      </c>
      <c r="P4" s="10" t="str">
        <f ca="1" t="shared" si="4" ref="P4:P16">IF($L4="","",$M4&amp;":"&amp;$M4)</f>
        <v>B:B</v>
      </c>
      <c r="Q4" s="10" t="str" cm="1">
        <f t="array" ca="1" aca="1" ref="Q4">GetQualityIssues($L4,$P4,$O4,1,",")</f>
        <v>RD Contact,CSS,CSTS,QuBA Change History,</v>
      </c>
    </row>
    <row r="5" spans="1:17" ht="409.5">
      <c r="A5" s="45">
        <f ca="1" t="shared" si="5" ref="A5:A22">IF($E5="",0,LEN($E5)-LEN(SUBSTITUTE($E5,",",""))+1)</f>
        <v>0</v>
      </c>
      <c r="B5" s="73" t="s">
        <v>559</v>
      </c>
      <c r="C5" s="48" t="str" cm="1">
        <f t="array" ca="1" aca="1" ref="C5">RemoveDelimiter(GetValues($Q5,INDIRECT($L5&amp;$N5),"",","&amp;CHAR(10),FALSE),","&amp;CHAR(10))</f>
        <v/>
      </c>
      <c r="D5" s="50" t="str">
        <f ca="1" t="shared" si="6" ref="D5:D22">IF($E5="","",_xlfn.LET(_xlpm._in,SUBSTITUTE($E5,", ",",")&amp;",",_xlpm._id,LEFT(_xlpm._in,FIND(",",_xlpm._in)-1),_xlpm._sheet,$L5,_xlpm._row,MATCH(_xlpm._id,INDIRECT(_xlpm._sheet&amp;$P5),0),HYPERLINK("#"&amp;_xlpm._sheet&amp;$M5&amp;_xlpm._row,_xlpm._id)))</f>
        <v/>
      </c>
      <c r="E5" s="8" t="str" cm="1">
        <f t="array" ca="1" aca="1" ref="E5">SUBSTITUTE(RemoveDelimiter(IF($F5="",$Q5,FilterElementsFromList($Q5,SanitizeInput($F5),FALSE,", ")),","),",",", ")</f>
        <v/>
      </c>
      <c r="F5" s="46"/>
      <c r="G5" s="46"/>
      <c r="I5" s="2" t="str" cm="1">
        <f t="array" ca="1" aca="1" ref="I5">CELL("address",Questionnaire!N3)</f>
        <v>'[QuBA-libre.xlsx]Questionnaire'!$N$3</v>
      </c>
      <c r="J5" s="2" t="str" cm="1">
        <f t="array" ca="1" aca="1" ref="J5">CELL("address",Questionnaire!O3)</f>
        <v>'[QuBA-libre.xlsx]Questionnaire'!$O$3</v>
      </c>
      <c r="K5" s="2" t="str" cm="1">
        <f t="array" ca="1" aca="1" ref="K5">CELL("address",Questionnaire!A3)</f>
        <v>'[QuBA-libre.xlsx]Questionnaire'!$A$3</v>
      </c>
      <c r="L5" s="10" t="str">
        <f t="shared" ca="1" si="0"/>
        <v>'Questionnaire'!</v>
      </c>
      <c r="M5" s="10" t="str">
        <f t="shared" ca="1" si="1"/>
        <v>A</v>
      </c>
      <c r="N5" s="10" t="str">
        <f t="shared" ca="1" si="2"/>
        <v>A:N</v>
      </c>
      <c r="O5" s="10" t="str">
        <f t="shared" ca="1" si="3"/>
        <v>O:O</v>
      </c>
      <c r="P5" s="10" t="str">
        <f t="shared" ca="1" si="4"/>
        <v>A:A</v>
      </c>
      <c r="Q5" s="10" t="str" cm="1">
        <f t="array" ca="1" aca="1" ref="Q5">GetQualityIssues($L5,$P5,$O5,1,",")</f>
        <v/>
      </c>
    </row>
    <row r="6" spans="1:17" ht="15">
      <c r="A6" s="45">
        <f t="shared" ca="1" si="5"/>
        <v>0</v>
      </c>
      <c r="B6" s="73" t="s">
        <v>560</v>
      </c>
      <c r="C6" s="48" t="str" cm="1">
        <f t="array" ca="1" aca="1" ref="C6">RemoveDelimiter(GetValues($Q6,INDIRECT($L6&amp;$N6),"",","&amp;CHAR(10),FALSE),","&amp;CHAR(10))</f>
        <v/>
      </c>
      <c r="D6" s="50" t="str">
        <f t="shared" ca="1" si="6"/>
        <v/>
      </c>
      <c r="E6" s="8" t="str" cm="1">
        <f t="array" ca="1" aca="1" ref="E6">SUBSTITUTE(RemoveDelimiter(IF($F6="",$Q6,FilterElementsFromList($Q6,SanitizeInput($F6),FALSE,", ")),","),",",", ")</f>
        <v/>
      </c>
      <c r="F6" s="46"/>
      <c r="G6" s="46"/>
      <c r="I6" s="2" t="str" cm="1">
        <f t="array" ca="1" aca="1" ref="I6">CELL("address",Questionnaire!P3)</f>
        <v>'[QuBA-libre.xlsx]Questionnaire'!$P$3</v>
      </c>
      <c r="J6" s="2" t="str" cm="1">
        <f t="array" ca="1" aca="1" ref="J6">CELL("address",Questionnaire!Q3)</f>
        <v>'[QuBA-libre.xlsx]Questionnaire'!$Q$3</v>
      </c>
      <c r="K6" s="2" t="str" cm="1">
        <f t="array" ca="1" aca="1" ref="K6">CELL("address",Questionnaire!A3)</f>
        <v>'[QuBA-libre.xlsx]Questionnaire'!$A$3</v>
      </c>
      <c r="L6" s="10" t="str">
        <f t="shared" ca="1" si="0"/>
        <v>'Questionnaire'!</v>
      </c>
      <c r="M6" s="10" t="str">
        <f t="shared" ca="1" si="1"/>
        <v>A</v>
      </c>
      <c r="N6" s="10" t="str">
        <f t="shared" ca="1" si="2"/>
        <v>A:P</v>
      </c>
      <c r="O6" s="10" t="str">
        <f t="shared" ca="1" si="3"/>
        <v>Q:Q</v>
      </c>
      <c r="P6" s="10" t="str">
        <f t="shared" ca="1" si="4"/>
        <v>A:A</v>
      </c>
      <c r="Q6" s="10" t="str" cm="1">
        <f t="array" ca="1" aca="1" ref="Q6">GetQualityIssues($L6,$P6,$O6,1,",")</f>
        <v/>
      </c>
    </row>
    <row r="7" spans="1:17" ht="15">
      <c r="A7" s="45">
        <f t="shared" ca="1" si="5"/>
        <v>2</v>
      </c>
      <c r="B7" s="73" t="s">
        <v>565</v>
      </c>
      <c r="C7" s="48" t="str" cm="1">
        <f t="array" ca="1" aca="1" ref="C7">RemoveDelimiter(GetValues($Q7,INDIRECT($L7&amp;$N7),"",","&amp;CHAR(10),FALSE),","&amp;CHAR(10))</f>
        <v>QA15 Is the product typically installed in an operational environment with public access?,
QA16 Are the product's physical connections (such as attached bus cables) typically installed in an environment with public access?</v>
      </c>
      <c r="D7" s="50" t="str">
        <f t="shared" ca="1" si="6"/>
        <v>QA15</v>
      </c>
      <c r="E7" s="8" t="str" cm="1">
        <f t="array" ca="1" aca="1" ref="E7">SUBSTITUTE(RemoveDelimiter(IF($F7="",$Q7,FilterElementsFromList($Q7,SanitizeInput($F7),FALSE,", ")),","),",",", ")</f>
        <v>QA15, QA16</v>
      </c>
      <c r="F7" s="46"/>
      <c r="G7" s="46"/>
      <c r="I7" s="2" t="str" cm="1">
        <f t="array" ca="1" aca="1" ref="I7">CELL("address",Questionnaire!R$3)</f>
        <v>'[QuBA-libre.xlsx]Questionnaire'!$R$3</v>
      </c>
      <c r="J7" s="2" t="str" cm="1">
        <f t="array" ca="1" aca="1" ref="J7">CELL("address",Questionnaire!S3)</f>
        <v>'[QuBA-libre.xlsx]Questionnaire'!$S$3</v>
      </c>
      <c r="K7" s="2" t="str" cm="1">
        <f t="array" ca="1" aca="1" ref="K7">CELL("address",Questionnaire!A3)</f>
        <v>'[QuBA-libre.xlsx]Questionnaire'!$A$3</v>
      </c>
      <c r="L7" s="10" t="str">
        <f t="shared" ca="1" si="0"/>
        <v>'Questionnaire'!</v>
      </c>
      <c r="M7" s="10" t="str">
        <f t="shared" ca="1" si="1"/>
        <v>A</v>
      </c>
      <c r="N7" s="10" t="str">
        <f t="shared" ca="1" si="2"/>
        <v>A:R</v>
      </c>
      <c r="O7" s="10" t="str">
        <f t="shared" ca="1" si="3"/>
        <v>S:S</v>
      </c>
      <c r="P7" s="10" t="str">
        <f t="shared" ca="1" si="4"/>
        <v>A:A</v>
      </c>
      <c r="Q7" s="10" t="str" cm="1">
        <f t="array" ca="1" aca="1" ref="Q7">GetQualityIssues($L7,$P7,$O7,1,",")</f>
        <v>QA15,QA16,</v>
      </c>
    </row>
    <row r="8" spans="1:17" ht="15">
      <c r="A8" s="45">
        <f t="shared" ca="1" si="5"/>
        <v>0</v>
      </c>
      <c r="B8" s="73" t="s">
        <v>572</v>
      </c>
      <c r="C8" s="48" t="str" cm="1">
        <f t="array" ca="1" aca="1" ref="C8">RemoveDelimiter(GetValues($Q8,INDIRECT($L8&amp;$N8),"",","&amp;CHAR(10),FALSE),","&amp;CHAR(10))</f>
        <v/>
      </c>
      <c r="D8" s="50" t="str">
        <f t="shared" ca="1" si="6"/>
        <v/>
      </c>
      <c r="E8" s="8" t="str" cm="1">
        <f t="array" ca="1" aca="1" ref="E8">SUBSTITUTE(RemoveDelimiter(IF($F8="",$Q8,FilterElementsFromList($Q8,SanitizeInput($F8),FALSE,", ")),","),",",", ")</f>
        <v/>
      </c>
      <c r="F8" s="46"/>
      <c r="G8" s="46"/>
      <c r="I8" s="2" t="str" cm="1">
        <f t="array" ca="1" aca="1" ref="I8">CELL("address",Questionnaire!T$3)</f>
        <v>'[QuBA-libre.xlsx]Questionnaire'!$T$3</v>
      </c>
      <c r="J8" s="2" t="str" cm="1">
        <f t="array" ca="1" aca="1" ref="J8">CELL("address",Questionnaire!U$3)</f>
        <v>'[QuBA-libre.xlsx]Questionnaire'!$U$3</v>
      </c>
      <c r="K8" s="2" t="str" cm="1">
        <f t="array" ca="1" aca="1" ref="K8">CELL("address",Questionnaire!A$3)</f>
        <v>'[QuBA-libre.xlsx]Questionnaire'!$A$3</v>
      </c>
      <c r="L8" s="10" t="str">
        <f ca="1" t="shared" si="7" ref="L8:L14">IF($I8="","",_xlfn.LET(_xlpm._in,$I8,_xlpm._start,FIND("]",_xlpm._in)+1,"'"&amp;SUBSTITUTE(MID(_xlpm._in,_xlpm._start,FIND("!",_xlpm._in)-_xlpm._start),"'","")&amp;"'!"))</f>
        <v>'Questionnaire'!</v>
      </c>
      <c r="M8" s="10" t="str">
        <f ca="1" t="shared" si="8" ref="M8:M14">IF(K8="","",_xlfn.LET(_xlpm._in,K8,_xlpm._start,FIND("$",_xlpm._in)+1,_xlpm._column,SUBSTITUTE(MID(_xlpm._in,_xlpm._start,FIND("$",SUBSTITUTE(_xlpm._in,"$","§",1))-_xlpm._start),"'",""),_xlpm._column))</f>
        <v>A</v>
      </c>
      <c r="N8" s="10" t="str">
        <f ca="1" t="shared" si="9" ref="N8:N14">IF(I8="","",_xlfn.LET(_xlpm._in,I8,_xlpm._start,FIND("$",_xlpm._in)+1,_xlpm._column,SUBSTITUTE(MID(_xlpm._in,_xlpm._start,FIND("$",SUBSTITUTE(_xlpm._in,"$","§",1))-_xlpm._start),"'",""),$M8&amp;":"&amp;_xlpm._column))</f>
        <v>A:T</v>
      </c>
      <c r="O8" s="10" t="str">
        <f ca="1" t="shared" si="10" ref="O8:O14">IF(J8="","",_xlfn.LET(_xlpm._in,J8,_xlpm._start,FIND("$",_xlpm._in)+1,_xlpm._column,SUBSTITUTE(MID(_xlpm._in,_xlpm._start,FIND("$",SUBSTITUTE(_xlpm._in,"$","§",1))-_xlpm._start),"'",""),_xlpm._column&amp;":"&amp;_xlpm._column))</f>
        <v>U:U</v>
      </c>
      <c r="P8" s="10" t="str">
        <f ca="1" t="shared" si="11" ref="P8:P14">IF($L8="","",$M8&amp;":"&amp;$M8)</f>
        <v>A:A</v>
      </c>
      <c r="Q8" s="10" t="str" cm="1">
        <f t="array" ca="1" aca="1" ref="Q8">GetQualityIssues($L8,$P8,$O8,1,",")</f>
        <v/>
      </c>
    </row>
    <row r="9" spans="1:17" ht="15">
      <c r="A9" s="45">
        <f t="shared" ca="1" si="5"/>
        <v>0</v>
      </c>
      <c r="B9" s="73" t="s">
        <v>616</v>
      </c>
      <c r="C9" s="48" t="str" cm="1">
        <f t="array" ca="1" aca="1" ref="C9">RemoveDelimiter(GetValues($Q9,INDIRECT($L9&amp;$N9),"",","&amp;CHAR(10),FALSE),","&amp;CHAR(10))</f>
        <v/>
      </c>
      <c r="D9" s="50" t="str">
        <f t="shared" ca="1" si="6"/>
        <v/>
      </c>
      <c r="E9" s="8" t="str" cm="1">
        <f t="array" ca="1" aca="1" ref="E9">SUBSTITUTE(RemoveDelimiter(IF($F9="",$Q9,FilterElementsFromList($Q9,SanitizeInput($F9),FALSE,", ")),","),",",", ")</f>
        <v/>
      </c>
      <c r="F9" s="46"/>
      <c r="G9" s="46"/>
      <c r="I9" s="2" t="str" cm="1">
        <f t="array" ca="1" aca="1" ref="I9">CELL("address",Risks!$CR$2)</f>
        <v>'[QuBA-libre.xlsx]Risks'!$CR$2</v>
      </c>
      <c r="J9" s="2" t="str" cm="1">
        <f t="array" ca="1" aca="1" ref="J9">CELL("address",Risks!$CS$2)</f>
        <v>'[QuBA-libre.xlsx]Risks'!$CS$2</v>
      </c>
      <c r="K9" s="2" t="str" cm="1">
        <f t="array" ca="1" aca="1" ref="K9">CELL("address",Risks!$A$2)</f>
        <v>'[QuBA-libre.xlsx]Risks'!$A$2</v>
      </c>
      <c r="L9" s="10" t="str">
        <f t="shared" ca="1" si="7"/>
        <v>'Risks'!</v>
      </c>
      <c r="M9" s="10" t="str">
        <f t="shared" ca="1" si="8"/>
        <v>A</v>
      </c>
      <c r="N9" s="10" t="str">
        <f t="shared" ca="1" si="9"/>
        <v>A:CR</v>
      </c>
      <c r="O9" s="10" t="str">
        <f t="shared" ca="1" si="10"/>
        <v>CS:CS</v>
      </c>
      <c r="P9" s="10" t="str">
        <f t="shared" ca="1" si="11"/>
        <v>A:A</v>
      </c>
      <c r="Q9" s="10" t="str" cm="1">
        <f t="array" ca="1" aca="1" ref="Q9">GetQualityIssues($L9,$P9,$O9,1,",")</f>
        <v/>
      </c>
    </row>
    <row r="10" spans="1:17" ht="30">
      <c r="A10" s="45">
        <f t="shared" ca="1" si="5"/>
        <v>0</v>
      </c>
      <c r="B10" s="73" t="s">
        <v>1131</v>
      </c>
      <c r="C10" s="48" t="str" cm="1">
        <f t="array" ca="1" aca="1" ref="C10">RemoveDelimiter(GetValues($Q10,INDIRECT($L10&amp;$N10),"",","&amp;CHAR(10),FALSE),","&amp;CHAR(10))</f>
        <v/>
      </c>
      <c r="D10" s="50" t="str">
        <f t="shared" ca="1" si="6"/>
        <v/>
      </c>
      <c r="E10" s="8" t="str" cm="1">
        <f t="array" ca="1" aca="1" ref="E10">SUBSTITUTE(RemoveDelimiter(IF($F10="",$Q10,FilterElementsFromList($Q10,SanitizeInput($F10),FALSE,", ")),","),",",", ")</f>
        <v/>
      </c>
      <c r="F10" s="46"/>
      <c r="G10" s="46"/>
      <c r="I10" s="2" t="str" cm="1">
        <f t="array" ca="1" aca="1" ref="I10">CELL("address",Mitigation!AE$2)</f>
        <v>'[QuBA-libre.xlsx]Mitigation'!$AE$2</v>
      </c>
      <c r="J10" s="2" t="str" cm="1">
        <f t="array" ca="1" aca="1" ref="J10">CELL("address",Mitigation!AF$2)</f>
        <v>'[QuBA-libre.xlsx]Mitigation'!$AF$2</v>
      </c>
      <c r="K10" s="2" t="str" cm="1">
        <f t="array" ca="1" aca="1" ref="K10">CELL("address",Mitigation!A$2)</f>
        <v>'[QuBA-libre.xlsx]Mitigation'!$A$2</v>
      </c>
      <c r="L10" s="10" t="str">
        <f t="shared" ca="1" si="7"/>
        <v>'Mitigation'!</v>
      </c>
      <c r="M10" s="10" t="str">
        <f t="shared" ca="1" si="8"/>
        <v>A</v>
      </c>
      <c r="N10" s="10" t="str">
        <f t="shared" ca="1" si="9"/>
        <v>A:AE</v>
      </c>
      <c r="O10" s="10" t="str">
        <f t="shared" ca="1" si="10"/>
        <v>AF:AF</v>
      </c>
      <c r="P10" s="10" t="str">
        <f t="shared" ca="1" si="11"/>
        <v>A:A</v>
      </c>
      <c r="Q10" s="10" t="str" cm="1">
        <f t="array" ca="1" aca="1" ref="Q10">GetQualityIssues($L10,$P10,$O10,1,",")</f>
        <v/>
      </c>
    </row>
    <row r="11" spans="1:17" ht="15">
      <c r="A11" s="45">
        <f t="shared" ca="1" si="5"/>
        <v>0</v>
      </c>
      <c r="B11" s="73" t="s">
        <v>1362</v>
      </c>
      <c r="C11" s="48" t="str" cm="1">
        <f t="array" ca="1" aca="1" ref="C11">RemoveDelimiter(GetValues($Q11,INDIRECT($L11&amp;$N11),"",","&amp;CHAR(10),FALSE),","&amp;CHAR(10))</f>
        <v/>
      </c>
      <c r="D11" s="50" t="str">
        <f t="shared" ca="1" si="6"/>
        <v/>
      </c>
      <c r="E11" s="8" t="str" cm="1">
        <f t="array" ca="1" aca="1" ref="E11">SUBSTITUTE(RemoveDelimiter(IF($F11="",$Q11,FilterElementsFromList($Q11,SanitizeInput($F11),FALSE,", ")),","),",",", ")</f>
        <v/>
      </c>
      <c r="F11" s="46"/>
      <c r="G11" s="46"/>
      <c r="I11" s="2" t="str" cm="1">
        <f t="array" ca="1" aca="1" ref="I11">CELL("address",Mitigation!AK$2)</f>
        <v>'[QuBA-libre.xlsx]Mitigation'!$AK$2</v>
      </c>
      <c r="J11" s="2" t="str" cm="1">
        <f t="array" ca="1" aca="1" ref="J11">CELL("address",Mitigation!AL$2)</f>
        <v>'[QuBA-libre.xlsx]Mitigation'!$AL$2</v>
      </c>
      <c r="K11" s="2" t="str" cm="1">
        <f t="array" ca="1" aca="1" ref="K11">CELL("address",Mitigation!A$2)</f>
        <v>'[QuBA-libre.xlsx]Mitigation'!$A$2</v>
      </c>
      <c r="L11" s="10" t="str">
        <f ca="1">IF($I11="","",_xlfn.LET(_xlpm._in,$I11,_xlpm._start,FIND("]",_xlpm._in)+1,"'"&amp;SUBSTITUTE(MID(_xlpm._in,_xlpm._start,FIND("!",_xlpm._in)-_xlpm._start),"'","")&amp;"'!"))</f>
        <v>'Mitigation'!</v>
      </c>
      <c r="M11" s="10" t="str">
        <f ca="1">IF(K11="","",_xlfn.LET(_xlpm._in,K11,_xlpm._start,FIND("$",_xlpm._in)+1,_xlpm._column,SUBSTITUTE(MID(_xlpm._in,_xlpm._start,FIND("$",SUBSTITUTE(_xlpm._in,"$","§",1))-_xlpm._start),"'",""),_xlpm._column))</f>
        <v>A</v>
      </c>
      <c r="N11" s="10" t="str">
        <f ca="1">IF(I11="","",_xlfn.LET(_xlpm._in,I11,_xlpm._start,FIND("$",_xlpm._in)+1,_xlpm._column,SUBSTITUTE(MID(_xlpm._in,_xlpm._start,FIND("$",SUBSTITUTE(_xlpm._in,"$","§",1))-_xlpm._start),"'",""),$M11&amp;":"&amp;_xlpm._column))</f>
        <v>A:AK</v>
      </c>
      <c r="O11" s="10" t="str">
        <f ca="1">IF(J11="","",_xlfn.LET(_xlpm._in,J11,_xlpm._start,FIND("$",_xlpm._in)+1,_xlpm._column,SUBSTITUTE(MID(_xlpm._in,_xlpm._start,FIND("$",SUBSTITUTE(_xlpm._in,"$","§",1))-_xlpm._start),"'",""),_xlpm._column&amp;":"&amp;_xlpm._column))</f>
        <v>AL:AL</v>
      </c>
      <c r="P11" s="10" t="str">
        <f ca="1">IF($L11="","",$M11&amp;":"&amp;$M11)</f>
        <v>A:A</v>
      </c>
      <c r="Q11" s="10" t="str" cm="1">
        <f t="array" ca="1" aca="1" ref="Q11">GetQualityIssues($L11,$P11,$O11,1,",")</f>
        <v/>
      </c>
    </row>
    <row r="12" spans="1:17" ht="15">
      <c r="A12" s="45">
        <f t="shared" ca="1" si="5"/>
        <v>38</v>
      </c>
      <c r="B12" s="73" t="s">
        <v>723</v>
      </c>
      <c r="C12" s="48" t="str" cm="1">
        <f t="array" ca="1" aca="1" ref="C12">RemoveDelimiter(GetValues($Q12,INDIRECT($L12&amp;$N12),"",","&amp;CHAR(10),FALSE),","&amp;CHAR(10))</f>
        <v>R1-3,
R2-3,
R1-4,
R2-4,
R1-6,
R2-6,
R1-7,
R2-7,
R1-3-10,
R2-3-10,
R1-3-11,
R2-3-11,
R1-14,
R1-16,
R2-16,
R21-23,
R22-23,
R1-29,
R2-29,
R31,
R1-3-32,
R2-3-32,
R1-5-32,
R2-5-32,
R1-7-32,
R2-7-32,
R1-16-32,
R2-16-32,
R21-23-32,
R22-23-32,
R21-24-32,
R22-24-32,
R1-29-32,
R2-29-32,
R37,
R38,
R1-40,
R2-40</v>
      </c>
      <c r="D12" s="50" t="str">
        <f ca="1">IF($E12="","",_xlfn.LET(_xlpm._id,$C12,_xlpm._sheet,Helper!$G$14,_xlpm._column,CHAR(CODE("A")-1+COLUMN('Risk Treatment'!$D$2)),_xlpm._row,ROW('Risk Treatment'!$D$2),HYPERLINK("#'"&amp;_xlpm._sheet&amp;"'!"&amp;_xlpm._column&amp;_xlpm._row,_xlpm._id)))</f>
        <v>R1-3,
R2-3,
R1-4,
R2-4,
R1-6,
R2-6,
R1-7,
R2-7,
R1-3-10,
R2-3-10,
R1-3-11,
R2-3-11,
R1-14,
R1-16,
R2-16,
R21-23,
R22-23,
R1-29,
R2-29,
R31,
R1-3-32,
R2-3-32,
R1-5-32,
R2-5-32,
R1-7-32,
R2-7-32,
R1-16-32,
R2-16-32,
R21-23-32,
R22-23-32,
R21-24-32,
R22-24-32,
R1-29-32,
R2-29-32,
R37,
R38,
R1-40,
R2-40</v>
      </c>
      <c r="E12" s="8" t="str" cm="1">
        <f t="array" ca="1" aca="1" ref="E12">SUBSTITUTE(RemoveDelimiter(IF($F12="",$Q12,FilterElementsFromList($Q12,SanitizeInput($F12),FALSE,", ")),","),",",", ")</f>
        <v>R1-3, R2-3, R1-4, R2-4, R1-6, R2-6, R1-7, R2-7, R1-3-10, R2-3-10, R1-3-11, R2-3-11, R1-14, R1-16, R2-16, R21-23, R22-23, R1-29, R2-29, R31, R1-3-32, R2-3-32, R1-5-32, R2-5-32, R1-7-32, R2-7-32, R1-16-32, R2-16-32, R21-23-32, R22-23-32, R21-24-32, R22-24-32, R1-29-32, R2-29-32, R37, R38, R1-40, R2-40</v>
      </c>
      <c r="F12" s="46"/>
      <c r="G12" s="46"/>
      <c r="I12" s="2" t="str" cm="1">
        <f t="array" ca="1" aca="1" ref="I12">CELL("address",Risks!$CT$2)</f>
        <v>'[QuBA-libre.xlsx]Risks'!$CT$2</v>
      </c>
      <c r="J12" s="2" t="str" cm="1">
        <f t="array" ca="1" aca="1" ref="J12">CELL("address",Risks!$CU$2)</f>
        <v>'[QuBA-libre.xlsx]Risks'!$CU$2</v>
      </c>
      <c r="K12" s="2" t="str" cm="1">
        <f t="array" ca="1" aca="1" ref="K12">CELL("address",Risks!$A$2)</f>
        <v>'[QuBA-libre.xlsx]Risks'!$A$2</v>
      </c>
      <c r="L12" s="10" t="str">
        <f t="shared" ca="1" si="7"/>
        <v>'Risks'!</v>
      </c>
      <c r="M12" s="10" t="str">
        <f t="shared" ca="1" si="8"/>
        <v>A</v>
      </c>
      <c r="N12" s="10" t="str">
        <f t="shared" ca="1" si="9"/>
        <v>A:CT</v>
      </c>
      <c r="O12" s="10" t="str">
        <f t="shared" ca="1" si="10"/>
        <v>CU:CU</v>
      </c>
      <c r="P12" s="10" t="str">
        <f t="shared" ca="1" si="11"/>
        <v>A:A</v>
      </c>
      <c r="Q12" s="10" t="str" cm="1">
        <f t="array" ca="1" aca="1" ref="Q12">GetQualityIssues($L12,$P12,$O12,1,",")</f>
        <v>R1-3,R2-3,R1-4,R2-4,R1-6,R2-6,R1-7,R2-7,R1-3-10,R2-3-10,R1-3-11,R2-3-11,R1-14,R1-16,R2-16,R21-23,R22-23,R1-29,R2-29,R31,R1-3-32,R2-3-32,R1-5-32,R2-5-32,R1-7-32,R2-7-32,R1-16-32,R2-16-32,R21-23-32,R22-23-32,R21-24-32,R22-24-32,R1-29-32,R2-29-32,R37,R38,R1-40,R2-40,</v>
      </c>
    </row>
    <row r="13" spans="1:17" ht="15">
      <c r="A13" s="45">
        <f t="shared" ca="1" si="5"/>
        <v>0</v>
      </c>
      <c r="B13" s="73" t="s">
        <v>1298</v>
      </c>
      <c r="C13" s="48" t="str" cm="1">
        <f t="array" ca="1" aca="1" ref="C13">RemoveDelimiter(GetValues($Q13,INDIRECT($L13&amp;$N13),"",","&amp;CHAR(10),FALSE),","&amp;CHAR(10))</f>
        <v/>
      </c>
      <c r="D13" s="50" t="str">
        <f t="shared" ca="1" si="6"/>
        <v/>
      </c>
      <c r="E13" s="8" t="str" cm="1">
        <f t="array" ca="1" aca="1" ref="E13">SUBSTITUTE(RemoveDelimiter(IF($F13="",$Q13,FilterElementsFromList($Q13,SanitizeInput($F13),FALSE,", ")),","),",",", ")</f>
        <v/>
      </c>
      <c r="F13" s="46"/>
      <c r="G13" s="46"/>
      <c r="I13" s="2" t="str" cm="1">
        <f t="array" ca="1" aca="1" ref="I13">CELL("address",'Risk Treatment'!$AR$4)</f>
        <v>'[QuBA-libre.xlsx]Risk Treatment'!$AR$4</v>
      </c>
      <c r="J13" s="2" t="str" cm="1">
        <f t="array" ca="1" aca="1" ref="J13">CELL("address",'Risk Treatment'!$AS$4)</f>
        <v>'[QuBA-libre.xlsx]Risk Treatment'!$AS$4</v>
      </c>
      <c r="K13" s="2" t="str" cm="1">
        <f t="array" ca="1" aca="1" ref="K13">CELL("address",'Risk Treatment'!$C$4)</f>
        <v>'[QuBA-libre.xlsx]Risk Treatment'!$C$4</v>
      </c>
      <c r="L13" s="10" t="str">
        <f t="shared" ca="1" si="7"/>
        <v>'Risk Treatment'!</v>
      </c>
      <c r="M13" s="10" t="str">
        <f t="shared" ca="1" si="8"/>
        <v>C</v>
      </c>
      <c r="N13" s="10" t="str">
        <f t="shared" ca="1" si="9"/>
        <v>C:AR</v>
      </c>
      <c r="O13" s="10" t="str">
        <f t="shared" ca="1" si="10"/>
        <v>AS:AS</v>
      </c>
      <c r="P13" s="10" t="str">
        <f t="shared" ca="1" si="11"/>
        <v>C:C</v>
      </c>
      <c r="Q13" s="10" t="str" cm="1">
        <f t="array" ca="1" aca="1" ref="Q13">GetQualityIssues($L13,$P13,$O13,1,",")</f>
        <v/>
      </c>
    </row>
    <row r="14" spans="1:17" ht="15">
      <c r="A14" s="45">
        <f t="shared" ca="1" si="5"/>
        <v>0</v>
      </c>
      <c r="B14" s="73" t="s">
        <v>1336</v>
      </c>
      <c r="C14" s="48" t="str" cm="1">
        <f t="array" ca="1" aca="1" ref="C14">RemoveDelimiter(GetValues($Q14,INDIRECT($L14&amp;$N14),"",","&amp;CHAR(10),FALSE),","&amp;CHAR(10))</f>
        <v/>
      </c>
      <c r="D14" s="50" t="str">
        <f ca="1">IF($E14="","",_xlfn.LET(_xlpm._in,SUBSTITUTE($E14,", ",",")&amp;",",_xlpm._id,LEFT(_xlpm._in,FIND(",",_xlpm._in)-1),_xlpm._sheet,$L14,_xlpm._row,MATCH(1,INDIRECT(_xlpm._sheet&amp;$O14),0),HYPERLINK("#"&amp;_xlpm._sheet&amp;$M14&amp;_xlpm._row,_xlpm._id)))</f>
        <v/>
      </c>
      <c r="E14" s="8" t="str" cm="1">
        <f t="array" ca="1" aca="1" ref="E14">SUBSTITUTE(RemoveDelimiter(IF($F14="",$Q14,FilterElementsFromList($Q14,SanitizeInput($F14),FALSE,", ")),","),",",", ")</f>
        <v/>
      </c>
      <c r="F14" s="46"/>
      <c r="G14" s="46"/>
      <c r="I14" s="2" t="str" cm="1">
        <f t="array" ca="1" aca="1" ref="I14">CELL("address",'Risk Treatment'!$AU$4)</f>
        <v>'[QuBA-libre.xlsx]Risk Treatment'!$AU$4</v>
      </c>
      <c r="J14" s="2" t="str" cm="1">
        <f t="array" ca="1" aca="1" ref="J14">CELL("address",'Risk Treatment'!$AV$4)</f>
        <v>'[QuBA-libre.xlsx]Risk Treatment'!$AV$4</v>
      </c>
      <c r="K14" s="2" t="str" cm="1">
        <f t="array" ca="1" aca="1" ref="K14">CELL("address",'Risk Treatment'!$C$4)</f>
        <v>'[QuBA-libre.xlsx]Risk Treatment'!$C$4</v>
      </c>
      <c r="L14" s="10" t="str">
        <f t="shared" ca="1" si="7"/>
        <v>'Risk Treatment'!</v>
      </c>
      <c r="M14" s="10" t="str">
        <f t="shared" ca="1" si="8"/>
        <v>C</v>
      </c>
      <c r="N14" s="10" t="str">
        <f t="shared" ca="1" si="9"/>
        <v>C:AU</v>
      </c>
      <c r="O14" s="10" t="str">
        <f t="shared" ca="1" si="10"/>
        <v>AV:AV</v>
      </c>
      <c r="P14" s="10" t="str">
        <f t="shared" ca="1" si="11"/>
        <v>C:C</v>
      </c>
      <c r="Q14" s="10" t="str" cm="1">
        <f t="array" ca="1" aca="1" ref="Q14">GetQualityIssues($L14,$P14,$O14,1,",")</f>
        <v/>
      </c>
    </row>
    <row r="15" spans="1:17" ht="15">
      <c r="A15" s="45">
        <f t="shared" ca="1" si="5"/>
        <v>0</v>
      </c>
      <c r="B15" s="73" t="s">
        <v>569</v>
      </c>
      <c r="C15" s="48" t="str" cm="1">
        <f t="array" ca="1" aca="1" ref="C15">RemoveDelimiter(GetValues($Q15,INDIRECT($L15&amp;$N15),"",","&amp;CHAR(10),FALSE),","&amp;CHAR(10))</f>
        <v/>
      </c>
      <c r="D15" s="50" t="str">
        <f t="shared" ca="1" si="6"/>
        <v/>
      </c>
      <c r="E15" s="8" t="str" cm="1">
        <f t="array" ca="1" aca="1" ref="E15">SUBSTITUTE(RemoveDelimiter(IF($F15="",$Q15,FilterElementsFromList($Q15,SanitizeInput($F15),FALSE,", ")),","),",",", ")</f>
        <v/>
      </c>
      <c r="F15" s="46"/>
      <c r="G15" s="46"/>
      <c r="I15" s="2" t="str" cm="1">
        <f t="array" ca="1" aca="1" ref="I15">CELL("address",'Risk Treatment'!AD$4)</f>
        <v>'[QuBA-libre.xlsx]Risk Treatment'!$AD$4</v>
      </c>
      <c r="J15" s="2" t="str" cm="1">
        <f t="array" ca="1" aca="1" ref="J15">CELL("address",'Risk Treatment'!AE$4)</f>
        <v>'[QuBA-libre.xlsx]Risk Treatment'!$AE$4</v>
      </c>
      <c r="K15" s="2" t="str" cm="1">
        <f t="array" ca="1" aca="1" ref="K15">CELL("address",'Risk Treatment'!$C$4)</f>
        <v>'[QuBA-libre.xlsx]Risk Treatment'!$C$4</v>
      </c>
      <c r="L15" s="10" t="str">
        <f t="shared" ca="1" si="0"/>
        <v>'Risk Treatment'!</v>
      </c>
      <c r="M15" s="10" t="str">
        <f t="shared" ca="1" si="1"/>
        <v>C</v>
      </c>
      <c r="N15" s="10" t="str">
        <f t="shared" ca="1" si="2"/>
        <v>C:AD</v>
      </c>
      <c r="O15" s="10" t="str">
        <f t="shared" ca="1" si="3"/>
        <v>AE:AE</v>
      </c>
      <c r="P15" s="10" t="str">
        <f t="shared" ca="1" si="4"/>
        <v>C:C</v>
      </c>
      <c r="Q15" s="10" t="str" cm="1">
        <f t="array" ca="1" aca="1" ref="Q15">GetQualityIssues($L15,$P15,$O15,1,",")</f>
        <v/>
      </c>
    </row>
    <row r="16" spans="1:17" ht="15">
      <c r="A16" s="45">
        <f t="shared" ca="1" si="5"/>
        <v>0</v>
      </c>
      <c r="B16" s="4" t="s">
        <v>544</v>
      </c>
      <c r="C16" s="48" t="str" cm="1">
        <f t="array" ca="1" aca="1" ref="C16">RemoveDelimiter(GetValues($Q16,INDIRECT($L16&amp;$N16),"",","&amp;CHAR(10),FALSE),","&amp;CHAR(10))</f>
        <v/>
      </c>
      <c r="D16" s="50" t="str">
        <f t="shared" ca="1" si="6"/>
        <v/>
      </c>
      <c r="E16" s="8" t="str" cm="1">
        <f t="array" ca="1" aca="1" ref="E16">SUBSTITUTE(RemoveDelimiter(IF($F16="",$Q16,FilterElementsFromList($Q16,SanitizeInput($F16),FALSE,", ")),","),",",", ")</f>
        <v/>
      </c>
      <c r="I16" s="2" t="str" cm="1">
        <f t="array" ca="1" aca="1" ref="I16">CELL("address",'Risk Treatment'!$AB$4)</f>
        <v>'[QuBA-libre.xlsx]Risk Treatment'!$AB$4</v>
      </c>
      <c r="J16" s="2" t="str" cm="1">
        <f t="array" ca="1" aca="1" ref="J16">CELL("address",'Risk Treatment'!$AC$4)</f>
        <v>'[QuBA-libre.xlsx]Risk Treatment'!$AC$4</v>
      </c>
      <c r="K16" s="2" t="str" cm="1">
        <f t="array" ca="1" aca="1" ref="K16">CELL("address",'Risk Treatment'!$C$4)</f>
        <v>'[QuBA-libre.xlsx]Risk Treatment'!$C$4</v>
      </c>
      <c r="L16" s="10" t="str">
        <f t="shared" ca="1" si="0"/>
        <v>'Risk Treatment'!</v>
      </c>
      <c r="M16" s="10" t="str">
        <f t="shared" ca="1" si="1"/>
        <v>C</v>
      </c>
      <c r="N16" s="10" t="str">
        <f t="shared" ca="1" si="2"/>
        <v>C:AB</v>
      </c>
      <c r="O16" s="10" t="str">
        <f t="shared" ca="1" si="3"/>
        <v>AC:AC</v>
      </c>
      <c r="P16" s="10" t="str">
        <f t="shared" ca="1" si="4"/>
        <v>C:C</v>
      </c>
      <c r="Q16" s="10" t="str" cm="1">
        <f t="array" ca="1" aca="1" ref="Q16">GetQualityIssues($L16,$P16,$O16,1,",")</f>
        <v/>
      </c>
    </row>
    <row r="17" spans="1:17" ht="30">
      <c r="A17" s="45">
        <f t="shared" ca="1" si="5"/>
        <v>0</v>
      </c>
      <c r="B17" s="4" t="s">
        <v>1477</v>
      </c>
      <c r="C17" s="48" t="str" cm="1">
        <f t="array" ca="1" aca="1" ref="C17">RemoveDelimiter(GetValues($Q17,INDIRECT($L17&amp;$N17),"",","&amp;CHAR(10),FALSE),","&amp;CHAR(10))</f>
        <v/>
      </c>
      <c r="D17" s="50" t="str">
        <f t="shared" ca="1" si="6"/>
        <v/>
      </c>
      <c r="E17" s="8" t="str" cm="1">
        <f t="array" ca="1" aca="1" ref="E17">SUBSTITUTE(RemoveDelimiter(IF($F17="",$Q17,FilterElementsFromList($Q17,SanitizeInput($F17),FALSE,", ")),","),",",", ")</f>
        <v/>
      </c>
      <c r="I17" s="2" t="str" cm="1">
        <f t="array" ca="1" aca="1" ref="I17">CELL("address",'Result Summary'!$AI$17)</f>
        <v>'[QuBA-libre.xlsx]Result Summary'!$AI$17</v>
      </c>
      <c r="J17" s="2" t="str" cm="1">
        <f t="array" ca="1" aca="1" ref="J17">CELL("address",'Result Summary'!$AJ$17)</f>
        <v>'[QuBA-libre.xlsx]Result Summary'!$AJ$17</v>
      </c>
      <c r="K17" s="2" t="str" cm="1">
        <f t="array" ca="1" aca="1" ref="K17">CELL("address",'Result Summary'!$A$17)</f>
        <v>'[QuBA-libre.xlsx]Result Summary'!$A$17</v>
      </c>
      <c r="L17" s="10" t="str">
        <f ca="1">IF($I17="","",_xlfn.LET(_xlpm._in,$I17,_xlpm._start,FIND("]",_xlpm._in)+1,"'"&amp;SUBSTITUTE(MID(_xlpm._in,_xlpm._start,FIND("!",_xlpm._in)-_xlpm._start),"'","")&amp;"'!"))</f>
        <v>'Result Summary'!</v>
      </c>
      <c r="M17" s="10" t="str">
        <f ca="1">IF(K17="","",_xlfn.LET(_xlpm._in,K17,_xlpm._start,FIND("$",_xlpm._in)+1,_xlpm._column,SUBSTITUTE(MID(_xlpm._in,_xlpm._start,FIND("$",SUBSTITUTE(_xlpm._in,"$","§",1))-_xlpm._start),"'",""),_xlpm._column))</f>
        <v>A</v>
      </c>
      <c r="N17" s="10" t="str">
        <f ca="1">IF(I17="","",_xlfn.LET(_xlpm._in,I17,_xlpm._start,FIND("$",_xlpm._in)+1,_xlpm._column,SUBSTITUTE(MID(_xlpm._in,_xlpm._start,FIND("$",SUBSTITUTE(_xlpm._in,"$","§",1))-_xlpm._start),"'",""),$M17&amp;":"&amp;_xlpm._column))</f>
        <v>A:AI</v>
      </c>
      <c r="O17" s="10" t="str">
        <f ca="1">IF(J17="","",_xlfn.LET(_xlpm._in,J17,_xlpm._start,FIND("$",_xlpm._in)+1,_xlpm._column,SUBSTITUTE(MID(_xlpm._in,_xlpm._start,FIND("$",SUBSTITUTE(_xlpm._in,"$","§",1))-_xlpm._start),"'",""),_xlpm._column&amp;":"&amp;_xlpm._column))</f>
        <v>AJ:AJ</v>
      </c>
      <c r="P17" s="10" t="str">
        <f ca="1">IF($L17="","",$M17&amp;":"&amp;$M17)</f>
        <v>A:A</v>
      </c>
      <c r="Q17" s="10" t="str" cm="1">
        <f t="array" ca="1" aca="1" ref="Q17">GetQualityIssues($L17,$P17,$O17,1,",")</f>
        <v/>
      </c>
    </row>
    <row r="18" spans="1:17" ht="15">
      <c r="A18" s="45">
        <f t="shared" ca="1" si="5"/>
        <v>0</v>
      </c>
      <c r="B18" s="4" t="str">
        <f ca="1">"Undefined IDs in the "&amp;Helper!$G$13&amp;" sheet"</f>
        <v>Undefined IDs in the Mitigation sheet</v>
      </c>
      <c r="C18" s="48" t="str" cm="1">
        <f t="array" ca="1" aca="1" ref="C18">RemoveDelimiter(GetValues($Q18,INDIRECT($L18&amp;$N18),"",","&amp;CHAR(10),FALSE),","&amp;CHAR(10))</f>
        <v/>
      </c>
      <c r="D18" s="50" t="str">
        <f t="shared" ca="1" si="6"/>
        <v/>
      </c>
      <c r="E18" s="8" t="str" cm="1">
        <f t="array" ca="1" aca="1" ref="E18">SUBSTITUTE(RemoveDelimiter(IF($F18="",$Q18,FilterElementsFromList($Q18,SanitizeInput($F18),FALSE,", ")),","),",",", ")</f>
        <v/>
      </c>
      <c r="I18" s="2" t="str" cm="1">
        <f t="array" ca="1" aca="1" ref="I18">CELL("address",Mitigation!$AM$2)</f>
        <v>'[QuBA-libre.xlsx]Mitigation'!$AM$2</v>
      </c>
      <c r="J18" s="2" t="str" cm="1">
        <f t="array" ca="1" aca="1" ref="J18">CELL("address",Mitigation!$AN$2)</f>
        <v>'[QuBA-libre.xlsx]Mitigation'!$AN$2</v>
      </c>
      <c r="K18" s="2" t="str" cm="1">
        <f t="array" ca="1" aca="1" ref="K18">CELL("address",Mitigation!$A$2)</f>
        <v>'[QuBA-libre.xlsx]Mitigation'!$A$2</v>
      </c>
      <c r="L18" s="10" t="str">
        <f ca="1">IF($I18="","",_xlfn.LET(_xlpm._in,$I18,_xlpm._start,FIND("]",_xlpm._in)+1,"'"&amp;SUBSTITUTE(MID(_xlpm._in,_xlpm._start,FIND("!",_xlpm._in)-_xlpm._start),"'","")&amp;"'!"))</f>
        <v>'Mitigation'!</v>
      </c>
      <c r="M18" s="10" t="str">
        <f ca="1">IF(K18="","",_xlfn.LET(_xlpm._in,K18,_xlpm._start,FIND("$",_xlpm._in)+1,_xlpm._column,SUBSTITUTE(MID(_xlpm._in,_xlpm._start,FIND("$",SUBSTITUTE(_xlpm._in,"$","§",1))-_xlpm._start),"'",""),_xlpm._column))</f>
        <v>A</v>
      </c>
      <c r="N18" s="10" t="str">
        <f ca="1">IF(I18="","",_xlfn.LET(_xlpm._in,I18,_xlpm._start,FIND("$",_xlpm._in)+1,_xlpm._column,SUBSTITUTE(MID(_xlpm._in,_xlpm._start,FIND("$",SUBSTITUTE(_xlpm._in,"$","§",1))-_xlpm._start),"'",""),$M18&amp;":"&amp;_xlpm._column))</f>
        <v>A:AM</v>
      </c>
      <c r="O18" s="10" t="str">
        <f ca="1">IF(J18="","",_xlfn.LET(_xlpm._in,J18,_xlpm._start,FIND("$",_xlpm._in)+1,_xlpm._column,SUBSTITUTE(MID(_xlpm._in,_xlpm._start,FIND("$",SUBSTITUTE(_xlpm._in,"$","§",1))-_xlpm._start),"'",""),_xlpm._column&amp;":"&amp;_xlpm._column))</f>
        <v>AN:AN</v>
      </c>
      <c r="P18" s="10" t="str">
        <f ca="1">IF($L18="","",$M18&amp;":"&amp;$M18)</f>
        <v>A:A</v>
      </c>
      <c r="Q18" s="10" t="str" cm="1">
        <f t="array" ca="1" aca="1" ref="Q18">GetQualityIssues($L18,$P18,$O18,1,",")</f>
        <v/>
      </c>
    </row>
    <row r="19" spans="1:17" s="108" customFormat="1" ht="18.75">
      <c r="A19" s="150" t="s">
        <v>1355</v>
      </c>
      <c r="B19" s="150"/>
      <c r="C19" s="150"/>
      <c r="D19" s="150"/>
      <c r="E19" s="150"/>
      <c r="F19" s="150"/>
      <c r="G19" s="150"/>
      <c r="L19" s="119" t="str">
        <f t="shared" si="12" ref="L19:L20">IF($I19="","",_xlfn.LET(_xlpm._in,$I19,_xlpm._start,FIND("]",_xlpm._in)+1,"'"&amp;SUBSTITUTE(MID(_xlpm._in,_xlpm._start,FIND("!",_xlpm._in)-_xlpm._start),"'","")&amp;"'!"))</f>
        <v/>
      </c>
      <c r="M19" s="119" t="str">
        <f t="shared" si="13" ref="M19:M20">IF(K19="","",_xlfn.LET(_xlpm._in,K19,_xlpm._start,FIND("$",_xlpm._in)+1,_xlpm._column,SUBSTITUTE(MID(_xlpm._in,_xlpm._start,FIND("$",SUBSTITUTE(_xlpm._in,"$","§",1))-_xlpm._start),"'",""),_xlpm._column))</f>
        <v/>
      </c>
      <c r="N19" s="119" t="str">
        <f t="shared" si="14" ref="N19:N20">IF(I19="","",_xlfn.LET(_xlpm._in,I19,_xlpm._start,FIND("$",_xlpm._in)+1,_xlpm._column,SUBSTITUTE(MID(_xlpm._in,_xlpm._start,FIND("$",SUBSTITUTE(_xlpm._in,"$","§",1))-_xlpm._start),"'",""),$M19&amp;":"&amp;_xlpm._column))</f>
        <v/>
      </c>
      <c r="O19" s="119" t="str">
        <f t="shared" si="15" ref="O19:O20">IF(J19="","",_xlfn.LET(_xlpm._in,J19,_xlpm._start,FIND("$",_xlpm._in)+1,_xlpm._column,SUBSTITUTE(MID(_xlpm._in,_xlpm._start,FIND("$",SUBSTITUTE(_xlpm._in,"$","§",1))-_xlpm._start),"'",""),_xlpm._column&amp;":"&amp;_xlpm._column))</f>
        <v/>
      </c>
      <c r="P19" s="119" t="str">
        <f t="shared" si="16" ref="P19:P20">IF($L19="","",$M19&amp;":"&amp;$M19)</f>
        <v/>
      </c>
      <c r="Q19" s="119" t="str" cm="1">
        <f t="array" ca="1" aca="1" ref="Q19">GetQualityIssues($L19,$P19,$O19,1,",")</f>
        <v/>
      </c>
    </row>
    <row r="20" spans="1:17" ht="15">
      <c r="A20" s="45">
        <f t="shared" ca="1" si="5"/>
        <v>0</v>
      </c>
      <c r="B20" s="4" t="s">
        <v>1292</v>
      </c>
      <c r="C20" s="48" t="str" cm="1">
        <f t="array" ca="1" aca="1" ref="C20">RemoveDelimiter(GetValues($Q20,INDIRECT($L20&amp;$N20),"",","&amp;CHAR(10),FALSE),","&amp;CHAR(10))</f>
        <v/>
      </c>
      <c r="D20" s="50" t="str">
        <f t="shared" ca="1" si="6"/>
        <v/>
      </c>
      <c r="E20" s="8" t="str" cm="1">
        <f t="array" ca="1" aca="1" ref="E20">SUBSTITUTE(RemoveDelimiter(IF($F20="",$Q20,FilterElementsFromList($Q20,SanitizeInput($F20),FALSE,", ")),","),",",", ")</f>
        <v/>
      </c>
      <c r="I20" s="2" t="str" cm="1">
        <f t="array" ca="1" aca="1" ref="I20">CELL("address",Questionnaire!$AL$3)</f>
        <v>'[QuBA-libre.xlsx]Questionnaire'!$AL$3</v>
      </c>
      <c r="J20" s="2" t="str" cm="1">
        <f t="array" ca="1" aca="1" ref="J20">CELL("address",Questionnaire!$AM$3)</f>
        <v>'[QuBA-libre.xlsx]Questionnaire'!$AM$3</v>
      </c>
      <c r="K20" s="2" t="str" cm="1">
        <f t="array" ca="1" aca="1" ref="K20">CELL("address",Questionnaire!$A$3)</f>
        <v>'[QuBA-libre.xlsx]Questionnaire'!$A$3</v>
      </c>
      <c r="L20" s="10" t="str">
        <f t="shared" ca="1" si="12"/>
        <v>'Questionnaire'!</v>
      </c>
      <c r="M20" s="10" t="str">
        <f t="shared" ca="1" si="13"/>
        <v>A</v>
      </c>
      <c r="N20" s="10" t="str">
        <f t="shared" ca="1" si="14"/>
        <v>A:AL</v>
      </c>
      <c r="O20" s="10" t="str">
        <f t="shared" ca="1" si="15"/>
        <v>AM:AM</v>
      </c>
      <c r="P20" s="10" t="str">
        <f t="shared" ca="1" si="16"/>
        <v>A:A</v>
      </c>
      <c r="Q20" s="10" t="str" cm="1">
        <f t="array" ca="1" aca="1" ref="Q20">GetQualityIssues($L20,$P20,$O20,1,",")</f>
        <v/>
      </c>
    </row>
    <row r="21" spans="1:17" ht="75">
      <c r="A21" s="45">
        <f t="shared" ca="1" si="5"/>
        <v>0</v>
      </c>
      <c r="B21" s="4" t="str">
        <f>Countermeasures!$A30&amp;" is active, but "&amp;Questions!$A$48&amp;" was answered with "&amp;Definitions!$A$5&amp;CHAR(10)&amp;"NOTE: "&amp;Countermeasures!$A30&amp;" might be active as prerequisite of another countermeasure. This indicator links to the cases where such a countermeasure is assigned."</f>
        <v>C27 is active, but QA11a was answered with No
NOTE: C27 might be active as prerequisite of another countermeasure. This indicator links to the cases where such a countermeasure is assigned.</v>
      </c>
      <c r="C21" s="48" t="str" cm="1">
        <f t="array" ca="1" aca="1" ref="C21">RemoveDelimiter(GetValues($Q21,INDIRECT($L21&amp;$N21),"",","&amp;CHAR(10),FALSE),","&amp;CHAR(10))</f>
        <v/>
      </c>
      <c r="D21" s="50" t="str">
        <f t="shared" ca="1" si="6"/>
        <v/>
      </c>
      <c r="E21" s="8" t="str" cm="1">
        <f t="array" ca="1" aca="1" ref="E21">SUBSTITUTE(RemoveDelimiter(IF($F21="",$Q21,FilterElementsFromList($Q21,SanitizeInput($F21),FALSE,", ")),","),",",", ")</f>
        <v/>
      </c>
      <c r="I21" s="2" t="str" cm="1">
        <f t="array" ca="1" aca="1" ref="I21">CELL("address",Mitigation!$AI$2)</f>
        <v>'[QuBA-libre.xlsx]Mitigation'!$AI$2</v>
      </c>
      <c r="J21" s="2" t="str" cm="1">
        <f t="array" ca="1" aca="1" ref="J21">CELL("address",Mitigation!$AJ$2)</f>
        <v>'[QuBA-libre.xlsx]Mitigation'!$AJ$2</v>
      </c>
      <c r="K21" s="2" t="str" cm="1">
        <f t="array" ca="1" aca="1" ref="K21">CELL("address",Mitigation!$A$2)</f>
        <v>'[QuBA-libre.xlsx]Mitigation'!$A$2</v>
      </c>
      <c r="L21" s="10" t="str">
        <f ca="1">IF($I21="","",_xlfn.LET(_xlpm._in,$I21,_xlpm._start,FIND("]",_xlpm._in)+1,"'"&amp;SUBSTITUTE(MID(_xlpm._in,_xlpm._start,FIND("!",_xlpm._in)-_xlpm._start),"'","")&amp;"'!"))</f>
        <v>'Mitigation'!</v>
      </c>
      <c r="M21" s="10" t="str">
        <f ca="1">IF(K21="","",_xlfn.LET(_xlpm._in,K21,_xlpm._start,FIND("$",_xlpm._in)+1,_xlpm._column,SUBSTITUTE(MID(_xlpm._in,_xlpm._start,FIND("$",SUBSTITUTE(_xlpm._in,"$","§",1))-_xlpm._start),"'",""),_xlpm._column))</f>
        <v>A</v>
      </c>
      <c r="N21" s="10" t="str">
        <f ca="1">IF(I21="","",_xlfn.LET(_xlpm._in,I21,_xlpm._start,FIND("$",_xlpm._in)+1,_xlpm._column,SUBSTITUTE(MID(_xlpm._in,_xlpm._start,FIND("$",SUBSTITUTE(_xlpm._in,"$","§",1))-_xlpm._start),"'",""),$M21&amp;":"&amp;_xlpm._column))</f>
        <v>A:AI</v>
      </c>
      <c r="O21" s="10" t="str">
        <f ca="1">IF(J21="","",_xlfn.LET(_xlpm._in,J21,_xlpm._start,FIND("$",_xlpm._in)+1,_xlpm._column,SUBSTITUTE(MID(_xlpm._in,_xlpm._start,FIND("$",SUBSTITUTE(_xlpm._in,"$","§",1))-_xlpm._start),"'",""),_xlpm._column&amp;":"&amp;_xlpm._column))</f>
        <v>AJ:AJ</v>
      </c>
      <c r="P21" s="10" t="str">
        <f ca="1">IF($L21="","",$M21&amp;":"&amp;$M21)</f>
        <v>A:A</v>
      </c>
      <c r="Q21" s="10" t="str" cm="1">
        <f t="array" ca="1" aca="1" ref="Q21">GetQualityIssues($L21,$P21,$O21,1,",")</f>
        <v/>
      </c>
    </row>
    <row r="22" spans="1:17" ht="30">
      <c r="A22" s="45">
        <f t="shared" ca="1" si="5"/>
        <v>0</v>
      </c>
      <c r="B22" s="4" t="s">
        <v>1400</v>
      </c>
      <c r="C22" s="48" t="str" cm="1">
        <f t="array" ca="1" aca="1" ref="C22">RemoveDelimiter(GetValues($Q22,INDIRECT($L22&amp;$N22),"",","&amp;CHAR(10),FALSE),","&amp;CHAR(10))</f>
        <v/>
      </c>
      <c r="D22" s="50" t="str">
        <f t="shared" ca="1" si="6"/>
        <v/>
      </c>
      <c r="E22" s="8" t="str" cm="1">
        <f t="array" ca="1" aca="1" ref="E22">SUBSTITUTE(RemoveDelimiter(IF($F22="",$Q22,FilterElementsFromList($Q22,SanitizeInput($F22),FALSE,", ")),","),",",", ")</f>
        <v/>
      </c>
      <c r="I22" s="2" t="str" cm="1">
        <f t="array" ca="1" aca="1" ref="I22">CELL("address",Questionnaire!$AN$3)</f>
        <v>'[QuBA-libre.xlsx]Questionnaire'!$AN$3</v>
      </c>
      <c r="J22" s="2" t="str" cm="1">
        <f t="array" ca="1" aca="1" ref="J22">CELL("address",Questionnaire!$AO$3)</f>
        <v>'[QuBA-libre.xlsx]Questionnaire'!$AO$3</v>
      </c>
      <c r="K22" s="2" t="str" cm="1">
        <f t="array" ca="1" aca="1" ref="K22">CELL("address",Questionnaire!$A$3)</f>
        <v>'[QuBA-libre.xlsx]Questionnaire'!$A$3</v>
      </c>
      <c r="L22" s="10" t="str">
        <f ca="1">IF($I22="","",_xlfn.LET(_xlpm._in,$I22,_xlpm._start,FIND("]",_xlpm._in)+1,"'"&amp;SUBSTITUTE(MID(_xlpm._in,_xlpm._start,FIND("!",_xlpm._in)-_xlpm._start),"'","")&amp;"'!"))</f>
        <v>'Questionnaire'!</v>
      </c>
      <c r="M22" s="10" t="str">
        <f ca="1">IF(K22="","",_xlfn.LET(_xlpm._in,K22,_xlpm._start,FIND("$",_xlpm._in)+1,_xlpm._column,SUBSTITUTE(MID(_xlpm._in,_xlpm._start,FIND("$",SUBSTITUTE(_xlpm._in,"$","§",1))-_xlpm._start),"'",""),_xlpm._column))</f>
        <v>A</v>
      </c>
      <c r="N22" s="10" t="str">
        <f ca="1">IF(I22="","",_xlfn.LET(_xlpm._in,I22,_xlpm._start,FIND("$",_xlpm._in)+1,_xlpm._column,SUBSTITUTE(MID(_xlpm._in,_xlpm._start,FIND("$",SUBSTITUTE(_xlpm._in,"$","§",1))-_xlpm._start),"'",""),$M22&amp;":"&amp;_xlpm._column))</f>
        <v>A:AN</v>
      </c>
      <c r="O22" s="10" t="str">
        <f ca="1">IF(J22="","",_xlfn.LET(_xlpm._in,J22,_xlpm._start,FIND("$",_xlpm._in)+1,_xlpm._column,SUBSTITUTE(MID(_xlpm._in,_xlpm._start,FIND("$",SUBSTITUTE(_xlpm._in,"$","§",1))-_xlpm._start),"'",""),_xlpm._column&amp;":"&amp;_xlpm._column))</f>
        <v>AO:AO</v>
      </c>
      <c r="P22" s="10" t="str">
        <f ca="1">IF($L22="","",$M22&amp;":"&amp;$M22)</f>
        <v>A:A</v>
      </c>
      <c r="Q22" s="10" t="str" cm="1">
        <f t="array" ca="1" aca="1" ref="Q22">GetQualityIssues($L22,$P22,$O22,1,",")</f>
        <v/>
      </c>
    </row>
  </sheetData>
  <sheetProtection password="EB53" sheet="1" objects="1" scenarios="1"/>
  <mergeCells count="2">
    <mergeCell ref="A3:G3"/>
    <mergeCell ref="A19:G19"/>
  </mergeCells>
  <conditionalFormatting sqref="A1:G2 A3 A4:G18 A19 A20:G1048576">
    <cfRule type="expression" priority="390" dxfId="682">
      <formula>AND(ROW(A1)&gt;ROW(A$2),MOD(ROW(A1),2)=MOD(ROW($A$2)+1,2),$A1&lt;&gt;"")</formula>
    </cfRule>
  </conditionalFormatting>
  <conditionalFormatting sqref="A1:A1048576 B1:G1">
    <cfRule type="expression" priority="388" dxfId="4">
      <formula>AND(ISNUMBER($A1),$A1&gt;0)</formula>
    </cfRule>
    <cfRule type="expression" priority="389" dxfId="3">
      <formula>AND($A1&lt;&gt;"",$A1=0)</formula>
    </cfRule>
  </conditionalFormatting>
  <conditionalFormatting sqref="G1:G2 G4:G18 G20:G1048576">
    <cfRule type="expression" priority="387" dxfId="74">
      <formula>AND(ROW($F1)&gt;ROW($F$2),$F1&lt;&gt;"",$G1="")</formula>
    </cfRule>
  </conditionalFormatting>
  <pageMargins left="0.7" right="0.7" top="0.75" bottom="0.75" header="0.3" footer="0.3"/>
  <pageSetup orientation="portrait" paperSize="9" r:id="rId2"/>
  <ignoredErrors>
    <ignoredError sqref="D12 D14" formula="1"/>
  </ignoredErrors>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723BD9-FA30-4F75-8C87-563947263A0C}">
  <sheetPr>
    <tabColor theme="3"/>
  </sheetPr>
  <dimension ref="A1:H30"/>
  <sheetViews>
    <sheetView windowProtection="1" workbookViewId="0" topLeftCell="A5">
      <selection pane="topLeft" activeCell="C7" sqref="C7"/>
    </sheetView>
  </sheetViews>
  <sheetFormatPr defaultColWidth="9.14428571428571" defaultRowHeight="15"/>
  <cols>
    <col min="1" max="1" width="18.2857142857143" style="2" bestFit="1" customWidth="1"/>
    <col min="2" max="2" width="33" style="2" bestFit="1" customWidth="1"/>
    <col min="3" max="3" width="31.4285714285714" style="2" customWidth="1"/>
    <col min="4" max="4" width="20.5714285714286" style="2" bestFit="1" customWidth="1"/>
    <col min="5" max="5" width="9.14285714285714" style="2" customWidth="1"/>
    <col min="6" max="16384" width="9.14285714285714" style="2"/>
  </cols>
  <sheetData>
    <row r="1" spans="1:8" ht="90" hidden="1">
      <c r="A1" s="2" t="s">
        <v>1335</v>
      </c>
      <c r="B1" s="4" t="s">
        <v>1692</v>
      </c>
      <c r="C1" s="2" t="str">
        <f>""</f>
        <v/>
      </c>
      <c r="D1" s="2" t="s">
        <v>1342</v>
      </c>
      <c r="E1" s="12" t="str" cm="1">
        <f t="array" ca="1" aca="1" ref="E1">_xlfn.LAMBDA(_xlpm._sheetName,_xlpm._headerRow,_xlpm._row,_xlpm._template,_xlpm._delimiter,_xlpm._columnList,IF(_xlpm._columnList="","",_xlfn.LET(_xlpm._columnLetter,LEFT(_xlpm._columnList,1),_xlpm._header,SUBSTITUTE(INDIRECT("'"&amp;_xlpm._sheetName&amp;"'!"&amp;_xlpm._columnLetter&amp;_xlpm._headerRow),CHAR(10)," "),_xlpm._value,SUBSTITUTE(INDIRECT("'"&amp;_xlpm._sheetName&amp;"'!"&amp;_xlpm._columnLetter&amp;_xlpm._row),CHAR(10)," "),SUBSTITUTE(SUBSTITUTE(_xlpm._template,"[#1]",_xlpm._header),"[#2]",_xlpm._value)&amp;_xlpm._delimiter&amp;JSONParseAttributes(_xlpm._sheetName,_xlpm._headerRow,_xlpm._row,_xlpm._template,_xlpm._delimiter,RIGHT(_xlpm._columnList,LEN(_xlpm._columnList)-1)))))("Questionnaire",2,6,$B$3,","&amp;CHAR(10),GetColumnLetter(Questionnaire!$A$2)&amp;GetColumnLetter(Questionnaire!$K$2)&amp;GetColumnLetter(Questionnaire!$C$2)&amp;GetColumnLetter(Questionnaire!$D$2)&amp;GetColumnLetter(Questionnaire!$E$2)&amp;GetColumnLetter(Questionnaire!$F$2)&amp;GetColumnLetter(Questionnaire!$G$2))</f>
        <v xml:space="preserve">"ID": "QI1",
"Question": "Does the product have cameras or other sensors that can potentially recognize people?",
"Answer 1": "No",
"Additonal Question": "",
"Answer 2": "",
"Additional information and instructions": "",
"Rationale / provide details on the processed data": "",
</v>
      </c>
      <c r="F1" s="2" t="str">
        <f>""</f>
        <v/>
      </c>
      <c r="H1" s="4"/>
    </row>
    <row r="2" spans="1:6" ht="60" hidden="1">
      <c r="A2" s="2" t="s">
        <v>1339</v>
      </c>
      <c r="B2" s="4" t="s">
        <v>1344</v>
      </c>
      <c r="D2" s="2" t="s">
        <v>1343</v>
      </c>
      <c r="E2" s="2" t="str" cm="1">
        <f t="array" ca="1" aca="1" ref="E2">_xlfn.LAMBDA(_xlpm._shadowID,_xlpm._sheetName,_xlpm._shadowIDHeader,_xlpm._elementTemplate,_xlpm._attributeTemplate,_xlpm._delimiter,_xlpm._columnList,_xlfn.LET(_xlpm._shadowIDColumnLetter,GetColumnLetter(_xlpm._shadowIDHeader),_xlpm._shadowIDColumn,"'"&amp;_xlpm._sheetName&amp;"'!"&amp;_xlpm._shadowIDColumnLetter&amp;":"&amp;_xlpm._shadowIDColumnLetter,_xlpm._row,IFERROR(MATCH(_xlpm._shadowID,INDIRECT(_xlpm._shadowIDColumn),0),0),IF(_xlpm._row=0,"",_xlfn.LET(_xlpm._element,SUBSTITUTE(_xlpm._elementTemplate,"[#1]",RemoveDelimiter(JSONParseAttributes(_xlpm._sheetName,ROW(_xlpm._shadowIDHeader),_xlpm._row,_xlpm._attributeTemplate,_xlpm._delimiter,_xlpm._columnList),_xlpm._delimiter)),_xlpm._element&amp;JSONParseSheet(_xlpm._shadowID+1,_xlpm._sheetName,_xlpm._shadowIDHeader,_xlpm._elementTemplate,_xlpm._attributeTemplate,_xlpm._delimiter,_xlpm._columnList)))))(1,"Questionnaire",Questionnaire!$L$2,$B$2,$B$3,","&amp;CHAR(10),GetColumnLetter(Questionnaire!$A$2)&amp;GetColumnLetter(Questionnaire!$K$2)&amp;GetColumnLetter(Questionnaire!$C$2)&amp;GetColumnLetter(Questionnaire!$D$2)&amp;GetColumnLetter(Questionnaire!$E$2)&amp;GetColumnLetter(Questionnaire!$F$2)&amp;GetColumnLetter(Questionnaire!$G$2))</f>
        <v xml:space="preserve">{
"ID": "QI1",
"Question": "Does the product have cameras or other sensors that can potentially recognize people?",
"Answer 1": "No",
"Additonal Question": "",
"Answer 2": "",
"Additional information and instructions": "",
"Rationale / provide details on the processed data": ""
},
{
"ID": "QI2",
"Question": "Does the product process personal data? Examples: User ID, address labels",
"Answer 1": "No",
"Additonal Question": "",
"Answer 2": "",
"Additional information and instructions": "",
"Rationale / provide details on the processed data": ""
},
{
"ID": "QI3",
"Question":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"Answer 1": "Yes",
"Additonal Question": "What is the criticality of the intellectual property?",
"Answer 2": "IP (moderately innovative)",
"Additional information and instructions": "Relevant aspects of system is comprehensible or moderate impact on markets (some innovation in the product / medium size market). Please list the affected data:",
"Rationale / provide details on the processed data": "The complete EC-Master is acontis IP"
},
{
"ID": "QI4",
"Question": "Is acontis techonlogies GmbH (typically) obliged to keep the processed / stored data (including third-party IP) confidential by contract or law? (Note that this concerns individual obligations, not the standard product warranty).",
"Answer 1": "No",
"Additonal Question": "",
"Answer 2": "",
"Additional information and instructions": "",
"Rationale / provide details on the processed data": "The EC-Master stack just transports data but does not process nor store data. The data is opauqe for the EC-Master stack."
},
{
"ID": "QI5",
"Question": "Does the product contain credentials / cryptographic keys that allow access to sensitive data or to systems in the product's operational environment? (Note: this includes cryptographic data introduced by the customer.)",
"Answer 1": "No",
"Additonal Question": "",
"Answer 2": "",
"Additional information and instructions": "",
"Rationale / provide details on the processed data": "Again, the EC-Master stack just transports data but does not process nor store data. The data is opauqe for the EC-Master stack. TLS excluded in this answer."
},
{
"ID": "QI6",
"Question": "Can a loss of availability of the product (or its communication) endanger the health of people? (Consider how the operational environment reacts to a loss of availability of the product.)",
"Answer 1": "Yes",
"Additonal Question": "What is the worst case severity of the injury for the intended use of the product?",
"Answer 2": "Life-threatening injury",
"Additional information and instructions": "Life-threatening injury. Please provide a rationale:",
"Rationale / provide details on the processed data": "The customer/user must ensure correct and safe usage by applying counter measures. At least by using the product correctly."
},
{
"ID": "QI7",
"Question": "Is the availability of the product relevant for its operational environment?",
"Answer 1": "Yes",
"Additonal Question": "What is the worst case effect on the operational environment for the intended use of the product?",
"Answer 2": "Critical environmental damage",
"Additional information and instructions": "Environmental damages that accumulate to critical impact over time as well as critical damages that happen in a single incident. Please explain the expected effects:",
"Rationale / provide details on the processed data": "EC-Master can be used in all conceivable systems, from large industrial plants (e.g. nuclear power stations) to defence systems, medical equipment and consumer devices."
},
{
"ID": "QI8",
"Question": "Can a loss of availability allow an attacker access to assets of the customer (including physical access not detected by the acontis techonlogies GmbH product)? Example: The product is used for access control.",
"Answer 1": "Yes",
"Additonal Question": "What is the worst case value of these assets for the intended use of the product?",
"Answer 2": "Critical financial damage",
"Additional information and instructions": "Loss of freedom for employees, direct loss, fines for infringements of laws, or violations of contracts (critical volume). Please characterize the affected assets:",
"Rationale / provide details on the processed data": "see QI7"
},
{
"ID": "QI9",
"Question": "Can a loss of availability cause contract-related fines (e.g., based on a service level agreement)?",
"Answer 1": "No",
"Additonal Question": "",
"Answer 2": "",
"Additional information and instructions": "",
"Rationale / provide details on the processed data": ""
},
{
"ID": "QI10",
"Question": "Can a manipulated product (or its communication) endanger the health of people? Also consider cases where the product is used against its intended use or misconfigured!",
"Answer 1": "Yes",
"Additonal Question": "What is the worst case severity of the injury for the intended use of the product?",
"Answer 2": "Life-threatening injury",
"Additional information and instructions": "Life-threatening injury. Please provide a rationale:",
"Rationale / provide details on the processed data": "see QI7"
},
{
"ID": "QI11",
"Question": "Can a manipulated product disclose personal data to an attacker? Also consider cases where the product is used against its intended use or misconfigured!",
"Answer 1": "Yes",
"Additonal Question": "What is the criticality of the disclosed data?",
"Answer 2": "Personal data (ruinous)",
"Additional information and instructions": "The person affected can be ruinously impaired in his social status and economic circumstances. The freedom of the person concerned is threatened (e.g., health data, biometric data, racial or ethnic origin, political opinions, religious beliefs). Please list the affected data:",
"Rationale / provide details on the processed data": "see QI7"
},
{
"ID": "QI12",
"Question": "Can a manipulated product disclose intellectual property to an attacker? Also consider cases where the product is used against its intended use or misconfigured!",
"Answer 1": "Yes",
"Additonal Question": "What is the criticality of the disclosed data?",
"Answer 2": "IP (highly innovative)",
"Additional information and instructions": "Can be copied / technology available or high impact on markets (highly innovative product / high-volume market). Please list the affected data:",
"Rationale / provide details on the processed data": "see QI7"
},
{
"ID": "QI13",
"Question": "Can a manipulated product disclose credentials / cryptographic material to an attacker? Also consider cases where the product does not disclose the material but misuses its access to other systems! (E.g., product contains access credentials to store data on a server.)",
"Answer 1": "Yes",
"Additonal Question": "What is the criticality of the disclosed data / what are the consequences of the malicious access?",
"Answer 2": "Critical environmental damage",
"Additional information and instructions": "Environmental damages that accumulate to critical impact over time as well as critical damages that happen in a single incident. Please list the affected data:",
"Rationale / provide details on the processed data": "see QI7"
},
{
"ID": "QI14",
"Question": "Can a manipulated product affect the operation of its operational environment?",
"Answer 1": "Yes",
"Additonal Question": "What is the worst case effect on the operational environment for the intended use of the product?",
"Answer 2": "Critical environmental damage",
"Additional information and instructions": "Environmental damages that accumulate to critical impact over time as well as critical damages that happen in a single incident. Please explain the expected effects:",
"Rationale / provide details on the processed data": "see QI7"
},
{
"ID": "QI15",
"Question": "Can a manipulated product allow an attacker access to assets of the customer or allow the attacker to attack the customer's network?",
"Answer 1": "Yes",
"Additonal Question": "What is the worst case damage caused by the manipulation for the intended use of the product?",
"Answer 2": "Critical environmental damage",
"Additional information and instructions": "Environmental damages that accumulate to critical impact over time as well as critical damages that happen in a single incident. Please characterize the affected assets:",
"Rationale / provide details on the processed data": "see QI7"
},
{
"ID": "QI16",
"Question": "Can a manipulated product cause contract-related / legal fines? (Note that this concerns individual obligations, not the standard product warranty).",
"Answer 1": "No",
"Additonal Question": "",
"Answer 2": "",
"Additional information and instructions": "",
"Rationale / provide details on the processed data": ""
},
{
"ID": "QA1",
"Question": "Does the product have any connectivity?",
"Answer 1": "Yes",
"Additonal Question": "",
"Answer 2": "",
"Additional information and instructions": "",
"Rationale / provide details on the processed data": ""
},
{
"ID": "QA2",
"Question": "Does the product connect two networks to each other (e.g., as a gateway)?",
"Answer 1": "Yes",
"Additonal Question": "Please select the kind of connectivity:",
"Answer 2": "Local network gateway",
"Additional information and instructions": "",
"Rationale / provide details on the processed data": ""
},
{
"ID": "QA3",
"Question": "Does the product have a point-to-point connection to another device?",
"Answer 1": "No",
"Additonal Question": "",
"Answer 2": "",
"Additional information and instructions": "",
"Rationale / provide details on the processed data": ""
},
{
"ID": "QA4",
"Question": "Does the product have a direct connection to a local network?",
"Answer 1": "No",
"Additonal Question": "",
"Answer 2": "",
"Additional information and instructions": "",
"Rationale / provide details on the processed data": ""
},
{
"ID": "QA5",
"Question": "Does the product support wireless connections?",
"Answer 1": "No",
"Additonal Question": "",
"Answer 2": "",
"Additional information and instructions": "",
"Rationale / provide details on the processed data": ""
},
{
"ID": "QA6",
"Question": "Does the product have a direct connection to a mobile network / the Internet?",
"Answer 1": "No",
"Additonal Question": "",
"Answer 2": "",
"Additional information and instructions": "",
"Rationale / provide details on the processed data": ""
},
{
"ID": "QA7",
"Question": "Does the product offer services to other entities on the network?",
"Answer 1": "Yes",
"Additonal Question": "",
"Answer 2": "",
"Additional information and instructions": "",
"Rationale / provide details on the processed data": ""
},
{
"ID": "QA8",
"Question": "Does the product offer a configuration interface?",
"Answer 1": "Yes",
"Additonal Question": "Is the configuration interface protected against unwanted write access?",
"Answer 2": "No",
"Additional information and instructions": "",
"Rationale / provide details on the processed data": ""
},
{
"ID": "QA9",
"Question": "Does the product have an IP stack (or another routable protocol)?",
"Answer 1": "Yes",
"Additonal Question": "",
"Answer 2": "",
"Additional information and instructions": "Please name the supported protocols:",
"Rationale / provide details on the processed data": "RAS, Layer 2 switch, EtherCAT"
},
{
"ID": "QA10a",
"Question": "Does the product communicate with an external system locally (e.g., a USB stick, an SD card, an RFID tag)?",
"Answer 1": "No",
"Additonal Question": "",
"Answer 2": "",
"Additional information and instructions": "",
"Rationale / provide details on the processed data": ""
},
{
"ID": "QA10b",
"Question": "Does the product communicate with an external system on the Internet (e.g., an untrusted 3rd party backend, a acontis techonlogies GmbH cloud service, a acontis techonlogies GmbH server system)?",
"Answer 1": "No",
"Additonal Question": "",
"Answer 2": "",
"Additional information and instructions": "",
"Rationale / provide details on the processed data": ""
},
{
"ID": "QA11a",
"Question": "Can the product's software be updated over an interface?",
"Answer 1": "No",
"Additonal Question": "",
"Answer 2": "",
"Additional information and instructions": "",
"Rationale / provide details on the processed data": ""
},
{
"ID": "QA11b",
"Question": "Are software updates in the field (regularly or event-based) planned?",
"Answer 1": "No",
"Additonal Question": "Will the product be exchanged to handle vulnerabilities or security incidents?",
"Answer 2": "Yes",
"Additional information and instructions": "",
"Rationale / provide details on the processed data": ""
},
{
"ID": "QA12",
"Question": "Does the product have a logical connection to a local network over a gateway?",
"Answer 1": "Yes",
"Additonal Question": "Are the local network and the gateway considered as trustworthy?",
"Answer 2": "Yes",
"Additional information and instructions": "Who is responsible for the secure operation of the network?",
"Rationale / provide details on the processed data": "Customer"
},
{
"ID": "QA13",
"Question": "Does the product have a logical connection to a wireless network over a gateway?",
"Answer 1": "Yes",
"Additonal Question": "Are the wireless network and the gateway considered as trustworthy?",
"Answer 2": "Yes",
"Additional information and instructions": "Who is responsible for the secure operation of the network?",
"Rationale / provide details on the processed data": "Customer"
},
{
"ID": "QA14",
"Question": "Is the product typically installed in a physically accessible position?",
"Answer 1": "Yes",
"Additonal Question": "",
"Answer 2": "",
"Additional information and instructions": "",
"Rationale / provide details on the processed data": ""
},
{
"ID": "QA15",
"Question": "Is the product typically installed in an operational environment with public access?",
"Answer 1": "No",
"Additonal Question": "",
"Answer 2": "",
"Additional information and instructions": "Please name the parties with access:",
"Rationale / provide details on the processed data": ""
},
{
"ID": "QA16",
"Question": "Are the product's physical connections (such as attached bus cables) typically installed in an environment with public access?",
"Answer 1": "No",
"Additonal Question": "",
"Answer 2": "",
"Additional information and instructions": "Please name the parties with access:",
"Rationale / provide details on the processed data": ""
},
{
"ID": "QA17",
"Question": "Does the product have debug / development interfaces (e.g., JTAG, root access over ssh)?",
"Answer 1": "No",
"Additonal Question": "",
"Answer 2": "",
"Additional information and instructions": "",
"Rationale / provide details on the processed data": ""
},
{
"ID": "QA18",
"Question": "Is the product produced in a secure environment?",
"Answer 1": "Yes",
"Additonal Question": "",
"Answer 2": "",
"Additional information and instructions": "Please provide details on the secure production environment:",
"Rationale / provide details on the processed data": "Access control on many levels"
},
{
"ID": "QA19",
"Question": "Are the supply chain partners trustworthy and protected against attacks?",
"Answer 1": "Yes",
"Additonal Question": "Will the supplier provide regular updates for the product?",
"Answer 2": "Yes",
"Additional information and instructions": "Please provide details on the trustworthy supplier:",
"Rationale / provide details on the processed data": "eXpat community"
},
{
"ID": "QA20",
"Question": "What is the product's expected lifetime?",
"Answer 1": "20+ years",
"Additonal Question": "",
"Answer 2": "",
"Additional information and instructions": "",
"Rationale / provide details on the processed data": ""
},
{
"ID": "QA21",
"Question": "What is the product's planned support duration?",
"Answer 1": "5 - 10 years",
"Additonal Question": "",
"Answer 2": "",
"Additional information and instructions": "",
"Rationale / provide details on the processed data": ""
},
</v>
      </c>
      <c r="F2" s="2" t="str">
        <f>""</f>
        <v/>
      </c>
    </row>
    <row r="3" spans="1:6" ht="15" hidden="1">
      <c r="A3" s="2" t="s">
        <v>1340</v>
      </c>
      <c r="B3" s="2" t="s">
        <v>1341</v>
      </c>
      <c r="D3" s="4" t="s">
        <v>1347</v>
      </c>
      <c r="E3" s="12" t="str" cm="1">
        <f t="array" ca="1" aca="1" ref="E3">_xlfn.LAMBDA(_xlpm._sheetIndex,_xlpm._definitionsSheetNameHeader,_xlpm._definitionsColumnsHeader,_xlpm._definitionsShadowIDColumnHeader,_xlpm._definitionsShadowIDHeaderHeader,_xlpm._jsonTemplate,_xlpm._elementTemplate,_xlpm._attributeTemplate,_xlpm._delimiter,_xlfn.LET(_xlpm._sheetName,OFFSET(_xlpm._definitionsSheetNameHeader,_xlpm._sheetIndex,0),_xlpm._columnList,OFFSET(_xlpm._definitionsColumnsHeader,_xlpm._sheetIndex,0),_xlpm._shadowIDColumnLetter,OFFSET(_xlpm._definitionsShadowIDColumnHeader,_xlpm._sheetIndex,0),_xlpm._shadowIDHeaderRow,OFFSET(_xlpm._definitionsShadowIDHeaderHeader,_xlpm._sheetIndex,0),_xlpm._shadowIDHeader,INDIRECT("'"&amp;_xlpm._sheetName&amp;"'!$"&amp;_xlpm._shadowIDColumnLetter&amp;"$"&amp;_xlpm._shadowIDHeaderRow),IF(_xlpm._sheetName="","",SUBSTITUTE(SUBSTITUTE(_xlpm._jsonTemplate,"[#1]",_xlpm._sheetName),"[#2]",JSONParseSheet(1,_xlpm._sheetName,_xlpm._shadowIDHeader,_xlpm._elementTemplate,_xlpm._attributeTemplate,_xlpm._delimiter,_xlpm._columnList)))))(1,Definitions!$BA$3,Definitions!$BB$3,Definitions!$BC$3,Definitions!$BD$3,$B$1,$B$2,$B$3,","&amp;CHAR(10))</f>
        <v xml:space="preserve">{
"Questionnaire": [
{
"ID": "QI1",
"Question": "Does the product have cameras or other sensors that can potentially recognize people?",
"Answer 1": "No",
"Additonal Question": "",
"Answer 2": "",
"Additional information and instructions": "",
"Rationale / provide details on the processed data": ""
},
{
"ID": "QI2",
"Question": "Does the product process personal data? Examples: User ID, address labels",
"Answer 1": "No",
"Additonal Question": "",
"Answer 2": "",
"Additional information and instructions": "",
"Rationale / provide details on the processed data": ""
},
{
"ID": "QI3",
"Question":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"Answer 1": "Yes",
"Additonal Question": "What is the criticality of the intellectual property?",
"Answer 2": "IP (moderately innovative)",
"Additional information and instructions": "Relevant aspects of system is comprehensible or moderate impact on markets (some innovation in the product / medium size market). Please list the affected data:",
"Rationale / provide details on the processed data": "The complete EC-Master is acontis IP"
},
{
"ID": "QI4",
"Question": "Is acontis techonlogies GmbH (typically) obliged to keep the processed / stored data (including third-party IP) confidential by contract or law? (Note that this concerns individual obligations, not the standard product warranty).",
"Answer 1": "No",
"Additonal Question": "",
"Answer 2": "",
"Additional information and instructions": "",
"Rationale / provide details on the processed data": "The EC-Master stack just transports data but does not process nor store data. The data is opauqe for the EC-Master stack."
},
{
"ID": "QI5",
"Question": "Does the product contain credentials / cryptographic keys that allow access to sensitive data or to systems in the product's operational environment? (Note: this includes cryptographic data introduced by the customer.)",
"Answer 1": "No",
"Additonal Question": "",
"Answer 2": "",
"Additional information and instructions": "",
"Rationale / provide details on the processed data": "Again, the EC-Master stack just transports data but does not process nor store data. The data is opauqe for the EC-Master stack. TLS excluded in this answer."
},
{
"ID": "QI6",
"Question": "Can a loss of availability of the product (or its communication) endanger the health of people? (Consider how the operational environment reacts to a loss of availability of the product.)",
"Answer 1": "Yes",
"Additonal Question": "What is the worst case severity of the injury for the intended use of the product?",
"Answer 2": "Life-threatening injury",
"Additional information and instructions": "Life-threatening injury. Please provide a rationale:",
"Rationale / provide details on the processed data": "The customer/user must ensure correct and safe usage by applying counter measures. At least by using the product correctly."
},
{
"ID": "QI7",
"Question": "Is the availability of the product relevant for its operational environment?",
"Answer 1": "Yes",
"Additonal Question": "What is the worst case effect on the operational environment for the intended use of the product?",
"Answer 2": "Critical environmental damage",
"Additional information and instructions": "Environmental damages that accumulate to critical impact over time as well as critical damages that happen in a single incident. Please explain the expected effects:",
"Rationale / provide details on the processed data": "EC-Master can be used in all conceivable systems, from large industrial plants (e.g. nuclear power stations) to defence systems, medical equipment and consumer devices."
},
{
"ID": "QI8",
"Question": "Can a loss of availability allow an attacker access to assets of the customer (including physical access not detected by the acontis techonlogies GmbH product)? Example: The product is used for access control.",
"Answer 1": "Yes",
"Additonal Question": "What is the worst case value of these assets for the intended use of the product?",
"Answer 2": "Critical financial damage",
"Additional information and instructions": "Loss of freedom for employees, direct loss, fines for infringements of laws, or violations of contracts (critical volume). Please characterize the affected assets:",
"Rationale / provide details on the processed data": "see QI7"
},
{
"ID": "QI9",
"Question": "Can a loss of availability cause contract-related fines (e.g., based on a service level agreement)?",
"Answer 1": "No",
"Additonal Question": "",
"Answer 2": "",
"Additional information and instructions": "",
"Rationale / provide details on the processed data": ""
},
{
"ID": "QI10",
"Question": "Can a manipulated product (or its communication) endanger the health of people? Also consider cases where the product is used against its intended use or misconfigured!",
"Answer 1": "Yes",
"Additonal Question": "What is the worst case severity of the injury for the intended use of the product?",
"Answer 2": "Life-threatening injury",
"Additional information and instructions": "Life-threatening injury. Please provide a rationale:",
"Rationale / provide details on the processed data": "see QI7"
},
{
"ID": "QI11",
"Question": "Can a manipulated product disclose personal data to an attacker? Also consider cases where the product is used against its intended use or misconfigured!",
"Answer 1": "Yes",
"Additonal Question": "What is the criticality of the disclosed data?",
"Answer 2": "Personal data (ruinous)",
"Additional information and instructions": "The person affected can be ruinously impaired in his social status and economic circumstances. The freedom of the person concerned is threatened (e.g., health data, biometric data, racial or ethnic origin, political opinions, religious beliefs). Please list the affected data:",
"Rationale / provide details on the processed data": "see QI7"
},
{
"ID": "QI12",
"Question": "Can a manipulated product disclose intellectual property to an attacker? Also consider cases where the product is used against its intended use or misconfigured!",
"Answer 1": "Yes",
"Additonal Question": "What is the criticality of the disclosed data?",
"Answer 2": "IP (highly innovative)",
"Additional information and instructions": "Can be copied / technology available or high impact on markets (highly innovative product / high-volume market). Please list the affected data:",
"Rationale / provide details on the processed data": "see QI7"
},
{
"ID": "QI13",
"Question": "Can a manipulated product disclose credentials / cryptographic material to an attacker? Also consider cases where the product does not disclose the material but misuses its access to other systems! (E.g., product contains access credentials to store data on a server.)",
"Answer 1": "Yes",
"Additonal Question": "What is the criticality of the disclosed data / what are the consequences of the malicious access?",
"Answer 2": "Critical environmental damage",
"Additional information and instructions": "Environmental damages that accumulate to critical impact over time as well as critical damages that happen in a single incident. Please list the affected data:",
"Rationale / provide details on the processed data": "see QI7"
},
{
"ID": "QI14",
"Question": "Can a manipulated product affect the operation of its operational environment?",
"Answer 1": "Yes",
"Additonal Question": "What is the worst case effect on the operational environment for the intended use of the product?",
"Answer 2": "Critical environmental damage",
"Additional information and instructions": "Environmental damages that accumulate to critical impact over time as well as critical damages that happen in a single incident. Please explain the expected effects:",
"Rationale / provide details on the processed data": "see QI7"
},
{
"ID": "QI15",
"Question": "Can a manipulated product allow an attacker access to assets of the customer or allow the attacker to attack the customer's network?",
"Answer 1": "Yes",
"Additonal Question": "What is the worst case damage caused by the manipulation for the intended use of the product?",
"Answer 2": "Critical environmental damage",
"Additional information and instructions": "Environmental damages that accumulate to critical impact over time as well as critical damages that happen in a single incident. Please characterize the affected assets:",
"Rationale / provide details on the processed data": "see QI7"
},
{
"ID": "QI16",
"Question": "Can a manipulated product cause contract-related / legal fines? (Note that this concerns individual obligations, not the standard product warranty).",
"Answer 1": "No",
"Additonal Question": "",
"Answer 2": "",
"Additional information and instructions": "",
"Rationale / provide details on the processed data": ""
},
{
"ID": "QA1",
"Question": "Does the product have any connectivity?",
"Answer 1": "Yes",
"Additonal Question": "",
"Answer 2": "",
"Additional information and instructions": "",
"Rationale / provide details on the processed data": ""
},
{
"ID": "QA2",
"Question": "Does the product connect two networks to each other (e.g., as a gateway)?",
"Answer 1": "Yes",
"Additonal Question": "Please select the kind of connectivity:",
"Answer 2": "Local network gateway",
"Additional information and instructions": "",
"Rationale / provide details on the processed data": ""
},
{
"ID": "QA3",
"Question": "Does the product have a point-to-point connection to another device?",
"Answer 1": "No",
"Additonal Question": "",
"Answer 2": "",
"Additional information and instructions": "",
"Rationale / provide details on the processed data": ""
},
{
"ID": "QA4",
"Question": "Does the product have a direct connection to a local network?",
"Answer 1": "No",
"Additonal Question": "",
"Answer 2": "",
"Additional information and instructions": "",
"Rationale / provide details on the processed data": ""
},
{
"ID": "QA5",
"Question": "Does the product support wireless connections?",
"Answer 1": "No",
"Additonal Question": "",
"Answer 2": "",
"Additional information and instructions": "",
"Rationale / provide details on the processed data": ""
},
{
"ID": "QA6",
"Question": "Does the product have a direct connection to a mobile network / the Internet?",
"Answer 1": "No",
"Additonal Question": "",
"Answer 2": "",
"Additional information and instructions": "",
"Rationale / provide details on the processed data": ""
},
{
"ID": "QA7",
"Question": "Does the product offer services to other entities on the network?",
"Answer 1": "Yes",
"Additonal Question": "",
"Answer 2": "",
"Additional information and instructions": "",
"Rationale / provide details on the processed data": ""
},
{
"ID": "QA8",
"Question": "Does the product offer a configuration interface?",
"Answer 1": "Yes",
"Additonal Question": "Is the configuration interface protected against unwanted write access?",
"Answer 2": "No",
"Additional information and instructions": "",
"Rationale / provide details on the processed data": ""
},
{
"ID": "QA9",
"Question": "Does the product have an IP stack (or another routable protocol)?",
"Answer 1": "Yes",
"Additonal Question": "",
"Answer 2": "",
"Additional information and instructions": "Please name the supported protocols:",
"Rationale / provide details on the processed data": "RAS, Layer 2 switch, EtherCAT"
},
{
"ID": "QA10a",
"Question": "Does the product communicate with an external system locally (e.g., a USB stick, an SD card, an RFID tag)?",
"Answer 1": "No",
"Additonal Question": "",
"Answer 2": "",
"Additional information and instructions": "",
"Rationale / provide details on the processed data": ""
},
{
"ID": "QA10b",
"Question": "Does the product communicate with an external system on the Internet (e.g., an untrusted 3rd party backend, a acontis techonlogies GmbH cloud service, a acontis techonlogies GmbH server system)?",
"Answer 1": "No",
"Additonal Question": "",
"Answer 2": "",
"Additional information and instructions": "",
"Rationale / provide details on the processed data": ""
},
{
"ID": "QA11a",
"Question": "Can the product's software be updated over an interface?",
"Answer 1": "No",
"Additonal Question": "",
"Answer 2": "",
"Additional information and instructions": "",
"Rationale / provide details on the processed data": ""
},
{
"ID": "QA11b",
"Question": "Are software updates in the field (regularly or event-based) planned?",
"Answer 1": "No",
"Additonal Question": "Will the product be exchanged to handle vulnerabilities or security incidents?",
"Answer 2": "Yes",
"Additional information and instructions": "",
"Rationale / provide details on the processed data": ""
},
{
"ID": "QA12",
"Question": "Does the product have a logical connection to a local network over a gateway?",
"Answer 1": "Yes",
"Additonal Question": "Are the local network and the gateway considered as trustworthy?",
"Answer 2": "Yes",
"Additional information and instructions": "Who is responsible for the secure operation of the network?",
"Rationale / provide details on the processed data": "Customer"
},
{
"ID": "QA13",
"Question": "Does the product have a logical connection to a wireless network over a gateway?",
"Answer 1": "Yes",
"Additonal Question": "Are the wireless network and the gateway considered as trustworthy?",
"Answer 2": "Yes",
"Additional information and instructions": "Who is responsible for the secure operation of the network?",
"Rationale / provide details on the processed data": "Customer"
},
{
"ID": "QA14",
"Question": "Is the product typically installed in a physically accessible position?",
"Answer 1": "Yes",
"Additonal Question": "",
"Answer 2": "",
"Additional information and instructions": "",
"Rationale / provide details on the processed data": ""
},
{
"ID": "QA15",
"Question": "Is the product typically installed in an operational environment with public access?",
"Answer 1": "No",
"Additonal Question": "",
"Answer 2": "",
"Additional information and instructions": "Please name the parties with access:",
"Rationale / provide details on the processed data": ""
},
{
"ID": "QA16",
"Question": "Are the product's physical connections (such as attached bus cables) typically installed in an environment with public access?",
"Answer 1": "No",
"Additonal Question": "",
"Answer 2": "",
"Additional information and instructions": "Please name the parties with access:",
"Rationale / provide details on the processed data": ""
},
{
"ID": "QA17",
"Question": "Does the product have debug / development interfaces (e.g., JTAG, root access over ssh)?",
"Answer 1": "No",
"Additonal Question": "",
"Answer 2": "",
"Additional information and instructions": "",
"Rationale / provide details on the processed data": ""
},
{
"ID": "QA18",
"Question": "Is the product produced in a secure environment?",
"Answer 1": "Yes",
"Additonal Question": "",
"Answer 2": "",
"Additional information and instructions": "Please provide details on the secure production environment:",
"Rationale / provide details on the processed data": "Access control on many levels"
},
{
"ID": "QA19",
"Question": "Are the supply chain partners trustworthy and protected against attacks?",
"Answer 1": "Yes",
"Additonal Question": "Will the supplier provide regular updates for the product?",
"Answer 2": "Yes",
"Additional information and instructions": "Please provide details on the trustworthy supplier:",
"Rationale / provide details on the processed data": "eXpat community"
},
{
"ID": "QA20",
"Question": "What is the product's expected lifetime?",
"Answer 1": "20+ years",
"Additonal Question": "",
"Answer 2": "",
"Additional information and instructions": "",
"Rationale / provide details on the processed data": ""
},
{
"ID": "QA21",
"Question": "What is the product's planned support duration?",
"Answer 1": "5 - 10 years",
"Additonal Question": "",
"Answer 2": "",
"Additional information and instructions": "",
"Rationale / provide details on the processed data": ""
},
]
},
</v>
      </c>
      <c r="F3" s="2" t="str">
        <f>""</f>
        <v/>
      </c>
    </row>
    <row r="4" ht="15" hidden="1"/>
    <row r="5" spans="2:3" ht="15">
      <c r="B5" s="115" t="str" cm="1">
        <f t="array" ca="1" aca="1" ref="B5">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$19,B$6,README!$E:$E,README!$I$36,README!$B$36)</f>
        <v>◈</v>
      </c>
      <c r="C5" s="115" t="str" cm="1">
        <f t="array" ca="1" aca="1" ref="C5">_xlfn.LAMBDA(_xlpm._thisSheet,_xlpm._columnName,_xlpm._readmeSheetsRange,_xlpm._columnSearchHeader,_xlpm._columnNameHeader,_xlfn.LET(_xlpm._rowColumnNameHeader,ROW(_xlpm._columnNameHeader),_xlpm._startOfSheetExplanations,MATCH(_xlpm._thisSheet,_xlpm._readmeSheetsRange,0),_xlpm._numberOfEntriesForSheet,COUNTIF(_xlpm._readmeSheetsRange,_xlpm._thisSheet),_xlpm._searchRange,OFFSET(_xlpm._columnSearchHeader,_xlpm._startOfSheetExplanations-_xlpm._rowColumnNameHeader,0,_xlpm._numberOfEntriesForSheet,1),_xlpm._entryOffset,MATCH(_xlpm._columnName,_xlpm._searchRange,0)-1+_xlpm._startOfSheetExplanations,HYPERLINK("#'"&amp;Helper!$G$2&amp;"'!"&amp;CHAR(CODE("A")+COLUMN(_xlpm._columnNameHeader)-1)&amp;_xlpm._entryOffset,Definitions!$AY$4)))(Helper!$G$19,C$6,README!$E:$E,README!$I$36,README!$B$36)</f>
        <v>◈</v>
      </c>
    </row>
    <row r="6" spans="1:3" ht="21">
      <c r="A6" s="120" t="s">
        <v>1345</v>
      </c>
      <c r="B6" s="98" t="s">
        <v>540</v>
      </c>
      <c r="C6" s="98" t="s">
        <v>1364</v>
      </c>
    </row>
    <row r="7" spans="2:4" ht="15">
      <c r="B7" s="15" t="str">
        <f ca="1">_xlfn.LET(_xlpm._sheetName,OFFSET(Definitions!$BA$3,ROW()-ROW($B$6),0),IF(_xlpm._sheetName="","",_xlpm._sheetName))</f>
        <v>Questionnaire</v>
      </c>
      <c r="C7" s="15" t="str" cm="1">
        <f t="array" ca="1" aca="1" ref="C7">_xlfn.LET(_xlpm._delimiter,","&amp;CHAR(10),_xlpm._isLast,AND($B7&lt;&gt;"",OFFSET($B7,1,0)=""),_xlpm._result,JSONParseSheets(ROW()-ROW($C$6),Definitions!$BA$3,Definitions!$BB$3,Definitions!$BC$3,Definitions!$BD$3,$B$1,$B$2,$B$3,_xlpm._delimiter),SUBSTITUTE(IF(_xlpm._isLast,RemoveDelimiter(_xlpm._result,_xlpm._delimiter),_xlpm._result),","&amp;CHAR(10)&amp;CHAR(10)&amp;"]",CHAR(10)&amp;"]"))</f>
        <v xml:space="preserve">{
"Questionnaire": [
{
"ID": "QI1",
"Question": "Does the product have cameras or other sensors that can potentially recognize people?",
"Answer 1": "No",
"Additonal Question": "",
"Answer 2": "",
"Additional information and instructions": "",
"Rationale / provide details on the processed data": ""
},
{
"ID": "QI2",
"Question": "Does the product process personal data? Examples: User ID, address labels",
"Answer 1": "No",
"Additonal Question": "",
"Answer 2": "",
"Additional information and instructions": "",
"Rationale / provide details on the processed data": ""
},
{
"ID": "QI3",
"Question": "Does the product contain acontis techonlogies GmbH intellectual property? Note: Only IP which is part of / accessible by the firmware / software in the product is in scope of this question. Gaining access to optical and mechanical IP are not covered by this question (and the cybersecurity risk analysis)",
"Answer 1": "Yes",
"Additonal Question": "What is the criticality of the intellectual property?",
"Answer 2": "IP (moderately innovative)",
"Additional information and instructions": "Relevant aspects of system is comprehensible or moderate impact on markets (some innovation in the product / medium size market). Please list the affected data:",
"Rationale / provide details on the processed data": "The complete EC-Master is acontis IP"
},
{
"ID": "QI4",
"Question": "Is acontis techonlogies GmbH (typically) obliged to keep the processed / stored data (including third-party IP) confidential by contract or law? (Note that this concerns individual obligations, not the standard product warranty).",
"Answer 1": "No",
"Additonal Question": "",
"Answer 2": "",
"Additional information and instructions": "",
"Rationale / provide details on the processed data": "The EC-Master stack just transports data but does not process nor store data. The data is opauqe for the EC-Master stack."
},
{
"ID": "QI5",
"Question": "Does the product contain credentials / cryptographic keys that allow access to sensitive data or to systems in the product's operational environment? (Note: this includes cryptographic data introduced by the customer.)",
"Answer 1": "No",
"Additonal Question": "",
"Answer 2": "",
"Additional information and instructions": "",
"Rationale / provide details on the processed data": "Again, the EC-Master stack just transports data but does not process nor store data. The data is opauqe for the EC-Master stack. TLS excluded in this answer."
},
{
"ID": "QI6",
"Question": "Can a loss of availability of the product (or its communication) endanger the health of people? (Consider how the operational environment reacts to a loss of availability of the product.)",
"Answer 1": "Yes",
"Additonal Question": "What is the worst case severity of the injury for the intended use of the product?",
"Answer 2": "Life-threatening injury",
"Additional information and instructions": "Life-threatening injury. Please provide a rationale:",
"Rationale / provide details on the processed data": "The customer/user must ensure correct and safe usage by applying counter measures. At least by using the product correctly."
},
{
"ID": "QI7",
"Question": "Is the availability of the product relevant for its operational environment?",
"Answer 1": "Yes",
"Additonal Question": "What is the worst case effect on the operational environment for the intended use of the product?",
"Answer 2": "Critical environmental damage",
"Additional information and instructions": "Environmental damages that accumulate to critical impact over time as well as critical damages that happen in a single incident. Please explain the expected effects:",
"Rationale / provide details on the processed data": "EC-Master can be used in all conceivable systems, from large industrial plants (e.g. nuclear power stations) to defence systems, medical equipment and consumer devices."
},
{
"ID": "QI8",
"Question": "Can a loss of availability allow an attacker access to assets of the customer (including physical access not detected by the acontis techonlogies GmbH product)? Example: The product is used for access control.",
"Answer 1": "Yes",
"Additonal Question": "What is the worst case value of these assets for the intended use of the product?",
"Answer 2": "Critical financial damage",
"Additional information and instructions": "Loss of freedom for employees, direct loss, fines for infringements of laws, or violations of contracts (critical volume). Please characterize the affected assets:",
"Rationale / provide details on the processed data": "see QI7"
},
{
"ID": "QI9",
"Question": "Can a loss of availability cause contract-related fines (e.g., based on a service level agreement)?",
"Answer 1": "No",
"Additonal Question": "",
"Answer 2": "",
"Additional information and instructions": "",
"Rationale / provide details on the processed data": ""
},
{
"ID": "QI10",
"Question": "Can a manipulated product (or its communication) endanger the health of people? Also consider cases where the product is used against its intended use or misconfigured!",
"Answer 1": "Yes",
"Additonal Question": "What is the worst case severity of the injury for the intended use of the product?",
"Answer 2": "Life-threatening injury",
"Additional information and instructions": "Life-threatening injury. Please provide a rationale:",
"Rationale / provide details on the processed data": "see QI7"
},
{
"ID": "QI11",
"Question": "Can a manipulated product disclose personal data to an attacker? Also consider cases where the product is used against its intended use or misconfigured!",
"Answer 1": "Yes",
"Additonal Question": "What is the criticality of the disclosed data?",
"Answer 2": "Personal data (ruinous)",
"Additional information and instructions": "The person affected can be ruinously impaired in his social status and economic circumstances. The freedom of the person concerned is threatened (e.g., health data, biometric data, racial or ethnic origin, political opinions, religious beliefs). Please list the affected data:",
"Rationale / provide details on the processed data": "see QI7"
},
{
"ID": "QI12",
"Question": "Can a manipulated product disclose intellectual property to an attacker? Also consider cases where the product is used against its intended use or misconfigured!",
"Answer 1": "Yes",
"Additonal Question": "What is the criticality of the disclosed data?",
"Answer 2": "IP (highly innovative)",
"Additional information and instructions": "Can be copied / technology available or high impact on markets (highly innovative product / high-volume market). Please list the affected data:",
"Rationale / provide details on the processed data": "see QI7"
},
{
"ID": "QI13",
"Question": "Can a manipulated product disclose credentials / cryptographic material to an attacker? Also consider cases where the product does not disclose the material but misuses its access to other systems! (E.g., product contains access credentials to store data on a server.)",
"Answer 1": "Yes",
"Additonal Question": "What is the criticality of the disclosed data / what are the consequences of the malicious access?",
"Answer 2": "Critical environmental damage",
"Additional information and instructions": "Environmental damages that accumulate to critical impact over time as well as critical damages that happen in a single incident. Please list the affected data:",
"Rationale / provide details on the processed data": "see QI7"
},
{
"ID": "QI14",
"Question": "Can a manipulated product affect the operation of its operational environment?",
"Answer 1": "Yes",
"Additonal Question": "What is the worst case effect on the operational environment for the intended use of the product?",
"Answer 2": "Critical environmental damage",
"Additional information and instructions": "Environmental damages that accumulate to critical impact over time as well as critical damages that happen in a single incident. Please explain the expected effects:",
"Rationale / provide details on the processed data": "see QI7"
},
{
"ID": "QI15",
"Question": "Can a manipulated product allow an attacker access to assets of the customer or allow the attacker to attack the customer's network?",
"Answer 1": "Yes",
"Additonal Question": "What is the worst case damage caused by the manipulation for the intended use of the product?",
"Answer 2": "Critical environmental damage",
"Additional information and instructions": "Environmental damages that accumulate to critical impact over time as well as critical damages that happen in a single incident. Please characterize the affected assets:",
"Rationale / provide details on the processed data": "see QI7"
},
{
"ID": "QI16",
"Question": "Can a manipulated product cause contract-related / legal fines? (Note that this concerns individual obligations, not the standard product warranty).",
"Answer 1": "No",
"Additonal Question": "",
"Answer 2": "",
"Additional information and instructions": "",
"Rationale / provide details on the processed data": ""
},
{
"ID": "QA1",
"Question": "Does the product have any connectivity?",
"Answer 1": "Yes",
"Additonal Question": "",
"Answer 2": "",
"Additional information and instructions": "",
"Rationale / provide details on the processed data": ""
},
{
"ID": "QA2",
"Question": "Does the product connect two networks to each other (e.g., as a gateway)?",
"Answer 1": "Yes",
"Additonal Question": "Please select the kind of connectivity:",
"Answer 2": "Local network gateway",
"Additional information and instructions": "",
"Rationale / provide details on the processed data": ""
},
{
"ID": "QA3",
"Question": "Does the product have a point-to-point connection to another device?",
"Answer 1": "No",
"Additonal Question": "",
"Answer 2": "",
"Additional information and instructions": "",
"Rationale / provide details on the processed data": ""
},
{
"ID": "QA4",
"Question": "Does the product have a direct connection to a local network?",
"Answer 1": "No",
"Additonal Question": "",
"Answer 2": "",
"Additional information and instructions": "",
"Rationale / provide details on the processed data": ""
},
{
"ID": "QA5",
"Question": "Does the product support wireless connections?",
"Answer 1": "No",
"Additonal Question": "",
"Answer 2": "",
"Additional information and instructions": "",
"Rationale / provide details on the processed data": ""
},
{
"ID": "QA6",
"Question": "Does the product have a direct connection to a mobile network / the Internet?",
"Answer 1": "No",
"Additonal Question": "",
"Answer 2": "",
"Additional information and instructions": "",
"Rationale / provide details on the processed data": ""
},
{
"ID": "QA7",
"Question": "Does the product offer services to other entities on the network?",
"Answer 1": "Yes",
"Additonal Question": "",
"Answer 2": "",
"Additional information and instructions": "",
"Rationale / provide details on the processed data": ""
},
{
"ID": "QA8",
"Question": "Does the product offer a configuration interface?",
"Answer 1": "Yes",
"Additonal Question": "Is the configuration interface protected against unwanted write access?",
"Answer 2": "No",
"Additional information and instructions": "",
"Rationale / provide details on the processed data": ""
},
{
"ID": "QA9",
"Question": "Does the product have an IP stack (or another routable protocol)?",
"Answer 1": "Yes",
"Additonal Question": "",
"Answer 2": "",
"Additional information and instructions": "Please name the supported protocols:",
"Rationale / provide details on the processed data": "RAS, Layer 2 switch, EtherCAT"
},
{
"ID": "QA10a",
"Question": "Does the product communicate with an external system locally (e.g., a USB stick, an SD card, an RFID tag)?",
"Answer 1": "No",
"Additonal Question": "",
"Answer 2": "",
"Additional information and instructions": "",
"Rationale / provide details on the processed data": ""
},
{
"ID": "QA10b",
"Question": "Does the product communicate with an external system on the Internet (e.g., an untrusted 3rd party backend, a acontis techonlogies GmbH cloud service, a acontis techonlogies GmbH server system)?",
"Answer 1": "No",
"Additonal Question": "",
"Answer 2": "",
"Additional information and instructions": "",
"Rationale / provide details on the processed data": ""
},
{
"ID": "QA11a",
"Question": "Can the product's software be updated over an interface?",
"Answer 1": "No",
"Additonal Question": "",
"Answer 2": "",
"Additional information and instructions": "",
"Rationale / provide details on the processed data": ""
},
{
"ID": "QA11b",
"Question": "Are software updates in the field (regularly or event-based) planned?",
"Answer 1": "No",
"Additonal Question": "Will the product be exchanged to handle vulnerabilities or security incidents?",
"Answer 2": "Yes",
"Additional information and instructions": "",
"Rationale / provide details on the processed data": ""
},
{
"ID": "QA12",
"Question": "Does the product have a logical connection to a local network over a gateway?",
"Answer 1": "Yes",
"Additonal Question": "Are the local network and the gateway considered as trustworthy?",
"Answer 2": "Yes",
"Additional information and instructions": "Who is responsible for the secure operation of the network?",
"Rationale / provide details on the processed data": "Customer"
},
{
"ID": "QA13",
"Question": "Does the product have a logical connection to a wireless network over a gateway?",
"Answer 1": "Yes",
"Additonal Question": "Are the wireless network and the gateway considered as trustworthy?",
"Answer 2": "Yes",
"Additional information and instructions": "Who is responsible for the secure operation of the network?",
"Rationale / provide details on the processed data": "Customer"
},
{
"ID": "QA14",
"Question": "Is the product typically installed in a physically accessible position?",
"Answer 1": "Yes",
"Additonal Question": "",
"Answer 2": "",
"Additional information and instructions": "",
"Rationale / provide details on the processed data": ""
},
{
"ID": "QA15",
"Question": "Is the product typically installed in an operational environment with public access?",
"Answer 1": "No",
"Additonal Question": "",
"Answer 2": "",
"Additional information and instructions": "Please name the parties with access:",
"Rationale / provide details on the processed data": ""
},
{
"ID": "QA16",
"Question": "Are the product's physical connections (such as attached bus cables) typically installed in an environment with public access?",
"Answer 1": "No",
"Additonal Question": "",
"Answer 2": "",
"Additional information and instructions": "Please name the parties with access:",
"Rationale / provide details on the processed data": ""
},
{
"ID": "QA17",
"Question": "Does the product have debug / development interfaces (e.g., JTAG, root access over ssh)?",
"Answer 1": "No",
"Additonal Question": "",
"Answer 2": "",
"Additional information and instructions": "",
"Rationale / provide details on the processed data": ""
},
{
"ID": "QA18",
"Question": "Is the product produced in a secure environment?",
"Answer 1": "Yes",
"Additonal Question": "",
"Answer 2": "",
"Additional information and instructions": "Please provide details on the secure production environment:",
"Rationale / provide details on the processed data": "Access control on many levels"
},
{
"ID": "QA19",
"Question": "Are the supply chain partners trustworthy and protected against attacks?",
"Answer 1": "Yes",
"Additonal Question": "Will the supplier provide regular updates for the product?",
"Answer 2": "Yes",
"Additional information and instructions": "Please provide details on the trustworthy supplier:",
"Rationale / provide details on the processed data": "eXpat community"
},
{
"ID": "QA20",
"Question": "What is the product's expected lifetime?",
"Answer 1": "20+ years",
"Additonal Question": "",
"Answer 2": "",
"Additional information and instructions": "",
"Rationale / provide details on the processed data": ""
},
{
"ID": "QA21",
"Question": "What is the product's planned support duration?",
"Answer 1": "5 - 10 years",
"Additonal Question": "",
"Answer 2": "",
"Additional information and instructions": "",
"Rationale / provide details on the processed data": ""
}
]
},
</v>
      </c>
      <c r="D7" s="2" t="str">
        <f>""</f>
        <v/>
      </c>
    </row>
    <row r="8" spans="2:4" ht="15">
      <c r="B8" s="15" t="str">
        <f ca="1">_xlfn.LET(_xlpm._sheetName,OFFSET(Definitions!$BA$3,ROW()-ROW($B$6),0),IF(_xlpm._sheetName="","",_xlpm._sheetName))</f>
        <v>Risk Treatment</v>
      </c>
      <c r="C8" s="15" t="str" cm="1">
        <f t="array" ca="1" aca="1" ref="C8">_xlfn.LET(_xlpm._delimiter,","&amp;CHAR(10),_xlpm._isLast,AND($B8&lt;&gt;"",OFFSET($B8,1,0)=""),_xlpm._result,JSONParseSheets(ROW()-ROW($C$6),Definitions!$BA$3,Definitions!$BB$3,Definitions!$BC$3,Definitions!$BD$3,$B$1,$B$2,$B$3,_xlpm._delimiter),SUBSTITUTE(IF(_xlpm._isLast,RemoveDelimiter(_xlpm._result,_xlpm._delimiter),_xlpm._result),","&amp;CHAR(10)&amp;CHAR(10)&amp;"]",CHAR(10)&amp;"]"))</f>
        <v xml:space="preserve">{
"Risk Treatment": [
]
},
</v>
      </c>
      <c r="D8" s="2" t="str">
        <f>""</f>
        <v/>
      </c>
    </row>
    <row r="9" spans="2:4" ht="15">
      <c r="B9" s="15" t="str">
        <f ca="1">_xlfn.LET(_xlpm._sheetName,OFFSET(Definitions!$BA$3,ROW()-ROW($B$6),0),IF(_xlpm._sheetName="","",_xlpm._sheetName))</f>
        <v>Result Summary</v>
      </c>
      <c r="C9" s="15" t="str" cm="1">
        <f t="array" ca="1" aca="1" ref="C9">_xlfn.LET(_xlpm._delimiter,","&amp;CHAR(10),_xlpm._isLast,AND($B9&lt;&gt;"",OFFSET($B9,1,0)=""),_xlpm._result,JSONParseSheets(ROW()-ROW($C$6),Definitions!$BA$3,Definitions!$BB$3,Definitions!$BC$3,Definitions!$BD$3,$B$1,$B$2,$B$3,_xlpm._delimiter),SUBSTITUTE(IF(_xlpm._isLast,RemoveDelimiter(_xlpm._result,_xlpm._delimiter),_xlpm._result),","&amp;CHAR(10)&amp;CHAR(10)&amp;"]",CHAR(10)&amp;"]"))</f>
        <v>{
"Result Summary": [
{
"ID": "A3",
"Name": "SDR 1.2 – Handling of personal data",
"Stakeholder": "Customer"
},
{
"ID": "A4",
"Name": "SDR 2.1 – No legal or contractual obligations for data confidentiality",
"Stakeholder": "acontis techonlogies GmbH"
},
{
"ID": "A10",
"Name": "SDR 2.2 – No contractual obligations regarding product availability",
"Stakeholder": "acontis techonlogies GmbH"
},
{
"ID": "A11",
"Name": "SDR 2.3 – No legal or contractual obligations for product integrity",
"Stakeholder": "acontis techonlogies GmbH"
},
{
"ID": "A12",
"Name": "SDR 1.10 – Device operates in trustworthy operational environment",
"Stakeholder": "Customer"
},
{
"ID": "A15",
"Name": "SDR 1.13 – Area with restricted access",
"Stakeholder": "Customer"
},
{
"ID": "A16",
"Name": "SDR 1.14 – Communication media located in restricted access area",
"Stakeholder": "Customer"
},
{
"ID": "A17",
"Name": "SDR 2.4 – Secure production",
"Stakeholder": "acontis techonlogies GmbH"
},
{
"ID": "A18",
"Name": "SDR 2.5 – Secure supply chain",
"Stakeholder": "acontis techonlogies GmbH"
},
{
"ID": "A21",
"Name": "SDR 2.7 - Scope for customer-based attacks",
"Stakeholder": "acontis techonlogies GmbH"
},
{
"ID": "A24",
"Name": "SDR 1.21 - Product not storing secrets",
"Stakeholder": "Customer"
},
{
"ID": "A30",
"Name": "SDR 1.19 - Physical destruction",
"Stakeholder": "Other (see comment)"
},
{
"ID": "A31",
"Name": "SDR 1.5 - The product's availability is not relevant for safety",
"Stakeholder": "Customer"
},
{
"ID": "A34",
"Name": "SDR 2.10 - The product is delivered with a secure by default configuration",
"Stakeholder": "acontis techonlogies GmbH"
},
{
"ID": "A36",
"Name": "SDR 1.18 - Well-protected trustworthy wireless network",
"Stakeholder": "Customer"
},
{
"ID": "A38",
"Name": "SDR 1.20 - Least privilege for provided credentials",
"Stakeholder": "Customer"
},
{
"ID": "A42",
"Name": "SDR 1.1 – List all network traffic",
"Stakeholder": "acontis techonlogies GmbH"
},
{
"ID": "A43",
"Name": "SDR 1.17 - Sensing capabilities",
"Stakeholder": "acontis techonlogies GmbH"
},
{
"ID": "C0",
"Name": "CR 7.8 - Control system component inventory",
"Stakeholder": "acontis techonlogies GmbH"
},
{
"ID": "C2",
"Name": "CCSC 2: Compensating countermeasures",
"Stakeholder": "acontis techonlogies GmbH"
},
{
"ID": "C7",
"Name": "CR 1.12 – System use notification",
"Stakeholder": "acontis techonlogies GmbH"
},
{
"ID": "C10",
"Name": "CR 2.8 – Auditable events",
"Stakeholder": "acontis techonlogies GmbH"
},
{
"ID": "C11",
"Name": "CR 2.10 – Response to audit processing failures",
"Stakeholder": "acontis techonlogies GmbH"
},
{
"ID": "C12",
"Name": "CR 2.11 – Timestamps",
"Stakeholder": "acontis techonlogies GmbH"
},
{
"ID": "C13",
"Name": "CR 3.3 – Security functionality verification",
"Stakeholder": "acontis techonlogies GmbH"
},
{
"ID": "C14",
"Name": "CR 3.4 – Software and information integrity",
"Stakeholder": "acontis techonlogies GmbH"
},
{
"ID": "C15",
"Name": "CR 3.5 – Input validation",
"Stakeholder": "acontis techonlogies GmbH"
},
{
"ID": "C16",
"Name": "CR 3.6 – Deterministic output",
"Stakeholder": "acontis techonlogies GmbH"
},
{
"ID": "C19",
"Name": "CR 5.1 – Network segmentation",
"Stakeholder": "acontis techonlogies GmbH"
},
{
"ID": "C23",
"Name": "CR 7.6 – Network and security configuration settings",
"Stakeholder": "acontis techonlogies GmbH"
},
{
"ID": "C24",
"Name": "CR 7.7 – Least functionality",
"Stakeholder": "acontis techonlogies GmbH"
},
{
"ID": "C33",
"Name": "SCR 1.1 - Processed personal data",
"Stakeholder": "acontis techonlogies GmbH"
},
{
"ID": "C34",
"Name": "SCR 1.2 - Telemetry data",
"Stakeholder": "acontis techonlogies GmbH"
},
{
"ID": "CM23",
"Name": "Hardware exchange",
"Stakeholder": "acontis techonlogies GmbH"
}
]
}</v>
      </c>
      <c r="D9" s="2" t="str">
        <f>""</f>
        <v/>
      </c>
    </row>
    <row r="10" spans="2:4" ht="15">
      <c r="B10" s="10" t="str">
        <f ca="1">_xlfn.LET(_xlpm._sheetName,OFFSET(Definitions!$BA$3,ROW()-ROW($B$6),0),IF(_xlpm._sheetName="","",_xlpm._sheetName))</f>
        <v/>
      </c>
      <c r="C10" s="15" t="str" cm="1">
        <f t="array" ca="1" aca="1" ref="C10">_xlfn.LET(_xlpm._delimiter,","&amp;CHAR(10),_xlpm._isLast,AND($B10&lt;&gt;"",OFFSET($B10,1,0)=""),_xlpm._result,JSONParseSheets(ROW()-ROW($C$6),Definitions!$BA$3,Definitions!$BB$3,Definitions!$BC$3,Definitions!$BD$3,$B$1,$B$2,$B$3,_xlpm._delimiter),SUBSTITUTE(IF(_xlpm._isLast,RemoveDelimiter(_xlpm._result,_xlpm._delimiter),_xlpm._result),","&amp;CHAR(10)&amp;CHAR(10)&amp;"]",CHAR(10)&amp;"]"))</f>
        <v/>
      </c>
      <c r="D10" s="2" t="str">
        <f>""</f>
        <v/>
      </c>
    </row>
    <row r="11" spans="2:4" ht="15">
      <c r="B11" s="10" t="str">
        <f ca="1">_xlfn.LET(_xlpm._sheetName,OFFSET(Definitions!$BA$3,ROW()-ROW($B$6),0),IF(_xlpm._sheetName="","",_xlpm._sheetName))</f>
        <v/>
      </c>
      <c r="C11" s="15" t="str" cm="1">
        <f t="array" ca="1" aca="1" ref="C11">_xlfn.LET(_xlpm._delimiter,","&amp;CHAR(10),_xlpm._isLast,AND($B11&lt;&gt;"",OFFSET($B11,1,0)=""),_xlpm._result,JSONParseSheets(ROW()-ROW($C$6),Definitions!$BA$3,Definitions!$BB$3,Definitions!$BC$3,Definitions!$BD$3,$B$1,$B$2,$B$3,_xlpm._delimiter),SUBSTITUTE(IF(_xlpm._isLast,RemoveDelimiter(_xlpm._result,_xlpm._delimiter),_xlpm._result),","&amp;CHAR(10)&amp;CHAR(10)&amp;"]",CHAR(10)&amp;"]"))</f>
        <v/>
      </c>
      <c r="D11" s="2" t="str">
        <f>""</f>
        <v/>
      </c>
    </row>
    <row r="12" spans="2:4" ht="15">
      <c r="B12" s="10" t="str">
        <f ca="1">_xlfn.LET(_xlpm._sheetName,OFFSET(Definitions!$BA$3,ROW()-ROW($B$6),0),IF(_xlpm._sheetName="","",_xlpm._sheetName))</f>
        <v/>
      </c>
      <c r="C12" s="15" t="str" cm="1">
        <f t="array" ca="1" aca="1" ref="C12">_xlfn.LET(_xlpm._delimiter,","&amp;CHAR(10),_xlpm._isLast,AND($B12&lt;&gt;"",OFFSET($B12,1,0)=""),_xlpm._result,JSONParseSheets(ROW()-ROW($C$6),Definitions!$BA$3,Definitions!$BB$3,Definitions!$BC$3,Definitions!$BD$3,$B$1,$B$2,$B$3,_xlpm._delimiter),SUBSTITUTE(IF(_xlpm._isLast,RemoveDelimiter(_xlpm._result,_xlpm._delimiter),_xlpm._result),","&amp;CHAR(10)&amp;CHAR(10)&amp;"]",CHAR(10)&amp;"]"))</f>
        <v/>
      </c>
      <c r="D12" s="2" t="str">
        <f>""</f>
        <v/>
      </c>
    </row>
    <row r="13" spans="2:4" ht="15">
      <c r="B13" s="10" t="str">
        <f ca="1">_xlfn.LET(_xlpm._sheetName,OFFSET(Definitions!$BA$3,ROW()-ROW($B$6),0),IF(_xlpm._sheetName="","",_xlpm._sheetName))</f>
        <v/>
      </c>
      <c r="C13" s="15" t="str" cm="1">
        <f t="array" ca="1" aca="1" ref="C13">_xlfn.LET(_xlpm._delimiter,","&amp;CHAR(10),_xlpm._isLast,AND($B13&lt;&gt;"",OFFSET($B13,1,0)=""),_xlpm._result,JSONParseSheets(ROW()-ROW($C$6),Definitions!$BA$3,Definitions!$BB$3,Definitions!$BC$3,Definitions!$BD$3,$B$1,$B$2,$B$3,_xlpm._delimiter),SUBSTITUTE(IF(_xlpm._isLast,RemoveDelimiter(_xlpm._result,_xlpm._delimiter),_xlpm._result),","&amp;CHAR(10)&amp;CHAR(10)&amp;"]",CHAR(10)&amp;"]"))</f>
        <v/>
      </c>
      <c r="D13" s="2" t="str">
        <f>""</f>
        <v/>
      </c>
    </row>
    <row r="14" spans="2:4" ht="15">
      <c r="B14" s="10" t="str">
        <f ca="1">_xlfn.LET(_xlpm._sheetName,OFFSET(Definitions!$BA$3,ROW()-ROW($B$6),0),IF(_xlpm._sheetName="","",_xlpm._sheetName))</f>
        <v/>
      </c>
      <c r="C14" s="15" t="str" cm="1">
        <f t="array" ca="1" aca="1" ref="C14">_xlfn.LET(_xlpm._delimiter,","&amp;CHAR(10),_xlpm._isLast,AND($B14&lt;&gt;"",OFFSET($B14,1,0)=""),_xlpm._result,JSONParseSheets(ROW()-ROW($C$6),Definitions!$BA$3,Definitions!$BB$3,Definitions!$BC$3,Definitions!$BD$3,$B$1,$B$2,$B$3,_xlpm._delimiter),SUBSTITUTE(IF(_xlpm._isLast,RemoveDelimiter(_xlpm._result,_xlpm._delimiter),_xlpm._result),","&amp;CHAR(10)&amp;CHAR(10)&amp;"]",CHAR(10)&amp;"]"))</f>
        <v/>
      </c>
      <c r="D14" s="2" t="str">
        <f>""</f>
        <v/>
      </c>
    </row>
    <row r="15" spans="2:4" ht="15">
      <c r="B15" s="10" t="str">
        <f ca="1">_xlfn.LET(_xlpm._sheetName,OFFSET(Definitions!$BA$3,ROW()-ROW($B$6),0),IF(_xlpm._sheetName="","",_xlpm._sheetName))</f>
        <v/>
      </c>
      <c r="C15" s="15" t="str" cm="1">
        <f t="array" ca="1" aca="1" ref="C15">_xlfn.LET(_xlpm._delimiter,","&amp;CHAR(10),_xlpm._isLast,AND($B15&lt;&gt;"",OFFSET($B15,1,0)=""),_xlpm._result,JSONParseSheets(ROW()-ROW($C$6),Definitions!$BA$3,Definitions!$BB$3,Definitions!$BC$3,Definitions!$BD$3,$B$1,$B$2,$B$3,_xlpm._delimiter),SUBSTITUTE(IF(_xlpm._isLast,RemoveDelimiter(_xlpm._result,_xlpm._delimiter),_xlpm._result),","&amp;CHAR(10)&amp;CHAR(10)&amp;"]",CHAR(10)&amp;"]"))</f>
        <v/>
      </c>
      <c r="D15" s="2" t="str">
        <f>""</f>
        <v/>
      </c>
    </row>
    <row r="16" spans="2:4" ht="15">
      <c r="B16" s="10" t="str">
        <f ca="1">_xlfn.LET(_xlpm._sheetName,OFFSET(Definitions!$BA$3,ROW()-ROW($B$6),0),IF(_xlpm._sheetName="","",_xlpm._sheetName))</f>
        <v/>
      </c>
      <c r="C16" s="15" t="str" cm="1">
        <f t="array" ca="1" aca="1" ref="C16">_xlfn.LET(_xlpm._delimiter,","&amp;CHAR(10),_xlpm._isLast,AND($B16&lt;&gt;"",OFFSET($B16,1,0)=""),_xlpm._result,JSONParseSheets(ROW()-ROW($C$6),Definitions!$BA$3,Definitions!$BB$3,Definitions!$BC$3,Definitions!$BD$3,$B$1,$B$2,$B$3,_xlpm._delimiter),SUBSTITUTE(IF(_xlpm._isLast,RemoveDelimiter(_xlpm._result,_xlpm._delimiter),_xlpm._result),","&amp;CHAR(10)&amp;CHAR(10)&amp;"]",CHAR(10)&amp;"]"))</f>
        <v/>
      </c>
      <c r="D16" s="2" t="str">
        <f>""</f>
        <v/>
      </c>
    </row>
    <row r="17" spans="2:4" ht="15">
      <c r="B17" s="10" t="str">
        <f ca="1">_xlfn.LET(_xlpm._sheetName,OFFSET(Definitions!$BA$3,ROW()-ROW($B$6),0),IF(_xlpm._sheetName="","",_xlpm._sheetName))</f>
        <v/>
      </c>
      <c r="C17" s="15" t="str" cm="1">
        <f t="array" ca="1" aca="1" ref="C17">_xlfn.LET(_xlpm._delimiter,","&amp;CHAR(10),_xlpm._isLast,AND($B17&lt;&gt;"",OFFSET($B17,1,0)=""),_xlpm._result,JSONParseSheets(ROW()-ROW($C$6),Definitions!$BA$3,Definitions!$BB$3,Definitions!$BC$3,Definitions!$BD$3,$B$1,$B$2,$B$3,_xlpm._delimiter),SUBSTITUTE(IF(_xlpm._isLast,RemoveDelimiter(_xlpm._result,_xlpm._delimiter),_xlpm._result),","&amp;CHAR(10)&amp;CHAR(10)&amp;"]",CHAR(10)&amp;"]"))</f>
        <v/>
      </c>
      <c r="D17" s="2" t="str">
        <f>""</f>
        <v/>
      </c>
    </row>
    <row r="18" spans="2:4" ht="15">
      <c r="B18" s="10" t="str">
        <f ca="1">_xlfn.LET(_xlpm._sheetName,OFFSET(Definitions!$BA$3,ROW()-ROW($B$6),0),IF(_xlpm._sheetName="","",_xlpm._sheetName))</f>
        <v/>
      </c>
      <c r="C18" s="15" t="str" cm="1">
        <f t="array" ca="1" aca="1" ref="C18">_xlfn.LET(_xlpm._delimiter,","&amp;CHAR(10),_xlpm._isLast,AND($B18&lt;&gt;"",OFFSET($B18,1,0)=""),_xlpm._result,JSONParseSheets(ROW()-ROW($C$6),Definitions!$BA$3,Definitions!$BB$3,Definitions!$BC$3,Definitions!$BD$3,$B$1,$B$2,$B$3,_xlpm._delimiter),SUBSTITUTE(IF(_xlpm._isLast,RemoveDelimiter(_xlpm._result,_xlpm._delimiter),_xlpm._result),","&amp;CHAR(10)&amp;CHAR(10)&amp;"]",CHAR(10)&amp;"]"))</f>
        <v/>
      </c>
      <c r="D18" s="2" t="str">
        <f>""</f>
        <v/>
      </c>
    </row>
    <row r="19" spans="2:4" ht="15">
      <c r="B19" s="10" t="str">
        <f ca="1">_xlfn.LET(_xlpm._sheetName,OFFSET(Definitions!$BA$3,ROW()-ROW($B$6),0),IF(_xlpm._sheetName="","",_xlpm._sheetName))</f>
        <v/>
      </c>
      <c r="C19" s="15" t="str" cm="1">
        <f t="array" ca="1" aca="1" ref="C19">_xlfn.LET(_xlpm._delimiter,","&amp;CHAR(10),_xlpm._isLast,AND($B19&lt;&gt;"",OFFSET($B19,1,0)=""),_xlpm._result,JSONParseSheets(ROW()-ROW($C$6),Definitions!$BA$3,Definitions!$BB$3,Definitions!$BC$3,Definitions!$BD$3,$B$1,$B$2,$B$3,_xlpm._delimiter),SUBSTITUTE(IF(_xlpm._isLast,RemoveDelimiter(_xlpm._result,_xlpm._delimiter),_xlpm._result),","&amp;CHAR(10)&amp;CHAR(10)&amp;"]",CHAR(10)&amp;"]"))</f>
        <v/>
      </c>
      <c r="D19" s="2" t="str">
        <f>""</f>
        <v/>
      </c>
    </row>
    <row r="20" spans="2:4" ht="15">
      <c r="B20" s="10" t="str">
        <f ca="1">_xlfn.LET(_xlpm._sheetName,OFFSET(Definitions!$BA$3,ROW()-ROW($B$6),0),IF(_xlpm._sheetName="","",_xlpm._sheetName))</f>
        <v/>
      </c>
      <c r="C20" s="15" t="str" cm="1">
        <f t="array" ca="1" aca="1" ref="C20">_xlfn.LET(_xlpm._delimiter,","&amp;CHAR(10),_xlpm._isLast,AND($B20&lt;&gt;"",OFFSET($B20,1,0)=""),_xlpm._result,JSONParseSheets(ROW()-ROW($C$6),Definitions!$BA$3,Definitions!$BB$3,Definitions!$BC$3,Definitions!$BD$3,$B$1,$B$2,$B$3,_xlpm._delimiter),SUBSTITUTE(IF(_xlpm._isLast,RemoveDelimiter(_xlpm._result,_xlpm._delimiter),_xlpm._result),","&amp;CHAR(10)&amp;CHAR(10)&amp;"]",CHAR(10)&amp;"]"))</f>
        <v/>
      </c>
      <c r="D20" s="2" t="str">
        <f>""</f>
        <v/>
      </c>
    </row>
    <row r="21" spans="2:4" ht="15">
      <c r="B21" s="10" t="str">
        <f ca="1">_xlfn.LET(_xlpm._sheetName,OFFSET(Definitions!$BA$3,ROW()-ROW($B$6),0),IF(_xlpm._sheetName="","",_xlpm._sheetName))</f>
        <v/>
      </c>
      <c r="C21" s="15" t="str" cm="1">
        <f t="array" ca="1" aca="1" ref="C21">_xlfn.LET(_xlpm._delimiter,","&amp;CHAR(10),_xlpm._isLast,AND($B21&lt;&gt;"",OFFSET($B21,1,0)=""),_xlpm._result,JSONParseSheets(ROW()-ROW($C$6),Definitions!$BA$3,Definitions!$BB$3,Definitions!$BC$3,Definitions!$BD$3,$B$1,$B$2,$B$3,_xlpm._delimiter),SUBSTITUTE(IF(_xlpm._isLast,RemoveDelimiter(_xlpm._result,_xlpm._delimiter),_xlpm._result),","&amp;CHAR(10)&amp;CHAR(10)&amp;"]",CHAR(10)&amp;"]"))</f>
        <v/>
      </c>
      <c r="D21" s="2" t="str">
        <f>""</f>
        <v/>
      </c>
    </row>
    <row r="22" spans="2:4" ht="15">
      <c r="B22" s="10" t="str">
        <f ca="1">_xlfn.LET(_xlpm._sheetName,OFFSET(Definitions!$BA$3,ROW()-ROW($B$6),0),IF(_xlpm._sheetName="","",_xlpm._sheetName))</f>
        <v/>
      </c>
      <c r="C22" s="15" t="str" cm="1">
        <f t="array" ca="1" aca="1" ref="C22">_xlfn.LET(_xlpm._delimiter,","&amp;CHAR(10),_xlpm._isLast,AND($B22&lt;&gt;"",OFFSET($B22,1,0)=""),_xlpm._result,JSONParseSheets(ROW()-ROW($C$6),Definitions!$BA$3,Definitions!$BB$3,Definitions!$BC$3,Definitions!$BD$3,$B$1,$B$2,$B$3,_xlpm._delimiter),SUBSTITUTE(IF(_xlpm._isLast,RemoveDelimiter(_xlpm._result,_xlpm._delimiter),_xlpm._result),","&amp;CHAR(10)&amp;CHAR(10)&amp;"]",CHAR(10)&amp;"]"))</f>
        <v/>
      </c>
      <c r="D22" s="2" t="str">
        <f>""</f>
        <v/>
      </c>
    </row>
    <row r="23" spans="2:4" ht="15">
      <c r="B23" s="10" t="str">
        <f ca="1">_xlfn.LET(_xlpm._sheetName,OFFSET(Definitions!$BA$3,ROW()-ROW($B$6),0),IF(_xlpm._sheetName="","",_xlpm._sheetName))</f>
        <v/>
      </c>
      <c r="C23" s="15" t="str" cm="1">
        <f t="array" ca="1" aca="1" ref="C23">_xlfn.LET(_xlpm._delimiter,","&amp;CHAR(10),_xlpm._isLast,AND($B23&lt;&gt;"",OFFSET($B23,1,0)=""),_xlpm._result,JSONParseSheets(ROW()-ROW($C$6),Definitions!$BA$3,Definitions!$BB$3,Definitions!$BC$3,Definitions!$BD$3,$B$1,$B$2,$B$3,_xlpm._delimiter),SUBSTITUTE(IF(_xlpm._isLast,RemoveDelimiter(_xlpm._result,_xlpm._delimiter),_xlpm._result),","&amp;CHAR(10)&amp;CHAR(10)&amp;"]",CHAR(10)&amp;"]"))</f>
        <v/>
      </c>
      <c r="D23" s="2" t="str">
        <f>""</f>
        <v/>
      </c>
    </row>
    <row r="24" spans="2:4" ht="15">
      <c r="B24" s="10" t="str">
        <f ca="1">_xlfn.LET(_xlpm._sheetName,OFFSET(Definitions!$BA$3,ROW()-ROW($B$6),0),IF(_xlpm._sheetName="","",_xlpm._sheetName))</f>
        <v/>
      </c>
      <c r="C24" s="15" t="str" cm="1">
        <f t="array" ca="1" aca="1" ref="C24">_xlfn.LET(_xlpm._delimiter,","&amp;CHAR(10),_xlpm._isLast,AND($B24&lt;&gt;"",OFFSET($B24,1,0)=""),_xlpm._result,JSONParseSheets(ROW()-ROW($C$6),Definitions!$BA$3,Definitions!$BB$3,Definitions!$BC$3,Definitions!$BD$3,$B$1,$B$2,$B$3,_xlpm._delimiter),SUBSTITUTE(IF(_xlpm._isLast,RemoveDelimiter(_xlpm._result,_xlpm._delimiter),_xlpm._result),","&amp;CHAR(10)&amp;CHAR(10)&amp;"]",CHAR(10)&amp;"]"))</f>
        <v/>
      </c>
      <c r="D24" s="2" t="str">
        <f>""</f>
        <v/>
      </c>
    </row>
    <row r="25" spans="2:4" ht="15">
      <c r="B25" s="10" t="str">
        <f ca="1">_xlfn.LET(_xlpm._sheetName,OFFSET(Definitions!$BA$3,ROW()-ROW($B$6),0),IF(_xlpm._sheetName="","",_xlpm._sheetName))</f>
        <v/>
      </c>
      <c r="C25" s="15" t="str" cm="1">
        <f t="array" ca="1" aca="1" ref="C25">_xlfn.LET(_xlpm._delimiter,","&amp;CHAR(10),_xlpm._isLast,AND($B25&lt;&gt;"",OFFSET($B25,1,0)=""),_xlpm._result,JSONParseSheets(ROW()-ROW($C$6),Definitions!$BA$3,Definitions!$BB$3,Definitions!$BC$3,Definitions!$BD$3,$B$1,$B$2,$B$3,_xlpm._delimiter),SUBSTITUTE(IF(_xlpm._isLast,RemoveDelimiter(_xlpm._result,_xlpm._delimiter),_xlpm._result),","&amp;CHAR(10)&amp;CHAR(10)&amp;"]",CHAR(10)&amp;"]"))</f>
        <v/>
      </c>
      <c r="D25" s="2" t="str">
        <f>""</f>
        <v/>
      </c>
    </row>
    <row r="26" spans="2:4" ht="15">
      <c r="B26" s="10" t="str">
        <f ca="1">_xlfn.LET(_xlpm._sheetName,OFFSET(Definitions!$BA$3,ROW()-ROW($B$6),0),IF(_xlpm._sheetName="","",_xlpm._sheetName))</f>
        <v/>
      </c>
      <c r="C26" s="15" t="str" cm="1">
        <f t="array" ca="1" aca="1" ref="C26">_xlfn.LET(_xlpm._delimiter,","&amp;CHAR(10),_xlpm._isLast,AND($B26&lt;&gt;"",OFFSET($B26,1,0)=""),_xlpm._result,JSONParseSheets(ROW()-ROW($C$6),Definitions!$BA$3,Definitions!$BB$3,Definitions!$BC$3,Definitions!$BD$3,$B$1,$B$2,$B$3,_xlpm._delimiter),SUBSTITUTE(IF(_xlpm._isLast,RemoveDelimiter(_xlpm._result,_xlpm._delimiter),_xlpm._result),","&amp;CHAR(10)&amp;CHAR(10)&amp;"]",CHAR(10)&amp;"]"))</f>
        <v/>
      </c>
      <c r="D26" s="2" t="str">
        <f>""</f>
        <v/>
      </c>
    </row>
    <row r="27" spans="2:4" ht="15">
      <c r="B27" s="10" t="str">
        <f ca="1">_xlfn.LET(_xlpm._sheetName,OFFSET(Definitions!$BA$3,ROW()-ROW($B$6),0),IF(_xlpm._sheetName="","",_xlpm._sheetName))</f>
        <v/>
      </c>
      <c r="C27" s="15" t="str" cm="1">
        <f t="array" ca="1" aca="1" ref="C27">_xlfn.LET(_xlpm._delimiter,","&amp;CHAR(10),_xlpm._isLast,AND($B27&lt;&gt;"",OFFSET($B27,1,0)=""),_xlpm._result,JSONParseSheets(ROW()-ROW($C$6),Definitions!$BA$3,Definitions!$BB$3,Definitions!$BC$3,Definitions!$BD$3,$B$1,$B$2,$B$3,_xlpm._delimiter),SUBSTITUTE(IF(_xlpm._isLast,RemoveDelimiter(_xlpm._result,_xlpm._delimiter),_xlpm._result),","&amp;CHAR(10)&amp;CHAR(10)&amp;"]",CHAR(10)&amp;"]"))</f>
        <v/>
      </c>
      <c r="D27" s="2" t="str">
        <f>""</f>
        <v/>
      </c>
    </row>
    <row r="28" spans="2:4" ht="15">
      <c r="B28" s="10" t="str">
        <f ca="1">_xlfn.LET(_xlpm._sheetName,OFFSET(Definitions!$BA$3,ROW()-ROW($B$6),0),IF(_xlpm._sheetName="","",_xlpm._sheetName))</f>
        <v/>
      </c>
      <c r="C28" s="15" t="str" cm="1">
        <f t="array" ca="1" aca="1" ref="C28">_xlfn.LET(_xlpm._delimiter,","&amp;CHAR(10),_xlpm._isLast,AND($B28&lt;&gt;"",OFFSET($B28,1,0)=""),_xlpm._result,JSONParseSheets(ROW()-ROW($C$6),Definitions!$BA$3,Definitions!$BB$3,Definitions!$BC$3,Definitions!$BD$3,$B$1,$B$2,$B$3,_xlpm._delimiter),SUBSTITUTE(IF(_xlpm._isLast,RemoveDelimiter(_xlpm._result,_xlpm._delimiter),_xlpm._result),","&amp;CHAR(10)&amp;CHAR(10)&amp;"]",CHAR(10)&amp;"]"))</f>
        <v/>
      </c>
      <c r="D28" s="2" t="str">
        <f>""</f>
        <v/>
      </c>
    </row>
    <row r="29" spans="2:4" ht="15">
      <c r="B29" s="10" t="str">
        <f ca="1">_xlfn.LET(_xlpm._sheetName,OFFSET(Definitions!$BA$3,ROW()-ROW($B$6),0),IF(_xlpm._sheetName="","",_xlpm._sheetName))</f>
        <v/>
      </c>
      <c r="C29" s="15" t="str" cm="1">
        <f t="array" ca="1" aca="1" ref="C29">_xlfn.LET(_xlpm._delimiter,","&amp;CHAR(10),_xlpm._isLast,AND($B29&lt;&gt;"",OFFSET($B29,1,0)=""),_xlpm._result,JSONParseSheets(ROW()-ROW($C$6),Definitions!$BA$3,Definitions!$BB$3,Definitions!$BC$3,Definitions!$BD$3,$B$1,$B$2,$B$3,_xlpm._delimiter),SUBSTITUTE(IF(_xlpm._isLast,RemoveDelimiter(_xlpm._result,_xlpm._delimiter),_xlpm._result),","&amp;CHAR(10)&amp;CHAR(10)&amp;"]",CHAR(10)&amp;"]"))</f>
        <v/>
      </c>
      <c r="D29" s="2" t="str">
        <f>""</f>
        <v/>
      </c>
    </row>
    <row r="30" spans="2:4" ht="15">
      <c r="B30" s="10" t="str">
        <f ca="1">_xlfn.LET(_xlpm._sheetName,OFFSET(Definitions!$BA$3,ROW()-ROW($B$6),0),IF(_xlpm._sheetName="","",_xlpm._sheetName))</f>
        <v/>
      </c>
      <c r="C30" s="15" t="str" cm="1">
        <f t="array" ca="1" aca="1" ref="C30">_xlfn.LET(_xlpm._delimiter,","&amp;CHAR(10),_xlpm._isLast,AND($B30&lt;&gt;"",OFFSET($B30,1,0)=""),_xlpm._result,JSONParseSheets(ROW()-ROW($C$6),Definitions!$BA$3,Definitions!$BB$3,Definitions!$BC$3,Definitions!$BD$3,$B$1,$B$2,$B$3,_xlpm._delimiter),SUBSTITUTE(IF(_xlpm._isLast,RemoveDelimiter(_xlpm._result,_xlpm._delimiter),_xlpm._result),","&amp;CHAR(10)&amp;CHAR(10)&amp;"]",CHAR(10)&amp;"]"))</f>
        <v/>
      </c>
      <c r="D30" s="2" t="str">
        <f>""</f>
        <v/>
      </c>
    </row>
  </sheetData>
  <sheetProtection password="EFD3" sheet="1" objects="1" scenarios="1"/>
  <conditionalFormatting sqref="B1:C1048576">
    <cfRule type="expression" priority="1" dxfId="681">
      <formula>AND(ROW(B1)&gt;ROW($B$6),B1="")</formula>
    </cfRule>
  </conditionalFormatting>
  <pageMargins left="0.7" right="0.7" top="0.75" bottom="0.75" header="0.3" footer="0.3"/>
  <pageSetup orientation="portrait" paperSize="9" r:id="rId2"/>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A57A91-7394-4B83-BD07-4554E54B8388}">
  <dimension ref="A1:D11"/>
  <sheetViews>
    <sheetView windowProtection="1" workbookViewId="0" topLeftCell="A1"/>
  </sheetViews>
  <sheetFormatPr defaultColWidth="9.14428571428571" defaultRowHeight="15"/>
  <cols>
    <col min="1" max="1" width="4.71428571428571" customWidth="1"/>
    <col min="2" max="2" width="61.4285714285714" style="55" bestFit="1" customWidth="1"/>
    <col min="3" max="3" width="14.2857142857143" bestFit="1" customWidth="1"/>
    <col min="4" max="4" width="90.7142857142857" style="55" customWidth="1"/>
  </cols>
  <sheetData>
    <row r="1" spans="2:2" ht="20.25" thickBot="1">
      <c r="B1" s="54" t="s">
        <v>619</v>
      </c>
    </row>
    <row r="2" ht="15.75" thickTop="1"/>
    <row r="3" spans="1:2" ht="75">
      <c r="A3">
        <v>1</v>
      </c>
      <c r="B3" s="55" t="s">
        <v>621</v>
      </c>
    </row>
    <row r="4" spans="1:2" ht="30">
      <c r="A4">
        <v>2</v>
      </c>
      <c r="B4" s="55" t="s">
        <v>620</v>
      </c>
    </row>
    <row r="5" spans="1:4" ht="45">
      <c r="A5">
        <v>3</v>
      </c>
      <c r="B5" s="55" t="s">
        <v>622</v>
      </c>
      <c r="D5" s="55" t="s">
        <v>627</v>
      </c>
    </row>
    <row r="6" spans="1:4" ht="45">
      <c r="A6">
        <v>4</v>
      </c>
      <c r="B6" s="55" t="s">
        <v>623</v>
      </c>
      <c r="D6" s="86" t="s">
        <v>624</v>
      </c>
    </row>
    <row r="7" spans="1:4" ht="60">
      <c r="A7">
        <v>5</v>
      </c>
      <c r="B7" s="55" t="s">
        <v>625</v>
      </c>
      <c r="D7" s="86" t="s">
        <v>626</v>
      </c>
    </row>
    <row r="8" spans="1:4" ht="30">
      <c r="A8">
        <v>6</v>
      </c>
      <c r="B8" s="55" t="s">
        <v>628</v>
      </c>
      <c r="D8" s="55" t="s">
        <v>629</v>
      </c>
    </row>
    <row r="9" spans="1:2" ht="30">
      <c r="A9">
        <v>7</v>
      </c>
      <c r="B9" s="55" t="s">
        <v>630</v>
      </c>
    </row>
    <row r="10" spans="1:4" ht="45">
      <c r="A10">
        <v>8</v>
      </c>
      <c r="B10" s="55" t="s">
        <v>631</v>
      </c>
      <c r="D10" s="55" t="s">
        <v>632</v>
      </c>
    </row>
    <row r="11" spans="1:4" ht="120">
      <c r="A11">
        <v>9</v>
      </c>
      <c r="B11" s="55" t="s">
        <v>633</v>
      </c>
      <c r="D11" s="86" t="s">
        <v>634</v>
      </c>
    </row>
  </sheetData>
  <sheetProtection password="ED33"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594112-AFC5-4EF5-BB28-8AC97D4AD540}">
  <sheetPr>
    <tabColor theme="6"/>
  </sheetPr>
  <dimension ref="A1:K54"/>
  <sheetViews>
    <sheetView windowProtection="1" workbookViewId="0" topLeftCell="A1"/>
  </sheetViews>
  <sheetFormatPr defaultColWidth="9.14428571428571" defaultRowHeight="15"/>
  <cols>
    <col min="1" max="1" width="50.7142857142857" style="4" customWidth="1"/>
    <col min="2" max="2" width="8.71428571428571" style="4" customWidth="1"/>
    <col min="3" max="3" width="25.7142857142857" style="4" customWidth="1"/>
    <col min="4" max="4" width="45.7142857142857" style="4" customWidth="1"/>
    <col min="5" max="9" width="9.14285714285714" style="4"/>
    <col min="10" max="10" width="10.7142857142857" style="4" customWidth="1"/>
    <col min="11" max="11" width="45.7142857142857" style="4" customWidth="1"/>
    <col min="12" max="16384" width="9.14285714285714" style="4"/>
  </cols>
  <sheetData>
    <row r="1" spans="1:1" ht="21">
      <c r="A1" s="38" t="s">
        <v>531</v>
      </c>
    </row>
    <row r="2" spans="1:11" s="5" customFormat="1" ht="15">
      <c r="A2" s="151" t="s">
        <v>534</v>
      </c>
      <c r="B2" s="151"/>
      <c r="C2" s="151"/>
      <c r="D2" s="151"/>
      <c r="F2" s="151" t="s">
        <v>577</v>
      </c>
      <c r="G2" s="151"/>
      <c r="I2" s="151" t="s">
        <v>220</v>
      </c>
      <c r="J2" s="151"/>
      <c r="K2" s="151"/>
    </row>
    <row r="3" spans="1:9" ht="15">
      <c r="A3" s="4" t="s">
        <v>0</v>
      </c>
      <c r="F3" s="4" t="s">
        <v>106</v>
      </c>
      <c r="G3" s="4" t="s">
        <v>380</v>
      </c>
      <c r="I3" s="4" t="s">
        <v>254</v>
      </c>
    </row>
    <row r="4" spans="1:9" ht="15">
      <c r="A4" s="4" t="s">
        <v>487</v>
      </c>
      <c r="F4" s="4" t="s">
        <v>108</v>
      </c>
      <c r="I4" s="4" t="s">
        <v>255</v>
      </c>
    </row>
    <row r="5" spans="1:9" ht="15">
      <c r="A5" s="4" t="s">
        <v>488</v>
      </c>
      <c r="F5" s="4" t="s">
        <v>109</v>
      </c>
      <c r="G5" s="4" t="s">
        <v>409</v>
      </c>
      <c r="I5" s="4" t="s">
        <v>448</v>
      </c>
    </row>
    <row r="6" spans="1:9" ht="45">
      <c r="A6" s="4" t="s">
        <v>489</v>
      </c>
      <c r="B6" s="4" t="s">
        <v>10</v>
      </c>
      <c r="C6" s="4" t="s">
        <v>11</v>
      </c>
      <c r="D6" s="4" t="s">
        <v>83</v>
      </c>
      <c r="F6" s="4" t="s">
        <v>110</v>
      </c>
      <c r="G6" s="4" t="s">
        <v>406</v>
      </c>
      <c r="I6" s="4" t="s">
        <v>449</v>
      </c>
    </row>
    <row r="7" spans="1:9" ht="45">
      <c r="A7" s="4" t="s">
        <v>490</v>
      </c>
      <c r="B7" s="4" t="s">
        <v>10</v>
      </c>
      <c r="C7" s="4" t="s">
        <v>15</v>
      </c>
      <c r="D7" s="4" t="s">
        <v>84</v>
      </c>
      <c r="F7" s="4" t="s">
        <v>111</v>
      </c>
      <c r="I7" s="4" t="s">
        <v>256</v>
      </c>
    </row>
    <row r="8" spans="1:9" ht="15">
      <c r="A8" s="4" t="s">
        <v>491</v>
      </c>
      <c r="F8" s="4" t="s">
        <v>112</v>
      </c>
      <c r="G8" s="4" t="s">
        <v>62</v>
      </c>
      <c r="I8" s="4" t="s">
        <v>450</v>
      </c>
    </row>
    <row r="9" spans="1:9" ht="30">
      <c r="A9" s="4" t="s">
        <v>492</v>
      </c>
      <c r="B9" s="4" t="s">
        <v>11</v>
      </c>
      <c r="D9" s="4" t="s">
        <v>85</v>
      </c>
      <c r="F9" s="4" t="s">
        <v>113</v>
      </c>
      <c r="G9" s="4" t="s">
        <v>407</v>
      </c>
      <c r="I9" s="4" t="s">
        <v>451</v>
      </c>
    </row>
    <row r="10" spans="1:9" ht="15">
      <c r="A10" s="4" t="s">
        <v>493</v>
      </c>
      <c r="F10" s="4" t="s">
        <v>118</v>
      </c>
      <c r="G10" s="4" t="s">
        <v>62</v>
      </c>
      <c r="I10" s="4" t="s">
        <v>257</v>
      </c>
    </row>
    <row r="11" spans="1:9" ht="45">
      <c r="A11" s="4" t="s">
        <v>494</v>
      </c>
      <c r="B11" s="4" t="s">
        <v>11</v>
      </c>
      <c r="F11" s="4" t="s">
        <v>121</v>
      </c>
      <c r="I11" s="4" t="s">
        <v>452</v>
      </c>
    </row>
    <row r="12" spans="1:9" ht="45">
      <c r="A12" s="4" t="s">
        <v>495</v>
      </c>
      <c r="B12" s="4" t="s">
        <v>11</v>
      </c>
      <c r="F12" s="4" t="s">
        <v>122</v>
      </c>
      <c r="I12" s="4" t="s">
        <v>258</v>
      </c>
    </row>
    <row r="13" spans="1:9" ht="15">
      <c r="A13" s="4" t="s">
        <v>496</v>
      </c>
      <c r="F13" s="4" t="s">
        <v>126</v>
      </c>
      <c r="G13" s="4" t="s">
        <v>408</v>
      </c>
      <c r="I13" s="4" t="s">
        <v>453</v>
      </c>
    </row>
    <row r="14" spans="1:9" ht="15">
      <c r="A14" s="4" t="s">
        <v>2</v>
      </c>
      <c r="F14" s="4" t="s">
        <v>128</v>
      </c>
      <c r="I14" s="4" t="s">
        <v>259</v>
      </c>
    </row>
    <row r="15" spans="1:9" ht="45">
      <c r="A15" s="4" t="s">
        <v>497</v>
      </c>
      <c r="B15" s="4" t="s">
        <v>11</v>
      </c>
      <c r="D15" s="4" t="s">
        <v>86</v>
      </c>
      <c r="F15" s="4" t="s">
        <v>130</v>
      </c>
      <c r="I15" s="4" t="s">
        <v>454</v>
      </c>
    </row>
    <row r="16" spans="1:9" ht="15">
      <c r="A16" s="4" t="s">
        <v>498</v>
      </c>
      <c r="F16" s="4" t="s">
        <v>201</v>
      </c>
      <c r="I16" s="4" t="s">
        <v>455</v>
      </c>
    </row>
    <row r="17" spans="1:11" ht="45">
      <c r="A17" s="4" t="s">
        <v>499</v>
      </c>
      <c r="B17" s="4" t="s">
        <v>10</v>
      </c>
      <c r="C17" s="4" t="s">
        <v>37</v>
      </c>
      <c r="D17" s="4" t="s">
        <v>87</v>
      </c>
      <c r="F17" s="4" t="s">
        <v>202</v>
      </c>
      <c r="I17" s="4" t="s">
        <v>260</v>
      </c>
      <c r="J17" s="4" t="s">
        <v>42</v>
      </c>
      <c r="K17" s="4" t="s">
        <v>480</v>
      </c>
    </row>
    <row r="18" spans="1:9" ht="30">
      <c r="A18" s="4" t="s">
        <v>493</v>
      </c>
      <c r="F18" s="4" t="s">
        <v>203</v>
      </c>
      <c r="G18" s="4" t="s">
        <v>473</v>
      </c>
      <c r="I18" s="4" t="s">
        <v>261</v>
      </c>
    </row>
    <row r="19" spans="1:9" ht="60">
      <c r="A19" s="4" t="s">
        <v>500</v>
      </c>
      <c r="B19" s="4" t="s">
        <v>11</v>
      </c>
      <c r="D19" s="4" t="s">
        <v>90</v>
      </c>
      <c r="F19" s="4" t="s">
        <v>204</v>
      </c>
      <c r="G19" s="4" t="s">
        <v>400</v>
      </c>
      <c r="I19" s="4" t="s">
        <v>456</v>
      </c>
    </row>
    <row r="20" spans="1:9" ht="30">
      <c r="A20" s="4" t="s">
        <v>501</v>
      </c>
      <c r="B20" s="4" t="s">
        <v>11</v>
      </c>
      <c r="F20" s="4" t="s">
        <v>205</v>
      </c>
      <c r="G20" s="4" t="s">
        <v>474</v>
      </c>
      <c r="I20" s="4" t="s">
        <v>457</v>
      </c>
    </row>
    <row r="21" spans="1:9" ht="15">
      <c r="A21" s="4" t="s">
        <v>502</v>
      </c>
      <c r="F21" s="4" t="s">
        <v>325</v>
      </c>
      <c r="I21" s="4" t="s">
        <v>262</v>
      </c>
    </row>
    <row r="22" spans="1:9" ht="15">
      <c r="A22" s="4" t="s">
        <v>2</v>
      </c>
      <c r="F22" s="4" t="s">
        <v>326</v>
      </c>
      <c r="I22" s="4" t="s">
        <v>458</v>
      </c>
    </row>
    <row r="23" spans="1:9" ht="75">
      <c r="A23" s="4" t="s">
        <v>503</v>
      </c>
      <c r="B23" s="4" t="s">
        <v>11</v>
      </c>
      <c r="D23" s="4" t="s">
        <v>89</v>
      </c>
      <c r="F23" s="4" t="s">
        <v>331</v>
      </c>
      <c r="G23" s="4" t="s">
        <v>398</v>
      </c>
      <c r="I23" s="4" t="s">
        <v>459</v>
      </c>
    </row>
    <row r="24" spans="1:9" ht="15">
      <c r="A24" s="4" t="s">
        <v>504</v>
      </c>
      <c r="F24" s="4" t="s">
        <v>332</v>
      </c>
      <c r="G24" s="4" t="s">
        <v>422</v>
      </c>
      <c r="I24" s="4" t="s">
        <v>263</v>
      </c>
    </row>
    <row r="25" spans="1:9" ht="75">
      <c r="A25" s="4" t="s">
        <v>505</v>
      </c>
      <c r="B25" s="4" t="s">
        <v>10</v>
      </c>
      <c r="C25" s="4" t="s">
        <v>15</v>
      </c>
      <c r="D25" s="4" t="s">
        <v>91</v>
      </c>
      <c r="F25" s="4" t="s">
        <v>335</v>
      </c>
      <c r="G25" s="4" t="s">
        <v>402</v>
      </c>
      <c r="I25" s="4" t="s">
        <v>460</v>
      </c>
    </row>
    <row r="26" spans="1:9" ht="60">
      <c r="A26" s="4" t="s">
        <v>506</v>
      </c>
      <c r="B26" s="4" t="s">
        <v>11</v>
      </c>
      <c r="D26" s="4" t="s">
        <v>92</v>
      </c>
      <c r="F26" s="4" t="s">
        <v>337</v>
      </c>
      <c r="I26" s="4" t="s">
        <v>461</v>
      </c>
    </row>
    <row r="27" spans="1:10" ht="75">
      <c r="A27" s="4" t="s">
        <v>507</v>
      </c>
      <c r="B27" s="4" t="s">
        <v>10</v>
      </c>
      <c r="C27" s="4" t="s">
        <v>27</v>
      </c>
      <c r="D27" s="4" t="s">
        <v>96</v>
      </c>
      <c r="F27" s="4" t="s">
        <v>342</v>
      </c>
      <c r="I27" s="4" t="s">
        <v>349</v>
      </c>
      <c r="J27" s="4" t="s">
        <v>42</v>
      </c>
    </row>
    <row r="28" spans="1:9" ht="15">
      <c r="A28" s="4" t="s">
        <v>498</v>
      </c>
      <c r="F28" s="4" t="s">
        <v>344</v>
      </c>
      <c r="G28" s="4" t="s">
        <v>412</v>
      </c>
      <c r="I28" s="4" t="s">
        <v>350</v>
      </c>
    </row>
    <row r="29" spans="1:9" ht="45">
      <c r="A29" s="4" t="s">
        <v>508</v>
      </c>
      <c r="B29" s="4" t="s">
        <v>10</v>
      </c>
      <c r="C29" s="4" t="s">
        <v>39</v>
      </c>
      <c r="D29" s="4" t="s">
        <v>88</v>
      </c>
      <c r="F29" s="4" t="s">
        <v>360</v>
      </c>
      <c r="G29" s="4" t="s">
        <v>384</v>
      </c>
      <c r="I29" s="4" t="s">
        <v>351</v>
      </c>
    </row>
    <row r="30" spans="1:9" ht="15">
      <c r="A30" s="4" t="s">
        <v>493</v>
      </c>
      <c r="F30" s="4" t="s">
        <v>365</v>
      </c>
      <c r="G30" s="4" t="s">
        <v>381</v>
      </c>
      <c r="I30" s="4" t="s">
        <v>352</v>
      </c>
    </row>
    <row r="31" spans="1:9" ht="45">
      <c r="A31" s="4" t="s">
        <v>509</v>
      </c>
      <c r="B31" s="4" t="s">
        <v>10</v>
      </c>
      <c r="I31" s="4" t="s">
        <v>353</v>
      </c>
    </row>
    <row r="32" spans="1:9" ht="30">
      <c r="A32" s="4" t="s">
        <v>510</v>
      </c>
      <c r="B32" s="4" t="s">
        <v>11</v>
      </c>
      <c r="D32" s="4" t="s">
        <v>92</v>
      </c>
      <c r="I32" s="4" t="s">
        <v>354</v>
      </c>
    </row>
    <row r="33" spans="9:9" ht="15">
      <c r="I33" s="4" t="s">
        <v>355</v>
      </c>
    </row>
    <row r="34" spans="1:9" ht="15">
      <c r="A34" s="4" t="s">
        <v>1</v>
      </c>
      <c r="I34" s="4" t="s">
        <v>356</v>
      </c>
    </row>
    <row r="35" spans="1:9" ht="15">
      <c r="A35" s="4" t="s">
        <v>511</v>
      </c>
      <c r="B35" s="4" t="s">
        <v>10</v>
      </c>
      <c r="I35" s="4" t="s">
        <v>357</v>
      </c>
    </row>
    <row r="36" spans="1:9" ht="30">
      <c r="A36" s="4" t="s">
        <v>512</v>
      </c>
      <c r="B36" s="4" t="s">
        <v>11</v>
      </c>
      <c r="D36" s="4" t="s">
        <v>532</v>
      </c>
      <c r="I36" s="4" t="s">
        <v>462</v>
      </c>
    </row>
    <row r="37" spans="1:9" ht="15">
      <c r="A37" s="4" t="s">
        <v>513</v>
      </c>
      <c r="I37" s="4" t="s">
        <v>463</v>
      </c>
    </row>
    <row r="38" spans="1:9" ht="30">
      <c r="A38" s="4" t="s">
        <v>514</v>
      </c>
      <c r="B38" s="4" t="s">
        <v>10</v>
      </c>
      <c r="C38" s="4" t="s">
        <v>10</v>
      </c>
      <c r="D38" s="4" t="s">
        <v>93</v>
      </c>
      <c r="I38" s="4" t="s">
        <v>464</v>
      </c>
    </row>
    <row r="39" spans="1:9" ht="30">
      <c r="A39" s="4" t="s">
        <v>515</v>
      </c>
      <c r="B39" s="4" t="s">
        <v>10</v>
      </c>
      <c r="C39" s="4" t="s">
        <v>10</v>
      </c>
      <c r="D39" s="4" t="s">
        <v>93</v>
      </c>
      <c r="I39" s="4" t="s">
        <v>358</v>
      </c>
    </row>
    <row r="40" spans="1:9" ht="75">
      <c r="A40" s="4" t="s">
        <v>516</v>
      </c>
      <c r="B40" s="4" t="s">
        <v>10</v>
      </c>
      <c r="C40" s="4" t="s">
        <v>10</v>
      </c>
      <c r="D40" s="4" t="s">
        <v>94</v>
      </c>
      <c r="I40" s="4" t="s">
        <v>359</v>
      </c>
    </row>
    <row r="41" spans="1:9" ht="30">
      <c r="A41" s="4" t="s">
        <v>517</v>
      </c>
      <c r="B41" s="4" t="s">
        <v>11</v>
      </c>
      <c r="D41" s="4" t="s">
        <v>95</v>
      </c>
      <c r="I41" s="4" t="s">
        <v>465</v>
      </c>
    </row>
    <row r="42" spans="1:9" ht="15">
      <c r="A42" s="4" t="s">
        <v>518</v>
      </c>
      <c r="I42" s="4" t="s">
        <v>466</v>
      </c>
    </row>
    <row r="43" spans="1:9" ht="30">
      <c r="A43" s="4" t="s">
        <v>519</v>
      </c>
      <c r="B43" s="4" t="s">
        <v>10</v>
      </c>
      <c r="I43" s="4" t="s">
        <v>62</v>
      </c>
    </row>
    <row r="44" spans="1:4" ht="30">
      <c r="A44" s="4" t="s">
        <v>520</v>
      </c>
      <c r="B44" s="4" t="s">
        <v>10</v>
      </c>
      <c r="C44" s="4" t="s">
        <v>10</v>
      </c>
      <c r="D44" s="4" t="s">
        <v>97</v>
      </c>
    </row>
    <row r="45" spans="1:4" ht="30">
      <c r="A45" s="4" t="s">
        <v>521</v>
      </c>
      <c r="B45" s="4" t="s">
        <v>10</v>
      </c>
      <c r="D45" s="4" t="s">
        <v>533</v>
      </c>
    </row>
    <row r="46" spans="1:4" ht="30">
      <c r="A46" s="4" t="s">
        <v>522</v>
      </c>
      <c r="B46" s="4" t="s">
        <v>10</v>
      </c>
      <c r="D46" s="4" t="s">
        <v>98</v>
      </c>
    </row>
    <row r="47" spans="1:4" ht="60">
      <c r="A47" s="4" t="s">
        <v>523</v>
      </c>
      <c r="B47" s="4" t="s">
        <v>10</v>
      </c>
      <c r="C47" s="4" t="s">
        <v>10</v>
      </c>
      <c r="D47" s="4" t="s">
        <v>99</v>
      </c>
    </row>
    <row r="48" spans="1:4" ht="30">
      <c r="A48" s="4" t="s">
        <v>524</v>
      </c>
      <c r="B48" s="4" t="s">
        <v>10</v>
      </c>
      <c r="C48" s="4" t="s">
        <v>10</v>
      </c>
      <c r="D48" s="4" t="s">
        <v>100</v>
      </c>
    </row>
    <row r="49" spans="1:4" ht="30">
      <c r="A49" s="4" t="s">
        <v>525</v>
      </c>
      <c r="B49" s="4" t="s">
        <v>11</v>
      </c>
      <c r="D49" s="4" t="s">
        <v>101</v>
      </c>
    </row>
    <row r="50" spans="1:1" ht="15">
      <c r="A50" s="4" t="s">
        <v>526</v>
      </c>
    </row>
    <row r="51" spans="1:4" ht="30">
      <c r="A51" s="4" t="s">
        <v>527</v>
      </c>
      <c r="B51" s="4" t="s">
        <v>10</v>
      </c>
      <c r="D51" s="4" t="s">
        <v>102</v>
      </c>
    </row>
    <row r="52" spans="1:4" ht="30">
      <c r="A52" s="4" t="s">
        <v>528</v>
      </c>
      <c r="B52" s="4" t="s">
        <v>11</v>
      </c>
      <c r="D52" s="4" t="s">
        <v>102</v>
      </c>
    </row>
    <row r="53" spans="1:4" ht="45">
      <c r="A53" s="4" t="s">
        <v>529</v>
      </c>
      <c r="B53" s="4" t="s">
        <v>10</v>
      </c>
      <c r="D53" s="4" t="s">
        <v>102</v>
      </c>
    </row>
    <row r="54" spans="1:4" ht="45">
      <c r="A54" s="4" t="s">
        <v>530</v>
      </c>
      <c r="B54" s="4" t="s">
        <v>10</v>
      </c>
      <c r="C54" s="4" t="s">
        <v>10</v>
      </c>
      <c r="D54" s="4" t="s">
        <v>103</v>
      </c>
    </row>
  </sheetData>
  <sheetProtection password="E3E3" sheet="1" objects="1" scenarios="1"/>
  <mergeCells count="3">
    <mergeCell ref="A2:D2"/>
    <mergeCell ref="F2:G2"/>
    <mergeCell ref="I2:K2"/>
  </mergeCells>
  <conditionalFormatting sqref="A1:A2 E2:F2 H2:I2 L2:XFD2">
    <cfRule type="expression" priority="2" dxfId="75">
      <formula>A$2&lt;&gt;""</formula>
    </cfRule>
  </conditionalFormatting>
  <pageMargins left="0.7" right="0.7" top="0.75" bottom="0.75" header="0.3" footer="0.3"/>
  <pageSetup orientation="portrait" paperSize="9"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4EAD64-DF1F-458B-AC59-7C73E4FBD503}">
  <sheetPr>
    <tabColor theme="9" tint="-0.49997"/>
  </sheetPr>
  <dimension ref="A1:J21"/>
  <sheetViews>
    <sheetView windowProtection="1" workbookViewId="0" topLeftCell="A1"/>
  </sheetViews>
  <sheetFormatPr defaultColWidth="9.14428571428571" defaultRowHeight="15"/>
  <cols>
    <col min="1" max="1" width="28.4285714285714" style="47" bestFit="1" customWidth="1"/>
    <col min="2" max="2" width="10.7142857142857" style="2" customWidth="1"/>
    <col min="3" max="3" width="9.14285714285714" style="2"/>
    <col min="4" max="4" width="63" style="2" bestFit="1" customWidth="1"/>
    <col min="5" max="5" width="9.14285714285714" style="2"/>
    <col min="6" max="6" width="49.8571428571429" style="2" bestFit="1" customWidth="1"/>
    <col min="7" max="7" width="33" style="2" bestFit="1" customWidth="1"/>
    <col min="8" max="8" width="9.14285714285714" style="2"/>
    <col min="9" max="9" width="49.7142857142857" style="2" bestFit="1" customWidth="1"/>
    <col min="10" max="16384" width="9.14285714285714" style="2"/>
  </cols>
  <sheetData>
    <row r="1" spans="1:10" ht="15">
      <c r="A1" s="47" t="s">
        <v>265</v>
      </c>
      <c r="B1" s="2">
        <f ca="1">MAX(Risks!$H:$H)</f>
        <v>38</v>
      </c>
      <c r="D1" s="47" t="s">
        <v>919</v>
      </c>
      <c r="F1" s="47" t="s">
        <v>1297</v>
      </c>
      <c r="I1" s="47" t="s">
        <v>1437</v>
      </c>
      <c r="J1" s="2" t="str" cm="1">
        <f t="array" ref="J1">_xlfn.LET(_xlpm._confirmedCatalogIDs,SanitizeInput(Tracing!$C$1),_xlpm._confirmedCountermeasures,GetValuesIgnoreErrors(_xlpm._confirmedCatalogIDs,Countermeasures!$R:$AR,"",",",FALSE),_xlpm._confirmedAssumptions,GetValuesIgnoreErrors(_xlpm._confirmedCatalogIDs,Assumptions!$R:$AO,"",",",FALSE),_xlpm._confirmedAssumptions&amp;_xlpm._confirmedCountermeasures)</f>
        <v/>
      </c>
    </row>
    <row r="2" spans="1:10" ht="15">
      <c r="A2" s="47" t="s">
        <v>266</v>
      </c>
      <c r="B2" s="2" t="str">
        <f ca="1">INDEX(Risks!$AH:$AH,MATCH(MAX(Risks!$H:$H),Risks!$H:$H,0))</f>
        <v>R1-3,R2-3,R1-4,R2-4,R1-6,R2-6,R1-7,R2-7,R1-3-10,R2-3-10,R1-3-11,R2-3-11,R1-14,R1-16,R2-16,R21-23,R22-23,R1-29,R2-29,R31,R1-3-32,R2-3-32,R1-5-32,R2-5-32,R1-7-32,R2-7-32,R1-16-32,R2-16-32,R21-23-32,R22-23-32,R21-24-32,R22-24-32,R1-29-32,R2-29-32,R37,R38,R1-40,R2-40,</v>
      </c>
      <c r="C2" s="2" t="str">
        <f>""</f>
        <v/>
      </c>
      <c r="D2" s="2" t="str" cm="1">
        <f t="array" ca="1" aca="1" ref="D2:D11">_xlfn.VSTACK(_xlfn._xlws.FILTER(Definitions!$H:$H,Definitions!$G:$G=Definitions!$E$6,""),_xlfn._xlws.FILTER(Definitions!$H:$H,Definitions!$G:$G=Definitions!$E$8,""))</f>
        <v>Low financial damage</v>
      </c>
      <c r="F2" s="2" t="str" cm="1">
        <f t="array" ca="1" aca="1" ref="F2">CELL("address",README!$A$1)</f>
        <v>'[QuBA-libre.xlsx]README'!$A$1</v>
      </c>
      <c r="G2" s="2" t="str">
        <f ca="1">_xlfn.LET(_xlpm._address,$F2,_xlpm._start,FIND("]",_xlpm._address)+1,_xlpm._end,FIND("!",_xlpm._address),SUBSTITUTE(MID(_xlpm._address,_xlpm._start,_xlpm._end-_xlpm._start),"'",""))</f>
        <v>README</v>
      </c>
      <c r="I2" s="47" t="s">
        <v>1435</v>
      </c>
      <c r="J2" s="2" t="str" cm="1">
        <f t="array" ref="J2">CreateSearchString($J$1)</f>
        <v/>
      </c>
    </row>
    <row r="3" spans="1:10" ht="15">
      <c r="A3" s="47" t="s">
        <v>267</v>
      </c>
      <c r="B3" s="2" t="str">
        <f>INDEX('Risk Treatment'!$X:$X,MATCH(MAX('Risk Treatment'!$U:$U),'Risk Treatment'!$U:$U,0))</f>
        <v/>
      </c>
      <c r="C3" s="2" t="str">
        <f>""</f>
        <v/>
      </c>
      <c r="D3" s="2" t="str">
        <v>Medium financial damage</v>
      </c>
      <c r="F3" s="2" t="str" cm="1">
        <f t="array" ca="1" aca="1" ref="F3">CELL("address",Definitions!$A$2)</f>
        <v>'[QuBA-libre.xlsx]Definitions'!$A$2</v>
      </c>
      <c r="G3" s="2" t="str">
        <f ca="1" t="shared" si="0" ref="G3:G21">_xlfn.LET(_xlpm._address,$F3,_xlpm._start,FIND("]",_xlpm._address)+1,_xlpm._end,FIND("!",_xlpm._address),SUBSTITUTE(MID(_xlpm._address,_xlpm._start,_xlpm._end-_xlpm._start),"'",""))</f>
        <v>Definitions</v>
      </c>
      <c r="I3" s="47" t="s">
        <v>1430</v>
      </c>
      <c r="J3" s="12" t="str" cm="1">
        <f t="array" ca="1" aca="1" ref="J3">SanitizeInput(_xlfn.TEXTJOIN(",",TRUE,Table267103[ID]))</f>
        <v>A3,A4,A10,A11,A12,A15,A16,A17,A18,A21,A24,A30,A31,A34,A36,A38,A42,A43,C0,C2,C7,C10,C11,C12,C13,C14,C15,C16,C19,C23,C24,C33,C34,CM23,</v>
      </c>
    </row>
    <row r="4" spans="1:10" ht="15">
      <c r="A4" s="47" t="s">
        <v>284</v>
      </c>
      <c r="B4" s="2">
        <f ca="1">COUNTIF(Countermeasures!$A:$A,"&lt;&gt;")-1</f>
        <v>65</v>
      </c>
      <c r="D4" s="2" t="str">
        <v>High financial damage</v>
      </c>
      <c r="F4" s="2" t="str" cm="1">
        <f t="array" ca="1" aca="1" ref="F4">CELL("address",Questions!$A$3)</f>
        <v>'[QuBA-libre.xlsx]Questions'!$A$3</v>
      </c>
      <c r="G4" s="2" t="str">
        <f t="shared" ca="1" si="0"/>
        <v>Questions</v>
      </c>
      <c r="I4" s="47" t="s">
        <v>1436</v>
      </c>
      <c r="J4" s="2" t="str" cm="1">
        <f t="array" ref="J4">$J$1&amp;SanitizeInput(Tracing!$C$3)</f>
        <v/>
      </c>
    </row>
    <row r="5" spans="1:7" ht="15">
      <c r="A5" s="47" t="s">
        <v>303</v>
      </c>
      <c r="B5" s="2">
        <f ca="1">COUNTIF('Attack Steps'!$A:$A,"&lt;&gt;")-1</f>
        <v>42</v>
      </c>
      <c r="D5" s="2" t="str">
        <v>Critical financial damage</v>
      </c>
      <c r="F5" s="2" t="str" cm="1">
        <f t="array" ca="1" aca="1" ref="F5">CELL("address",'Damage Scenarios'!$A$2)</f>
        <v>'[QuBA-libre.xlsx]Damage Scenarios'!$A$2</v>
      </c>
      <c r="G5" s="2" t="str">
        <f t="shared" ca="1" si="0"/>
        <v>Damage Scenarios</v>
      </c>
    </row>
    <row r="6" spans="1:7" ht="15">
      <c r="A6" s="47" t="s">
        <v>364</v>
      </c>
      <c r="B6" s="2">
        <f ca="1">COUNTIF(Assumptions!$A:$A,"&lt;&gt;")-1</f>
        <v>45</v>
      </c>
      <c r="D6" s="2" t="str">
        <v>Disturbance</v>
      </c>
      <c r="F6" s="2" t="str" cm="1">
        <f t="array" ca="1" aca="1" ref="F6">CELL("address",'Attack Steps'!$A$2)</f>
        <v>'[QuBA-libre.xlsx]Attack Steps'!$A$2</v>
      </c>
      <c r="G6" s="2" t="str">
        <f t="shared" ca="1" si="0"/>
        <v>Attack Steps</v>
      </c>
    </row>
    <row r="7" spans="1:7" ht="15">
      <c r="A7" s="47" t="s">
        <v>397</v>
      </c>
      <c r="B7" s="2">
        <f ca="1">MAX('Attack Steps'!$V:$V)</f>
        <v>15</v>
      </c>
      <c r="D7" s="2" t="str">
        <v>Service required</v>
      </c>
      <c r="F7" s="2" t="str" cm="1">
        <f t="array" ca="1" aca="1" ref="F7">CELL("address",Assumptions!$A$3)</f>
        <v>'[QuBA-libre.xlsx]Assumptions'!$A$3</v>
      </c>
      <c r="G7" s="2" t="str">
        <f t="shared" ca="1" si="0"/>
        <v>Assumptions</v>
      </c>
    </row>
    <row r="8" spans="1:7" ht="15">
      <c r="A8" s="47" t="s">
        <v>482</v>
      </c>
      <c r="B8" s="2">
        <f ca="1">MAX(Assumptions!$AG:$AG)</f>
        <v>18</v>
      </c>
      <c r="D8" s="2" t="str">
        <v>Major disturbance</v>
      </c>
      <c r="F8" s="2" t="str" cm="1">
        <f t="array" ca="1" aca="1" ref="F8">CELL("address",Countermeasures!$A$2)</f>
        <v>'[QuBA-libre.xlsx]Countermeasures'!$A$2</v>
      </c>
      <c r="G8" s="2" t="str">
        <f t="shared" ca="1" si="0"/>
        <v>Countermeasures</v>
      </c>
    </row>
    <row r="9" spans="1:7" ht="15">
      <c r="A9" s="47" t="s">
        <v>675</v>
      </c>
      <c r="B9" s="2">
        <f ca="1">MAX(Countermeasures!$AI:$AI)</f>
        <v>16</v>
      </c>
      <c r="D9" s="2" t="str">
        <v>Environmental damage</v>
      </c>
      <c r="F9" s="2" t="str" cm="1">
        <f t="array" ca="1" aca="1" ref="F9">CELL("address",Documentation!$B$17)</f>
        <v>'[QuBA-libre.xlsx]Documentation'!$B$17</v>
      </c>
      <c r="G9" s="2" t="str">
        <f t="shared" ca="1" si="0"/>
        <v>Documentation</v>
      </c>
    </row>
    <row r="10" spans="1:7" ht="15">
      <c r="A10" s="47" t="s">
        <v>981</v>
      </c>
      <c r="B10" s="2">
        <f ca="1">SUM(Table24['# Elements])</f>
        <v>0</v>
      </c>
      <c r="D10" s="2" t="str">
        <v>Critical disturbance (destruction)</v>
      </c>
      <c r="F10" s="2" t="str" cm="1">
        <f t="array" ca="1" aca="1" ref="F10">CELL("address",Questionnaire!$B$3)</f>
        <v>'[QuBA-libre.xlsx]Questionnaire'!$B$3</v>
      </c>
      <c r="G10" s="2" t="str">
        <f t="shared" ca="1" si="0"/>
        <v>Questionnaire</v>
      </c>
    </row>
    <row r="11" spans="1:7" ht="15">
      <c r="A11" s="47" t="s">
        <v>982</v>
      </c>
      <c r="B11" s="2">
        <f ca="1">SUM(Table25['# Elements])</f>
        <v>0</v>
      </c>
      <c r="D11" s="2" t="str">
        <v>Critical environmental damage</v>
      </c>
      <c r="F11" s="2" t="str" cm="1">
        <f t="array" ca="1" aca="1" ref="F11">CELL("address",'DS Overview'!$A$2)</f>
        <v>'[QuBA-libre.xlsx]DS Overview'!$A$2</v>
      </c>
      <c r="G11" s="2" t="str">
        <f t="shared" ca="1" si="0"/>
        <v>DS Overview</v>
      </c>
    </row>
    <row r="12" spans="1:7" ht="15">
      <c r="A12" s="47" t="s">
        <v>983</v>
      </c>
      <c r="B12" s="2">
        <f ca="1">COUNTIF(Questionnaire!$M:$M,"&lt;&gt;")</f>
        <v>101</v>
      </c>
      <c r="F12" s="2" t="str" cm="1">
        <f t="array" ca="1" aca="1" ref="F12">CELL("address",Risks!$A$2)</f>
        <v>'[QuBA-libre.xlsx]Risks'!$A$2</v>
      </c>
      <c r="G12" s="2" t="str">
        <f t="shared" ca="1" si="0"/>
        <v>Risks</v>
      </c>
    </row>
    <row r="13" spans="1:7" ht="15">
      <c r="A13" s="47" t="s">
        <v>980</v>
      </c>
      <c r="B13" s="2">
        <f ca="1">SUM(Table267['# APs])</f>
        <v>38</v>
      </c>
      <c r="F13" s="2" t="str" cm="1">
        <f t="array" ca="1" aca="1" ref="F13">CELL("address",Mitigation!$A$2)</f>
        <v>'[QuBA-libre.xlsx]Mitigation'!$A$2</v>
      </c>
      <c r="G13" s="2" t="str">
        <f t="shared" ca="1" si="0"/>
        <v>Mitigation</v>
      </c>
    </row>
    <row r="14" spans="1:7" ht="15">
      <c r="A14" s="47" t="s">
        <v>1474</v>
      </c>
      <c r="B14" s="2">
        <f>COUNTIF(Mitigation!$P:$P,"&lt;&gt;")-1</f>
        <v>41</v>
      </c>
      <c r="F14" s="2" t="str" cm="1">
        <f t="array" ca="1" aca="1" ref="F14">CELL("address",'Risk Treatment'!$C$4)</f>
        <v>'[QuBA-libre.xlsx]Risk Treatment'!$C$4</v>
      </c>
      <c r="G14" s="2" t="str">
        <f t="shared" ca="1" si="0"/>
        <v>Risk Treatment</v>
      </c>
    </row>
    <row r="15" spans="1:7" ht="15">
      <c r="A15" s="47" t="s">
        <v>1475</v>
      </c>
      <c r="B15" s="2">
        <f ca="1">B8+B9+B10+B11</f>
        <v>34</v>
      </c>
      <c r="F15" s="2" t="str" cm="1">
        <f t="array" ca="1" aca="1" ref="F15">CELL("address",'Result Summary'!$A$1)</f>
        <v>'[QuBA-libre.xlsx]Result Summary'!$A$1</v>
      </c>
      <c r="G15" s="2" t="str">
        <f t="shared" ca="1" si="0"/>
        <v>Result Summary</v>
      </c>
    </row>
    <row r="16" spans="6:7" ht="15">
      <c r="F16" s="2" t="str" cm="1">
        <f t="array" ca="1" aca="1" ref="F16">CELL("address",'Annex I 1.2 Report'!$A$2)</f>
        <v>'[QuBA-libre.xlsx]Annex I 1.2 Report'!$A$2</v>
      </c>
      <c r="G16" s="2" t="str">
        <f t="shared" ca="1" si="0"/>
        <v>Annex I 1.2 Report</v>
      </c>
    </row>
    <row r="17" spans="6:7" ht="15">
      <c r="F17" s="2" t="str" cm="1">
        <f t="array" ca="1" aca="1" ref="F17">CELL("address",Tasks!$A$19)</f>
        <v>'[QuBA-libre.xlsx]Tasks'!$A$19</v>
      </c>
      <c r="G17" s="2" t="str">
        <f t="shared" ca="1" si="0"/>
        <v>Tasks</v>
      </c>
    </row>
    <row r="18" spans="6:7" ht="15">
      <c r="F18" s="2" t="str" cm="1">
        <f t="array" ca="1" aca="1" ref="F18">CELL("address",'Quality Indicators'!$A$2)</f>
        <v>'[QuBA-libre.xlsx]Quality Indicators'!$A$2</v>
      </c>
      <c r="G18" s="2" t="str">
        <f t="shared" ca="1" si="0"/>
        <v>Quality Indicators</v>
      </c>
    </row>
    <row r="19" spans="6:7" ht="15">
      <c r="F19" s="2" t="str" cm="1">
        <f t="array" ca="1" aca="1" ref="F19">CELL("address",JSON!$A$6)</f>
        <v>'[QuBA-libre.xlsx]JSON'!$A$6</v>
      </c>
      <c r="G19" s="2" t="str">
        <f t="shared" ca="1" si="0"/>
        <v>JSON</v>
      </c>
    </row>
    <row r="20" spans="6:7" ht="15">
      <c r="F20" s="2" t="str" cm="1">
        <f t="array" ca="1" aca="1" ref="F20">CELL("address",'Version History'!$A$1)</f>
        <v>'[QuBA-libre.xlsx]Version History'!$A$1</v>
      </c>
      <c r="G20" s="2" t="str">
        <f t="shared" ca="1" si="0"/>
        <v>Version History</v>
      </c>
    </row>
    <row r="21" spans="6:7" ht="15">
      <c r="F21" s="2" t="str" cm="1">
        <f t="array" ca="1" aca="1" ref="F21">CELL("address",Tracing!$B$2)</f>
        <v>'[QuBA-libre.xlsx]Tracing'!$B$2</v>
      </c>
      <c r="G21" s="2" t="str">
        <f t="shared" ca="1" si="0"/>
        <v>Tracing</v>
      </c>
    </row>
  </sheetData>
  <sheetProtection password="E8A3"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24</vt:i4>
      </vt:variant>
    </vt:vector>
  </HeadingPairs>
  <TitlesOfParts>
    <vt:vector size="24" baseType="lpstr">
      <vt:lpstr>License</vt:lpstr>
      <vt:lpstr>README</vt:lpstr>
      <vt:lpstr>Version History</vt:lpstr>
      <vt:lpstr>Definitions</vt:lpstr>
      <vt:lpstr>Questions</vt:lpstr>
      <vt:lpstr>Damage Scenarios</vt:lpstr>
      <vt:lpstr>Attack Steps</vt:lpstr>
      <vt:lpstr>Assumptions</vt:lpstr>
      <vt:lpstr>Countermeasures</vt:lpstr>
      <vt:lpstr>Documentation</vt:lpstr>
      <vt:lpstr>Questionnaire</vt:lpstr>
      <vt:lpstr>DS Overview</vt:lpstr>
      <vt:lpstr>Risks</vt:lpstr>
      <vt:lpstr>Mitigation</vt:lpstr>
      <vt:lpstr>Risk Treatment</vt:lpstr>
      <vt:lpstr>Result Summary</vt:lpstr>
      <vt:lpstr>Annex I 1.2 Report</vt:lpstr>
      <vt:lpstr>Tracing</vt:lpstr>
      <vt:lpstr>Tasks</vt:lpstr>
      <vt:lpstr>Quality Indicators</vt:lpstr>
      <vt:lpstr>JSON</vt:lpstr>
      <vt:lpstr>User Information</vt:lpstr>
      <vt:lpstr>Profile Definitions</vt:lpstr>
      <vt:lpstr>Helper</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Angermeier, Daniel</dc:creator>
  <cp:keywords/>
  <dc:description/>
  <cp:lastModifiedBy>Timo Nußbaumer</cp:lastModifiedBy>
  <dcterms:created xsi:type="dcterms:W3CDTF">2023-04-18T11:05:28Z</dcterms:created>
  <dcterms:modified xsi:type="dcterms:W3CDTF">2026-02-24T13:46:25Z</dcterms:modified>
  <cp:category/>
</cp:coreProperties>
</file>