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nussbaumer.ACONTIS\Downloads\"/>
    </mc:Choice>
  </mc:AlternateContent>
  <xr:revisionPtr revIDLastSave="0" documentId="8_{61BE43AD-A019-47BE-BF52-FB8D8323276A}" xr6:coauthVersionLast="47" xr6:coauthVersionMax="47" xr10:uidLastSave="{00000000-0000-0000-0000-000000000000}"/>
  <bookViews>
    <workbookView xWindow="-28920" yWindow="30" windowWidth="29040" windowHeight="17520" tabRatio="599" activeTab="1" xr2:uid="{00000000-000D-0000-FFFF-FFFF00000000}"/>
  </bookViews>
  <sheets>
    <sheet name="Info" sheetId="6" r:id="rId1"/>
    <sheet name="RiskAssessment" sheetId="1" r:id="rId2"/>
    <sheet name="RiskMatrix" sheetId="5" r:id="rId3"/>
    <sheet name="AttackRiskStep" sheetId="13" r:id="rId4"/>
    <sheet name="DamageCategory" sheetId="9" r:id="rId5"/>
    <sheet name="Stakeholder" sheetId="12" r:id="rId6"/>
    <sheet name="Likelihood" sheetId="8" r:id="rId7"/>
    <sheet name="Impact" sheetId="7" r:id="rId8"/>
    <sheet name="RPN" sheetId="3" r:id="rId9"/>
    <sheet name="ActionStatus" sheetId="10" r:id="rId10"/>
    <sheet name="Owner" sheetId="11" r:id="rId11"/>
  </sheets>
  <definedNames>
    <definedName name="_xlnm._FilterDatabase" localSheetId="1" hidden="1">RiskAssessment!$A$2:$Y$499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12" i="1" l="1"/>
  <c r="S11" i="1"/>
  <c r="S27" i="1"/>
  <c r="S4" i="1" s="1"/>
  <c r="R27" i="1"/>
  <c r="R4" i="1" s="1"/>
  <c r="B10" i="1"/>
  <c r="B9" i="1"/>
  <c r="B11" i="1"/>
  <c r="B12" i="1"/>
  <c r="B13" i="1"/>
  <c r="B14" i="1"/>
  <c r="B15" i="1"/>
  <c r="B16" i="1"/>
  <c r="B17" i="1"/>
  <c r="B18" i="1"/>
  <c r="B19" i="1"/>
  <c r="B20" i="1"/>
  <c r="B21" i="1"/>
  <c r="B22" i="1"/>
  <c r="B23" i="1"/>
  <c r="B24" i="1"/>
  <c r="B25" i="1"/>
  <c r="B26" i="1"/>
  <c r="B27" i="1"/>
  <c r="B29"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Z27" i="1"/>
  <c r="P27" i="1"/>
  <c r="Q27" i="1" s="1"/>
  <c r="I27" i="1"/>
  <c r="J27" i="1" s="1"/>
  <c r="H27" i="1"/>
  <c r="C44" i="13"/>
  <c r="H4" i="1"/>
  <c r="H5" i="1"/>
  <c r="H6" i="1"/>
  <c r="H8" i="1"/>
  <c r="H7" i="1"/>
  <c r="H9" i="1"/>
  <c r="H10" i="1"/>
  <c r="H11" i="1"/>
  <c r="H12" i="1"/>
  <c r="H13" i="1"/>
  <c r="H14" i="1"/>
  <c r="H15" i="1"/>
  <c r="H16" i="1"/>
  <c r="H17" i="1"/>
  <c r="H18" i="1"/>
  <c r="H19" i="1"/>
  <c r="H20" i="1"/>
  <c r="H21" i="1"/>
  <c r="H22" i="1"/>
  <c r="H23" i="1"/>
  <c r="H24" i="1"/>
  <c r="H25" i="1"/>
  <c r="H26"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3" i="1"/>
  <c r="S3" i="1" l="1"/>
  <c r="R11" i="1"/>
  <c r="R3" i="1"/>
  <c r="R12" i="1"/>
  <c r="Z20" i="1"/>
  <c r="P20" i="1"/>
  <c r="Q20" i="1" s="1"/>
  <c r="I20" i="1"/>
  <c r="Z19" i="1"/>
  <c r="P19" i="1"/>
  <c r="Q19" i="1" s="1"/>
  <c r="I19" i="1"/>
  <c r="Z16" i="1"/>
  <c r="P16" i="1"/>
  <c r="Q16" i="1" s="1"/>
  <c r="I16" i="1"/>
  <c r="Z15" i="1"/>
  <c r="P15" i="1"/>
  <c r="Q15" i="1" s="1"/>
  <c r="I15" i="1"/>
  <c r="Z14" i="1"/>
  <c r="P14" i="1"/>
  <c r="Q14" i="1" s="1"/>
  <c r="I14" i="1"/>
  <c r="Z13" i="1"/>
  <c r="P13" i="1"/>
  <c r="Q13" i="1" s="1"/>
  <c r="I13" i="1"/>
  <c r="AC2" i="1" l="1"/>
  <c r="AC27" i="1" s="1"/>
  <c r="AB2" i="1"/>
  <c r="AB27" i="1" s="1"/>
  <c r="AA2" i="1"/>
  <c r="AA27" i="1" s="1"/>
  <c r="Z4" i="1"/>
  <c r="Z5" i="1"/>
  <c r="Z6" i="1"/>
  <c r="Z8" i="1"/>
  <c r="Z7" i="1"/>
  <c r="Z9" i="1"/>
  <c r="Z10" i="1"/>
  <c r="Z11" i="1"/>
  <c r="Z12" i="1"/>
  <c r="Z17" i="1"/>
  <c r="Z18" i="1"/>
  <c r="Z21" i="1"/>
  <c r="Z22" i="1"/>
  <c r="Z23" i="1"/>
  <c r="Z24" i="1"/>
  <c r="Z25" i="1"/>
  <c r="Z26"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3" i="1"/>
  <c r="C4" i="13"/>
  <c r="C5" i="13"/>
  <c r="C6" i="13"/>
  <c r="C7" i="13"/>
  <c r="C8" i="13"/>
  <c r="C9" i="13"/>
  <c r="C10" i="13"/>
  <c r="C11" i="13"/>
  <c r="C12" i="13"/>
  <c r="C13" i="13"/>
  <c r="C14" i="13"/>
  <c r="C15" i="13"/>
  <c r="C16" i="13"/>
  <c r="C17" i="13"/>
  <c r="C18" i="13"/>
  <c r="C19" i="13"/>
  <c r="C20" i="13"/>
  <c r="C21" i="13"/>
  <c r="C22" i="13"/>
  <c r="C23" i="13"/>
  <c r="J19" i="1" s="1"/>
  <c r="C24" i="13"/>
  <c r="J20" i="1" s="1"/>
  <c r="C25" i="13"/>
  <c r="C26" i="13"/>
  <c r="C27" i="13"/>
  <c r="C28" i="13"/>
  <c r="C29" i="13"/>
  <c r="C30" i="13"/>
  <c r="C31" i="13"/>
  <c r="C32" i="13"/>
  <c r="C33" i="13"/>
  <c r="C34" i="13"/>
  <c r="C35" i="13"/>
  <c r="C36" i="13"/>
  <c r="C37" i="13"/>
  <c r="C38" i="13"/>
  <c r="C39" i="13"/>
  <c r="C40" i="13"/>
  <c r="C41" i="13"/>
  <c r="C42" i="13"/>
  <c r="C43" i="13"/>
  <c r="C3" i="13"/>
  <c r="I4" i="1"/>
  <c r="I5" i="1"/>
  <c r="I6" i="1"/>
  <c r="I8" i="1"/>
  <c r="B8" i="1" s="1"/>
  <c r="I7" i="1"/>
  <c r="B7" i="1" s="1"/>
  <c r="I9" i="1"/>
  <c r="I10" i="1"/>
  <c r="I11" i="1"/>
  <c r="I12" i="1"/>
  <c r="I17" i="1"/>
  <c r="I18" i="1"/>
  <c r="I21" i="1"/>
  <c r="I22" i="1"/>
  <c r="I23" i="1"/>
  <c r="I24" i="1"/>
  <c r="I25" i="1"/>
  <c r="I26" i="1"/>
  <c r="I28" i="1"/>
  <c r="J28" i="1" s="1"/>
  <c r="I29" i="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I182" i="1"/>
  <c r="J182" i="1" s="1"/>
  <c r="I183" i="1"/>
  <c r="J183" i="1" s="1"/>
  <c r="I184" i="1"/>
  <c r="J184" i="1" s="1"/>
  <c r="I185" i="1"/>
  <c r="J185" i="1" s="1"/>
  <c r="I186" i="1"/>
  <c r="J186" i="1" s="1"/>
  <c r="I187" i="1"/>
  <c r="J187" i="1" s="1"/>
  <c r="I188" i="1"/>
  <c r="J188" i="1" s="1"/>
  <c r="I189" i="1"/>
  <c r="J189" i="1" s="1"/>
  <c r="I190" i="1"/>
  <c r="J190" i="1" s="1"/>
  <c r="I191" i="1"/>
  <c r="J191" i="1" s="1"/>
  <c r="I192" i="1"/>
  <c r="J192" i="1" s="1"/>
  <c r="I193" i="1"/>
  <c r="J193" i="1" s="1"/>
  <c r="I194" i="1"/>
  <c r="J194" i="1" s="1"/>
  <c r="I195" i="1"/>
  <c r="J195" i="1" s="1"/>
  <c r="I196" i="1"/>
  <c r="J196" i="1" s="1"/>
  <c r="I197" i="1"/>
  <c r="J197" i="1" s="1"/>
  <c r="I198" i="1"/>
  <c r="J198" i="1" s="1"/>
  <c r="I199" i="1"/>
  <c r="J199" i="1" s="1"/>
  <c r="I200" i="1"/>
  <c r="J200" i="1" s="1"/>
  <c r="I201" i="1"/>
  <c r="J201" i="1" s="1"/>
  <c r="I202" i="1"/>
  <c r="J202" i="1" s="1"/>
  <c r="I203" i="1"/>
  <c r="J203" i="1" s="1"/>
  <c r="I204" i="1"/>
  <c r="J204" i="1" s="1"/>
  <c r="I205" i="1"/>
  <c r="J205" i="1" s="1"/>
  <c r="I206" i="1"/>
  <c r="J206" i="1" s="1"/>
  <c r="I207" i="1"/>
  <c r="J207" i="1" s="1"/>
  <c r="I208" i="1"/>
  <c r="J208" i="1" s="1"/>
  <c r="I209" i="1"/>
  <c r="J209" i="1" s="1"/>
  <c r="I210" i="1"/>
  <c r="J210" i="1" s="1"/>
  <c r="I211" i="1"/>
  <c r="J211" i="1" s="1"/>
  <c r="I212" i="1"/>
  <c r="J212" i="1" s="1"/>
  <c r="I213" i="1"/>
  <c r="J213" i="1" s="1"/>
  <c r="I214" i="1"/>
  <c r="J214" i="1" s="1"/>
  <c r="I215" i="1"/>
  <c r="J215" i="1" s="1"/>
  <c r="I216" i="1"/>
  <c r="J216" i="1" s="1"/>
  <c r="I217" i="1"/>
  <c r="J217" i="1" s="1"/>
  <c r="I218" i="1"/>
  <c r="J218" i="1" s="1"/>
  <c r="I219" i="1"/>
  <c r="J219" i="1" s="1"/>
  <c r="I220" i="1"/>
  <c r="J220" i="1" s="1"/>
  <c r="I221" i="1"/>
  <c r="J221" i="1" s="1"/>
  <c r="I222" i="1"/>
  <c r="J222" i="1" s="1"/>
  <c r="I223" i="1"/>
  <c r="J223" i="1" s="1"/>
  <c r="I224" i="1"/>
  <c r="J224" i="1" s="1"/>
  <c r="I225" i="1"/>
  <c r="J225" i="1" s="1"/>
  <c r="I226" i="1"/>
  <c r="J226" i="1" s="1"/>
  <c r="I227" i="1"/>
  <c r="J227" i="1" s="1"/>
  <c r="I228" i="1"/>
  <c r="J228" i="1" s="1"/>
  <c r="I229" i="1"/>
  <c r="J229" i="1" s="1"/>
  <c r="I230" i="1"/>
  <c r="J230" i="1" s="1"/>
  <c r="I231" i="1"/>
  <c r="J231" i="1" s="1"/>
  <c r="I232" i="1"/>
  <c r="J232" i="1" s="1"/>
  <c r="I233" i="1"/>
  <c r="J233" i="1" s="1"/>
  <c r="I234" i="1"/>
  <c r="J234" i="1" s="1"/>
  <c r="I235" i="1"/>
  <c r="J235" i="1" s="1"/>
  <c r="I236" i="1"/>
  <c r="J236" i="1" s="1"/>
  <c r="I237" i="1"/>
  <c r="J237" i="1" s="1"/>
  <c r="I238" i="1"/>
  <c r="J238" i="1" s="1"/>
  <c r="I239" i="1"/>
  <c r="J239" i="1" s="1"/>
  <c r="I240" i="1"/>
  <c r="J240" i="1" s="1"/>
  <c r="I241" i="1"/>
  <c r="J241" i="1" s="1"/>
  <c r="I242" i="1"/>
  <c r="J242" i="1" s="1"/>
  <c r="I243" i="1"/>
  <c r="J243" i="1" s="1"/>
  <c r="I244" i="1"/>
  <c r="J244" i="1" s="1"/>
  <c r="I245" i="1"/>
  <c r="J245" i="1" s="1"/>
  <c r="I246" i="1"/>
  <c r="J246" i="1" s="1"/>
  <c r="I247" i="1"/>
  <c r="J247" i="1" s="1"/>
  <c r="I248" i="1"/>
  <c r="J248" i="1" s="1"/>
  <c r="I249" i="1"/>
  <c r="J249" i="1" s="1"/>
  <c r="I250" i="1"/>
  <c r="J250" i="1" s="1"/>
  <c r="I251" i="1"/>
  <c r="J251" i="1" s="1"/>
  <c r="I252" i="1"/>
  <c r="J252" i="1" s="1"/>
  <c r="I253" i="1"/>
  <c r="J253" i="1" s="1"/>
  <c r="I254" i="1"/>
  <c r="J254" i="1" s="1"/>
  <c r="I255" i="1"/>
  <c r="J255" i="1" s="1"/>
  <c r="I256" i="1"/>
  <c r="J256" i="1" s="1"/>
  <c r="I257" i="1"/>
  <c r="J257" i="1" s="1"/>
  <c r="I258" i="1"/>
  <c r="J258" i="1" s="1"/>
  <c r="I259" i="1"/>
  <c r="J259" i="1" s="1"/>
  <c r="I260" i="1"/>
  <c r="J260" i="1" s="1"/>
  <c r="I261" i="1"/>
  <c r="J261" i="1" s="1"/>
  <c r="I262" i="1"/>
  <c r="J262" i="1" s="1"/>
  <c r="I263" i="1"/>
  <c r="J263" i="1" s="1"/>
  <c r="I264" i="1"/>
  <c r="J264" i="1" s="1"/>
  <c r="I265" i="1"/>
  <c r="J265" i="1" s="1"/>
  <c r="I266" i="1"/>
  <c r="J266" i="1" s="1"/>
  <c r="I267" i="1"/>
  <c r="J267" i="1" s="1"/>
  <c r="I268" i="1"/>
  <c r="J268" i="1" s="1"/>
  <c r="I269" i="1"/>
  <c r="J269" i="1" s="1"/>
  <c r="I270" i="1"/>
  <c r="J270" i="1" s="1"/>
  <c r="I271" i="1"/>
  <c r="J271" i="1" s="1"/>
  <c r="I272" i="1"/>
  <c r="J272" i="1" s="1"/>
  <c r="I273" i="1"/>
  <c r="J273" i="1" s="1"/>
  <c r="I274" i="1"/>
  <c r="J274" i="1" s="1"/>
  <c r="I275" i="1"/>
  <c r="J275" i="1" s="1"/>
  <c r="I276" i="1"/>
  <c r="J276" i="1" s="1"/>
  <c r="I277" i="1"/>
  <c r="J277" i="1" s="1"/>
  <c r="I278" i="1"/>
  <c r="J278" i="1" s="1"/>
  <c r="I279" i="1"/>
  <c r="J279" i="1" s="1"/>
  <c r="I280" i="1"/>
  <c r="J280" i="1" s="1"/>
  <c r="I281" i="1"/>
  <c r="J281" i="1" s="1"/>
  <c r="I282" i="1"/>
  <c r="J282" i="1" s="1"/>
  <c r="I283" i="1"/>
  <c r="J283" i="1" s="1"/>
  <c r="I284" i="1"/>
  <c r="J284" i="1" s="1"/>
  <c r="I285" i="1"/>
  <c r="J285" i="1" s="1"/>
  <c r="I286" i="1"/>
  <c r="J286" i="1" s="1"/>
  <c r="I287" i="1"/>
  <c r="J287" i="1" s="1"/>
  <c r="I288" i="1"/>
  <c r="J288" i="1" s="1"/>
  <c r="I289" i="1"/>
  <c r="J289" i="1" s="1"/>
  <c r="I290" i="1"/>
  <c r="J290" i="1" s="1"/>
  <c r="I291" i="1"/>
  <c r="J291" i="1" s="1"/>
  <c r="I292" i="1"/>
  <c r="J292" i="1" s="1"/>
  <c r="I293" i="1"/>
  <c r="J293" i="1" s="1"/>
  <c r="I294" i="1"/>
  <c r="J294" i="1" s="1"/>
  <c r="I295" i="1"/>
  <c r="J295" i="1" s="1"/>
  <c r="I296" i="1"/>
  <c r="J296" i="1" s="1"/>
  <c r="I297" i="1"/>
  <c r="J297" i="1" s="1"/>
  <c r="I298" i="1"/>
  <c r="J298" i="1" s="1"/>
  <c r="I299" i="1"/>
  <c r="J299" i="1" s="1"/>
  <c r="I300" i="1"/>
  <c r="J300" i="1" s="1"/>
  <c r="I301" i="1"/>
  <c r="J301" i="1" s="1"/>
  <c r="I302" i="1"/>
  <c r="J302" i="1" s="1"/>
  <c r="I303" i="1"/>
  <c r="J303" i="1" s="1"/>
  <c r="I304" i="1"/>
  <c r="J304" i="1" s="1"/>
  <c r="I305" i="1"/>
  <c r="J305" i="1" s="1"/>
  <c r="I306" i="1"/>
  <c r="J306" i="1" s="1"/>
  <c r="I307" i="1"/>
  <c r="J307" i="1" s="1"/>
  <c r="I308" i="1"/>
  <c r="J308" i="1" s="1"/>
  <c r="I309" i="1"/>
  <c r="J309" i="1" s="1"/>
  <c r="I310" i="1"/>
  <c r="J310" i="1" s="1"/>
  <c r="I311" i="1"/>
  <c r="J311" i="1" s="1"/>
  <c r="I312" i="1"/>
  <c r="J312" i="1" s="1"/>
  <c r="I313" i="1"/>
  <c r="J313" i="1" s="1"/>
  <c r="I314" i="1"/>
  <c r="J314" i="1" s="1"/>
  <c r="I315" i="1"/>
  <c r="J315" i="1" s="1"/>
  <c r="I316" i="1"/>
  <c r="J316" i="1" s="1"/>
  <c r="I317" i="1"/>
  <c r="J317" i="1" s="1"/>
  <c r="I318" i="1"/>
  <c r="J318" i="1" s="1"/>
  <c r="I319" i="1"/>
  <c r="J319" i="1" s="1"/>
  <c r="I320" i="1"/>
  <c r="J320" i="1" s="1"/>
  <c r="I321" i="1"/>
  <c r="J321" i="1" s="1"/>
  <c r="I322" i="1"/>
  <c r="J322" i="1" s="1"/>
  <c r="I323" i="1"/>
  <c r="J323" i="1" s="1"/>
  <c r="I324" i="1"/>
  <c r="J324" i="1" s="1"/>
  <c r="I325" i="1"/>
  <c r="J325" i="1" s="1"/>
  <c r="I326" i="1"/>
  <c r="J326" i="1" s="1"/>
  <c r="I327" i="1"/>
  <c r="J327" i="1" s="1"/>
  <c r="I328" i="1"/>
  <c r="J328" i="1" s="1"/>
  <c r="I329" i="1"/>
  <c r="J329" i="1" s="1"/>
  <c r="I330" i="1"/>
  <c r="J330" i="1" s="1"/>
  <c r="I331" i="1"/>
  <c r="J331" i="1" s="1"/>
  <c r="I332" i="1"/>
  <c r="J332" i="1" s="1"/>
  <c r="I333" i="1"/>
  <c r="J333" i="1" s="1"/>
  <c r="I334" i="1"/>
  <c r="J334" i="1" s="1"/>
  <c r="I335" i="1"/>
  <c r="J335" i="1" s="1"/>
  <c r="I336" i="1"/>
  <c r="J336" i="1" s="1"/>
  <c r="I337" i="1"/>
  <c r="J337" i="1" s="1"/>
  <c r="I338" i="1"/>
  <c r="J338" i="1" s="1"/>
  <c r="I339" i="1"/>
  <c r="J339" i="1" s="1"/>
  <c r="I340" i="1"/>
  <c r="J340" i="1" s="1"/>
  <c r="I341" i="1"/>
  <c r="J341" i="1" s="1"/>
  <c r="I342" i="1"/>
  <c r="J342" i="1" s="1"/>
  <c r="I343" i="1"/>
  <c r="J343" i="1" s="1"/>
  <c r="I344" i="1"/>
  <c r="J344" i="1" s="1"/>
  <c r="I345" i="1"/>
  <c r="J345" i="1" s="1"/>
  <c r="I346" i="1"/>
  <c r="J346" i="1" s="1"/>
  <c r="I347" i="1"/>
  <c r="J347" i="1" s="1"/>
  <c r="I348" i="1"/>
  <c r="J348" i="1" s="1"/>
  <c r="I349" i="1"/>
  <c r="J349" i="1" s="1"/>
  <c r="I350" i="1"/>
  <c r="J350" i="1" s="1"/>
  <c r="I351" i="1"/>
  <c r="J351" i="1" s="1"/>
  <c r="I352" i="1"/>
  <c r="J352" i="1" s="1"/>
  <c r="I353" i="1"/>
  <c r="J353" i="1" s="1"/>
  <c r="I354" i="1"/>
  <c r="J354" i="1" s="1"/>
  <c r="I355" i="1"/>
  <c r="J355" i="1" s="1"/>
  <c r="I356" i="1"/>
  <c r="J356" i="1" s="1"/>
  <c r="I357" i="1"/>
  <c r="J357" i="1" s="1"/>
  <c r="I358" i="1"/>
  <c r="J358" i="1" s="1"/>
  <c r="I359" i="1"/>
  <c r="J359" i="1" s="1"/>
  <c r="I360" i="1"/>
  <c r="J360" i="1" s="1"/>
  <c r="I361" i="1"/>
  <c r="J361" i="1" s="1"/>
  <c r="I362" i="1"/>
  <c r="J362" i="1" s="1"/>
  <c r="I363" i="1"/>
  <c r="J363" i="1" s="1"/>
  <c r="I364" i="1"/>
  <c r="J364" i="1" s="1"/>
  <c r="I365" i="1"/>
  <c r="J365" i="1" s="1"/>
  <c r="I366" i="1"/>
  <c r="J366" i="1" s="1"/>
  <c r="I367" i="1"/>
  <c r="J367" i="1" s="1"/>
  <c r="I368" i="1"/>
  <c r="J368" i="1" s="1"/>
  <c r="I369" i="1"/>
  <c r="J369" i="1" s="1"/>
  <c r="I370" i="1"/>
  <c r="J370" i="1" s="1"/>
  <c r="I371" i="1"/>
  <c r="J371" i="1" s="1"/>
  <c r="I372" i="1"/>
  <c r="J372" i="1" s="1"/>
  <c r="I373" i="1"/>
  <c r="J373" i="1" s="1"/>
  <c r="I374" i="1"/>
  <c r="J374" i="1" s="1"/>
  <c r="I375" i="1"/>
  <c r="J375" i="1" s="1"/>
  <c r="I376" i="1"/>
  <c r="J376" i="1" s="1"/>
  <c r="I377" i="1"/>
  <c r="J377" i="1" s="1"/>
  <c r="I378" i="1"/>
  <c r="J378" i="1" s="1"/>
  <c r="I379" i="1"/>
  <c r="J379" i="1" s="1"/>
  <c r="I380" i="1"/>
  <c r="J380" i="1" s="1"/>
  <c r="I381" i="1"/>
  <c r="J381" i="1" s="1"/>
  <c r="I382" i="1"/>
  <c r="J382" i="1" s="1"/>
  <c r="I383" i="1"/>
  <c r="J383" i="1" s="1"/>
  <c r="I384" i="1"/>
  <c r="J384" i="1" s="1"/>
  <c r="I385" i="1"/>
  <c r="J385" i="1" s="1"/>
  <c r="I386" i="1"/>
  <c r="J386" i="1" s="1"/>
  <c r="I387" i="1"/>
  <c r="J387" i="1" s="1"/>
  <c r="I388" i="1"/>
  <c r="J388" i="1" s="1"/>
  <c r="I389" i="1"/>
  <c r="J389" i="1" s="1"/>
  <c r="I390" i="1"/>
  <c r="J390" i="1" s="1"/>
  <c r="I391" i="1"/>
  <c r="J391" i="1" s="1"/>
  <c r="I392" i="1"/>
  <c r="J392" i="1" s="1"/>
  <c r="I393" i="1"/>
  <c r="J393" i="1" s="1"/>
  <c r="I394" i="1"/>
  <c r="J394" i="1" s="1"/>
  <c r="I395" i="1"/>
  <c r="J395" i="1" s="1"/>
  <c r="I396" i="1"/>
  <c r="J396" i="1" s="1"/>
  <c r="I397" i="1"/>
  <c r="J397" i="1" s="1"/>
  <c r="I398" i="1"/>
  <c r="J398" i="1" s="1"/>
  <c r="I399" i="1"/>
  <c r="J399" i="1" s="1"/>
  <c r="I400" i="1"/>
  <c r="J400" i="1" s="1"/>
  <c r="I401" i="1"/>
  <c r="J401" i="1" s="1"/>
  <c r="I402" i="1"/>
  <c r="J402" i="1" s="1"/>
  <c r="I403" i="1"/>
  <c r="J403" i="1" s="1"/>
  <c r="I404" i="1"/>
  <c r="J404" i="1" s="1"/>
  <c r="I405" i="1"/>
  <c r="J405" i="1" s="1"/>
  <c r="I406" i="1"/>
  <c r="J406" i="1" s="1"/>
  <c r="I407" i="1"/>
  <c r="J407" i="1" s="1"/>
  <c r="I408" i="1"/>
  <c r="J408" i="1" s="1"/>
  <c r="I409" i="1"/>
  <c r="J409" i="1" s="1"/>
  <c r="I410" i="1"/>
  <c r="J410" i="1" s="1"/>
  <c r="I411" i="1"/>
  <c r="J411" i="1" s="1"/>
  <c r="I412" i="1"/>
  <c r="J412" i="1" s="1"/>
  <c r="I413" i="1"/>
  <c r="J413" i="1" s="1"/>
  <c r="I414" i="1"/>
  <c r="J414" i="1" s="1"/>
  <c r="I415" i="1"/>
  <c r="J415" i="1" s="1"/>
  <c r="I416" i="1"/>
  <c r="J416" i="1" s="1"/>
  <c r="I417" i="1"/>
  <c r="J417" i="1" s="1"/>
  <c r="I418" i="1"/>
  <c r="J418" i="1" s="1"/>
  <c r="I419" i="1"/>
  <c r="J419" i="1" s="1"/>
  <c r="I420" i="1"/>
  <c r="J420" i="1" s="1"/>
  <c r="I421" i="1"/>
  <c r="J421" i="1" s="1"/>
  <c r="I422" i="1"/>
  <c r="J422" i="1" s="1"/>
  <c r="I423" i="1"/>
  <c r="J423" i="1" s="1"/>
  <c r="I424" i="1"/>
  <c r="J424" i="1" s="1"/>
  <c r="I425" i="1"/>
  <c r="J425" i="1" s="1"/>
  <c r="I426" i="1"/>
  <c r="J426" i="1" s="1"/>
  <c r="I427" i="1"/>
  <c r="J427" i="1" s="1"/>
  <c r="I428" i="1"/>
  <c r="J428" i="1" s="1"/>
  <c r="I429" i="1"/>
  <c r="J429" i="1" s="1"/>
  <c r="I430" i="1"/>
  <c r="J430" i="1" s="1"/>
  <c r="I431" i="1"/>
  <c r="J431" i="1" s="1"/>
  <c r="I432" i="1"/>
  <c r="J432" i="1" s="1"/>
  <c r="I433" i="1"/>
  <c r="J433" i="1" s="1"/>
  <c r="I434" i="1"/>
  <c r="J434" i="1" s="1"/>
  <c r="I435" i="1"/>
  <c r="J435" i="1" s="1"/>
  <c r="I436" i="1"/>
  <c r="J436" i="1" s="1"/>
  <c r="I437" i="1"/>
  <c r="J437" i="1" s="1"/>
  <c r="I438" i="1"/>
  <c r="J438" i="1" s="1"/>
  <c r="I439" i="1"/>
  <c r="J439" i="1" s="1"/>
  <c r="I440" i="1"/>
  <c r="J440" i="1" s="1"/>
  <c r="I441" i="1"/>
  <c r="J441" i="1" s="1"/>
  <c r="I442" i="1"/>
  <c r="J442" i="1" s="1"/>
  <c r="I443" i="1"/>
  <c r="J443" i="1" s="1"/>
  <c r="I444" i="1"/>
  <c r="J444" i="1" s="1"/>
  <c r="I445" i="1"/>
  <c r="J445" i="1" s="1"/>
  <c r="I446" i="1"/>
  <c r="J446" i="1" s="1"/>
  <c r="I447" i="1"/>
  <c r="J447" i="1" s="1"/>
  <c r="I448" i="1"/>
  <c r="J448" i="1" s="1"/>
  <c r="I449" i="1"/>
  <c r="J449" i="1" s="1"/>
  <c r="I450" i="1"/>
  <c r="J450" i="1" s="1"/>
  <c r="I451" i="1"/>
  <c r="J451" i="1" s="1"/>
  <c r="I452" i="1"/>
  <c r="J452" i="1" s="1"/>
  <c r="I453" i="1"/>
  <c r="J453" i="1" s="1"/>
  <c r="I454" i="1"/>
  <c r="J454" i="1" s="1"/>
  <c r="I455" i="1"/>
  <c r="J455" i="1" s="1"/>
  <c r="I456" i="1"/>
  <c r="J456" i="1" s="1"/>
  <c r="I457" i="1"/>
  <c r="J457" i="1" s="1"/>
  <c r="I458" i="1"/>
  <c r="J458" i="1" s="1"/>
  <c r="I459" i="1"/>
  <c r="J459" i="1" s="1"/>
  <c r="I460" i="1"/>
  <c r="J460" i="1" s="1"/>
  <c r="I461" i="1"/>
  <c r="J461" i="1" s="1"/>
  <c r="I462" i="1"/>
  <c r="J462" i="1" s="1"/>
  <c r="I463" i="1"/>
  <c r="J463" i="1" s="1"/>
  <c r="I464" i="1"/>
  <c r="J464" i="1" s="1"/>
  <c r="I465" i="1"/>
  <c r="J465" i="1" s="1"/>
  <c r="I466" i="1"/>
  <c r="J466" i="1" s="1"/>
  <c r="I467" i="1"/>
  <c r="J467" i="1" s="1"/>
  <c r="I468" i="1"/>
  <c r="J468" i="1" s="1"/>
  <c r="I469" i="1"/>
  <c r="J469" i="1" s="1"/>
  <c r="I470" i="1"/>
  <c r="J470" i="1" s="1"/>
  <c r="I471" i="1"/>
  <c r="J471" i="1" s="1"/>
  <c r="I472" i="1"/>
  <c r="J472" i="1" s="1"/>
  <c r="I473" i="1"/>
  <c r="J473" i="1" s="1"/>
  <c r="I474" i="1"/>
  <c r="J474" i="1" s="1"/>
  <c r="I475" i="1"/>
  <c r="J475" i="1" s="1"/>
  <c r="I476" i="1"/>
  <c r="J476" i="1" s="1"/>
  <c r="I477" i="1"/>
  <c r="J477" i="1" s="1"/>
  <c r="I478" i="1"/>
  <c r="J478" i="1" s="1"/>
  <c r="I479" i="1"/>
  <c r="J479" i="1" s="1"/>
  <c r="I480" i="1"/>
  <c r="J480" i="1" s="1"/>
  <c r="I481" i="1"/>
  <c r="J481" i="1" s="1"/>
  <c r="I482" i="1"/>
  <c r="J482" i="1" s="1"/>
  <c r="I483" i="1"/>
  <c r="J483" i="1" s="1"/>
  <c r="I484" i="1"/>
  <c r="J484" i="1" s="1"/>
  <c r="I485" i="1"/>
  <c r="J485" i="1" s="1"/>
  <c r="I486" i="1"/>
  <c r="J486" i="1" s="1"/>
  <c r="I487" i="1"/>
  <c r="J487" i="1" s="1"/>
  <c r="I488" i="1"/>
  <c r="J488" i="1" s="1"/>
  <c r="I489" i="1"/>
  <c r="J489" i="1" s="1"/>
  <c r="I490" i="1"/>
  <c r="J490" i="1" s="1"/>
  <c r="I491" i="1"/>
  <c r="J491" i="1" s="1"/>
  <c r="I492" i="1"/>
  <c r="J492" i="1" s="1"/>
  <c r="I493" i="1"/>
  <c r="J493" i="1" s="1"/>
  <c r="I494" i="1"/>
  <c r="J494" i="1" s="1"/>
  <c r="I495" i="1"/>
  <c r="J495" i="1" s="1"/>
  <c r="I496" i="1"/>
  <c r="J496" i="1" s="1"/>
  <c r="I497" i="1"/>
  <c r="J497" i="1" s="1"/>
  <c r="I498" i="1"/>
  <c r="J498" i="1" s="1"/>
  <c r="I499" i="1"/>
  <c r="J499" i="1" s="1"/>
  <c r="I3" i="1"/>
  <c r="J24" i="1" l="1"/>
  <c r="J29" i="1"/>
  <c r="J21" i="1"/>
  <c r="J25" i="1"/>
  <c r="J26" i="1"/>
  <c r="J9" i="1"/>
  <c r="J15" i="1"/>
  <c r="J10" i="1"/>
  <c r="J5" i="1"/>
  <c r="J17" i="1"/>
  <c r="J3" i="1"/>
  <c r="J11" i="1"/>
  <c r="J7" i="1"/>
  <c r="J13" i="1"/>
  <c r="J4" i="1"/>
  <c r="J16" i="1"/>
  <c r="J6" i="1"/>
  <c r="J18" i="1"/>
  <c r="J8" i="1"/>
  <c r="J12" i="1"/>
  <c r="J14" i="1"/>
  <c r="J23" i="1"/>
  <c r="J22" i="1"/>
  <c r="AA19" i="1"/>
  <c r="AA20" i="1"/>
  <c r="AB19" i="1"/>
  <c r="AB20" i="1"/>
  <c r="AC19" i="1"/>
  <c r="AC20" i="1"/>
  <c r="AA15" i="1"/>
  <c r="AA16" i="1"/>
  <c r="AB15" i="1"/>
  <c r="AB16" i="1"/>
  <c r="AC15" i="1"/>
  <c r="AC16" i="1"/>
  <c r="AA14" i="1"/>
  <c r="AA13" i="1"/>
  <c r="AB14" i="1"/>
  <c r="AB13" i="1"/>
  <c r="AC13" i="1"/>
  <c r="AC14" i="1"/>
  <c r="B5" i="1"/>
  <c r="B3" i="1"/>
  <c r="B6" i="1"/>
  <c r="B4" i="1"/>
  <c r="G3" i="7" l="1"/>
  <c r="F3" i="7"/>
  <c r="E3" i="7"/>
  <c r="D3" i="7"/>
  <c r="C3" i="7"/>
  <c r="W2" i="1"/>
  <c r="K2" i="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P212" i="1"/>
  <c r="Q212" i="1" s="1"/>
  <c r="P213" i="1"/>
  <c r="Q213" i="1" s="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Q226" i="1" s="1"/>
  <c r="P227" i="1"/>
  <c r="Q227" i="1" s="1"/>
  <c r="P228" i="1"/>
  <c r="Q228" i="1" s="1"/>
  <c r="P229" i="1"/>
  <c r="Q229" i="1" s="1"/>
  <c r="P230" i="1"/>
  <c r="Q230" i="1" s="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P256" i="1"/>
  <c r="Q256" i="1" s="1"/>
  <c r="P257" i="1"/>
  <c r="Q257" i="1" s="1"/>
  <c r="P258" i="1"/>
  <c r="Q258" i="1" s="1"/>
  <c r="P259" i="1"/>
  <c r="Q259" i="1" s="1"/>
  <c r="P260" i="1"/>
  <c r="Q260" i="1" s="1"/>
  <c r="P261" i="1"/>
  <c r="Q261" i="1" s="1"/>
  <c r="P262" i="1"/>
  <c r="Q262" i="1" s="1"/>
  <c r="P263" i="1"/>
  <c r="Q263" i="1" s="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275" i="1"/>
  <c r="Q275" i="1" s="1"/>
  <c r="P276" i="1"/>
  <c r="Q276" i="1" s="1"/>
  <c r="P277" i="1"/>
  <c r="Q277" i="1" s="1"/>
  <c r="P278" i="1"/>
  <c r="Q278" i="1" s="1"/>
  <c r="P279" i="1"/>
  <c r="Q279" i="1" s="1"/>
  <c r="P280" i="1"/>
  <c r="Q280" i="1" s="1"/>
  <c r="P281" i="1"/>
  <c r="Q281" i="1" s="1"/>
  <c r="P282" i="1"/>
  <c r="Q282" i="1" s="1"/>
  <c r="P283" i="1"/>
  <c r="Q283" i="1" s="1"/>
  <c r="P284" i="1"/>
  <c r="Q284" i="1" s="1"/>
  <c r="P285" i="1"/>
  <c r="Q285" i="1" s="1"/>
  <c r="P286" i="1"/>
  <c r="Q286" i="1" s="1"/>
  <c r="P287" i="1"/>
  <c r="Q287" i="1" s="1"/>
  <c r="P288" i="1"/>
  <c r="Q288" i="1" s="1"/>
  <c r="P289" i="1"/>
  <c r="Q289" i="1" s="1"/>
  <c r="P290" i="1"/>
  <c r="Q290" i="1" s="1"/>
  <c r="P291" i="1"/>
  <c r="Q291" i="1" s="1"/>
  <c r="P292" i="1"/>
  <c r="Q292" i="1" s="1"/>
  <c r="P293" i="1"/>
  <c r="Q293" i="1" s="1"/>
  <c r="P294" i="1"/>
  <c r="Q294" i="1" s="1"/>
  <c r="P295" i="1"/>
  <c r="Q295" i="1" s="1"/>
  <c r="P296" i="1"/>
  <c r="Q296" i="1" s="1"/>
  <c r="P297" i="1"/>
  <c r="Q297" i="1" s="1"/>
  <c r="P298" i="1"/>
  <c r="Q298" i="1" s="1"/>
  <c r="P299" i="1"/>
  <c r="Q299" i="1" s="1"/>
  <c r="P300" i="1"/>
  <c r="Q300" i="1" s="1"/>
  <c r="P301" i="1"/>
  <c r="Q301" i="1" s="1"/>
  <c r="P302" i="1"/>
  <c r="Q302" i="1" s="1"/>
  <c r="P303" i="1"/>
  <c r="Q303" i="1" s="1"/>
  <c r="P304" i="1"/>
  <c r="Q304" i="1" s="1"/>
  <c r="P305" i="1"/>
  <c r="Q305" i="1" s="1"/>
  <c r="P306" i="1"/>
  <c r="Q306" i="1" s="1"/>
  <c r="P307" i="1"/>
  <c r="Q307" i="1" s="1"/>
  <c r="P308" i="1"/>
  <c r="Q308" i="1" s="1"/>
  <c r="P309" i="1"/>
  <c r="Q309" i="1" s="1"/>
  <c r="P310" i="1"/>
  <c r="Q310" i="1" s="1"/>
  <c r="P311" i="1"/>
  <c r="Q311" i="1" s="1"/>
  <c r="P312" i="1"/>
  <c r="Q312" i="1" s="1"/>
  <c r="P313" i="1"/>
  <c r="Q313" i="1" s="1"/>
  <c r="P314" i="1"/>
  <c r="Q314" i="1" s="1"/>
  <c r="P315" i="1"/>
  <c r="Q315" i="1" s="1"/>
  <c r="P316" i="1"/>
  <c r="Q316" i="1" s="1"/>
  <c r="P317" i="1"/>
  <c r="Q317" i="1" s="1"/>
  <c r="P318" i="1"/>
  <c r="Q318" i="1" s="1"/>
  <c r="P319" i="1"/>
  <c r="Q319" i="1" s="1"/>
  <c r="P320" i="1"/>
  <c r="Q320" i="1" s="1"/>
  <c r="P321" i="1"/>
  <c r="Q321" i="1" s="1"/>
  <c r="P322" i="1"/>
  <c r="Q322" i="1" s="1"/>
  <c r="P323" i="1"/>
  <c r="Q323" i="1" s="1"/>
  <c r="P324" i="1"/>
  <c r="Q324" i="1" s="1"/>
  <c r="P325" i="1"/>
  <c r="Q325" i="1" s="1"/>
  <c r="P326" i="1"/>
  <c r="Q326" i="1" s="1"/>
  <c r="P327" i="1"/>
  <c r="Q327" i="1" s="1"/>
  <c r="P328" i="1"/>
  <c r="Q328" i="1" s="1"/>
  <c r="P329" i="1"/>
  <c r="Q329" i="1" s="1"/>
  <c r="P330" i="1"/>
  <c r="Q330" i="1" s="1"/>
  <c r="P331" i="1"/>
  <c r="Q331" i="1" s="1"/>
  <c r="P332" i="1"/>
  <c r="Q332" i="1" s="1"/>
  <c r="P333" i="1"/>
  <c r="Q333" i="1" s="1"/>
  <c r="P334" i="1"/>
  <c r="Q334" i="1" s="1"/>
  <c r="P335" i="1"/>
  <c r="Q335" i="1" s="1"/>
  <c r="P336" i="1"/>
  <c r="Q336" i="1" s="1"/>
  <c r="P337" i="1"/>
  <c r="Q337" i="1" s="1"/>
  <c r="P338" i="1"/>
  <c r="Q338" i="1" s="1"/>
  <c r="P339" i="1"/>
  <c r="Q339" i="1" s="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Q351" i="1" s="1"/>
  <c r="P352" i="1"/>
  <c r="Q352" i="1" s="1"/>
  <c r="P353" i="1"/>
  <c r="Q353" i="1" s="1"/>
  <c r="P354" i="1"/>
  <c r="Q354" i="1" s="1"/>
  <c r="P355" i="1"/>
  <c r="Q355" i="1" s="1"/>
  <c r="P356" i="1"/>
  <c r="Q356" i="1" s="1"/>
  <c r="P357" i="1"/>
  <c r="Q357" i="1" s="1"/>
  <c r="P358" i="1"/>
  <c r="Q358" i="1" s="1"/>
  <c r="P359" i="1"/>
  <c r="Q359" i="1" s="1"/>
  <c r="P360" i="1"/>
  <c r="Q360" i="1" s="1"/>
  <c r="P361" i="1"/>
  <c r="Q361" i="1" s="1"/>
  <c r="P362" i="1"/>
  <c r="Q362" i="1" s="1"/>
  <c r="P363" i="1"/>
  <c r="Q363" i="1" s="1"/>
  <c r="P364" i="1"/>
  <c r="Q364" i="1" s="1"/>
  <c r="P365" i="1"/>
  <c r="Q365" i="1" s="1"/>
  <c r="P366" i="1"/>
  <c r="Q366" i="1" s="1"/>
  <c r="P367" i="1"/>
  <c r="Q367" i="1" s="1"/>
  <c r="P368" i="1"/>
  <c r="Q368" i="1" s="1"/>
  <c r="P369" i="1"/>
  <c r="Q369" i="1" s="1"/>
  <c r="P370" i="1"/>
  <c r="Q370" i="1" s="1"/>
  <c r="P371" i="1"/>
  <c r="Q371" i="1" s="1"/>
  <c r="P372" i="1"/>
  <c r="Q372" i="1" s="1"/>
  <c r="P373" i="1"/>
  <c r="Q373" i="1" s="1"/>
  <c r="P374" i="1"/>
  <c r="Q374" i="1" s="1"/>
  <c r="P375" i="1"/>
  <c r="Q375" i="1" s="1"/>
  <c r="P376" i="1"/>
  <c r="Q376" i="1" s="1"/>
  <c r="P377" i="1"/>
  <c r="Q377" i="1" s="1"/>
  <c r="P378" i="1"/>
  <c r="Q378" i="1" s="1"/>
  <c r="P379" i="1"/>
  <c r="Q379" i="1" s="1"/>
  <c r="P380" i="1"/>
  <c r="Q380" i="1" s="1"/>
  <c r="P381" i="1"/>
  <c r="Q381" i="1" s="1"/>
  <c r="P382" i="1"/>
  <c r="Q382" i="1" s="1"/>
  <c r="P383" i="1"/>
  <c r="Q383" i="1" s="1"/>
  <c r="P384" i="1"/>
  <c r="Q384" i="1" s="1"/>
  <c r="P385" i="1"/>
  <c r="Q385" i="1" s="1"/>
  <c r="P386" i="1"/>
  <c r="Q386" i="1" s="1"/>
  <c r="P387" i="1"/>
  <c r="Q387" i="1" s="1"/>
  <c r="P388" i="1"/>
  <c r="Q388" i="1" s="1"/>
  <c r="P389" i="1"/>
  <c r="Q389" i="1" s="1"/>
  <c r="P390" i="1"/>
  <c r="Q390" i="1" s="1"/>
  <c r="P391" i="1"/>
  <c r="Q391" i="1" s="1"/>
  <c r="P392" i="1"/>
  <c r="Q392" i="1" s="1"/>
  <c r="P393" i="1"/>
  <c r="Q393" i="1" s="1"/>
  <c r="P394" i="1"/>
  <c r="Q394" i="1" s="1"/>
  <c r="P395" i="1"/>
  <c r="Q395" i="1" s="1"/>
  <c r="P396" i="1"/>
  <c r="Q396" i="1" s="1"/>
  <c r="P397" i="1"/>
  <c r="Q397" i="1" s="1"/>
  <c r="P398" i="1"/>
  <c r="Q398" i="1" s="1"/>
  <c r="P399" i="1"/>
  <c r="Q399" i="1" s="1"/>
  <c r="P400" i="1"/>
  <c r="Q400" i="1" s="1"/>
  <c r="P401" i="1"/>
  <c r="Q401" i="1" s="1"/>
  <c r="P402" i="1"/>
  <c r="Q402" i="1" s="1"/>
  <c r="P403" i="1"/>
  <c r="Q403" i="1" s="1"/>
  <c r="P404" i="1"/>
  <c r="Q404" i="1" s="1"/>
  <c r="P405" i="1"/>
  <c r="Q405" i="1" s="1"/>
  <c r="P406" i="1"/>
  <c r="Q406" i="1" s="1"/>
  <c r="P407" i="1"/>
  <c r="Q407" i="1" s="1"/>
  <c r="P408" i="1"/>
  <c r="Q408" i="1" s="1"/>
  <c r="P409" i="1"/>
  <c r="Q409" i="1" s="1"/>
  <c r="P410" i="1"/>
  <c r="Q410" i="1" s="1"/>
  <c r="P411" i="1"/>
  <c r="Q411" i="1" s="1"/>
  <c r="P412" i="1"/>
  <c r="Q412" i="1" s="1"/>
  <c r="P413" i="1"/>
  <c r="Q413" i="1" s="1"/>
  <c r="P414" i="1"/>
  <c r="Q414" i="1" s="1"/>
  <c r="P415" i="1"/>
  <c r="Q415" i="1" s="1"/>
  <c r="P416" i="1"/>
  <c r="Q416" i="1" s="1"/>
  <c r="P417" i="1"/>
  <c r="Q417" i="1" s="1"/>
  <c r="P418" i="1"/>
  <c r="Q418" i="1" s="1"/>
  <c r="P419" i="1"/>
  <c r="Q419" i="1" s="1"/>
  <c r="P420" i="1"/>
  <c r="Q420" i="1" s="1"/>
  <c r="P421" i="1"/>
  <c r="Q421" i="1" s="1"/>
  <c r="P422" i="1"/>
  <c r="Q422" i="1" s="1"/>
  <c r="P423" i="1"/>
  <c r="Q423" i="1" s="1"/>
  <c r="P424" i="1"/>
  <c r="Q424" i="1" s="1"/>
  <c r="P425" i="1"/>
  <c r="Q425" i="1" s="1"/>
  <c r="P426" i="1"/>
  <c r="Q426" i="1" s="1"/>
  <c r="P427" i="1"/>
  <c r="Q427" i="1" s="1"/>
  <c r="P428" i="1"/>
  <c r="Q428" i="1" s="1"/>
  <c r="P429" i="1"/>
  <c r="Q429" i="1" s="1"/>
  <c r="P430" i="1"/>
  <c r="Q430" i="1" s="1"/>
  <c r="P431" i="1"/>
  <c r="Q431" i="1" s="1"/>
  <c r="P432" i="1"/>
  <c r="Q432" i="1" s="1"/>
  <c r="P433" i="1"/>
  <c r="Q433" i="1" s="1"/>
  <c r="P434" i="1"/>
  <c r="Q434" i="1" s="1"/>
  <c r="P435" i="1"/>
  <c r="Q435" i="1" s="1"/>
  <c r="P436" i="1"/>
  <c r="Q436" i="1" s="1"/>
  <c r="P437" i="1"/>
  <c r="Q437" i="1" s="1"/>
  <c r="P438" i="1"/>
  <c r="Q438" i="1" s="1"/>
  <c r="P439" i="1"/>
  <c r="Q439" i="1" s="1"/>
  <c r="P440" i="1"/>
  <c r="Q440" i="1" s="1"/>
  <c r="P441" i="1"/>
  <c r="Q441" i="1" s="1"/>
  <c r="P442" i="1"/>
  <c r="Q442" i="1" s="1"/>
  <c r="P443" i="1"/>
  <c r="Q443" i="1" s="1"/>
  <c r="P444" i="1"/>
  <c r="Q444" i="1" s="1"/>
  <c r="P445" i="1"/>
  <c r="Q445" i="1" s="1"/>
  <c r="P446" i="1"/>
  <c r="Q446" i="1" s="1"/>
  <c r="P447" i="1"/>
  <c r="Q447" i="1" s="1"/>
  <c r="P448" i="1"/>
  <c r="Q448" i="1" s="1"/>
  <c r="P449" i="1"/>
  <c r="Q449" i="1" s="1"/>
  <c r="P450" i="1"/>
  <c r="Q450" i="1" s="1"/>
  <c r="P451" i="1"/>
  <c r="Q451" i="1" s="1"/>
  <c r="P452" i="1"/>
  <c r="Q452" i="1" s="1"/>
  <c r="P453" i="1"/>
  <c r="Q453" i="1" s="1"/>
  <c r="P454" i="1"/>
  <c r="Q454" i="1" s="1"/>
  <c r="P455" i="1"/>
  <c r="Q455" i="1" s="1"/>
  <c r="P456" i="1"/>
  <c r="Q456" i="1" s="1"/>
  <c r="P457" i="1"/>
  <c r="Q457" i="1" s="1"/>
  <c r="P458" i="1"/>
  <c r="Q458" i="1" s="1"/>
  <c r="P459" i="1"/>
  <c r="Q459" i="1" s="1"/>
  <c r="P460" i="1"/>
  <c r="Q460" i="1" s="1"/>
  <c r="P461" i="1"/>
  <c r="Q461" i="1" s="1"/>
  <c r="P462" i="1"/>
  <c r="Q462" i="1" s="1"/>
  <c r="P463" i="1"/>
  <c r="Q463" i="1" s="1"/>
  <c r="P464" i="1"/>
  <c r="Q464" i="1" s="1"/>
  <c r="P465" i="1"/>
  <c r="Q465" i="1" s="1"/>
  <c r="P466" i="1"/>
  <c r="Q466" i="1" s="1"/>
  <c r="P467" i="1"/>
  <c r="Q467" i="1" s="1"/>
  <c r="P468" i="1"/>
  <c r="Q468" i="1" s="1"/>
  <c r="P469" i="1"/>
  <c r="Q469" i="1" s="1"/>
  <c r="P470" i="1"/>
  <c r="Q470" i="1" s="1"/>
  <c r="P471" i="1"/>
  <c r="Q471" i="1" s="1"/>
  <c r="P472" i="1"/>
  <c r="Q472" i="1" s="1"/>
  <c r="P473" i="1"/>
  <c r="Q473" i="1" s="1"/>
  <c r="P474" i="1"/>
  <c r="Q474" i="1" s="1"/>
  <c r="P475" i="1"/>
  <c r="Q475" i="1" s="1"/>
  <c r="P476" i="1"/>
  <c r="Q476" i="1" s="1"/>
  <c r="P477" i="1"/>
  <c r="Q477" i="1" s="1"/>
  <c r="P478" i="1"/>
  <c r="Q478" i="1" s="1"/>
  <c r="P479" i="1"/>
  <c r="Q479" i="1" s="1"/>
  <c r="P480" i="1"/>
  <c r="Q480" i="1" s="1"/>
  <c r="P481" i="1"/>
  <c r="Q481" i="1" s="1"/>
  <c r="P482" i="1"/>
  <c r="Q482" i="1" s="1"/>
  <c r="P483" i="1"/>
  <c r="Q483" i="1" s="1"/>
  <c r="P484" i="1"/>
  <c r="Q484" i="1" s="1"/>
  <c r="P485" i="1"/>
  <c r="Q485" i="1" s="1"/>
  <c r="P486" i="1"/>
  <c r="Q486" i="1" s="1"/>
  <c r="P487" i="1"/>
  <c r="Q487" i="1" s="1"/>
  <c r="P488" i="1"/>
  <c r="Q488" i="1" s="1"/>
  <c r="P489" i="1"/>
  <c r="Q489" i="1" s="1"/>
  <c r="P490" i="1"/>
  <c r="Q490" i="1" s="1"/>
  <c r="P491" i="1"/>
  <c r="Q491" i="1" s="1"/>
  <c r="P492" i="1"/>
  <c r="Q492" i="1" s="1"/>
  <c r="P493" i="1"/>
  <c r="Q493" i="1" s="1"/>
  <c r="P494" i="1"/>
  <c r="Q494" i="1" s="1"/>
  <c r="P495" i="1"/>
  <c r="Q495" i="1" s="1"/>
  <c r="P496" i="1"/>
  <c r="Q496" i="1" s="1"/>
  <c r="P497" i="1"/>
  <c r="Q497" i="1" s="1"/>
  <c r="P498" i="1"/>
  <c r="Q498" i="1" s="1"/>
  <c r="P499" i="1"/>
  <c r="Q499" i="1" s="1"/>
  <c r="P3" i="1"/>
  <c r="P4" i="1"/>
  <c r="C23" i="3"/>
  <c r="C24" i="3"/>
  <c r="C25" i="3"/>
  <c r="C26" i="3"/>
  <c r="C27" i="3"/>
  <c r="C28" i="3"/>
  <c r="C29" i="3"/>
  <c r="C30" i="3"/>
  <c r="C31" i="3"/>
  <c r="P26" i="1"/>
  <c r="Q26"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N2" i="1"/>
  <c r="AA32" i="1" l="1"/>
  <c r="AC32" i="1"/>
  <c r="AB32" i="1"/>
  <c r="AC184" i="1"/>
  <c r="AA184" i="1"/>
  <c r="AB184" i="1"/>
  <c r="AC494" i="1"/>
  <c r="AA494" i="1"/>
  <c r="AB494" i="1"/>
  <c r="AA446" i="1"/>
  <c r="AC446" i="1"/>
  <c r="AB446" i="1"/>
  <c r="AC430" i="1"/>
  <c r="AA430" i="1"/>
  <c r="AB430" i="1"/>
  <c r="AC382" i="1"/>
  <c r="AA382" i="1"/>
  <c r="AB382" i="1"/>
  <c r="AC366" i="1"/>
  <c r="AA366" i="1"/>
  <c r="AB366" i="1"/>
  <c r="AC326" i="1"/>
  <c r="AA326" i="1"/>
  <c r="AB326" i="1"/>
  <c r="AC238" i="1"/>
  <c r="AA238" i="1"/>
  <c r="AB238" i="1"/>
  <c r="AC192" i="1"/>
  <c r="AA192" i="1"/>
  <c r="AB192" i="1"/>
  <c r="AC152" i="1"/>
  <c r="AA152" i="1"/>
  <c r="AB152" i="1"/>
  <c r="AB136" i="1"/>
  <c r="AC136" i="1"/>
  <c r="AA136" i="1"/>
  <c r="AC120" i="1"/>
  <c r="AB120" i="1"/>
  <c r="AA120" i="1"/>
  <c r="AB104" i="1"/>
  <c r="AC104" i="1"/>
  <c r="AA104" i="1"/>
  <c r="AC80" i="1"/>
  <c r="AA80" i="1"/>
  <c r="AB80" i="1"/>
  <c r="AA48" i="1"/>
  <c r="AB48" i="1"/>
  <c r="AC48" i="1"/>
  <c r="AC470" i="1"/>
  <c r="AA470" i="1"/>
  <c r="AB470" i="1"/>
  <c r="AC454" i="1"/>
  <c r="AA454" i="1"/>
  <c r="AB454" i="1"/>
  <c r="AC398" i="1"/>
  <c r="AA398" i="1"/>
  <c r="AB398" i="1"/>
  <c r="AC350" i="1"/>
  <c r="AA350" i="1"/>
  <c r="AB350" i="1"/>
  <c r="AC310" i="1"/>
  <c r="AA310" i="1"/>
  <c r="AB310" i="1"/>
  <c r="AC278" i="1"/>
  <c r="AA278" i="1"/>
  <c r="AB278" i="1"/>
  <c r="AA254" i="1"/>
  <c r="AB254" i="1"/>
  <c r="AC254" i="1"/>
  <c r="AC222" i="1"/>
  <c r="AA222" i="1"/>
  <c r="AB222" i="1"/>
  <c r="AC214" i="1"/>
  <c r="AA214" i="1"/>
  <c r="AB214" i="1"/>
  <c r="AC189" i="1"/>
  <c r="AA189" i="1"/>
  <c r="AB189" i="1"/>
  <c r="AC173" i="1"/>
  <c r="AA173" i="1"/>
  <c r="AB173" i="1"/>
  <c r="AC133" i="1"/>
  <c r="AA133" i="1"/>
  <c r="AB133" i="1"/>
  <c r="AC117" i="1"/>
  <c r="AA117" i="1"/>
  <c r="AB117" i="1"/>
  <c r="AC85" i="1"/>
  <c r="AA85" i="1"/>
  <c r="AB85" i="1"/>
  <c r="AC69" i="1"/>
  <c r="AA69" i="1"/>
  <c r="AB69" i="1"/>
  <c r="AB499" i="1"/>
  <c r="AC499" i="1"/>
  <c r="AA499" i="1"/>
  <c r="AC483" i="1"/>
  <c r="AB483" i="1"/>
  <c r="AA483" i="1"/>
  <c r="AC419" i="1"/>
  <c r="AB419" i="1"/>
  <c r="AA419" i="1"/>
  <c r="AC403" i="1"/>
  <c r="AB403" i="1"/>
  <c r="AA403" i="1"/>
  <c r="AC387" i="1"/>
  <c r="AA387" i="1"/>
  <c r="AB387" i="1"/>
  <c r="AC371" i="1"/>
  <c r="AA371" i="1"/>
  <c r="AB371" i="1"/>
  <c r="AC355" i="1"/>
  <c r="AA355" i="1"/>
  <c r="AB355" i="1"/>
  <c r="AA339" i="1"/>
  <c r="AB339" i="1"/>
  <c r="AC339" i="1"/>
  <c r="AC235" i="1"/>
  <c r="AA235" i="1"/>
  <c r="AB235" i="1"/>
  <c r="AC211" i="1"/>
  <c r="AA211" i="1"/>
  <c r="AB211" i="1"/>
  <c r="AC82" i="1"/>
  <c r="AA82" i="1"/>
  <c r="AB82" i="1"/>
  <c r="AA58" i="1"/>
  <c r="AB58" i="1"/>
  <c r="AC58" i="1"/>
  <c r="AC42" i="1"/>
  <c r="AA42" i="1"/>
  <c r="AB42" i="1"/>
  <c r="AC472" i="1"/>
  <c r="AA472" i="1"/>
  <c r="AB472" i="1"/>
  <c r="AC456" i="1"/>
  <c r="AA456" i="1"/>
  <c r="AB456" i="1"/>
  <c r="AC440" i="1"/>
  <c r="AA440" i="1"/>
  <c r="AB440" i="1"/>
  <c r="AA424" i="1"/>
  <c r="AB424" i="1"/>
  <c r="AC424" i="1"/>
  <c r="AC376" i="1"/>
  <c r="AA376" i="1"/>
  <c r="AB376" i="1"/>
  <c r="AC344" i="1"/>
  <c r="AA344" i="1"/>
  <c r="AB344" i="1"/>
  <c r="AC304" i="1"/>
  <c r="AA304" i="1"/>
  <c r="AB304" i="1"/>
  <c r="AC288" i="1"/>
  <c r="AA288" i="1"/>
  <c r="AB288" i="1"/>
  <c r="AC264" i="1"/>
  <c r="AA264" i="1"/>
  <c r="AB264" i="1"/>
  <c r="AC240" i="1"/>
  <c r="AA240" i="1"/>
  <c r="AB240" i="1"/>
  <c r="AC224" i="1"/>
  <c r="AA224" i="1"/>
  <c r="AB224" i="1"/>
  <c r="AC208" i="1"/>
  <c r="AA208" i="1"/>
  <c r="AB208" i="1"/>
  <c r="AC200" i="1"/>
  <c r="AA200" i="1"/>
  <c r="AB200" i="1"/>
  <c r="AC199" i="1"/>
  <c r="AA199" i="1"/>
  <c r="AB199" i="1"/>
  <c r="AC175" i="1"/>
  <c r="AB175" i="1"/>
  <c r="AA175" i="1"/>
  <c r="AB159" i="1"/>
  <c r="AC159" i="1"/>
  <c r="AA159" i="1"/>
  <c r="AC103" i="1"/>
  <c r="AB103" i="1"/>
  <c r="AA103" i="1"/>
  <c r="AB87" i="1"/>
  <c r="AA87" i="1"/>
  <c r="AC87" i="1"/>
  <c r="AA71" i="1"/>
  <c r="AC71" i="1"/>
  <c r="AB71" i="1"/>
  <c r="AA47" i="1"/>
  <c r="AC47" i="1"/>
  <c r="AB47" i="1"/>
  <c r="AC461" i="1"/>
  <c r="AB461" i="1"/>
  <c r="AA461" i="1"/>
  <c r="AC413" i="1"/>
  <c r="AB413" i="1"/>
  <c r="AA413" i="1"/>
  <c r="AC397" i="1"/>
  <c r="AB397" i="1"/>
  <c r="AA397" i="1"/>
  <c r="AC381" i="1"/>
  <c r="AA381" i="1"/>
  <c r="AB381" i="1"/>
  <c r="AC357" i="1"/>
  <c r="AA357" i="1"/>
  <c r="AB357" i="1"/>
  <c r="AC341" i="1"/>
  <c r="AA341" i="1"/>
  <c r="AB341" i="1"/>
  <c r="AC309" i="1"/>
  <c r="AA309" i="1"/>
  <c r="AB309" i="1"/>
  <c r="AC293" i="1"/>
  <c r="AA293" i="1"/>
  <c r="AB293" i="1"/>
  <c r="AC277" i="1"/>
  <c r="AA277" i="1"/>
  <c r="AB277" i="1"/>
  <c r="AC237" i="1"/>
  <c r="AA237" i="1"/>
  <c r="AB237" i="1"/>
  <c r="AC196" i="1"/>
  <c r="AA196" i="1"/>
  <c r="AB196" i="1"/>
  <c r="AC188" i="1"/>
  <c r="AA188" i="1"/>
  <c r="AB188" i="1"/>
  <c r="AA180" i="1"/>
  <c r="AB180" i="1"/>
  <c r="AC180" i="1"/>
  <c r="AA172" i="1"/>
  <c r="AB172" i="1"/>
  <c r="AC172" i="1"/>
  <c r="AC164" i="1"/>
  <c r="AA164" i="1"/>
  <c r="AB164" i="1"/>
  <c r="AC156" i="1"/>
  <c r="AA156" i="1"/>
  <c r="AB156" i="1"/>
  <c r="AB148" i="1"/>
  <c r="AC148" i="1"/>
  <c r="AA148" i="1"/>
  <c r="AB140" i="1"/>
  <c r="AC140" i="1"/>
  <c r="AA140" i="1"/>
  <c r="AB132" i="1"/>
  <c r="AC132" i="1"/>
  <c r="AA132" i="1"/>
  <c r="AB124" i="1"/>
  <c r="AC124" i="1"/>
  <c r="AA124" i="1"/>
  <c r="AB116" i="1"/>
  <c r="AC116" i="1"/>
  <c r="AA116" i="1"/>
  <c r="AB108" i="1"/>
  <c r="AC108" i="1"/>
  <c r="AA108" i="1"/>
  <c r="AB100" i="1"/>
  <c r="AC100" i="1"/>
  <c r="AA100" i="1"/>
  <c r="AA92" i="1"/>
  <c r="AB92" i="1"/>
  <c r="AC92" i="1"/>
  <c r="AA84" i="1"/>
  <c r="AB84" i="1"/>
  <c r="AC84" i="1"/>
  <c r="AC76" i="1"/>
  <c r="AA76" i="1"/>
  <c r="AB76" i="1"/>
  <c r="AB68" i="1"/>
  <c r="AC68" i="1"/>
  <c r="AA68" i="1"/>
  <c r="AA60" i="1"/>
  <c r="AC60" i="1"/>
  <c r="AB60" i="1"/>
  <c r="AB52" i="1"/>
  <c r="AA52" i="1"/>
  <c r="AC52" i="1"/>
  <c r="AC44" i="1"/>
  <c r="AA44" i="1"/>
  <c r="AB44" i="1"/>
  <c r="AB36" i="1"/>
  <c r="AA36" i="1"/>
  <c r="AC36" i="1"/>
  <c r="AC28" i="1"/>
  <c r="AA28" i="1"/>
  <c r="AB28" i="1"/>
  <c r="AC498" i="1"/>
  <c r="AA498" i="1"/>
  <c r="AB498" i="1"/>
  <c r="AC490" i="1"/>
  <c r="AA490" i="1"/>
  <c r="AB490" i="1"/>
  <c r="AC482" i="1"/>
  <c r="AA482" i="1"/>
  <c r="AB482" i="1"/>
  <c r="AC474" i="1"/>
  <c r="AA474" i="1"/>
  <c r="AB474" i="1"/>
  <c r="AC466" i="1"/>
  <c r="AA466" i="1"/>
  <c r="AB466" i="1"/>
  <c r="AC458" i="1"/>
  <c r="AA458" i="1"/>
  <c r="AB458" i="1"/>
  <c r="AA450" i="1"/>
  <c r="AC450" i="1"/>
  <c r="AB450" i="1"/>
  <c r="AC442" i="1"/>
  <c r="AA442" i="1"/>
  <c r="AB442" i="1"/>
  <c r="AC434" i="1"/>
  <c r="AA434" i="1"/>
  <c r="AB434" i="1"/>
  <c r="AC426" i="1"/>
  <c r="AA426" i="1"/>
  <c r="AB426" i="1"/>
  <c r="AC418" i="1"/>
  <c r="AA418" i="1"/>
  <c r="AB418" i="1"/>
  <c r="AC410" i="1"/>
  <c r="AA410" i="1"/>
  <c r="AB410" i="1"/>
  <c r="AC402" i="1"/>
  <c r="AA402" i="1"/>
  <c r="AB402" i="1"/>
  <c r="AA394" i="1"/>
  <c r="AC394" i="1"/>
  <c r="AB394" i="1"/>
  <c r="AA386" i="1"/>
  <c r="AC386" i="1"/>
  <c r="AB386" i="1"/>
  <c r="AC378" i="1"/>
  <c r="AA378" i="1"/>
  <c r="AB378" i="1"/>
  <c r="AC370" i="1"/>
  <c r="AA370" i="1"/>
  <c r="AB370" i="1"/>
  <c r="AC362" i="1"/>
  <c r="AA362" i="1"/>
  <c r="AB362" i="1"/>
  <c r="AC354" i="1"/>
  <c r="AA354" i="1"/>
  <c r="AB354" i="1"/>
  <c r="AC346" i="1"/>
  <c r="AA346" i="1"/>
  <c r="AB346" i="1"/>
  <c r="AC338" i="1"/>
  <c r="AA338" i="1"/>
  <c r="AB338" i="1"/>
  <c r="AA330" i="1"/>
  <c r="AC330" i="1"/>
  <c r="AB330" i="1"/>
  <c r="AC322" i="1"/>
  <c r="AA322" i="1"/>
  <c r="AB322" i="1"/>
  <c r="AC314" i="1"/>
  <c r="AA314" i="1"/>
  <c r="AB314" i="1"/>
  <c r="AC306" i="1"/>
  <c r="AA306" i="1"/>
  <c r="AB306" i="1"/>
  <c r="AC298" i="1"/>
  <c r="AA298" i="1"/>
  <c r="AB298" i="1"/>
  <c r="AC290" i="1"/>
  <c r="AA290" i="1"/>
  <c r="AB290" i="1"/>
  <c r="AC282" i="1"/>
  <c r="AA282" i="1"/>
  <c r="AB282" i="1"/>
  <c r="AC274" i="1"/>
  <c r="AA274" i="1"/>
  <c r="AB274" i="1"/>
  <c r="AC266" i="1"/>
  <c r="AA266" i="1"/>
  <c r="AB266" i="1"/>
  <c r="AC258" i="1"/>
  <c r="AA258" i="1"/>
  <c r="AB258" i="1"/>
  <c r="AC250" i="1"/>
  <c r="AA250" i="1"/>
  <c r="AB250" i="1"/>
  <c r="AC242" i="1"/>
  <c r="AA242" i="1"/>
  <c r="AB242" i="1"/>
  <c r="AC234" i="1"/>
  <c r="AA234" i="1"/>
  <c r="AB234" i="1"/>
  <c r="AC226" i="1"/>
  <c r="AA226" i="1"/>
  <c r="AB226" i="1"/>
  <c r="AC218" i="1"/>
  <c r="AA218" i="1"/>
  <c r="AB218" i="1"/>
  <c r="AC210" i="1"/>
  <c r="AA210" i="1"/>
  <c r="AB210" i="1"/>
  <c r="AC202" i="1"/>
  <c r="AA202" i="1"/>
  <c r="AB202" i="1"/>
  <c r="AB144" i="1"/>
  <c r="AC144" i="1"/>
  <c r="AA144" i="1"/>
  <c r="AC88" i="1"/>
  <c r="AA88" i="1"/>
  <c r="AB88" i="1"/>
  <c r="AC141" i="1"/>
  <c r="AA141" i="1"/>
  <c r="AB141" i="1"/>
  <c r="AC109" i="1"/>
  <c r="AA109" i="1"/>
  <c r="AB109" i="1"/>
  <c r="AC93" i="1"/>
  <c r="AA93" i="1"/>
  <c r="AB93" i="1"/>
  <c r="AC53" i="1"/>
  <c r="AA53" i="1"/>
  <c r="AB53" i="1"/>
  <c r="AC37" i="1"/>
  <c r="AA37" i="1"/>
  <c r="AB37" i="1"/>
  <c r="AB467" i="1"/>
  <c r="AC467" i="1"/>
  <c r="AA467" i="1"/>
  <c r="AC451" i="1"/>
  <c r="AB451" i="1"/>
  <c r="AA451" i="1"/>
  <c r="AC347" i="1"/>
  <c r="AA347" i="1"/>
  <c r="AB347" i="1"/>
  <c r="AC315" i="1"/>
  <c r="AA315" i="1"/>
  <c r="AB315" i="1"/>
  <c r="AC291" i="1"/>
  <c r="AA291" i="1"/>
  <c r="AB291" i="1"/>
  <c r="AA275" i="1"/>
  <c r="AB275" i="1"/>
  <c r="AC275" i="1"/>
  <c r="AA243" i="1"/>
  <c r="AB243" i="1"/>
  <c r="AC243" i="1"/>
  <c r="AC227" i="1"/>
  <c r="AA227" i="1"/>
  <c r="AB227" i="1"/>
  <c r="AC203" i="1"/>
  <c r="AA203" i="1"/>
  <c r="AB203" i="1"/>
  <c r="AC186" i="1"/>
  <c r="AA186" i="1"/>
  <c r="AB186" i="1"/>
  <c r="AA170" i="1"/>
  <c r="AB170" i="1"/>
  <c r="AC170" i="1"/>
  <c r="AC154" i="1"/>
  <c r="AA154" i="1"/>
  <c r="AB154" i="1"/>
  <c r="AC122" i="1"/>
  <c r="AA122" i="1"/>
  <c r="AB122" i="1"/>
  <c r="AC90" i="1"/>
  <c r="AB90" i="1"/>
  <c r="AA90" i="1"/>
  <c r="AA66" i="1"/>
  <c r="AC66" i="1"/>
  <c r="AB66" i="1"/>
  <c r="AC34" i="1"/>
  <c r="AA34" i="1"/>
  <c r="AB34" i="1"/>
  <c r="AC480" i="1"/>
  <c r="AA480" i="1"/>
  <c r="AB480" i="1"/>
  <c r="AC448" i="1"/>
  <c r="AA448" i="1"/>
  <c r="AB448" i="1"/>
  <c r="AA392" i="1"/>
  <c r="AB392" i="1"/>
  <c r="AC392" i="1"/>
  <c r="AC352" i="1"/>
  <c r="AA352" i="1"/>
  <c r="AB352" i="1"/>
  <c r="AC336" i="1"/>
  <c r="AA336" i="1"/>
  <c r="AB336" i="1"/>
  <c r="AC320" i="1"/>
  <c r="AA320" i="1"/>
  <c r="AB320" i="1"/>
  <c r="AC280" i="1"/>
  <c r="AA280" i="1"/>
  <c r="AB280" i="1"/>
  <c r="AC248" i="1"/>
  <c r="AA248" i="1"/>
  <c r="AB248" i="1"/>
  <c r="AC216" i="1"/>
  <c r="AA216" i="1"/>
  <c r="AB216" i="1"/>
  <c r="AC143" i="1"/>
  <c r="AB143" i="1"/>
  <c r="AA143" i="1"/>
  <c r="AC193" i="1"/>
  <c r="AA193" i="1"/>
  <c r="AB193" i="1"/>
  <c r="AC185" i="1"/>
  <c r="AA185" i="1"/>
  <c r="AB185" i="1"/>
  <c r="AC177" i="1"/>
  <c r="AA177" i="1"/>
  <c r="AB177" i="1"/>
  <c r="AC169" i="1"/>
  <c r="AA169" i="1"/>
  <c r="AB169" i="1"/>
  <c r="AC161" i="1"/>
  <c r="AA161" i="1"/>
  <c r="AB161" i="1"/>
  <c r="AC153" i="1"/>
  <c r="AA153" i="1"/>
  <c r="AB153" i="1"/>
  <c r="AC145" i="1"/>
  <c r="AA145" i="1"/>
  <c r="AB145" i="1"/>
  <c r="AC137" i="1"/>
  <c r="AA137" i="1"/>
  <c r="AB137" i="1"/>
  <c r="AC129" i="1"/>
  <c r="AA129" i="1"/>
  <c r="AB129" i="1"/>
  <c r="AC121" i="1"/>
  <c r="AA121" i="1"/>
  <c r="AB121" i="1"/>
  <c r="AC113" i="1"/>
  <c r="AA113" i="1"/>
  <c r="AB113" i="1"/>
  <c r="AC105" i="1"/>
  <c r="AA105" i="1"/>
  <c r="AB105" i="1"/>
  <c r="AC97" i="1"/>
  <c r="AA97" i="1"/>
  <c r="AB97" i="1"/>
  <c r="AC89" i="1"/>
  <c r="AA89" i="1"/>
  <c r="AB89" i="1"/>
  <c r="AC81" i="1"/>
  <c r="AA81" i="1"/>
  <c r="AB81" i="1"/>
  <c r="AC73" i="1"/>
  <c r="AA73" i="1"/>
  <c r="AB73" i="1"/>
  <c r="AC65" i="1"/>
  <c r="AA65" i="1"/>
  <c r="AB65" i="1"/>
  <c r="AC57" i="1"/>
  <c r="AA57" i="1"/>
  <c r="AB57" i="1"/>
  <c r="AC49" i="1"/>
  <c r="AA49" i="1"/>
  <c r="AB49" i="1"/>
  <c r="AC41" i="1"/>
  <c r="AA41" i="1"/>
  <c r="AB41" i="1"/>
  <c r="AC33" i="1"/>
  <c r="AA33" i="1"/>
  <c r="AB33" i="1"/>
  <c r="AC495" i="1"/>
  <c r="AB495" i="1"/>
  <c r="AA495" i="1"/>
  <c r="AC487" i="1"/>
  <c r="AB487" i="1"/>
  <c r="AA487" i="1"/>
  <c r="AB479" i="1"/>
  <c r="AC479" i="1"/>
  <c r="AA479" i="1"/>
  <c r="AB471" i="1"/>
  <c r="AC471" i="1"/>
  <c r="AA471" i="1"/>
  <c r="AC463" i="1"/>
  <c r="AB463" i="1"/>
  <c r="AA463" i="1"/>
  <c r="AC455" i="1"/>
  <c r="AB455" i="1"/>
  <c r="AA455" i="1"/>
  <c r="AB447" i="1"/>
  <c r="AC447" i="1"/>
  <c r="AA447" i="1"/>
  <c r="AB439" i="1"/>
  <c r="AC439" i="1"/>
  <c r="AA439" i="1"/>
  <c r="AC431" i="1"/>
  <c r="AB431" i="1"/>
  <c r="AA431" i="1"/>
  <c r="AC423" i="1"/>
  <c r="AB423" i="1"/>
  <c r="AA423" i="1"/>
  <c r="AB415" i="1"/>
  <c r="AC415" i="1"/>
  <c r="AA415" i="1"/>
  <c r="AB407" i="1"/>
  <c r="AC407" i="1"/>
  <c r="AA407" i="1"/>
  <c r="AC399" i="1"/>
  <c r="AB399" i="1"/>
  <c r="AA399" i="1"/>
  <c r="AC391" i="1"/>
  <c r="AA391" i="1"/>
  <c r="AB391" i="1"/>
  <c r="AA383" i="1"/>
  <c r="AB383" i="1"/>
  <c r="AC383" i="1"/>
  <c r="AA375" i="1"/>
  <c r="AB375" i="1"/>
  <c r="AC375" i="1"/>
  <c r="AC367" i="1"/>
  <c r="AA367" i="1"/>
  <c r="AB367" i="1"/>
  <c r="AC359" i="1"/>
  <c r="AA359" i="1"/>
  <c r="AB359" i="1"/>
  <c r="AA351" i="1"/>
  <c r="AB351" i="1"/>
  <c r="AC351" i="1"/>
  <c r="AA343" i="1"/>
  <c r="AC343" i="1"/>
  <c r="AB343" i="1"/>
  <c r="AC335" i="1"/>
  <c r="AA335" i="1"/>
  <c r="AB335" i="1"/>
  <c r="AC327" i="1"/>
  <c r="AA327" i="1"/>
  <c r="AB327" i="1"/>
  <c r="AA319" i="1"/>
  <c r="AB319" i="1"/>
  <c r="AC319" i="1"/>
  <c r="AC311" i="1"/>
  <c r="AA311" i="1"/>
  <c r="AB311" i="1"/>
  <c r="AC303" i="1"/>
  <c r="AA303" i="1"/>
  <c r="AB303" i="1"/>
  <c r="AC295" i="1"/>
  <c r="AA295" i="1"/>
  <c r="AB295" i="1"/>
  <c r="AA287" i="1"/>
  <c r="AC287" i="1"/>
  <c r="AB287" i="1"/>
  <c r="AA279" i="1"/>
  <c r="AB279" i="1"/>
  <c r="AC279" i="1"/>
  <c r="AC271" i="1"/>
  <c r="AA271" i="1"/>
  <c r="AB271" i="1"/>
  <c r="AC263" i="1"/>
  <c r="AA263" i="1"/>
  <c r="AB263" i="1"/>
  <c r="AC255" i="1"/>
  <c r="AA255" i="1"/>
  <c r="AB255" i="1"/>
  <c r="AA247" i="1"/>
  <c r="AB247" i="1"/>
  <c r="AC247" i="1"/>
  <c r="AC239" i="1"/>
  <c r="AA239" i="1"/>
  <c r="AB239" i="1"/>
  <c r="AC231" i="1"/>
  <c r="AA231" i="1"/>
  <c r="AB231" i="1"/>
  <c r="AA223" i="1"/>
  <c r="AB223" i="1"/>
  <c r="AC223" i="1"/>
  <c r="AA215" i="1"/>
  <c r="AB215" i="1"/>
  <c r="AC215" i="1"/>
  <c r="AC207" i="1"/>
  <c r="AA207" i="1"/>
  <c r="AB207" i="1"/>
  <c r="AC168" i="1"/>
  <c r="AA168" i="1"/>
  <c r="AB168" i="1"/>
  <c r="AB128" i="1"/>
  <c r="AC128" i="1"/>
  <c r="AA128" i="1"/>
  <c r="AB112" i="1"/>
  <c r="AC112" i="1"/>
  <c r="AA112" i="1"/>
  <c r="AB96" i="1"/>
  <c r="AC96" i="1"/>
  <c r="AA96" i="1"/>
  <c r="AA64" i="1"/>
  <c r="AB64" i="1"/>
  <c r="AC64" i="1"/>
  <c r="AC56" i="1"/>
  <c r="AB56" i="1"/>
  <c r="AA56" i="1"/>
  <c r="AB40" i="1"/>
  <c r="AA40" i="1"/>
  <c r="AC40" i="1"/>
  <c r="AC478" i="1"/>
  <c r="AA478" i="1"/>
  <c r="AB478" i="1"/>
  <c r="AC462" i="1"/>
  <c r="AA462" i="1"/>
  <c r="AB462" i="1"/>
  <c r="AC438" i="1"/>
  <c r="AA438" i="1"/>
  <c r="AB438" i="1"/>
  <c r="AC422" i="1"/>
  <c r="AA422" i="1"/>
  <c r="AB422" i="1"/>
  <c r="AC406" i="1"/>
  <c r="AA406" i="1"/>
  <c r="AB406" i="1"/>
  <c r="AC374" i="1"/>
  <c r="AA374" i="1"/>
  <c r="AB374" i="1"/>
  <c r="AC358" i="1"/>
  <c r="AA358" i="1"/>
  <c r="AB358" i="1"/>
  <c r="AC334" i="1"/>
  <c r="AA334" i="1"/>
  <c r="AB334" i="1"/>
  <c r="AC318" i="1"/>
  <c r="AA318" i="1"/>
  <c r="AB318" i="1"/>
  <c r="AC302" i="1"/>
  <c r="AA302" i="1"/>
  <c r="AB302" i="1"/>
  <c r="AC294" i="1"/>
  <c r="AA294" i="1"/>
  <c r="AB294" i="1"/>
  <c r="AC286" i="1"/>
  <c r="AA286" i="1"/>
  <c r="AB286" i="1"/>
  <c r="AC262" i="1"/>
  <c r="AA262" i="1"/>
  <c r="AB262" i="1"/>
  <c r="AC246" i="1"/>
  <c r="AA246" i="1"/>
  <c r="AB246" i="1"/>
  <c r="AC230" i="1"/>
  <c r="AA230" i="1"/>
  <c r="AB230" i="1"/>
  <c r="AC206" i="1"/>
  <c r="AA206" i="1"/>
  <c r="AB206" i="1"/>
  <c r="AC181" i="1"/>
  <c r="AA181" i="1"/>
  <c r="AB181" i="1"/>
  <c r="AC165" i="1"/>
  <c r="AA165" i="1"/>
  <c r="AB165" i="1"/>
  <c r="AC149" i="1"/>
  <c r="AA149" i="1"/>
  <c r="AB149" i="1"/>
  <c r="AC101" i="1"/>
  <c r="AA101" i="1"/>
  <c r="AB101" i="1"/>
  <c r="AC45" i="1"/>
  <c r="AA45" i="1"/>
  <c r="AB45" i="1"/>
  <c r="AC29" i="1"/>
  <c r="AA29" i="1"/>
  <c r="AB29" i="1"/>
  <c r="AC491" i="1"/>
  <c r="AB491" i="1"/>
  <c r="AA491" i="1"/>
  <c r="AB435" i="1"/>
  <c r="AC435" i="1"/>
  <c r="AA435" i="1"/>
  <c r="AC411" i="1"/>
  <c r="AB411" i="1"/>
  <c r="AA411" i="1"/>
  <c r="AC395" i="1"/>
  <c r="AA395" i="1"/>
  <c r="AB395" i="1"/>
  <c r="AC379" i="1"/>
  <c r="AA379" i="1"/>
  <c r="AB379" i="1"/>
  <c r="AC331" i="1"/>
  <c r="AA331" i="1"/>
  <c r="AB331" i="1"/>
  <c r="AC299" i="1"/>
  <c r="AA299" i="1"/>
  <c r="AB299" i="1"/>
  <c r="AC283" i="1"/>
  <c r="AA283" i="1"/>
  <c r="AB283" i="1"/>
  <c r="AC267" i="1"/>
  <c r="AA267" i="1"/>
  <c r="AB267" i="1"/>
  <c r="AC251" i="1"/>
  <c r="AA251" i="1"/>
  <c r="AB251" i="1"/>
  <c r="AC219" i="1"/>
  <c r="AA219" i="1"/>
  <c r="AB219" i="1"/>
  <c r="AC194" i="1"/>
  <c r="AA194" i="1"/>
  <c r="AB194" i="1"/>
  <c r="AC178" i="1"/>
  <c r="AA178" i="1"/>
  <c r="AB178" i="1"/>
  <c r="AC146" i="1"/>
  <c r="AA146" i="1"/>
  <c r="AB146" i="1"/>
  <c r="AA130" i="1"/>
  <c r="AB130" i="1"/>
  <c r="AC130" i="1"/>
  <c r="AC114" i="1"/>
  <c r="AA114" i="1"/>
  <c r="AB114" i="1"/>
  <c r="AA98" i="1"/>
  <c r="AB98" i="1"/>
  <c r="AC98" i="1"/>
  <c r="AB50" i="1"/>
  <c r="AC50" i="1"/>
  <c r="AA50" i="1"/>
  <c r="AC488" i="1"/>
  <c r="AA488" i="1"/>
  <c r="AB488" i="1"/>
  <c r="AC464" i="1"/>
  <c r="AA464" i="1"/>
  <c r="AB464" i="1"/>
  <c r="AC416" i="1"/>
  <c r="AA416" i="1"/>
  <c r="AB416" i="1"/>
  <c r="AC400" i="1"/>
  <c r="AA400" i="1"/>
  <c r="AB400" i="1"/>
  <c r="AC384" i="1"/>
  <c r="AA384" i="1"/>
  <c r="AB384" i="1"/>
  <c r="AA360" i="1"/>
  <c r="AB360" i="1"/>
  <c r="AC360" i="1"/>
  <c r="AA328" i="1"/>
  <c r="AB328" i="1"/>
  <c r="AC328" i="1"/>
  <c r="AC312" i="1"/>
  <c r="AA312" i="1"/>
  <c r="AB312" i="1"/>
  <c r="AA296" i="1"/>
  <c r="AC296" i="1"/>
  <c r="AB296" i="1"/>
  <c r="AC272" i="1"/>
  <c r="AA272" i="1"/>
  <c r="AB272" i="1"/>
  <c r="AC256" i="1"/>
  <c r="AA256" i="1"/>
  <c r="AB256" i="1"/>
  <c r="AC232" i="1"/>
  <c r="AA232" i="1"/>
  <c r="AB232" i="1"/>
  <c r="AC191" i="1"/>
  <c r="AA191" i="1"/>
  <c r="AB191" i="1"/>
  <c r="AC167" i="1"/>
  <c r="AB167" i="1"/>
  <c r="AA167" i="1"/>
  <c r="AB151" i="1"/>
  <c r="AC151" i="1"/>
  <c r="AA151" i="1"/>
  <c r="AB127" i="1"/>
  <c r="AA127" i="1"/>
  <c r="AC127" i="1"/>
  <c r="AB95" i="1"/>
  <c r="AA95" i="1"/>
  <c r="AC95" i="1"/>
  <c r="AA63" i="1"/>
  <c r="AC63" i="1"/>
  <c r="AB63" i="1"/>
  <c r="AA39" i="1"/>
  <c r="AC39" i="1"/>
  <c r="AB39" i="1"/>
  <c r="AA31" i="1"/>
  <c r="AC31" i="1"/>
  <c r="AB31" i="1"/>
  <c r="AC485" i="1"/>
  <c r="AB485" i="1"/>
  <c r="AA485" i="1"/>
  <c r="AC469" i="1"/>
  <c r="AB469" i="1"/>
  <c r="AA469" i="1"/>
  <c r="AC445" i="1"/>
  <c r="AA445" i="1"/>
  <c r="AB445" i="1"/>
  <c r="AC429" i="1"/>
  <c r="AB429" i="1"/>
  <c r="AA429" i="1"/>
  <c r="AC389" i="1"/>
  <c r="AA389" i="1"/>
  <c r="AB389" i="1"/>
  <c r="AC373" i="1"/>
  <c r="AA373" i="1"/>
  <c r="AB373" i="1"/>
  <c r="AC349" i="1"/>
  <c r="AA349" i="1"/>
  <c r="AB349" i="1"/>
  <c r="AC333" i="1"/>
  <c r="AA333" i="1"/>
  <c r="AB333" i="1"/>
  <c r="AC317" i="1"/>
  <c r="AA317" i="1"/>
  <c r="AB317" i="1"/>
  <c r="AC285" i="1"/>
  <c r="AA285" i="1"/>
  <c r="AB285" i="1"/>
  <c r="AC261" i="1"/>
  <c r="AA261" i="1"/>
  <c r="AB261" i="1"/>
  <c r="AC245" i="1"/>
  <c r="AA245" i="1"/>
  <c r="AB245" i="1"/>
  <c r="AC229" i="1"/>
  <c r="AA229" i="1"/>
  <c r="AB229" i="1"/>
  <c r="AC213" i="1"/>
  <c r="AA213" i="1"/>
  <c r="AB213" i="1"/>
  <c r="AC198" i="1"/>
  <c r="AA198" i="1"/>
  <c r="AB198" i="1"/>
  <c r="AC190" i="1"/>
  <c r="AA190" i="1"/>
  <c r="AB190" i="1"/>
  <c r="AC182" i="1"/>
  <c r="AA182" i="1"/>
  <c r="AB182" i="1"/>
  <c r="AC174" i="1"/>
  <c r="AA174" i="1"/>
  <c r="AB174" i="1"/>
  <c r="AC166" i="1"/>
  <c r="AA166" i="1"/>
  <c r="AB166" i="1"/>
  <c r="AA158" i="1"/>
  <c r="AC158" i="1"/>
  <c r="AB158" i="1"/>
  <c r="AA150" i="1"/>
  <c r="AC150" i="1"/>
  <c r="AB150" i="1"/>
  <c r="AC142" i="1"/>
  <c r="AA142" i="1"/>
  <c r="AB142" i="1"/>
  <c r="AC134" i="1"/>
  <c r="AA134" i="1"/>
  <c r="AB134" i="1"/>
  <c r="AA126" i="1"/>
  <c r="AC126" i="1"/>
  <c r="AB126" i="1"/>
  <c r="AA118" i="1"/>
  <c r="AC118" i="1"/>
  <c r="AB118" i="1"/>
  <c r="AC110" i="1"/>
  <c r="AA110" i="1"/>
  <c r="AB110" i="1"/>
  <c r="AC102" i="1"/>
  <c r="AA102" i="1"/>
  <c r="AB102" i="1"/>
  <c r="AA94" i="1"/>
  <c r="AC94" i="1"/>
  <c r="AB94" i="1"/>
  <c r="AC86" i="1"/>
  <c r="AB86" i="1"/>
  <c r="AA86" i="1"/>
  <c r="AC78" i="1"/>
  <c r="AB78" i="1"/>
  <c r="AA78" i="1"/>
  <c r="AC70" i="1"/>
  <c r="AA70" i="1"/>
  <c r="AB70" i="1"/>
  <c r="AA62" i="1"/>
  <c r="AC62" i="1"/>
  <c r="AB62" i="1"/>
  <c r="AC54" i="1"/>
  <c r="AA54" i="1"/>
  <c r="AB54" i="1"/>
  <c r="AC46" i="1"/>
  <c r="AA46" i="1"/>
  <c r="AB46" i="1"/>
  <c r="AA38" i="1"/>
  <c r="AB38" i="1"/>
  <c r="AC38" i="1"/>
  <c r="AC30" i="1"/>
  <c r="AA30" i="1"/>
  <c r="AB30" i="1"/>
  <c r="AA492" i="1"/>
  <c r="AC492" i="1"/>
  <c r="AB492" i="1"/>
  <c r="AC484" i="1"/>
  <c r="AA484" i="1"/>
  <c r="AB484" i="1"/>
  <c r="AC476" i="1"/>
  <c r="AA476" i="1"/>
  <c r="AB476" i="1"/>
  <c r="AA468" i="1"/>
  <c r="AB468" i="1"/>
  <c r="AC468" i="1"/>
  <c r="AC460" i="1"/>
  <c r="AA460" i="1"/>
  <c r="AB460" i="1"/>
  <c r="AC452" i="1"/>
  <c r="AA452" i="1"/>
  <c r="AB452" i="1"/>
  <c r="AC444" i="1"/>
  <c r="AA444" i="1"/>
  <c r="AB444" i="1"/>
  <c r="AA436" i="1"/>
  <c r="AC436" i="1"/>
  <c r="AB436" i="1"/>
  <c r="AC428" i="1"/>
  <c r="AA428" i="1"/>
  <c r="AB428" i="1"/>
  <c r="AC420" i="1"/>
  <c r="AA420" i="1"/>
  <c r="AB420" i="1"/>
  <c r="AC412" i="1"/>
  <c r="AA412" i="1"/>
  <c r="AB412" i="1"/>
  <c r="AC404" i="1"/>
  <c r="AA404" i="1"/>
  <c r="AB404" i="1"/>
  <c r="AC396" i="1"/>
  <c r="AA396" i="1"/>
  <c r="AB396" i="1"/>
  <c r="AC388" i="1"/>
  <c r="AA388" i="1"/>
  <c r="AB388" i="1"/>
  <c r="AC380" i="1"/>
  <c r="AA380" i="1"/>
  <c r="AB380" i="1"/>
  <c r="AC372" i="1"/>
  <c r="AA372" i="1"/>
  <c r="AB372" i="1"/>
  <c r="AA364" i="1"/>
  <c r="AB364" i="1"/>
  <c r="AC364" i="1"/>
  <c r="AC356" i="1"/>
  <c r="AA356" i="1"/>
  <c r="AB356" i="1"/>
  <c r="AC348" i="1"/>
  <c r="AA348" i="1"/>
  <c r="AB348" i="1"/>
  <c r="AC340" i="1"/>
  <c r="AA340" i="1"/>
  <c r="AB340" i="1"/>
  <c r="AA332" i="1"/>
  <c r="AB332" i="1"/>
  <c r="AC332" i="1"/>
  <c r="AC324" i="1"/>
  <c r="AA324" i="1"/>
  <c r="AB324" i="1"/>
  <c r="AC316" i="1"/>
  <c r="AA316" i="1"/>
  <c r="AB316" i="1"/>
  <c r="AA308" i="1"/>
  <c r="AB308" i="1"/>
  <c r="AC308" i="1"/>
  <c r="AA300" i="1"/>
  <c r="AB300" i="1"/>
  <c r="AC300" i="1"/>
  <c r="AC292" i="1"/>
  <c r="AA292" i="1"/>
  <c r="AB292" i="1"/>
  <c r="AC284" i="1"/>
  <c r="AA284" i="1"/>
  <c r="AB284" i="1"/>
  <c r="AA276" i="1"/>
  <c r="AB276" i="1"/>
  <c r="AC276" i="1"/>
  <c r="AA268" i="1"/>
  <c r="AB268" i="1"/>
  <c r="AC268" i="1"/>
  <c r="AC260" i="1"/>
  <c r="AA260" i="1"/>
  <c r="AB260" i="1"/>
  <c r="AC252" i="1"/>
  <c r="AA252" i="1"/>
  <c r="AB252" i="1"/>
  <c r="AA244" i="1"/>
  <c r="AB244" i="1"/>
  <c r="AC244" i="1"/>
  <c r="AA236" i="1"/>
  <c r="AC236" i="1"/>
  <c r="AB236" i="1"/>
  <c r="AC228" i="1"/>
  <c r="AA228" i="1"/>
  <c r="AB228" i="1"/>
  <c r="AC220" i="1"/>
  <c r="AA220" i="1"/>
  <c r="AB220" i="1"/>
  <c r="AA212" i="1"/>
  <c r="AB212" i="1"/>
  <c r="AC212" i="1"/>
  <c r="AA204" i="1"/>
  <c r="AC204" i="1"/>
  <c r="AB204" i="1"/>
  <c r="AC176" i="1"/>
  <c r="AA176" i="1"/>
  <c r="AB176" i="1"/>
  <c r="AC160" i="1"/>
  <c r="AA160" i="1"/>
  <c r="AB160" i="1"/>
  <c r="AC72" i="1"/>
  <c r="AB72" i="1"/>
  <c r="AA72" i="1"/>
  <c r="AC486" i="1"/>
  <c r="AA486" i="1"/>
  <c r="AB486" i="1"/>
  <c r="AC414" i="1"/>
  <c r="AA414" i="1"/>
  <c r="AB414" i="1"/>
  <c r="AC390" i="1"/>
  <c r="AA390" i="1"/>
  <c r="AB390" i="1"/>
  <c r="AC342" i="1"/>
  <c r="AA342" i="1"/>
  <c r="AB342" i="1"/>
  <c r="AC270" i="1"/>
  <c r="AA270" i="1"/>
  <c r="AB270" i="1"/>
  <c r="AC197" i="1"/>
  <c r="AA197" i="1"/>
  <c r="AB197" i="1"/>
  <c r="AC157" i="1"/>
  <c r="AA157" i="1"/>
  <c r="AB157" i="1"/>
  <c r="AC125" i="1"/>
  <c r="AA125" i="1"/>
  <c r="AB125" i="1"/>
  <c r="AC77" i="1"/>
  <c r="AA77" i="1"/>
  <c r="AB77" i="1"/>
  <c r="AC61" i="1"/>
  <c r="AA61" i="1"/>
  <c r="AB61" i="1"/>
  <c r="AC475" i="1"/>
  <c r="AB475" i="1"/>
  <c r="AA475" i="1"/>
  <c r="AC459" i="1"/>
  <c r="AB459" i="1"/>
  <c r="AA459" i="1"/>
  <c r="AC443" i="1"/>
  <c r="AB443" i="1"/>
  <c r="AA443" i="1"/>
  <c r="AC427" i="1"/>
  <c r="AB427" i="1"/>
  <c r="AA427" i="1"/>
  <c r="AC363" i="1"/>
  <c r="AA363" i="1"/>
  <c r="AB363" i="1"/>
  <c r="AC323" i="1"/>
  <c r="AA323" i="1"/>
  <c r="AB323" i="1"/>
  <c r="AA307" i="1"/>
  <c r="AB307" i="1"/>
  <c r="AC307" i="1"/>
  <c r="AC259" i="1"/>
  <c r="AA259" i="1"/>
  <c r="AB259" i="1"/>
  <c r="AA162" i="1"/>
  <c r="AB162" i="1"/>
  <c r="AC162" i="1"/>
  <c r="AA138" i="1"/>
  <c r="AB138" i="1"/>
  <c r="AC138" i="1"/>
  <c r="AA106" i="1"/>
  <c r="AC106" i="1"/>
  <c r="AB106" i="1"/>
  <c r="AA74" i="1"/>
  <c r="AB74" i="1"/>
  <c r="AC74" i="1"/>
  <c r="AC496" i="1"/>
  <c r="AA496" i="1"/>
  <c r="AB496" i="1"/>
  <c r="AC432" i="1"/>
  <c r="AA432" i="1"/>
  <c r="AB432" i="1"/>
  <c r="AC408" i="1"/>
  <c r="AA408" i="1"/>
  <c r="AB408" i="1"/>
  <c r="AC368" i="1"/>
  <c r="AA368" i="1"/>
  <c r="AB368" i="1"/>
  <c r="AA183" i="1"/>
  <c r="AB183" i="1"/>
  <c r="AC183" i="1"/>
  <c r="AC135" i="1"/>
  <c r="AB135" i="1"/>
  <c r="AA135" i="1"/>
  <c r="AB119" i="1"/>
  <c r="AC119" i="1"/>
  <c r="AA119" i="1"/>
  <c r="AC111" i="1"/>
  <c r="AB111" i="1"/>
  <c r="AA111" i="1"/>
  <c r="AC79" i="1"/>
  <c r="AA79" i="1"/>
  <c r="AB79" i="1"/>
  <c r="AA55" i="1"/>
  <c r="AC55" i="1"/>
  <c r="AB55" i="1"/>
  <c r="AC493" i="1"/>
  <c r="AB493" i="1"/>
  <c r="AA493" i="1"/>
  <c r="AC477" i="1"/>
  <c r="AA477" i="1"/>
  <c r="AB477" i="1"/>
  <c r="AC453" i="1"/>
  <c r="AB453" i="1"/>
  <c r="AA453" i="1"/>
  <c r="AC437" i="1"/>
  <c r="AB437" i="1"/>
  <c r="AA437" i="1"/>
  <c r="AC421" i="1"/>
  <c r="AA421" i="1"/>
  <c r="AB421" i="1"/>
  <c r="AC405" i="1"/>
  <c r="AB405" i="1"/>
  <c r="AA405" i="1"/>
  <c r="AC365" i="1"/>
  <c r="AA365" i="1"/>
  <c r="AB365" i="1"/>
  <c r="AC325" i="1"/>
  <c r="AA325" i="1"/>
  <c r="AB325" i="1"/>
  <c r="AC301" i="1"/>
  <c r="AA301" i="1"/>
  <c r="AB301" i="1"/>
  <c r="AC269" i="1"/>
  <c r="AA269" i="1"/>
  <c r="AB269" i="1"/>
  <c r="AC253" i="1"/>
  <c r="AA253" i="1"/>
  <c r="AB253" i="1"/>
  <c r="AC221" i="1"/>
  <c r="AA221" i="1"/>
  <c r="AB221" i="1"/>
  <c r="AC205" i="1"/>
  <c r="AA205" i="1"/>
  <c r="AB205" i="1"/>
  <c r="AC195" i="1"/>
  <c r="AA195" i="1"/>
  <c r="AB195" i="1"/>
  <c r="AC187" i="1"/>
  <c r="AA187" i="1"/>
  <c r="AB187" i="1"/>
  <c r="AC179" i="1"/>
  <c r="AB179" i="1"/>
  <c r="AA179" i="1"/>
  <c r="AC171" i="1"/>
  <c r="AB171" i="1"/>
  <c r="AA171" i="1"/>
  <c r="AC163" i="1"/>
  <c r="AB163" i="1"/>
  <c r="AA163" i="1"/>
  <c r="AC155" i="1"/>
  <c r="AB155" i="1"/>
  <c r="AA155" i="1"/>
  <c r="AC147" i="1"/>
  <c r="AB147" i="1"/>
  <c r="AA147" i="1"/>
  <c r="AC139" i="1"/>
  <c r="AB139" i="1"/>
  <c r="AA139" i="1"/>
  <c r="AC131" i="1"/>
  <c r="AB131" i="1"/>
  <c r="AA131" i="1"/>
  <c r="AC123" i="1"/>
  <c r="AB123" i="1"/>
  <c r="AA123" i="1"/>
  <c r="AC115" i="1"/>
  <c r="AB115" i="1"/>
  <c r="AA115" i="1"/>
  <c r="AC107" i="1"/>
  <c r="AB107" i="1"/>
  <c r="AA107" i="1"/>
  <c r="AC99" i="1"/>
  <c r="AB99" i="1"/>
  <c r="AA99" i="1"/>
  <c r="AC91" i="1"/>
  <c r="AA91" i="1"/>
  <c r="AB91" i="1"/>
  <c r="AA83" i="1"/>
  <c r="AB83" i="1"/>
  <c r="AC83" i="1"/>
  <c r="AA75" i="1"/>
  <c r="AB75" i="1"/>
  <c r="AC75" i="1"/>
  <c r="AA67" i="1"/>
  <c r="AC67" i="1"/>
  <c r="AB67" i="1"/>
  <c r="AA59" i="1"/>
  <c r="AB59" i="1"/>
  <c r="AC59" i="1"/>
  <c r="AA51" i="1"/>
  <c r="AC51" i="1"/>
  <c r="AB51" i="1"/>
  <c r="AA43" i="1"/>
  <c r="AC43" i="1"/>
  <c r="AB43" i="1"/>
  <c r="AA35" i="1"/>
  <c r="AC35" i="1"/>
  <c r="AB35" i="1"/>
  <c r="AA26" i="1"/>
  <c r="AB26" i="1"/>
  <c r="AC26" i="1"/>
  <c r="AC497" i="1"/>
  <c r="AA497" i="1"/>
  <c r="AB497" i="1"/>
  <c r="AC489" i="1"/>
  <c r="AA489" i="1"/>
  <c r="AB489" i="1"/>
  <c r="AC481" i="1"/>
  <c r="AA481" i="1"/>
  <c r="AB481" i="1"/>
  <c r="AC473" i="1"/>
  <c r="AA473" i="1"/>
  <c r="AB473" i="1"/>
  <c r="AC465" i="1"/>
  <c r="AA465" i="1"/>
  <c r="AB465" i="1"/>
  <c r="AC457" i="1"/>
  <c r="AA457" i="1"/>
  <c r="AB457" i="1"/>
  <c r="AC449" i="1"/>
  <c r="AA449" i="1"/>
  <c r="AB449" i="1"/>
  <c r="AC441" i="1"/>
  <c r="AA441" i="1"/>
  <c r="AB441" i="1"/>
  <c r="AC433" i="1"/>
  <c r="AA433" i="1"/>
  <c r="AB433" i="1"/>
  <c r="AC425" i="1"/>
  <c r="AA425" i="1"/>
  <c r="AB425" i="1"/>
  <c r="AC417" i="1"/>
  <c r="AA417" i="1"/>
  <c r="AB417" i="1"/>
  <c r="AC409" i="1"/>
  <c r="AA409" i="1"/>
  <c r="AB409" i="1"/>
  <c r="AC401" i="1"/>
  <c r="AA401" i="1"/>
  <c r="AB401" i="1"/>
  <c r="AC393" i="1"/>
  <c r="AA393" i="1"/>
  <c r="AB393" i="1"/>
  <c r="AC385" i="1"/>
  <c r="AA385" i="1"/>
  <c r="AB385" i="1"/>
  <c r="AC377" i="1"/>
  <c r="AA377" i="1"/>
  <c r="AB377" i="1"/>
  <c r="AC369" i="1"/>
  <c r="AA369" i="1"/>
  <c r="AB369" i="1"/>
  <c r="AC361" i="1"/>
  <c r="AA361" i="1"/>
  <c r="AB361" i="1"/>
  <c r="AC353" i="1"/>
  <c r="AA353" i="1"/>
  <c r="AB353" i="1"/>
  <c r="AC345" i="1"/>
  <c r="AA345" i="1"/>
  <c r="AB345" i="1"/>
  <c r="AC337" i="1"/>
  <c r="AA337" i="1"/>
  <c r="AB337" i="1"/>
  <c r="AC329" i="1"/>
  <c r="AA329" i="1"/>
  <c r="AB329" i="1"/>
  <c r="AC321" i="1"/>
  <c r="AA321" i="1"/>
  <c r="AB321" i="1"/>
  <c r="AC313" i="1"/>
  <c r="AA313" i="1"/>
  <c r="AB313" i="1"/>
  <c r="AC305" i="1"/>
  <c r="AA305" i="1"/>
  <c r="AB305" i="1"/>
  <c r="AC297" i="1"/>
  <c r="AA297" i="1"/>
  <c r="AB297" i="1"/>
  <c r="AC289" i="1"/>
  <c r="AA289" i="1"/>
  <c r="AB289" i="1"/>
  <c r="AC281" i="1"/>
  <c r="AA281" i="1"/>
  <c r="AB281" i="1"/>
  <c r="AC273" i="1"/>
  <c r="AA273" i="1"/>
  <c r="AB273" i="1"/>
  <c r="AC265" i="1"/>
  <c r="AA265" i="1"/>
  <c r="AB265" i="1"/>
  <c r="AC257" i="1"/>
  <c r="AA257" i="1"/>
  <c r="AB257" i="1"/>
  <c r="AC249" i="1"/>
  <c r="AA249" i="1"/>
  <c r="AB249" i="1"/>
  <c r="AC241" i="1"/>
  <c r="AA241" i="1"/>
  <c r="AB241" i="1"/>
  <c r="AC233" i="1"/>
  <c r="AA233" i="1"/>
  <c r="AB233" i="1"/>
  <c r="AC225" i="1"/>
  <c r="AA225" i="1"/>
  <c r="AB225" i="1"/>
  <c r="AC217" i="1"/>
  <c r="AA217" i="1"/>
  <c r="AB217" i="1"/>
  <c r="AC209" i="1"/>
  <c r="AA209" i="1"/>
  <c r="AB209" i="1"/>
  <c r="AC201" i="1"/>
  <c r="AA201" i="1"/>
  <c r="AB201" i="1"/>
  <c r="O2" i="1"/>
  <c r="Q2" i="1"/>
  <c r="P5" i="1"/>
  <c r="P6" i="1"/>
  <c r="P8" i="1"/>
  <c r="P7" i="1"/>
  <c r="P9" i="1"/>
  <c r="P10" i="1"/>
  <c r="P11" i="1"/>
  <c r="P12" i="1"/>
  <c r="P17" i="1"/>
  <c r="P18" i="1"/>
  <c r="P21" i="1"/>
  <c r="P22" i="1"/>
  <c r="P23" i="1"/>
  <c r="P24" i="1"/>
  <c r="P25" i="1"/>
  <c r="C6" i="3"/>
  <c r="C8" i="3"/>
  <c r="Q4" i="1" s="1"/>
  <c r="C9" i="3"/>
  <c r="C10" i="3"/>
  <c r="C11" i="3"/>
  <c r="C12" i="3"/>
  <c r="C13" i="3"/>
  <c r="C14" i="3"/>
  <c r="C15" i="3"/>
  <c r="C16" i="3"/>
  <c r="C17" i="3"/>
  <c r="C18" i="3"/>
  <c r="C19" i="3"/>
  <c r="C20" i="3"/>
  <c r="C21" i="3"/>
  <c r="C22" i="3"/>
  <c r="C7" i="3"/>
  <c r="Q3" i="1" s="1"/>
  <c r="F6" i="3"/>
  <c r="G6" i="3"/>
  <c r="H6" i="3"/>
  <c r="I6" i="3"/>
  <c r="J6" i="3"/>
  <c r="F7" i="3"/>
  <c r="G7" i="3"/>
  <c r="H7" i="3"/>
  <c r="I7" i="3"/>
  <c r="J7" i="3"/>
  <c r="F8" i="3"/>
  <c r="G8" i="3"/>
  <c r="H8" i="3"/>
  <c r="I8" i="3"/>
  <c r="J8" i="3"/>
  <c r="F9" i="3"/>
  <c r="G9" i="3"/>
  <c r="H9" i="3"/>
  <c r="I9" i="3"/>
  <c r="J9" i="3"/>
  <c r="F10" i="3"/>
  <c r="G10" i="3"/>
  <c r="H10" i="3"/>
  <c r="I10" i="3"/>
  <c r="J10" i="3"/>
  <c r="A4" i="3"/>
  <c r="A3" i="3"/>
  <c r="AA4" i="1" l="1"/>
  <c r="AC4" i="1"/>
  <c r="AB4" i="1"/>
  <c r="AB3" i="1"/>
  <c r="AA3" i="1"/>
  <c r="AC3" i="1"/>
  <c r="Q6" i="1"/>
  <c r="Q24" i="1"/>
  <c r="Q10" i="1"/>
  <c r="Q5" i="1"/>
  <c r="Q18" i="1"/>
  <c r="Q25" i="1"/>
  <c r="Q17" i="1"/>
  <c r="Q9" i="1"/>
  <c r="Q23" i="1"/>
  <c r="Q7" i="1"/>
  <c r="Q22" i="1"/>
  <c r="Q12" i="1"/>
  <c r="Q8" i="1"/>
  <c r="Q21" i="1"/>
  <c r="Q11" i="1"/>
  <c r="AA10" i="1" l="1"/>
  <c r="AC10" i="1"/>
  <c r="AB10" i="1"/>
  <c r="AA21" i="1"/>
  <c r="AB21" i="1"/>
  <c r="AC21" i="1"/>
  <c r="AA8" i="1"/>
  <c r="AC8" i="1"/>
  <c r="AB8" i="1"/>
  <c r="AA9" i="1"/>
  <c r="AB9" i="1"/>
  <c r="AC9" i="1"/>
  <c r="AC24" i="1"/>
  <c r="AA24" i="1"/>
  <c r="AB24" i="1"/>
  <c r="AA11" i="1"/>
  <c r="AC11" i="1"/>
  <c r="AB11" i="1"/>
  <c r="AA12" i="1"/>
  <c r="AC12" i="1"/>
  <c r="AB12" i="1"/>
  <c r="AC17" i="1"/>
  <c r="AB17" i="1"/>
  <c r="AA17" i="1"/>
  <c r="AB5" i="1"/>
  <c r="AC5" i="1"/>
  <c r="AA5" i="1"/>
  <c r="AB23" i="1"/>
  <c r="AA23" i="1"/>
  <c r="AC23" i="1"/>
  <c r="AA22" i="1"/>
  <c r="AC22" i="1"/>
  <c r="AB22" i="1"/>
  <c r="AA25" i="1"/>
  <c r="AB25" i="1"/>
  <c r="AC25" i="1"/>
  <c r="AC7" i="1"/>
  <c r="AB7" i="1"/>
  <c r="AA7" i="1"/>
  <c r="AC6" i="1"/>
  <c r="AA6" i="1"/>
  <c r="AB6" i="1"/>
  <c r="AA18" i="1"/>
  <c r="AC18" i="1"/>
  <c r="AB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Timo Nußbaumer</author>
  </authors>
  <commentList>
    <comment ref="A1" authorId="0" shapeId="0" xr:uid="{CEC8BA7C-9951-4E88-8B30-CB8455308EBF}">
      <text>
        <r>
          <rPr>
            <sz val="9"/>
            <color indexed="81"/>
            <rFont val="Segoe UI"/>
            <family val="2"/>
          </rPr>
          <t>The risk which got identified during a risk assessment</t>
        </r>
      </text>
    </comment>
    <comment ref="R1" authorId="0" shapeId="0" xr:uid="{DCF1C9F2-E6F0-447A-BA8B-CC79823151FF}">
      <text>
        <r>
          <rPr>
            <sz val="9"/>
            <color indexed="81"/>
            <rFont val="Segoe UI"/>
            <family val="2"/>
          </rPr>
          <t>The counter measures/mitigation identified according the risk in the same line</t>
        </r>
      </text>
    </comment>
    <comment ref="T1" authorId="0" shapeId="0" xr:uid="{1E4CF1EC-5B4B-433D-BD4F-12B80E34521F}">
      <text>
        <r>
          <rPr>
            <sz val="9"/>
            <color indexed="81"/>
            <rFont val="Segoe UI"/>
            <family val="2"/>
          </rPr>
          <t>The actions to be take on, derived from the counter measures/mitigations identified for a risk</t>
        </r>
      </text>
    </comment>
    <comment ref="Z1" authorId="0" shapeId="0" xr:uid="{BB9345CD-44AC-42A9-9955-C7E6A9EF227B}">
      <text>
        <r>
          <rPr>
            <sz val="9"/>
            <color indexed="81"/>
            <rFont val="Segoe UI"/>
            <family val="2"/>
          </rPr>
          <t>Risk Matrix Data columns can't be hidden as otherwise nothing will be displayed anymore in RiskMatrixDiagram as this Diagram has the option to not display hidden data. Not displaying hidden data is used to hide hidden rows e.g. by filters.</t>
        </r>
      </text>
    </comment>
    <comment ref="A2" authorId="0" shapeId="0" xr:uid="{B1F7E48A-8D88-4AE7-9332-4E6A5DB03D15}">
      <text>
        <r>
          <rPr>
            <sz val="9"/>
            <color indexed="81"/>
            <rFont val="Segoe UI"/>
            <family val="2"/>
          </rPr>
          <t>RID: Risk identification number
We should get RID of them! ;)</t>
        </r>
      </text>
    </comment>
    <comment ref="B2" authorId="0" shapeId="0" xr:uid="{A967E539-9CA6-4ACF-8E08-BF3B81F60D60}">
      <text>
        <r>
          <rPr>
            <sz val="9"/>
            <color indexed="81"/>
            <rFont val="Segoe UI"/>
            <family val="2"/>
          </rPr>
          <t>Title of the risk. By default this is the selected Attack/Risk Path; but this can be overwritten</t>
        </r>
      </text>
    </comment>
    <comment ref="C2" authorId="0" shapeId="0" xr:uid="{F31DB41D-2F30-4932-B167-34206FB0E31F}">
      <text>
        <r>
          <rPr>
            <sz val="9"/>
            <color indexed="81"/>
            <rFont val="Segoe UI"/>
            <family val="2"/>
          </rPr>
          <t>More details description of the risk e.g. malicious function of the RAS protocol is to be expected if hit with random data</t>
        </r>
      </text>
    </comment>
    <comment ref="D2" authorId="0" shapeId="0" xr:uid="{AEF671D3-BCBE-43B6-AAB2-751881B213EE}">
      <text>
        <r>
          <rPr>
            <sz val="9"/>
            <color indexed="81"/>
            <rFont val="Segoe UI"/>
            <family val="2"/>
          </rPr>
          <t>The date the line/risk was created</t>
        </r>
      </text>
    </comment>
    <comment ref="E2" authorId="0" shapeId="0" xr:uid="{0358701B-62B7-4FA7-9E78-98709E484568}">
      <text>
        <r>
          <rPr>
            <sz val="9"/>
            <color indexed="81"/>
            <rFont val="Segoe UI"/>
            <family val="2"/>
          </rPr>
          <t xml:space="preserve">AS1: The initial access to the system. The gateway of the attack. The infiltration of the system or the first breach into the system or the main cause of the risk. The other attack steps follow this initial step.
</t>
        </r>
      </text>
    </comment>
    <comment ref="J2" authorId="0" shapeId="0" xr:uid="{4EF88077-3BDC-4E28-B2D6-BEB29AEDDEBA}">
      <text>
        <r>
          <rPr>
            <sz val="9"/>
            <color indexed="81"/>
            <rFont val="Segoe UI"/>
            <family val="2"/>
          </rPr>
          <t>Detailed description of the attack/Risk Path to be assessed.</t>
        </r>
      </text>
    </comment>
    <comment ref="K2" authorId="0" shapeId="0" xr:uid="{FA79B308-F417-468F-9F05-FA647652CF48}">
      <text>
        <r>
          <rPr>
            <sz val="9"/>
            <color indexed="81"/>
            <rFont val="Segoe UI"/>
            <family val="2"/>
          </rPr>
          <t>What does the risk affect?</t>
        </r>
      </text>
    </comment>
    <comment ref="L2" authorId="0" shapeId="0" xr:uid="{73AF4B2C-782E-4C66-83AA-BED3EFE1F980}">
      <text>
        <r>
          <rPr>
            <sz val="9"/>
            <color indexed="81"/>
            <rFont val="Segoe UI"/>
            <family val="2"/>
          </rPr>
          <t>Who is the stakeholder of the risk</t>
        </r>
      </text>
    </comment>
    <comment ref="M2" authorId="0" shapeId="0" xr:uid="{F18AC744-C240-4413-8D57-C7F8B950F334}">
      <text>
        <r>
          <rPr>
            <sz val="9"/>
            <color indexed="81"/>
            <rFont val="Segoe UI"/>
            <family val="2"/>
          </rPr>
          <t>Tags can be used to categorize the risks even further</t>
        </r>
      </text>
    </comment>
    <comment ref="N2" authorId="0" shapeId="0" xr:uid="{5292461D-7D48-4EB9-A8E8-17FDDD0784A4}">
      <text>
        <r>
          <rPr>
            <sz val="9"/>
            <color indexed="81"/>
            <rFont val="Segoe UI"/>
            <family val="2"/>
          </rPr>
          <t>How likely is it the event in the title can occure?</t>
        </r>
      </text>
    </comment>
    <comment ref="O2" authorId="0" shapeId="0" xr:uid="{C3D17FF8-2500-4863-834F-04F288F41E13}">
      <text>
        <r>
          <rPr>
            <sz val="9"/>
            <color indexed="81"/>
            <rFont val="Segoe UI"/>
            <family val="2"/>
          </rPr>
          <t>If the events occures how bad is the impact?</t>
        </r>
      </text>
    </comment>
    <comment ref="P2" authorId="0" shapeId="0" xr:uid="{5347DB21-C9E0-456B-A409-2873B2E88F9A}">
      <text>
        <r>
          <rPr>
            <sz val="9"/>
            <color indexed="81"/>
            <rFont val="Segoe UI"/>
            <family val="2"/>
          </rPr>
          <t>Classical Failure Mode and Effects Analysis (FMEA) definition is
RPN = S*O*D our definition is RPN = L*I we currently skip D and define O as L and S as I
FMEA: Failure Mode and Effects Analysis
RPN: Risk Priority Number
S: Severity (How bad is the impact if the failure happens?)
O: Occurrence (How often is this likely to happen?)
D: Detection (How likely are you to catch the problem before it reaches the customer?)
I: Impact see S
L: Likelihood see O</t>
        </r>
      </text>
    </comment>
    <comment ref="Q2" authorId="0" shapeId="0" xr:uid="{83A1CA97-AE4A-44D6-98A6-7F5F907475CD}">
      <text>
        <r>
          <rPr>
            <sz val="9"/>
            <color indexed="81"/>
            <rFont val="Segoe UI"/>
            <family val="2"/>
          </rPr>
          <t>RPN Category derived from RPN</t>
        </r>
      </text>
    </comment>
    <comment ref="R2" authorId="0" shapeId="0" xr:uid="{05715AC5-60EA-4035-BC83-06C7FD377891}">
      <text>
        <r>
          <rPr>
            <sz val="9"/>
            <color indexed="81"/>
            <rFont val="Segoe UI"/>
            <family val="2"/>
          </rPr>
          <t>Title of the counter measure/mitigation e.g. introduce automated test</t>
        </r>
      </text>
    </comment>
    <comment ref="S2" authorId="0" shapeId="0" xr:uid="{D5CBB66C-431A-400A-8391-C86A9A84445F}">
      <text>
        <r>
          <rPr>
            <sz val="9"/>
            <color indexed="81"/>
            <rFont val="Segoe UI"/>
            <family val="2"/>
          </rPr>
          <t>More detailed description of the counter measure/mitigation e.g. introduce a new test case T5600 as part of our regression tests</t>
        </r>
      </text>
    </comment>
    <comment ref="T2" authorId="0" shapeId="0" xr:uid="{1F40D5CF-B35C-40A7-9C5D-EDDE409E5959}">
      <text>
        <r>
          <rPr>
            <sz val="9"/>
            <color indexed="81"/>
            <rFont val="Segoe UI"/>
            <family val="2"/>
          </rPr>
          <t>Title of the actions to be take on</t>
        </r>
      </text>
    </comment>
    <comment ref="U2" authorId="0" shapeId="0" xr:uid="{5307E196-F8FB-46F6-BA13-E9F59E750D6A}">
      <text>
        <r>
          <rPr>
            <sz val="9"/>
            <color indexed="81"/>
            <rFont val="Segoe UI"/>
            <family val="2"/>
          </rPr>
          <t>List here hyperlinked issues related to the actions needed</t>
        </r>
      </text>
    </comment>
    <comment ref="V2" authorId="0" shapeId="0" xr:uid="{BD567A64-72C9-4F8C-8921-8B13AB74059F}">
      <text>
        <r>
          <rPr>
            <sz val="9"/>
            <color indexed="81"/>
            <rFont val="Segoe UI"/>
            <family val="2"/>
          </rPr>
          <t>Status of the action</t>
        </r>
      </text>
    </comment>
    <comment ref="W2" authorId="0" shapeId="0" xr:uid="{C0667CFA-3294-45AE-83C7-9D6EB510E6AA}">
      <text>
        <r>
          <rPr>
            <sz val="9"/>
            <color indexed="81"/>
            <rFont val="Segoe UI"/>
            <family val="2"/>
          </rPr>
          <t>e.g. cer, pbn, tnr
list can be extended in Definitions sheet</t>
        </r>
      </text>
    </comment>
    <comment ref="X2" authorId="0" shapeId="0" xr:uid="{C18DFED8-6536-4E2B-9544-BB7F01D42F37}">
      <text>
        <r>
          <rPr>
            <sz val="9"/>
            <color indexed="81"/>
            <rFont val="Segoe UI"/>
            <family val="2"/>
          </rPr>
          <t>Start date of the action to be take on</t>
        </r>
      </text>
    </comment>
    <comment ref="Y2" authorId="0" shapeId="0" xr:uid="{4723B5BC-8D51-4E2A-99DE-6EE92E1427AE}">
      <text>
        <r>
          <rPr>
            <sz val="9"/>
            <color indexed="81"/>
            <rFont val="Segoe UI"/>
            <family val="2"/>
          </rPr>
          <t>Due date of the action to be take on</t>
        </r>
      </text>
    </comment>
  </commentList>
</comments>
</file>

<file path=xl/sharedStrings.xml><?xml version="1.0" encoding="utf-8"?>
<sst xmlns="http://schemas.openxmlformats.org/spreadsheetml/2006/main" count="437" uniqueCount="237">
  <si>
    <t>Risk</t>
  </si>
  <si>
    <t>Description</t>
  </si>
  <si>
    <t>Status</t>
  </si>
  <si>
    <t>Owner</t>
  </si>
  <si>
    <t>Due Date</t>
  </si>
  <si>
    <t>open</t>
  </si>
  <si>
    <t>in progress</t>
  </si>
  <si>
    <t>L/I</t>
  </si>
  <si>
    <t>Start</t>
  </si>
  <si>
    <t>End</t>
  </si>
  <si>
    <t>Low</t>
  </si>
  <si>
    <t>Medium</t>
  </si>
  <si>
    <t>High</t>
  </si>
  <si>
    <t>Create Date</t>
  </si>
  <si>
    <t>Start Date</t>
  </si>
  <si>
    <t>customer</t>
  </si>
  <si>
    <t>acontis</t>
  </si>
  <si>
    <t xml:space="preserve"> Actions</t>
  </si>
  <si>
    <t>closed</t>
  </si>
  <si>
    <t>Issues</t>
  </si>
  <si>
    <t>Moderate</t>
  </si>
  <si>
    <t>Stakeholder</t>
  </si>
  <si>
    <t>Personal Data</t>
  </si>
  <si>
    <t>Loss of Intellectual Property</t>
  </si>
  <si>
    <t>Financial and Legal</t>
  </si>
  <si>
    <t>Function and Availability</t>
  </si>
  <si>
    <t>Damage Category</t>
  </si>
  <si>
    <t>Action</t>
  </si>
  <si>
    <t>Title</t>
  </si>
  <si>
    <t>Tags</t>
  </si>
  <si>
    <t>Template revision:</t>
  </si>
  <si>
    <t>Comments:</t>
  </si>
  <si>
    <t>Titel</t>
  </si>
  <si>
    <t>Level</t>
  </si>
  <si>
    <t>Impact</t>
  </si>
  <si>
    <t>Likelihood</t>
  </si>
  <si>
    <t>Negligible</t>
  </si>
  <si>
    <t>RPN</t>
  </si>
  <si>
    <t>L</t>
  </si>
  <si>
    <t>RPN Cat.</t>
  </si>
  <si>
    <t>RID</t>
  </si>
  <si>
    <t>Action status</t>
  </si>
  <si>
    <t>Catastrophic</t>
  </si>
  <si>
    <t>Major</t>
  </si>
  <si>
    <t>Minor</t>
  </si>
  <si>
    <t>Unlikely</t>
  </si>
  <si>
    <t>Possible</t>
  </si>
  <si>
    <t>Likely</t>
  </si>
  <si>
    <t>Frequent</t>
  </si>
  <si>
    <t>Analysis</t>
  </si>
  <si>
    <t>Counter measure/Mitigation</t>
  </si>
  <si>
    <t>cer</t>
  </si>
  <si>
    <t>pbn</t>
  </si>
  <si>
    <t>tnr</t>
  </si>
  <si>
    <t>kfl</t>
  </si>
  <si>
    <t>bbl</t>
  </si>
  <si>
    <t>cwn</t>
  </si>
  <si>
    <t>twr</t>
  </si>
  <si>
    <t>amg</t>
  </si>
  <si>
    <t>fmn</t>
  </si>
  <si>
    <t>hof</t>
  </si>
  <si>
    <t>vpv</t>
  </si>
  <si>
    <t>Safety and Security</t>
  </si>
  <si>
    <t>Might occur at some time; has happened here before (10–50% chance)</t>
  </si>
  <si>
    <t>Will probably occur in most circumstances; frequent history (50–90% chance)</t>
  </si>
  <si>
    <t>Expected to occur almost constantly or multiple times a year (&gt; 90% chance)</t>
  </si>
  <si>
    <t>Extremely rare; may occur only in exceptional circumstances (&lt; 1% chance)</t>
  </si>
  <si>
    <t>Not expected to occur; has happened elsewhere but not here (1–10% chance)</t>
  </si>
  <si>
    <t>Non-sensitive data leaked; no privacy breach.</t>
  </si>
  <si>
    <t>Minor trade secret leak with no market impact.</t>
  </si>
  <si>
    <t>Minimal cost (&lt;$1k); no legal repercussions.</t>
  </si>
  <si>
    <t>No injury; no security breach.</t>
  </si>
  <si>
    <t>Brief flicker in service (&lt;1 min); no user impact.</t>
  </si>
  <si>
    <t>Minor breach of non-critical personal info.</t>
  </si>
  <si>
    <t>Leak of internal process docs; slight edge lost.</t>
  </si>
  <si>
    <t>Small loss; minor breach of contract/fine.</t>
  </si>
  <si>
    <t>Minor injury (First Aid); localized security gap.</t>
  </si>
  <si>
    <t>Minor slowdown; "annoyance" level for users.</t>
  </si>
  <si>
    <t>Significant breach of PII (Names, Emails).</t>
  </si>
  <si>
    <t>Loss of a patented process or key strategy.</t>
  </si>
  <si>
    <t>Noticeable loss; lawsuit potential; regulatory audit.</t>
  </si>
  <si>
    <t>Medical treatment required; breach of secure areas.</t>
  </si>
  <si>
    <t>Significant downtime (hours); core functions degraded.</t>
  </si>
  <si>
    <t>Mass breach of sensitive data (SSNs, Health).</t>
  </si>
  <si>
    <t>Loss of core product IP; loss of competitive advantage.</t>
  </si>
  <si>
    <t>Heavy fines; major lawsuit; brand damage.</t>
  </si>
  <si>
    <t>Severe injury; critical infrastructure compromised.</t>
  </si>
  <si>
    <t>Major outage (days); business operations halted.</t>
  </si>
  <si>
    <t>Global data privacy violation; massive identity theft.</t>
  </si>
  <si>
    <t>Full "Crown Jewels" loss; company can no longer compete.</t>
  </si>
  <si>
    <t>Insolvency; criminal charges; loss of license.</t>
  </si>
  <si>
    <t>Fatality or life-threatening event; total security failure.</t>
  </si>
  <si>
    <t>Permanent loss of data or permanent system shutdown.</t>
  </si>
  <si>
    <t>AS1</t>
  </si>
  <si>
    <t>AS2</t>
  </si>
  <si>
    <t>AS3</t>
  </si>
  <si>
    <t>Attack/Risk Path short</t>
  </si>
  <si>
    <t>Attack step</t>
  </si>
  <si>
    <t>ID</t>
  </si>
  <si>
    <t>Original description</t>
  </si>
  <si>
    <t>Product related description</t>
  </si>
  <si>
    <t>Gain access to a trusted operational environment</t>
  </si>
  <si>
    <t>Gain access to a local network</t>
  </si>
  <si>
    <t>Compromising the product using a software vulnerability</t>
  </si>
  <si>
    <t>AS4</t>
  </si>
  <si>
    <t>AS5</t>
  </si>
  <si>
    <t>Eavesdropping on the product's communication</t>
  </si>
  <si>
    <t>AS6</t>
  </si>
  <si>
    <t>Spoofing / tampering with the product's outgoing communication</t>
  </si>
  <si>
    <t>AS7</t>
  </si>
  <si>
    <t>Spoofing / tampering with the product's incoming communication</t>
  </si>
  <si>
    <t>AS8</t>
  </si>
  <si>
    <t>Disrupting the product's communication over the wireless network</t>
  </si>
  <si>
    <t>AS9</t>
  </si>
  <si>
    <t>Attacking the product's internal gateway from the Internet</t>
  </si>
  <si>
    <t>AS10</t>
  </si>
  <si>
    <t>Attacking devices in the customer's network</t>
  </si>
  <si>
    <t>AS11</t>
  </si>
  <si>
    <t>AS12</t>
  </si>
  <si>
    <t>Compromising an untrusted device that communicates directly with the product</t>
  </si>
  <si>
    <t>AS13</t>
  </si>
  <si>
    <t>Attacking the product or its communication from an untrusted local network</t>
  </si>
  <si>
    <t>AS14</t>
  </si>
  <si>
    <t>Disrupting the product's communication over the local network</t>
  </si>
  <si>
    <t>AS15</t>
  </si>
  <si>
    <t>Attacking the product from the Internet or a mobile network</t>
  </si>
  <si>
    <t>AS16</t>
  </si>
  <si>
    <t>Manipulating the product's configuration via its configuration interface</t>
  </si>
  <si>
    <t>AS17</t>
  </si>
  <si>
    <t>Sending manipulated or malicious data to the product (from an untrusted source)</t>
  </si>
  <si>
    <t>AS18</t>
  </si>
  <si>
    <t>Abusing the software update functionality to manipulate the product</t>
  </si>
  <si>
    <t>AS19</t>
  </si>
  <si>
    <t>Spoofing an entity sending a software update or manipulation of the update during transmission</t>
  </si>
  <si>
    <t>AS20</t>
  </si>
  <si>
    <t>Providing a malicious software update from an untrusted source</t>
  </si>
  <si>
    <t>AS21</t>
  </si>
  <si>
    <t>Gaining physical access to the product (3rd party)</t>
  </si>
  <si>
    <t>AS22</t>
  </si>
  <si>
    <t>Gaining physical access to the product (customer)</t>
  </si>
  <si>
    <t>AS23</t>
  </si>
  <si>
    <t>Compromising the product with direct access to its persistent memory</t>
  </si>
  <si>
    <t>AS24</t>
  </si>
  <si>
    <t>Data extraction from the product's persistent memory</t>
  </si>
  <si>
    <t>AS25</t>
  </si>
  <si>
    <t>Accessing the product's debug interfaces remotely</t>
  </si>
  <si>
    <t>AS26</t>
  </si>
  <si>
    <t>Accessing the product's physical debug interfaces</t>
  </si>
  <si>
    <t>AS27</t>
  </si>
  <si>
    <t>Getting physical access to the product's linked communication media (e.g., field buses)</t>
  </si>
  <si>
    <t>AS28</t>
  </si>
  <si>
    <t>Getting access to a trusted entity</t>
  </si>
  <si>
    <t>AS29</t>
  </si>
  <si>
    <t>Brute-forcing the authentication mechanism over IP</t>
  </si>
  <si>
    <t>AS30</t>
  </si>
  <si>
    <t>Extracting information from a decommissioned or second-hand device's persistent memory</t>
  </si>
  <si>
    <t>AS31</t>
  </si>
  <si>
    <t>Attacking a customer network from another customer network via the product's internal gateway</t>
  </si>
  <si>
    <t>AS32</t>
  </si>
  <si>
    <t>AS33</t>
  </si>
  <si>
    <t>Disclosure of data by an untrusted entity receiving data from the product</t>
  </si>
  <si>
    <t>AS34</t>
  </si>
  <si>
    <t>Attacking the product's outgoing communication to an external communication partner over the Internet or a mobile network</t>
  </si>
  <si>
    <t>AS35</t>
  </si>
  <si>
    <t>Disrupting the product's communication with an external entity (with communication over the Internet or a mobile network)</t>
  </si>
  <si>
    <t>AS36</t>
  </si>
  <si>
    <t>Attacking the product's incoming communication from the Internet or a mobile network</t>
  </si>
  <si>
    <t>AS37</t>
  </si>
  <si>
    <t>The product is manipulated during production and consequently behaves maliciously</t>
  </si>
  <si>
    <t>AS38</t>
  </si>
  <si>
    <t>Manipulated parts from the supply chain are integrated into the product, leading to the product behaving maliciously</t>
  </si>
  <si>
    <t>AS39</t>
  </si>
  <si>
    <t>Data extraction from the product's volatile memory</t>
  </si>
  <si>
    <t>AS40</t>
  </si>
  <si>
    <t>Abusing the lack of a software update functionality to exploit an unpatched vulnerability</t>
  </si>
  <si>
    <t>AS41</t>
  </si>
  <si>
    <t>Extracting information from a decommissioned or second-hand device's RAM</t>
  </si>
  <si>
    <t>Product name:</t>
  </si>
  <si>
    <t>Interrupting the product with a Denial of Service (DoS) attack</t>
  </si>
  <si>
    <t>Denial of Service (DoS) on the customer's network</t>
  </si>
  <si>
    <t>Company name:</t>
  </si>
  <si>
    <t>acontis technology GmbH</t>
  </si>
  <si>
    <t>Extracting or misusing the company IP</t>
  </si>
  <si>
    <t>Info:</t>
  </si>
  <si>
    <t>Goal of the risk assessments is to identify potential damage or harm in the sense of a failure mode and effects analysis (FMEA) (safety) but also in the sense of the Cyber Resiliance Act (CRA) (security). In most cases, a chain of errors and/or circumstances leads to disaster. That is why it is important to consider this chain of events in preventive analysis. This also helps immensely in finding countermeasures and mitigations, as the chain can be broken at various points.</t>
  </si>
  <si>
    <t>RiskMatrixData</t>
  </si>
  <si>
    <t>Inadmissible accessing a customer network from another customer network via the EC-Masters EoE or other protocol gateways. Two RAS endpoints are bridged by the virtual internal switch.</t>
  </si>
  <si>
    <t>There are Common Vulnerabilities and Exposures (CVE) for a part of the supply chain but nobody maintains the used part anymore e.g. eXpat</t>
  </si>
  <si>
    <t>There are strongly needed features for a part of the supply chain but nobody maintains the used part anymore</t>
  </si>
  <si>
    <t xml:space="preserve">Configuration could be read out via the RAS interface e.g. with the EC-Engineer. </t>
  </si>
  <si>
    <t>RAS</t>
  </si>
  <si>
    <t>EtherCAT</t>
  </si>
  <si>
    <t>ENI</t>
  </si>
  <si>
    <t>EoE</t>
  </si>
  <si>
    <t>eXpat</t>
  </si>
  <si>
    <t>Help entry</t>
  </si>
  <si>
    <t>maybe a hard coded CRC/SHA that ensures a distinct ENI</t>
  </si>
  <si>
    <t>Virtual TAPs with Firewall?</t>
  </si>
  <si>
    <t>Tests, Access rights, Firewall check before FTP, Upload just by a certain instance e.g. build server, with certain check mechanisms and file hashes</t>
  </si>
  <si>
    <t>We must ensure that updates of the parts are downloaded/cloned from the official site of the project e.g. eXpat. If e.g. the eXpat library is tampered it's nearly impossible to get aware of the manipulation without extensive tests before integration.</t>
  </si>
  <si>
    <t>we have the source</t>
  </si>
  <si>
    <t>SPOC, customer help, Token mechanism with access rights, Document securtity issues and the already available associated counter measures and mechanisms</t>
  </si>
  <si>
    <t>e.g. prepared EtherCAT frame to set process data</t>
  </si>
  <si>
    <t>Sporadically frames hit our RAS interface</t>
  </si>
  <si>
    <t>e.g. changing the ENI file or parameters via RAS e.g. setting a value to be always one, manipulating the EoE subnetworks</t>
  </si>
  <si>
    <t>RAS, ENI</t>
  </si>
  <si>
    <t>The attacker has access to the ENI file and manipulates it (e.g. variable mapping). The system is forced to reload the ENI file e.g. by a planned or unintended restart.</t>
  </si>
  <si>
    <t>The customer has access to the ENI file and manipulates it (e.g. variable mapping). The system is forced to reload the ENI file e.g. by a planned or unintended restart.</t>
  </si>
  <si>
    <t>intentionally by an attacker or unintentially by mistake</t>
  </si>
  <si>
    <t>Parts of the supply chain are not maintained anymore</t>
  </si>
  <si>
    <t>Delivering the wrong package</t>
  </si>
  <si>
    <t>Currently it's not very unlikely that an employee selects the wrong package in a delivery</t>
  </si>
  <si>
    <t>Customer or attacker on customers site misuses the EC-Master source code e.g. makes it public available</t>
  </si>
  <si>
    <t>Employee or internal attacker misuses the EC-Master source code e.g. uses a non-licensed feature</t>
  </si>
  <si>
    <t>FAS</t>
  </si>
  <si>
    <t>Attack/Risk Path (ARP)</t>
  </si>
  <si>
    <t>EC-Master stack</t>
  </si>
  <si>
    <t>Circumvention of licence provisions or bypassing of licensing procedures</t>
  </si>
  <si>
    <t>AS42</t>
  </si>
  <si>
    <t>Cusotmer ignores license provisions or passes by our licensing mechanims</t>
  </si>
  <si>
    <t>Attacker has access to device/hardware the EC-Master is built-in: Keyboard, HDD, Network Adapter and uses a bug (infinite loop, race condition, memory leaks, out-of-memory, lock-up, crash) in the EC-Master.</t>
  </si>
  <si>
    <t>infinite loop, race condition, memory leaks, out-of-memory, lock-up, crash</t>
  </si>
  <si>
    <t>Detailed description</t>
  </si>
  <si>
    <t>Help entry: Customer must ensure that nobody tampers with the files we deliver</t>
  </si>
  <si>
    <t>Help entry: Customer must ensure that nobody tampers with the files we deliver (e.g. with a firewall)</t>
  </si>
  <si>
    <t>Help entry: Monitoring switch may not expose heavy traffic</t>
  </si>
  <si>
    <t>RAS, EAP, MbxGateway</t>
  </si>
  <si>
    <t>MAC/frame filtering</t>
  </si>
  <si>
    <t>MAC/frame/CMD index filtering, waiting on ETG Document that covers this</t>
  </si>
  <si>
    <t>Restrict access and encryption</t>
  </si>
  <si>
    <t>Currently are just n clients allowed, RAS cookie/signature, RAS TLS, Customer firewall/VPN/SSL</t>
  </si>
  <si>
    <t>Use RAS TLS and/or SPOC</t>
  </si>
  <si>
    <t>WireShark sniffing of EtherCAT communication (and manipulating process data), EtherCAT men-in-the-middle</t>
  </si>
  <si>
    <t>WireShark sniffing of RAS communication (and manipulating process data), e.g. RAS men-in-the-middle</t>
  </si>
  <si>
    <t>e.g. prepared TCP RAS frame to set process data</t>
  </si>
  <si>
    <t>Waiting for ETG Document</t>
  </si>
  <si>
    <t>Help entry: Customer should separate networks via firewalls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</si>
</sst>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u/>
      <sz val="11"/>
      <color theme="10"/>
      <name val="Calibri"/>
      <family val="2"/>
      <scheme val="minor"/>
    </font>
    <font>
      <sz val="9"/>
      <color indexed="81"/>
      <name val="Segoe UI"/>
      <family val="2"/>
    </font>
    <font>
      <b/>
      <sz val="12"/>
      <color theme="1"/>
      <name val="Calibri"/>
      <family val="2"/>
      <scheme val="minor"/>
    </font>
    <font>
      <sz val="12"/>
      <color theme="1"/>
      <name val="Calibri"/>
      <family val="2"/>
      <scheme val="minor"/>
    </font>
    <font>
      <sz val="10"/>
      <color theme="1"/>
      <name val="Calibri"/>
      <family val="2"/>
      <scheme val="minor"/>
    </font>
    <font>
      <u/>
      <sz val="10"/>
      <color theme="10"/>
      <name val="Calibri"/>
      <family val="2"/>
      <scheme val="minor"/>
    </font>
    <font>
      <sz val="11"/>
      <color rgb="FF1F1F1F"/>
      <name val="Arial"/>
      <family val="2"/>
    </font>
    <font>
      <b/>
      <sz val="11"/>
      <color rgb="FF1F1F1F"/>
      <name val="Arial"/>
      <family val="2"/>
    </font>
    <font>
      <sz val="8"/>
      <name val="Calibri"/>
      <family val="2"/>
      <scheme val="minor"/>
    </font>
    <font>
      <sz val="10"/>
      <name val="Calibri"/>
      <family val="2"/>
      <scheme val="minor"/>
    </font>
  </fonts>
  <fills count="4">
    <fill>
      <patternFill patternType="none"/>
    </fill>
    <fill>
      <patternFill patternType="gray125"/>
    </fill>
    <fill>
      <patternFill patternType="solid">
        <fgColor rgb="FFFFFF00"/>
      </patternFill>
    </fill>
    <fill>
      <patternFill patternType="solid">
        <fgColor theme="0" tint="-0.249977111117893"/>
        <bgColor indexed="64"/>
      </patternFill>
    </fill>
  </fills>
  <borders count="1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67">
    <xf numFmtId="0" fontId="0" fillId="0" borderId="0" xfId="0"/>
    <xf numFmtId="0" fontId="0" fillId="0" borderId="0" xfId="0" applyAlignment="1">
      <alignment horizontal="center" vertical="center"/>
    </xf>
    <xf numFmtId="0" fontId="0" fillId="2" borderId="0" xfId="0" applyFill="1" applyAlignment="1">
      <alignment horizontal="center" vertical="center"/>
    </xf>
    <xf numFmtId="0" fontId="6" fillId="0" borderId="0" xfId="0" applyFont="1" applyAlignment="1" applyProtection="1">
      <alignment horizontal="left" vertical="center" wrapText="1"/>
      <protection locked="0"/>
    </xf>
    <xf numFmtId="0" fontId="6" fillId="0" borderId="4" xfId="0"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6" fillId="0" borderId="0" xfId="0" applyFont="1" applyBorder="1" applyAlignment="1" applyProtection="1">
      <alignment horizontal="center" vertical="center"/>
      <protection locked="0"/>
    </xf>
    <xf numFmtId="14" fontId="6" fillId="0" borderId="0" xfId="0" applyNumberFormat="1" applyFont="1" applyAlignment="1" applyProtection="1">
      <alignment horizontal="center" vertical="center"/>
      <protection locked="0"/>
    </xf>
    <xf numFmtId="0" fontId="6" fillId="0" borderId="0" xfId="0" applyFont="1" applyAlignment="1" applyProtection="1">
      <alignment horizontal="center" vertical="center" wrapText="1"/>
      <protection locked="0"/>
    </xf>
    <xf numFmtId="0" fontId="6" fillId="0" borderId="0" xfId="0" applyFont="1" applyAlignment="1" applyProtection="1">
      <alignment horizontal="center" vertical="center"/>
    </xf>
    <xf numFmtId="0" fontId="6" fillId="0" borderId="0" xfId="0" applyFont="1" applyBorder="1" applyAlignment="1" applyProtection="1">
      <alignment horizontal="left" vertical="center" wrapText="1"/>
      <protection locked="0"/>
    </xf>
    <xf numFmtId="0" fontId="6" fillId="0" borderId="4" xfId="0" applyFont="1" applyBorder="1" applyAlignment="1" applyProtection="1">
      <alignment horizontal="left" vertical="center" wrapText="1"/>
      <protection locked="0"/>
    </xf>
    <xf numFmtId="0" fontId="7" fillId="0" borderId="0" xfId="1" applyFont="1" applyBorder="1" applyAlignment="1" applyProtection="1">
      <alignment horizontal="left" vertical="center" wrapText="1"/>
      <protection locked="0"/>
    </xf>
    <xf numFmtId="0" fontId="6" fillId="0" borderId="0" xfId="0" applyFont="1" applyBorder="1" applyAlignment="1" applyProtection="1">
      <alignment horizontal="center" vertical="center" wrapText="1"/>
      <protection locked="0"/>
    </xf>
    <xf numFmtId="14" fontId="6" fillId="0" borderId="0" xfId="0" applyNumberFormat="1" applyFont="1" applyBorder="1" applyAlignment="1" applyProtection="1">
      <alignment horizontal="center" vertical="center"/>
      <protection locked="0"/>
    </xf>
    <xf numFmtId="0" fontId="6" fillId="0" borderId="0" xfId="0" applyFont="1" applyAlignment="1" applyProtection="1">
      <alignment vertical="center"/>
      <protection locked="0"/>
    </xf>
    <xf numFmtId="0" fontId="5" fillId="3" borderId="0" xfId="0" applyFont="1" applyFill="1" applyAlignment="1" applyProtection="1">
      <alignment horizontal="center" vertical="center"/>
    </xf>
    <xf numFmtId="0" fontId="5" fillId="3" borderId="0" xfId="0" applyFont="1" applyFill="1" applyAlignment="1" applyProtection="1">
      <alignment horizontal="center" vertical="center"/>
      <protection locked="0"/>
    </xf>
    <xf numFmtId="0" fontId="0" fillId="0" borderId="0" xfId="0" applyAlignment="1">
      <alignment vertical="center"/>
    </xf>
    <xf numFmtId="0" fontId="0" fillId="0" borderId="0" xfId="0" applyNumberFormat="1" applyBorder="1" applyAlignment="1">
      <alignment vertical="center"/>
    </xf>
    <xf numFmtId="0" fontId="0" fillId="0" borderId="0" xfId="0" applyBorder="1" applyAlignment="1">
      <alignment vertical="center"/>
    </xf>
    <xf numFmtId="0" fontId="9" fillId="0" borderId="0" xfId="0" applyFont="1" applyBorder="1" applyAlignment="1">
      <alignment horizontal="left" vertical="center" wrapText="1" readingOrder="1"/>
    </xf>
    <xf numFmtId="0" fontId="8" fillId="0" borderId="0" xfId="0" applyFont="1" applyBorder="1" applyAlignment="1">
      <alignment horizontal="left" vertical="center" wrapText="1" readingOrder="1"/>
    </xf>
    <xf numFmtId="0" fontId="1" fillId="3" borderId="14" xfId="0" applyFont="1" applyFill="1" applyBorder="1" applyAlignment="1">
      <alignment vertical="center"/>
    </xf>
    <xf numFmtId="0" fontId="1" fillId="3" borderId="15" xfId="0" applyFont="1" applyFill="1" applyBorder="1" applyAlignment="1">
      <alignment vertical="center"/>
    </xf>
    <xf numFmtId="0" fontId="1" fillId="3" borderId="13" xfId="0" applyFont="1" applyFill="1" applyBorder="1" applyAlignment="1">
      <alignment vertical="center"/>
    </xf>
    <xf numFmtId="0" fontId="1" fillId="3" borderId="7" xfId="0" applyFont="1" applyFill="1" applyBorder="1" applyAlignment="1">
      <alignment vertical="center"/>
    </xf>
    <xf numFmtId="0" fontId="0" fillId="0" borderId="0" xfId="0" applyBorder="1" applyAlignment="1" applyProtection="1">
      <alignment vertical="center"/>
      <protection locked="0"/>
    </xf>
    <xf numFmtId="0" fontId="0" fillId="0" borderId="0" xfId="0" applyFill="1" applyBorder="1" applyAlignment="1" applyProtection="1">
      <alignment vertical="center"/>
      <protection locked="0"/>
    </xf>
    <xf numFmtId="0" fontId="1" fillId="3" borderId="1" xfId="0" applyFont="1" applyFill="1" applyBorder="1" applyAlignment="1">
      <alignment vertical="center"/>
    </xf>
    <xf numFmtId="0" fontId="1" fillId="3" borderId="2" xfId="0" applyFont="1" applyFill="1" applyBorder="1" applyAlignment="1">
      <alignment vertical="center"/>
    </xf>
    <xf numFmtId="0" fontId="1" fillId="3" borderId="3" xfId="0" applyFont="1" applyFill="1" applyBorder="1" applyAlignment="1">
      <alignment vertical="center"/>
    </xf>
    <xf numFmtId="0" fontId="0" fillId="3" borderId="0" xfId="0" applyFill="1"/>
    <xf numFmtId="0" fontId="0" fillId="0" borderId="0" xfId="0" applyProtection="1"/>
    <xf numFmtId="0" fontId="1" fillId="3" borderId="16" xfId="0" applyFont="1" applyFill="1" applyBorder="1" applyProtection="1"/>
    <xf numFmtId="0" fontId="1" fillId="3" borderId="17" xfId="0" applyFont="1" applyFill="1" applyBorder="1" applyProtection="1"/>
    <xf numFmtId="0" fontId="0" fillId="0" borderId="0" xfId="0" applyProtection="1">
      <protection locked="0"/>
    </xf>
    <xf numFmtId="0" fontId="0" fillId="3" borderId="0" xfId="0" applyFill="1" applyAlignment="1">
      <alignment vertical="top"/>
    </xf>
    <xf numFmtId="0" fontId="6" fillId="3" borderId="0" xfId="0" applyFont="1" applyFill="1" applyBorder="1" applyAlignment="1" applyProtection="1">
      <alignment horizontal="center" vertical="center"/>
    </xf>
    <xf numFmtId="0" fontId="6" fillId="3" borderId="5" xfId="0" applyFont="1" applyFill="1" applyBorder="1" applyAlignment="1" applyProtection="1">
      <alignment horizontal="center" vertical="center"/>
    </xf>
    <xf numFmtId="0" fontId="4" fillId="3" borderId="1" xfId="0" applyFont="1" applyFill="1" applyBorder="1" applyAlignment="1" applyProtection="1">
      <alignment horizontal="center" vertical="top"/>
    </xf>
    <xf numFmtId="0" fontId="4" fillId="3" borderId="2" xfId="0" applyFont="1" applyFill="1" applyBorder="1" applyAlignment="1" applyProtection="1">
      <alignment horizontal="center" vertical="top"/>
    </xf>
    <xf numFmtId="0" fontId="4" fillId="3" borderId="2" xfId="0" applyNumberFormat="1" applyFont="1" applyFill="1" applyBorder="1" applyAlignment="1" applyProtection="1">
      <alignment horizontal="center" vertical="top"/>
    </xf>
    <xf numFmtId="0" fontId="4" fillId="3" borderId="2" xfId="0" applyFont="1" applyFill="1" applyBorder="1" applyAlignment="1" applyProtection="1">
      <alignment horizontal="center" vertical="top" wrapText="1"/>
    </xf>
    <xf numFmtId="0" fontId="4" fillId="3" borderId="3" xfId="0" applyFont="1" applyFill="1" applyBorder="1" applyAlignment="1" applyProtection="1">
      <alignment horizontal="center" vertical="top"/>
    </xf>
    <xf numFmtId="0" fontId="4" fillId="3" borderId="3" xfId="0" applyNumberFormat="1" applyFont="1" applyFill="1" applyBorder="1" applyAlignment="1" applyProtection="1">
      <alignment horizontal="center" vertical="top"/>
    </xf>
    <xf numFmtId="0" fontId="5" fillId="3" borderId="0" xfId="0" applyFont="1" applyFill="1" applyBorder="1" applyAlignment="1" applyProtection="1">
      <alignment horizontal="center" vertical="top"/>
    </xf>
    <xf numFmtId="0" fontId="6" fillId="0" borderId="0" xfId="0" applyFont="1" applyFill="1" applyAlignment="1" applyProtection="1">
      <alignment horizontal="center" vertical="center" wrapText="1"/>
      <protection locked="0"/>
    </xf>
    <xf numFmtId="0" fontId="6" fillId="3" borderId="0" xfId="0" applyFont="1" applyFill="1" applyAlignment="1" applyProtection="1">
      <alignment horizontal="center" vertical="center" wrapText="1"/>
      <protection locked="0"/>
    </xf>
    <xf numFmtId="0" fontId="6" fillId="3" borderId="0" xfId="0" applyFont="1" applyFill="1" applyAlignment="1" applyProtection="1">
      <alignment horizontal="center" vertical="center" wrapText="1"/>
    </xf>
    <xf numFmtId="0" fontId="11" fillId="0" borderId="0" xfId="0" applyFont="1" applyAlignment="1" applyProtection="1">
      <alignment horizontal="left" vertical="center" wrapText="1"/>
      <protection locked="0"/>
    </xf>
    <xf numFmtId="0" fontId="0" fillId="0" borderId="0" xfId="0" applyAlignment="1">
      <alignment horizontal="left" vertical="top" wrapText="1"/>
    </xf>
    <xf numFmtId="0" fontId="4" fillId="3" borderId="1" xfId="0" applyFont="1" applyFill="1" applyBorder="1" applyAlignment="1" applyProtection="1">
      <alignment horizontal="center" vertical="center"/>
    </xf>
    <xf numFmtId="0" fontId="4" fillId="3" borderId="3" xfId="0" applyFont="1" applyFill="1" applyBorder="1" applyAlignment="1" applyProtection="1">
      <alignment horizontal="center" vertical="center"/>
    </xf>
    <xf numFmtId="0" fontId="4" fillId="3" borderId="2" xfId="0" applyFont="1" applyFill="1" applyBorder="1" applyAlignment="1" applyProtection="1">
      <alignment horizontal="center" vertical="center"/>
    </xf>
    <xf numFmtId="0" fontId="1" fillId="3" borderId="1" xfId="0" applyFont="1" applyFill="1" applyBorder="1" applyAlignment="1" applyProtection="1">
      <alignment horizontal="center"/>
    </xf>
    <xf numFmtId="0" fontId="1" fillId="3" borderId="2" xfId="0" applyFont="1" applyFill="1" applyBorder="1" applyAlignment="1" applyProtection="1">
      <alignment horizontal="center"/>
    </xf>
    <xf numFmtId="0" fontId="1" fillId="3" borderId="3" xfId="0" applyFont="1" applyFill="1" applyBorder="1" applyAlignment="1" applyProtection="1">
      <alignment horizont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0" xfId="0" applyFont="1" applyFill="1" applyBorder="1" applyProtection="1"/>
  </cellXfs>
  <cellStyles count="2">
    <cellStyle name="Link" xfId="1" builtinId="8"/>
    <cellStyle name="Standard" xfId="0" builtinId="0"/>
  </cellStyles>
  <dxfs count="22">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styles" Target="styles.xml"/><Relationship Id="rId3" Type="http://schemas.openxmlformats.org/officeDocument/2006/relationships/chartsheet" Target="chartsheets/sheet1.xml"/><Relationship Id="rId7" Type="http://schemas.openxmlformats.org/officeDocument/2006/relationships/worksheet" Target="worksheets/sheet6.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calcChain" Target="calcChain.xml"/><Relationship Id="rId10" Type="http://schemas.openxmlformats.org/officeDocument/2006/relationships/worksheet" Target="worksheets/sheet9.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Risk Matrix</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RiskAssessment!$AA$2</c:f>
              <c:strCache>
                <c:ptCount val="1"/>
                <c:pt idx="0">
                  <c:v>Low</c:v>
                </c:pt>
              </c:strCache>
            </c:strRef>
          </c:tx>
          <c:spPr>
            <a:ln w="25400" cap="rnd">
              <a:noFill/>
              <a:round/>
            </a:ln>
            <a:effectLst>
              <a:outerShdw blurRad="40000" dist="23000" dir="5400000" rotWithShape="0">
                <a:srgbClr val="000000">
                  <a:alpha val="35000"/>
                </a:srgbClr>
              </a:outerShdw>
            </a:effectLst>
          </c:spPr>
          <c:marker>
            <c:symbol val="circle"/>
            <c:size val="15"/>
            <c:spPr>
              <a:solidFill>
                <a:srgbClr val="00B050"/>
              </a:solidFill>
              <a:ln w="9525" cap="rnd">
                <a:solidFill>
                  <a:srgbClr val="00B05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RiskAssessment!$Z$3:$Z$499</c:f>
              <c:numCache>
                <c:formatCode>General</c:formatCode>
                <c:ptCount val="497"/>
                <c:pt idx="0">
                  <c:v>1.85</c:v>
                </c:pt>
                <c:pt idx="1">
                  <c:v>2.16</c:v>
                </c:pt>
                <c:pt idx="2">
                  <c:v>3.12</c:v>
                </c:pt>
                <c:pt idx="3">
                  <c:v>3.08</c:v>
                </c:pt>
                <c:pt idx="4">
                  <c:v>1.1499999999999999</c:v>
                </c:pt>
                <c:pt idx="5">
                  <c:v>0.8</c:v>
                </c:pt>
                <c:pt idx="6">
                  <c:v>2.93</c:v>
                </c:pt>
                <c:pt idx="7">
                  <c:v>1.89</c:v>
                </c:pt>
                <c:pt idx="8">
                  <c:v>2.0299999999999998</c:v>
                </c:pt>
                <c:pt idx="9">
                  <c:v>2.0299999999999998</c:v>
                </c:pt>
                <c:pt idx="10">
                  <c:v>1.82</c:v>
                </c:pt>
                <c:pt idx="11">
                  <c:v>1.93</c:v>
                </c:pt>
                <c:pt idx="12">
                  <c:v>2.91</c:v>
                </c:pt>
                <c:pt idx="13">
                  <c:v>2.85</c:v>
                </c:pt>
                <c:pt idx="14">
                  <c:v>3.09</c:v>
                </c:pt>
                <c:pt idx="15">
                  <c:v>2.88</c:v>
                </c:pt>
                <c:pt idx="16">
                  <c:v>3.2</c:v>
                </c:pt>
                <c:pt idx="17">
                  <c:v>3.8</c:v>
                </c:pt>
                <c:pt idx="18">
                  <c:v>4.1100000000000003</c:v>
                </c:pt>
                <c:pt idx="19">
                  <c:v>3.99</c:v>
                </c:pt>
                <c:pt idx="20">
                  <c:v>3.98</c:v>
                </c:pt>
                <c:pt idx="21">
                  <c:v>3.01</c:v>
                </c:pt>
                <c:pt idx="22">
                  <c:v>1.83</c:v>
                </c:pt>
                <c:pt idx="23">
                  <c:v>1.81</c:v>
                </c:pt>
                <c:pt idx="24">
                  <c:v>1.8599999999999999</c:v>
                </c:pt>
                <c:pt idx="25">
                  <c:v>2.0099999999999998</c:v>
                </c:pt>
                <c:pt idx="26">
                  <c:v>1.99</c:v>
                </c:pt>
                <c:pt idx="27">
                  <c:v>1.81</c:v>
                </c:pt>
                <c:pt idx="28">
                  <c:v>2.82</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numCache>
            </c:numRef>
          </c:xVal>
          <c:yVal>
            <c:numRef>
              <c:f>RiskAssessment!$AA$3:$AA$499</c:f>
              <c:numCache>
                <c:formatCode>General</c:formatCode>
                <c:ptCount val="497"/>
                <c:pt idx="0">
                  <c:v>#N/A</c:v>
                </c:pt>
                <c:pt idx="1">
                  <c:v>#N/A</c:v>
                </c:pt>
                <c:pt idx="2">
                  <c:v>#N/A</c:v>
                </c:pt>
                <c:pt idx="3">
                  <c:v>#N/A</c:v>
                </c:pt>
                <c:pt idx="4">
                  <c:v>5.15</c:v>
                </c:pt>
                <c:pt idx="5">
                  <c:v>4.8099999999999996</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1.84</c:v>
                </c:pt>
                <c:pt idx="26">
                  <c:v>1.97</c:v>
                </c:pt>
                <c:pt idx="27">
                  <c:v>1.2</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numCache>
            </c:numRef>
          </c:yVal>
          <c:smooth val="0"/>
          <c:extLst>
            <c:ext xmlns:c16="http://schemas.microsoft.com/office/drawing/2014/chart" uri="{C3380CC4-5D6E-409C-BE32-E72D297353CC}">
              <c16:uniqueId val="{00000000-3BF1-42E8-9DF6-BC73CFA71EEE}"/>
            </c:ext>
          </c:extLst>
        </c:ser>
        <c:ser>
          <c:idx val="1"/>
          <c:order val="1"/>
          <c:tx>
            <c:strRef>
              <c:f>RiskAssessment!$AB$2</c:f>
              <c:strCache>
                <c:ptCount val="1"/>
                <c:pt idx="0">
                  <c:v>Medium</c:v>
                </c:pt>
              </c:strCache>
            </c:strRef>
          </c:tx>
          <c:spPr>
            <a:ln w="25400" cap="rnd">
              <a:noFill/>
              <a:round/>
            </a:ln>
            <a:effectLst>
              <a:outerShdw blurRad="40000" dist="23000" dir="5400000" rotWithShape="0">
                <a:srgbClr val="000000">
                  <a:alpha val="35000"/>
                </a:srgbClr>
              </a:outerShdw>
            </a:effectLst>
          </c:spPr>
          <c:marker>
            <c:symbol val="circle"/>
            <c:size val="15"/>
            <c:spPr>
              <a:solidFill>
                <a:srgbClr val="FFFF00"/>
              </a:solidFill>
              <a:ln w="9525" cap="rnd">
                <a:solidFill>
                  <a:srgbClr val="FFFF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RiskAssessment!$Z$3:$Z$499</c:f>
              <c:numCache>
                <c:formatCode>General</c:formatCode>
                <c:ptCount val="497"/>
                <c:pt idx="0">
                  <c:v>1.85</c:v>
                </c:pt>
                <c:pt idx="1">
                  <c:v>2.16</c:v>
                </c:pt>
                <c:pt idx="2">
                  <c:v>3.12</c:v>
                </c:pt>
                <c:pt idx="3">
                  <c:v>3.08</c:v>
                </c:pt>
                <c:pt idx="4">
                  <c:v>1.1499999999999999</c:v>
                </c:pt>
                <c:pt idx="5">
                  <c:v>0.8</c:v>
                </c:pt>
                <c:pt idx="6">
                  <c:v>2.93</c:v>
                </c:pt>
                <c:pt idx="7">
                  <c:v>1.89</c:v>
                </c:pt>
                <c:pt idx="8">
                  <c:v>2.0299999999999998</c:v>
                </c:pt>
                <c:pt idx="9">
                  <c:v>2.0299999999999998</c:v>
                </c:pt>
                <c:pt idx="10">
                  <c:v>1.82</c:v>
                </c:pt>
                <c:pt idx="11">
                  <c:v>1.93</c:v>
                </c:pt>
                <c:pt idx="12">
                  <c:v>2.91</c:v>
                </c:pt>
                <c:pt idx="13">
                  <c:v>2.85</c:v>
                </c:pt>
                <c:pt idx="14">
                  <c:v>3.09</c:v>
                </c:pt>
                <c:pt idx="15">
                  <c:v>2.88</c:v>
                </c:pt>
                <c:pt idx="16">
                  <c:v>3.2</c:v>
                </c:pt>
                <c:pt idx="17">
                  <c:v>3.8</c:v>
                </c:pt>
                <c:pt idx="18">
                  <c:v>4.1100000000000003</c:v>
                </c:pt>
                <c:pt idx="19">
                  <c:v>3.99</c:v>
                </c:pt>
                <c:pt idx="20">
                  <c:v>3.98</c:v>
                </c:pt>
                <c:pt idx="21">
                  <c:v>3.01</c:v>
                </c:pt>
                <c:pt idx="22">
                  <c:v>1.83</c:v>
                </c:pt>
                <c:pt idx="23">
                  <c:v>1.81</c:v>
                </c:pt>
                <c:pt idx="24">
                  <c:v>1.8599999999999999</c:v>
                </c:pt>
                <c:pt idx="25">
                  <c:v>2.0099999999999998</c:v>
                </c:pt>
                <c:pt idx="26">
                  <c:v>1.99</c:v>
                </c:pt>
                <c:pt idx="27">
                  <c:v>1.81</c:v>
                </c:pt>
                <c:pt idx="28">
                  <c:v>2.82</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numCache>
            </c:numRef>
          </c:xVal>
          <c:yVal>
            <c:numRef>
              <c:f>RiskAssessment!$AB$3:$AB$499</c:f>
              <c:numCache>
                <c:formatCode>General</c:formatCode>
                <c:ptCount val="497"/>
                <c:pt idx="0">
                  <c:v>4.87</c:v>
                </c:pt>
                <c:pt idx="1">
                  <c:v>4.91</c:v>
                </c:pt>
                <c:pt idx="2">
                  <c:v>#N/A</c:v>
                </c:pt>
                <c:pt idx="3">
                  <c:v>#N/A</c:v>
                </c:pt>
                <c:pt idx="4">
                  <c:v>#N/A</c:v>
                </c:pt>
                <c:pt idx="5">
                  <c:v>#N/A</c:v>
                </c:pt>
                <c:pt idx="6">
                  <c:v>#N/A</c:v>
                </c:pt>
                <c:pt idx="7">
                  <c:v>5.19</c:v>
                </c:pt>
                <c:pt idx="8">
                  <c:v>5.03</c:v>
                </c:pt>
                <c:pt idx="9">
                  <c:v>5.04</c:v>
                </c:pt>
                <c:pt idx="10">
                  <c:v>5.19</c:v>
                </c:pt>
                <c:pt idx="11">
                  <c:v>5.03</c:v>
                </c:pt>
                <c:pt idx="12">
                  <c:v>#N/A</c:v>
                </c:pt>
                <c:pt idx="13">
                  <c:v>#N/A</c:v>
                </c:pt>
                <c:pt idx="14">
                  <c:v>#N/A</c:v>
                </c:pt>
                <c:pt idx="15">
                  <c:v>#N/A</c:v>
                </c:pt>
                <c:pt idx="16">
                  <c:v>#N/A</c:v>
                </c:pt>
                <c:pt idx="17">
                  <c:v>#N/A</c:v>
                </c:pt>
                <c:pt idx="18">
                  <c:v>#N/A</c:v>
                </c:pt>
                <c:pt idx="19">
                  <c:v>#N/A</c:v>
                </c:pt>
                <c:pt idx="20">
                  <c:v>3.18</c:v>
                </c:pt>
                <c:pt idx="21">
                  <c:v>#N/A</c:v>
                </c:pt>
                <c:pt idx="22">
                  <c:v>5.1100000000000003</c:v>
                </c:pt>
                <c:pt idx="23">
                  <c:v>3.13</c:v>
                </c:pt>
                <c:pt idx="24">
                  <c:v>5.12</c:v>
                </c:pt>
                <c:pt idx="25">
                  <c:v>#N/A</c:v>
                </c:pt>
                <c:pt idx="26">
                  <c:v>#N/A</c:v>
                </c:pt>
                <c:pt idx="27">
                  <c:v>#N/A</c:v>
                </c:pt>
                <c:pt idx="28">
                  <c:v>3.07</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numCache>
            </c:numRef>
          </c:yVal>
          <c:smooth val="0"/>
          <c:extLst>
            <c:ext xmlns:c16="http://schemas.microsoft.com/office/drawing/2014/chart" uri="{C3380CC4-5D6E-409C-BE32-E72D297353CC}">
              <c16:uniqueId val="{00000001-3BF1-42E8-9DF6-BC73CFA71EEE}"/>
            </c:ext>
          </c:extLst>
        </c:ser>
        <c:ser>
          <c:idx val="2"/>
          <c:order val="2"/>
          <c:tx>
            <c:strRef>
              <c:f>RiskAssessment!$AC$2</c:f>
              <c:strCache>
                <c:ptCount val="1"/>
                <c:pt idx="0">
                  <c:v>High</c:v>
                </c:pt>
              </c:strCache>
            </c:strRef>
          </c:tx>
          <c:spPr>
            <a:ln w="25400" cap="rnd">
              <a:noFill/>
              <a:round/>
            </a:ln>
            <a:effectLst>
              <a:outerShdw blurRad="40000" dist="23000" dir="5400000" rotWithShape="0">
                <a:srgbClr val="000000">
                  <a:alpha val="35000"/>
                </a:srgbClr>
              </a:outerShdw>
            </a:effectLst>
          </c:spPr>
          <c:marker>
            <c:symbol val="circle"/>
            <c:size val="15"/>
            <c:spPr>
              <a:solidFill>
                <a:srgbClr val="FF0000"/>
              </a:solidFill>
              <a:ln w="9525" cap="rnd">
                <a:solidFill>
                  <a:srgbClr val="FF0000"/>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RiskAssessment!$Z$3:$Z$499</c:f>
              <c:numCache>
                <c:formatCode>General</c:formatCode>
                <c:ptCount val="497"/>
                <c:pt idx="0">
                  <c:v>1.85</c:v>
                </c:pt>
                <c:pt idx="1">
                  <c:v>2.16</c:v>
                </c:pt>
                <c:pt idx="2">
                  <c:v>3.12</c:v>
                </c:pt>
                <c:pt idx="3">
                  <c:v>3.08</c:v>
                </c:pt>
                <c:pt idx="4">
                  <c:v>1.1499999999999999</c:v>
                </c:pt>
                <c:pt idx="5">
                  <c:v>0.8</c:v>
                </c:pt>
                <c:pt idx="6">
                  <c:v>2.93</c:v>
                </c:pt>
                <c:pt idx="7">
                  <c:v>1.89</c:v>
                </c:pt>
                <c:pt idx="8">
                  <c:v>2.0299999999999998</c:v>
                </c:pt>
                <c:pt idx="9">
                  <c:v>2.0299999999999998</c:v>
                </c:pt>
                <c:pt idx="10">
                  <c:v>1.82</c:v>
                </c:pt>
                <c:pt idx="11">
                  <c:v>1.93</c:v>
                </c:pt>
                <c:pt idx="12">
                  <c:v>2.91</c:v>
                </c:pt>
                <c:pt idx="13">
                  <c:v>2.85</c:v>
                </c:pt>
                <c:pt idx="14">
                  <c:v>3.09</c:v>
                </c:pt>
                <c:pt idx="15">
                  <c:v>2.88</c:v>
                </c:pt>
                <c:pt idx="16">
                  <c:v>3.2</c:v>
                </c:pt>
                <c:pt idx="17">
                  <c:v>3.8</c:v>
                </c:pt>
                <c:pt idx="18">
                  <c:v>4.1100000000000003</c:v>
                </c:pt>
                <c:pt idx="19">
                  <c:v>3.99</c:v>
                </c:pt>
                <c:pt idx="20">
                  <c:v>3.98</c:v>
                </c:pt>
                <c:pt idx="21">
                  <c:v>3.01</c:v>
                </c:pt>
                <c:pt idx="22">
                  <c:v>1.83</c:v>
                </c:pt>
                <c:pt idx="23">
                  <c:v>1.81</c:v>
                </c:pt>
                <c:pt idx="24">
                  <c:v>1.8599999999999999</c:v>
                </c:pt>
                <c:pt idx="25">
                  <c:v>2.0099999999999998</c:v>
                </c:pt>
                <c:pt idx="26">
                  <c:v>1.99</c:v>
                </c:pt>
                <c:pt idx="27">
                  <c:v>1.81</c:v>
                </c:pt>
                <c:pt idx="28">
                  <c:v>2.82</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numCache>
            </c:numRef>
          </c:xVal>
          <c:yVal>
            <c:numRef>
              <c:f>RiskAssessment!$AC$3:$AC$499</c:f>
              <c:numCache>
                <c:formatCode>General</c:formatCode>
                <c:ptCount val="497"/>
                <c:pt idx="0">
                  <c:v>#N/A</c:v>
                </c:pt>
                <c:pt idx="1">
                  <c:v>#N/A</c:v>
                </c:pt>
                <c:pt idx="2">
                  <c:v>4.9800000000000004</c:v>
                </c:pt>
                <c:pt idx="3">
                  <c:v>5.1100000000000003</c:v>
                </c:pt>
                <c:pt idx="4">
                  <c:v>#N/A</c:v>
                </c:pt>
                <c:pt idx="5">
                  <c:v>#N/A</c:v>
                </c:pt>
                <c:pt idx="6">
                  <c:v>5.16</c:v>
                </c:pt>
                <c:pt idx="7">
                  <c:v>#N/A</c:v>
                </c:pt>
                <c:pt idx="8">
                  <c:v>#N/A</c:v>
                </c:pt>
                <c:pt idx="9">
                  <c:v>#N/A</c:v>
                </c:pt>
                <c:pt idx="10">
                  <c:v>#N/A</c:v>
                </c:pt>
                <c:pt idx="11">
                  <c:v>#N/A</c:v>
                </c:pt>
                <c:pt idx="12">
                  <c:v>5.0999999999999996</c:v>
                </c:pt>
                <c:pt idx="13">
                  <c:v>5.04</c:v>
                </c:pt>
                <c:pt idx="14">
                  <c:v>5.14</c:v>
                </c:pt>
                <c:pt idx="15">
                  <c:v>5.15</c:v>
                </c:pt>
                <c:pt idx="16">
                  <c:v>4.91</c:v>
                </c:pt>
                <c:pt idx="17">
                  <c:v>5.12</c:v>
                </c:pt>
                <c:pt idx="18">
                  <c:v>5.01</c:v>
                </c:pt>
                <c:pt idx="19">
                  <c:v>3.98</c:v>
                </c:pt>
                <c:pt idx="20">
                  <c:v>#N/A</c:v>
                </c:pt>
                <c:pt idx="21">
                  <c:v>5.14</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numCache>
            </c:numRef>
          </c:yVal>
          <c:smooth val="0"/>
          <c:extLst>
            <c:ext xmlns:c16="http://schemas.microsoft.com/office/drawing/2014/chart" uri="{C3380CC4-5D6E-409C-BE32-E72D297353CC}">
              <c16:uniqueId val="{00000002-3BF1-42E8-9DF6-BC73CFA71EEE}"/>
            </c:ext>
          </c:extLst>
        </c:ser>
        <c:dLbls>
          <c:showLegendKey val="0"/>
          <c:showVal val="0"/>
          <c:showCatName val="0"/>
          <c:showSerName val="0"/>
          <c:showPercent val="0"/>
          <c:showBubbleSize val="0"/>
        </c:dLbls>
        <c:axId val="196638848"/>
        <c:axId val="196647008"/>
      </c:scatterChart>
      <c:valAx>
        <c:axId val="196638848"/>
        <c:scaling>
          <c:orientation val="minMax"/>
          <c:max val="5.5"/>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Likelihood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47008"/>
        <c:crosses val="autoZero"/>
        <c:crossBetween val="midCat"/>
        <c:minorUnit val="1"/>
      </c:valAx>
      <c:valAx>
        <c:axId val="196647008"/>
        <c:scaling>
          <c:orientation val="minMax"/>
          <c:max val="5.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Impact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38848"/>
        <c:crosses val="autoZero"/>
        <c:crossBetween val="midCat"/>
        <c:majorUnit val="1"/>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95138AA-A384-4087-8C1B-C85E62F7C0CE}">
  <sheetPr codeName="Diagramm3">
    <tabColor theme="0" tint="-0.249977111117893"/>
  </sheetPr>
  <sheetViews>
    <sheetView zoomScale="115" workbookViewId="0"/>
  </sheetViews>
  <sheetProtection content="1" objects="1"/>
  <pageMargins left="0.7" right="0.7" top="0.78740157499999996" bottom="0.78740157499999996"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284804" cy="6021457"/>
    <xdr:graphicFrame macro="">
      <xdr:nvGraphicFramePr>
        <xdr:cNvPr id="2" name="Diagramm 1">
          <a:extLst>
            <a:ext uri="{FF2B5EF4-FFF2-40B4-BE49-F238E27FC236}">
              <a16:creationId xmlns:a16="http://schemas.microsoft.com/office/drawing/2014/main" id="{426326D0-5E33-38C7-C9FA-732C8C9BAF5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777C6-B331-4F18-8D76-CFB202D0511B}">
  <sheetPr codeName="Tabelle2"/>
  <dimension ref="A1:D5"/>
  <sheetViews>
    <sheetView workbookViewId="0">
      <selection activeCell="B5" sqref="B5:D5"/>
    </sheetView>
  </sheetViews>
  <sheetFormatPr baseColWidth="10" defaultRowHeight="15" x14ac:dyDescent="0.25"/>
  <cols>
    <col min="1" max="1" width="17.7109375" bestFit="1" customWidth="1"/>
    <col min="2" max="2" width="34.28515625" customWidth="1"/>
    <col min="3" max="3" width="6.140625" customWidth="1"/>
    <col min="4" max="4" width="45.7109375" customWidth="1"/>
  </cols>
  <sheetData>
    <row r="1" spans="1:4" x14ac:dyDescent="0.25">
      <c r="A1" s="32" t="s">
        <v>180</v>
      </c>
      <c r="B1" t="s">
        <v>181</v>
      </c>
    </row>
    <row r="2" spans="1:4" x14ac:dyDescent="0.25">
      <c r="A2" s="32" t="s">
        <v>177</v>
      </c>
      <c r="B2" t="s">
        <v>216</v>
      </c>
    </row>
    <row r="3" spans="1:4" x14ac:dyDescent="0.25">
      <c r="A3" s="32" t="s">
        <v>30</v>
      </c>
      <c r="B3">
        <v>3</v>
      </c>
    </row>
    <row r="4" spans="1:4" x14ac:dyDescent="0.25">
      <c r="A4" s="32" t="s">
        <v>31</v>
      </c>
    </row>
    <row r="5" spans="1:4" ht="78" customHeight="1" x14ac:dyDescent="0.25">
      <c r="A5" s="37" t="s">
        <v>183</v>
      </c>
      <c r="B5" s="51" t="s">
        <v>184</v>
      </c>
      <c r="C5" s="51"/>
      <c r="D5" s="51"/>
    </row>
  </sheetData>
  <mergeCells count="1">
    <mergeCell ref="B5:D5"/>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AC499"/>
  <sheetViews>
    <sheetView tabSelected="1" zoomScale="115" zoomScaleNormal="115" workbookViewId="0">
      <pane xSplit="1" ySplit="2" topLeftCell="J3" activePane="bottomRight" state="frozen"/>
      <selection pane="topRight" activeCell="B1" sqref="B1"/>
      <selection pane="bottomLeft" activeCell="A3" sqref="A3"/>
      <selection pane="bottomRight" activeCell="S5" sqref="S5"/>
    </sheetView>
  </sheetViews>
  <sheetFormatPr baseColWidth="10" defaultColWidth="9.140625" defaultRowHeight="15.75" x14ac:dyDescent="0.25"/>
  <cols>
    <col min="1" max="1" width="4.28515625" style="17" bestFit="1" customWidth="1"/>
    <col min="2" max="2" width="20.7109375" style="3" customWidth="1"/>
    <col min="3" max="3" width="35.7109375" style="3" customWidth="1"/>
    <col min="4" max="4" width="12.42578125" style="7" bestFit="1" customWidth="1"/>
    <col min="5" max="7" width="5.7109375" style="47" customWidth="1"/>
    <col min="8" max="8" width="5.7109375" style="49" customWidth="1"/>
    <col min="9" max="9" width="23.42578125" style="48" hidden="1" customWidth="1"/>
    <col min="10" max="10" width="65.7109375" style="49" customWidth="1"/>
    <col min="11" max="11" width="18.28515625" style="8" customWidth="1"/>
    <col min="12" max="12" width="12.85546875" style="5" bestFit="1" customWidth="1"/>
    <col min="13" max="13" width="8.85546875" style="3" customWidth="1"/>
    <col min="14" max="14" width="11.140625" style="4" bestFit="1" customWidth="1"/>
    <col min="15" max="15" width="11.140625" style="6" bestFit="1" customWidth="1"/>
    <col min="16" max="16" width="5.140625" style="38" bestFit="1" customWidth="1"/>
    <col min="17" max="17" width="9.42578125" style="39" bestFit="1" customWidth="1"/>
    <col min="18" max="18" width="20.7109375" style="3" customWidth="1"/>
    <col min="19" max="19" width="35.7109375" style="3" customWidth="1"/>
    <col min="20" max="20" width="20.7109375" style="11" customWidth="1"/>
    <col min="21" max="21" width="20.7109375" style="3" customWidth="1"/>
    <col min="22" max="22" width="7.85546875" style="8" bestFit="1" customWidth="1"/>
    <col min="23" max="23" width="7" style="5" bestFit="1" customWidth="1"/>
    <col min="24" max="24" width="11" style="7" bestFit="1" customWidth="1"/>
    <col min="25" max="25" width="10" style="7" bestFit="1" customWidth="1"/>
    <col min="26" max="29" width="5.7109375" style="9" customWidth="1"/>
    <col min="30" max="16384" width="9.140625" style="15"/>
  </cols>
  <sheetData>
    <row r="1" spans="1:29" s="16" customFormat="1" ht="16.5" thickBot="1" x14ac:dyDescent="0.3">
      <c r="A1" s="52" t="s">
        <v>0</v>
      </c>
      <c r="B1" s="54"/>
      <c r="C1" s="54"/>
      <c r="D1" s="54"/>
      <c r="E1" s="54"/>
      <c r="F1" s="54"/>
      <c r="G1" s="54"/>
      <c r="H1" s="54"/>
      <c r="I1" s="54"/>
      <c r="J1" s="54"/>
      <c r="K1" s="54"/>
      <c r="L1" s="54"/>
      <c r="M1" s="53"/>
      <c r="N1" s="52" t="s">
        <v>49</v>
      </c>
      <c r="O1" s="54"/>
      <c r="P1" s="54"/>
      <c r="Q1" s="53"/>
      <c r="R1" s="52" t="s">
        <v>50</v>
      </c>
      <c r="S1" s="53"/>
      <c r="T1" s="52" t="s">
        <v>27</v>
      </c>
      <c r="U1" s="54"/>
      <c r="V1" s="54"/>
      <c r="W1" s="54"/>
      <c r="X1" s="54"/>
      <c r="Y1" s="53"/>
      <c r="Z1" s="52" t="s">
        <v>185</v>
      </c>
      <c r="AA1" s="54"/>
      <c r="AB1" s="54"/>
      <c r="AC1" s="53"/>
    </row>
    <row r="2" spans="1:29" s="46" customFormat="1" ht="24.95" customHeight="1" thickBot="1" x14ac:dyDescent="0.3">
      <c r="A2" s="40" t="s">
        <v>40</v>
      </c>
      <c r="B2" s="43" t="s">
        <v>28</v>
      </c>
      <c r="C2" s="41" t="s">
        <v>1</v>
      </c>
      <c r="D2" s="42" t="s">
        <v>13</v>
      </c>
      <c r="E2" s="43" t="s">
        <v>93</v>
      </c>
      <c r="F2" s="43" t="s">
        <v>94</v>
      </c>
      <c r="G2" s="43" t="s">
        <v>95</v>
      </c>
      <c r="H2" s="43" t="s">
        <v>214</v>
      </c>
      <c r="I2" s="43" t="s">
        <v>96</v>
      </c>
      <c r="J2" s="43" t="s">
        <v>215</v>
      </c>
      <c r="K2" s="41" t="str">
        <f>DamageCategory!$A$1</f>
        <v>Damage Category</v>
      </c>
      <c r="L2" s="41" t="s">
        <v>21</v>
      </c>
      <c r="M2" s="41" t="s">
        <v>29</v>
      </c>
      <c r="N2" s="40" t="str">
        <f>Likelihood!$A$1</f>
        <v>Likelihood</v>
      </c>
      <c r="O2" s="41" t="str">
        <f>Impact!$A$1</f>
        <v>Impact</v>
      </c>
      <c r="P2" s="41" t="s">
        <v>37</v>
      </c>
      <c r="Q2" s="44" t="str">
        <f>RPN!$C$1</f>
        <v>RPN Cat.</v>
      </c>
      <c r="R2" s="41" t="s">
        <v>28</v>
      </c>
      <c r="S2" s="41" t="s">
        <v>1</v>
      </c>
      <c r="T2" s="40" t="s">
        <v>17</v>
      </c>
      <c r="U2" s="41" t="s">
        <v>19</v>
      </c>
      <c r="V2" s="41" t="s">
        <v>2</v>
      </c>
      <c r="W2" s="41" t="str">
        <f>Owner!$A$1</f>
        <v>Owner</v>
      </c>
      <c r="X2" s="42" t="s">
        <v>14</v>
      </c>
      <c r="Y2" s="45" t="s">
        <v>4</v>
      </c>
      <c r="Z2" s="41" t="s">
        <v>38</v>
      </c>
      <c r="AA2" s="41" t="str">
        <f>RPN!$C$2</f>
        <v>Low</v>
      </c>
      <c r="AB2" s="41" t="str">
        <f>RPN!$C$3</f>
        <v>Medium</v>
      </c>
      <c r="AC2" s="44" t="str">
        <f>RPN!$C$4</f>
        <v>High</v>
      </c>
    </row>
    <row r="3" spans="1:29" ht="63.75" x14ac:dyDescent="0.25">
      <c r="A3" s="17">
        <v>1</v>
      </c>
      <c r="B3" s="3" t="str">
        <f>I3</f>
        <v>AS1 -&gt; AS3</v>
      </c>
      <c r="C3" s="3" t="s">
        <v>220</v>
      </c>
      <c r="D3" s="7">
        <v>46077</v>
      </c>
      <c r="E3" s="47" t="s">
        <v>93</v>
      </c>
      <c r="F3" s="47" t="s">
        <v>95</v>
      </c>
      <c r="H3" s="49" t="str">
        <f>IF(ISBLANK(E3),"s. D.",IF(ISBLANK(F3),E3,IF(ISBLANK(G3),F3,G3)))</f>
        <v>AS3</v>
      </c>
      <c r="I3" s="48" t="str">
        <f>IF(NOT(ISBLANK(E3)),E3,"")&amp;IF(NOT(ISBLANK(F3))," -&gt; "&amp;F3,"")&amp;IF(NOT(ISBLANK(G3))," -&gt; "&amp;G3,"")</f>
        <v>AS1 -&gt; AS3</v>
      </c>
      <c r="J3" s="49" t="str">
        <f>I3&amp;IF(NOT(ISBLANK(E3)),CHAR(10)&amp;VLOOKUP(E3,AttackRiskStep!$A$3:$C$99,3,FALSE),"see Description")&amp;IF(NOT(ISBLANK(F3))," -&gt; "&amp;CHAR(10)&amp;VLOOKUP(F3,AttackRiskStep!$A$3:$C$99,3,FALSE),"")&amp;IF(NOT(ISBLANK(G3))," -&gt; "&amp;CHAR(10)&amp;VLOOKUP(G3,AttackRiskStep!$A$3:$C$99,3,FALSE),"")</f>
        <v>AS1 -&gt; AS3
Gain access to a trusted operational environment -&gt; 
Compromising the EC-Master stack using a software vulnerability</v>
      </c>
      <c r="K3" s="8" t="s">
        <v>62</v>
      </c>
      <c r="L3" s="5" t="s">
        <v>16</v>
      </c>
      <c r="N3" s="4" t="s">
        <v>45</v>
      </c>
      <c r="O3" s="6" t="s">
        <v>42</v>
      </c>
      <c r="P3" s="38">
        <f>VLOOKUP($N3,Likelihood!$A$3:$B$7,2,FALSE)*VLOOKUP($O3,Impact!$A$4:$B$8,2,FALSE)</f>
        <v>10</v>
      </c>
      <c r="Q3" s="39" t="str">
        <f>VLOOKUP(P3,RPN!$B$6:$C$22,2)</f>
        <v>Medium</v>
      </c>
      <c r="R3" s="10" t="str">
        <f>$R$27</f>
        <v>RID25: SW Tests</v>
      </c>
      <c r="S3" s="10" t="str">
        <f>$S$27</f>
        <v>RID25: Virus scan, Static code analysis (Lint, CppCheck), Unit Tests, Functional Tests, Dynamic Tests</v>
      </c>
      <c r="T3" s="11" t="s">
        <v>223</v>
      </c>
      <c r="U3" s="12"/>
      <c r="V3" s="13"/>
      <c r="W3" s="6"/>
      <c r="X3" s="14"/>
      <c r="Y3" s="14"/>
      <c r="Z3" s="9">
        <f ca="1">VLOOKUP($N3,Likelihood!$A$3:$C$7,2,FALSE)+RANDBETWEEN(-20,20)/100</f>
        <v>1.85</v>
      </c>
      <c r="AA3" s="9" t="e">
        <f ca="1">IF($Q3=AA$2,VLOOKUP($O3,Impact!$A$4:$B$8,2,FALSE)+RANDBETWEEN(-20,20)/100,NA())</f>
        <v>#N/A</v>
      </c>
      <c r="AB3" s="9">
        <f ca="1">IF($Q3=AB$2,VLOOKUP($O3,Impact!$A$4:$B$8,2,FALSE)+RANDBETWEEN(-20,20)/100,NA())</f>
        <v>4.87</v>
      </c>
      <c r="AC3" s="9" t="e">
        <f ca="1">IF($Q3=AC$2,VLOOKUP($O3,Impact!$A$4:$B$8,2,FALSE)+RANDBETWEEN(-20,20)/100,NA())</f>
        <v>#N/A</v>
      </c>
    </row>
    <row r="4" spans="1:29" ht="63.75" x14ac:dyDescent="0.25">
      <c r="A4" s="17">
        <v>2</v>
      </c>
      <c r="B4" s="3" t="str">
        <f>I4</f>
        <v>AS2 -&gt; AS3</v>
      </c>
      <c r="D4" s="7">
        <v>46077</v>
      </c>
      <c r="E4" s="47" t="s">
        <v>94</v>
      </c>
      <c r="F4" s="47" t="s">
        <v>95</v>
      </c>
      <c r="H4" s="49" t="str">
        <f t="shared" ref="H4:H64" si="0">IF(ISBLANK(E4),"s. D.",IF(ISBLANK(F4),E4,IF(ISBLANK(G4),F4,G4)))</f>
        <v>AS3</v>
      </c>
      <c r="I4" s="48" t="str">
        <f t="shared" ref="I4:I66" si="1">IF(NOT(ISBLANK(E4)),E4,"")&amp;IF(NOT(ISBLANK(F4))," -&gt; "&amp;F4,"")&amp;IF(NOT(ISBLANK(G4))," -&gt; "&amp;G4,"")</f>
        <v>AS2 -&gt; AS3</v>
      </c>
      <c r="J4" s="49" t="str">
        <f>I4&amp;IF(NOT(ISBLANK(E4)),CHAR(10)&amp;VLOOKUP(E4,AttackRiskStep!$A$3:$C$99,3,FALSE),"see Description")&amp;IF(NOT(ISBLANK(F4))," -&gt; "&amp;CHAR(10)&amp;VLOOKUP(F4,AttackRiskStep!$A$3:$C$99,3,FALSE),"")&amp;IF(NOT(ISBLANK(G4))," -&gt; "&amp;CHAR(10)&amp;VLOOKUP(G4,AttackRiskStep!$A$3:$C$99,3,FALSE),"")</f>
        <v>AS2 -&gt; AS3
Gain access to a local network -&gt; 
Compromising the EC-Master stack using a software vulnerability</v>
      </c>
      <c r="K4" s="8" t="s">
        <v>62</v>
      </c>
      <c r="L4" s="5" t="s">
        <v>16</v>
      </c>
      <c r="N4" s="4" t="s">
        <v>45</v>
      </c>
      <c r="O4" s="6" t="s">
        <v>42</v>
      </c>
      <c r="P4" s="38">
        <f>VLOOKUP($N4,Likelihood!$A$3:$B$7,2,FALSE)*VLOOKUP($O4,Impact!$A$4:$B$8,2,FALSE)</f>
        <v>10</v>
      </c>
      <c r="Q4" s="39" t="str">
        <f>VLOOKUP(P4,RPN!$B$6:$C$22,2)</f>
        <v>Medium</v>
      </c>
      <c r="R4" s="10" t="str">
        <f>$R$27</f>
        <v>RID25: SW Tests</v>
      </c>
      <c r="S4" s="10" t="str">
        <f>$S$27</f>
        <v>RID25: Virus scan, Static code analysis (Lint, CppCheck), Unit Tests, Functional Tests, Dynamic Tests</v>
      </c>
      <c r="T4" s="11" t="s">
        <v>224</v>
      </c>
      <c r="U4" s="10"/>
      <c r="V4" s="13"/>
      <c r="W4" s="6"/>
      <c r="X4" s="14"/>
      <c r="Y4" s="14"/>
      <c r="Z4" s="9">
        <f ca="1">VLOOKUP($N4,Likelihood!$A$3:$C$7,2,FALSE)+RANDBETWEEN(-20,20)/100</f>
        <v>2.16</v>
      </c>
      <c r="AA4" s="9" t="e">
        <f ca="1">IF($Q4=AA$2,VLOOKUP($O4,Impact!$A$4:$B$8,2,FALSE)+RANDBETWEEN(-20,20)/100,NA())</f>
        <v>#N/A</v>
      </c>
      <c r="AB4" s="9">
        <f ca="1">IF($Q4=AB$2,VLOOKUP($O4,Impact!$A$4:$B$8,2,FALSE)+RANDBETWEEN(-20,20)/100,NA())</f>
        <v>4.91</v>
      </c>
      <c r="AC4" s="9" t="e">
        <f ca="1">IF($Q4=AC$2,VLOOKUP($O4,Impact!$A$4:$B$8,2,FALSE)+RANDBETWEEN(-20,20)/100,NA())</f>
        <v>#N/A</v>
      </c>
    </row>
    <row r="5" spans="1:29" ht="38.25" x14ac:dyDescent="0.25">
      <c r="A5" s="17">
        <v>3</v>
      </c>
      <c r="B5" s="3" t="str">
        <f t="shared" ref="B5:B66" si="2">I5</f>
        <v>AS1 -&gt; AS4</v>
      </c>
      <c r="D5" s="7">
        <v>46077</v>
      </c>
      <c r="E5" s="47" t="s">
        <v>93</v>
      </c>
      <c r="F5" s="47" t="s">
        <v>104</v>
      </c>
      <c r="H5" s="49" t="str">
        <f t="shared" si="0"/>
        <v>AS4</v>
      </c>
      <c r="I5" s="48" t="str">
        <f t="shared" si="1"/>
        <v>AS1 -&gt; AS4</v>
      </c>
      <c r="J5" s="49" t="str">
        <f>I5&amp;IF(NOT(ISBLANK(E5)),CHAR(10)&amp;VLOOKUP(E5,AttackRiskStep!$A$3:$C$99,3,FALSE),"see Description")&amp;IF(NOT(ISBLANK(F5))," -&gt; "&amp;CHAR(10)&amp;VLOOKUP(F5,AttackRiskStep!$A$3:$C$99,3,FALSE),"")&amp;IF(NOT(ISBLANK(G5))," -&gt; "&amp;CHAR(10)&amp;VLOOKUP(G5,AttackRiskStep!$A$3:$C$99,3,FALSE),"")</f>
        <v>AS1 -&gt; AS4
Gain access to a trusted operational environment -&gt; 
Interrupting the EC-Master stack with a Denial of Service (DoS) attack</v>
      </c>
      <c r="K5" s="8" t="s">
        <v>25</v>
      </c>
      <c r="L5" s="5" t="s">
        <v>15</v>
      </c>
      <c r="M5" s="3" t="s">
        <v>191</v>
      </c>
      <c r="N5" s="4" t="s">
        <v>46</v>
      </c>
      <c r="O5" s="6" t="s">
        <v>42</v>
      </c>
      <c r="P5" s="38">
        <f>VLOOKUP($N5,Likelihood!$A$3:$B$7,2,FALSE)*VLOOKUP($O5,Impact!$A$4:$B$8,2,FALSE)</f>
        <v>15</v>
      </c>
      <c r="Q5" s="39" t="str">
        <f>VLOOKUP(P5,RPN!$B$6:$C$22,2)</f>
        <v>High</v>
      </c>
      <c r="R5" s="10" t="s">
        <v>227</v>
      </c>
      <c r="S5" s="10" t="s">
        <v>228</v>
      </c>
      <c r="T5" s="11" t="s">
        <v>225</v>
      </c>
      <c r="U5" s="10"/>
      <c r="V5" s="13"/>
      <c r="W5" s="6"/>
      <c r="X5" s="14"/>
      <c r="Y5" s="14"/>
      <c r="Z5" s="9">
        <f ca="1">VLOOKUP($N5,Likelihood!$A$3:$C$7,2,FALSE)+RANDBETWEEN(-20,20)/100</f>
        <v>3.12</v>
      </c>
      <c r="AA5" s="9" t="e">
        <f ca="1">IF($Q5=AA$2,VLOOKUP($O5,Impact!$A$4:$B$8,2,FALSE)+RANDBETWEEN(-20,20)/100,NA())</f>
        <v>#N/A</v>
      </c>
      <c r="AB5" s="9" t="e">
        <f ca="1">IF($Q5=AB$2,VLOOKUP($O5,Impact!$A$4:$B$8,2,FALSE)+RANDBETWEEN(-20,20)/100,NA())</f>
        <v>#N/A</v>
      </c>
      <c r="AC5" s="9">
        <f ca="1">IF($Q5=AC$2,VLOOKUP($O5,Impact!$A$4:$B$8,2,FALSE)+RANDBETWEEN(-20,20)/100,NA())</f>
        <v>4.9800000000000004</v>
      </c>
    </row>
    <row r="6" spans="1:29" ht="38.25" x14ac:dyDescent="0.25">
      <c r="A6" s="17">
        <v>4</v>
      </c>
      <c r="B6" s="3" t="str">
        <f t="shared" si="2"/>
        <v>AS2 -&gt; AS4</v>
      </c>
      <c r="C6" s="3" t="s">
        <v>226</v>
      </c>
      <c r="D6" s="7">
        <v>46077</v>
      </c>
      <c r="E6" s="47" t="s">
        <v>94</v>
      </c>
      <c r="F6" s="47" t="s">
        <v>104</v>
      </c>
      <c r="H6" s="49" t="str">
        <f t="shared" si="0"/>
        <v>AS4</v>
      </c>
      <c r="I6" s="48" t="str">
        <f t="shared" si="1"/>
        <v>AS2 -&gt; AS4</v>
      </c>
      <c r="J6" s="49" t="str">
        <f>I6&amp;IF(NOT(ISBLANK(E6)),CHAR(10)&amp;VLOOKUP(E6,AttackRiskStep!$A$3:$C$99,3,FALSE),"see Description")&amp;IF(NOT(ISBLANK(F6))," -&gt; "&amp;CHAR(10)&amp;VLOOKUP(F6,AttackRiskStep!$A$3:$C$99,3,FALSE),"")&amp;IF(NOT(ISBLANK(G6))," -&gt; "&amp;CHAR(10)&amp;VLOOKUP(G6,AttackRiskStep!$A$3:$C$99,3,FALSE),"")</f>
        <v>AS2 -&gt; AS4
Gain access to a local network -&gt; 
Interrupting the EC-Master stack with a Denial of Service (DoS) attack</v>
      </c>
      <c r="K6" s="8" t="s">
        <v>25</v>
      </c>
      <c r="L6" s="5" t="s">
        <v>15</v>
      </c>
      <c r="M6" s="3" t="s">
        <v>190</v>
      </c>
      <c r="N6" s="4" t="s">
        <v>46</v>
      </c>
      <c r="O6" s="6" t="s">
        <v>42</v>
      </c>
      <c r="P6" s="38">
        <f>VLOOKUP($N6,Likelihood!$A$3:$B$7,2,FALSE)*VLOOKUP($O6,Impact!$A$4:$B$8,2,FALSE)</f>
        <v>15</v>
      </c>
      <c r="Q6" s="39" t="str">
        <f>VLOOKUP(P6,RPN!$B$6:$C$22,2)</f>
        <v>High</v>
      </c>
      <c r="R6" s="10" t="s">
        <v>229</v>
      </c>
      <c r="S6" s="10" t="s">
        <v>230</v>
      </c>
      <c r="U6" s="10"/>
      <c r="V6" s="13"/>
      <c r="W6" s="6"/>
      <c r="X6" s="14"/>
      <c r="Y6" s="14"/>
      <c r="Z6" s="9">
        <f ca="1">VLOOKUP($N6,Likelihood!$A$3:$C$7,2,FALSE)+RANDBETWEEN(-20,20)/100</f>
        <v>3.08</v>
      </c>
      <c r="AA6" s="9" t="e">
        <f ca="1">IF($Q6=AA$2,VLOOKUP($O6,Impact!$A$4:$B$8,2,FALSE)+RANDBETWEEN(-20,20)/100,NA())</f>
        <v>#N/A</v>
      </c>
      <c r="AB6" s="9" t="e">
        <f ca="1">IF($Q6=AB$2,VLOOKUP($O6,Impact!$A$4:$B$8,2,FALSE)+RANDBETWEEN(-20,20)/100,NA())</f>
        <v>#N/A</v>
      </c>
      <c r="AC6" s="9">
        <f ca="1">IF($Q6=AC$2,VLOOKUP($O6,Impact!$A$4:$B$8,2,FALSE)+RANDBETWEEN(-20,20)/100,NA())</f>
        <v>5.1100000000000003</v>
      </c>
    </row>
    <row r="7" spans="1:29" ht="38.25" x14ac:dyDescent="0.25">
      <c r="A7" s="17">
        <v>5</v>
      </c>
      <c r="B7" s="3" t="str">
        <f>I7</f>
        <v>AS1 -&gt; AS6</v>
      </c>
      <c r="C7" s="3" t="s">
        <v>232</v>
      </c>
      <c r="D7" s="7">
        <v>46077</v>
      </c>
      <c r="E7" s="47" t="s">
        <v>93</v>
      </c>
      <c r="F7" s="47" t="s">
        <v>107</v>
      </c>
      <c r="H7" s="49" t="str">
        <f>IF(ISBLANK(E7),"s. D.",IF(ISBLANK(F7),E7,IF(ISBLANK(G7),F7,G7)))</f>
        <v>AS6</v>
      </c>
      <c r="I7" s="48" t="str">
        <f>IF(NOT(ISBLANK(E7)),E7,"")&amp;IF(NOT(ISBLANK(F7))," -&gt; "&amp;F7,"")&amp;IF(NOT(ISBLANK(G7))," -&gt; "&amp;G7,"")</f>
        <v>AS1 -&gt; AS6</v>
      </c>
      <c r="J7" s="49" t="str">
        <f>I7&amp;IF(NOT(ISBLANK(E7)),CHAR(10)&amp;VLOOKUP(E7,AttackRiskStep!$A$3:$C$99,3,FALSE),"see Description")&amp;IF(NOT(ISBLANK(F7))," -&gt; "&amp;CHAR(10)&amp;VLOOKUP(F7,AttackRiskStep!$A$3:$C$99,3,FALSE),"")&amp;IF(NOT(ISBLANK(G7))," -&gt; "&amp;CHAR(10)&amp;VLOOKUP(G7,AttackRiskStep!$A$3:$C$99,3,FALSE),"")</f>
        <v>AS1 -&gt; AS6
Gain access to a trusted operational environment -&gt; 
Spoofing / tampering with the EC-Master stack's outgoing communication</v>
      </c>
      <c r="K7" s="8" t="s">
        <v>62</v>
      </c>
      <c r="L7" s="5" t="s">
        <v>15</v>
      </c>
      <c r="M7" s="3" t="s">
        <v>191</v>
      </c>
      <c r="N7" s="4" t="s">
        <v>36</v>
      </c>
      <c r="O7" s="6" t="s">
        <v>42</v>
      </c>
      <c r="P7" s="38">
        <f>VLOOKUP($N7,Likelihood!$A$3:$B$7,2,FALSE)*VLOOKUP($O7,Impact!$A$4:$B$8,2,FALSE)</f>
        <v>5</v>
      </c>
      <c r="Q7" s="39" t="str">
        <f>VLOOKUP(P7,RPN!$B$6:$C$22,2)</f>
        <v>Low</v>
      </c>
      <c r="R7" s="10" t="s">
        <v>235</v>
      </c>
      <c r="S7" s="10" t="s">
        <v>235</v>
      </c>
      <c r="U7" s="10"/>
      <c r="V7" s="13"/>
      <c r="W7" s="6"/>
      <c r="X7" s="14"/>
      <c r="Y7" s="14"/>
      <c r="Z7" s="9">
        <f ca="1">VLOOKUP($N7,Likelihood!$A$3:$C$7,2,FALSE)+RANDBETWEEN(-20,20)/100</f>
        <v>1.1499999999999999</v>
      </c>
      <c r="AA7" s="9">
        <f ca="1">IF($Q7=AA$2,VLOOKUP($O7,Impact!$A$4:$B$8,2,FALSE)+RANDBETWEEN(-20,20)/100,NA())</f>
        <v>5.15</v>
      </c>
      <c r="AB7" s="9" t="e">
        <f ca="1">IF($Q7=AB$2,VLOOKUP($O7,Impact!$A$4:$B$8,2,FALSE)+RANDBETWEEN(-20,20)/100,NA())</f>
        <v>#N/A</v>
      </c>
      <c r="AC7" s="9" t="e">
        <f ca="1">IF($Q7=AC$2,VLOOKUP($O7,Impact!$A$4:$B$8,2,FALSE)+RANDBETWEEN(-20,20)/100,NA())</f>
        <v>#N/A</v>
      </c>
    </row>
    <row r="8" spans="1:29" ht="38.25" x14ac:dyDescent="0.25">
      <c r="A8" s="17">
        <v>6</v>
      </c>
      <c r="B8" s="3" t="str">
        <f>I8</f>
        <v>AS2 -&gt; AS6</v>
      </c>
      <c r="C8" s="3" t="s">
        <v>233</v>
      </c>
      <c r="D8" s="7">
        <v>46077</v>
      </c>
      <c r="E8" s="47" t="s">
        <v>94</v>
      </c>
      <c r="F8" s="47" t="s">
        <v>107</v>
      </c>
      <c r="H8" s="49" t="str">
        <f t="shared" si="0"/>
        <v>AS6</v>
      </c>
      <c r="I8" s="48" t="str">
        <f t="shared" si="1"/>
        <v>AS2 -&gt; AS6</v>
      </c>
      <c r="J8" s="49" t="str">
        <f>I8&amp;IF(NOT(ISBLANK(E8)),CHAR(10)&amp;VLOOKUP(E8,AttackRiskStep!$A$3:$C$99,3,FALSE),"see Description")&amp;IF(NOT(ISBLANK(F8))," -&gt; "&amp;CHAR(10)&amp;VLOOKUP(F8,AttackRiskStep!$A$3:$C$99,3,FALSE),"")&amp;IF(NOT(ISBLANK(G8))," -&gt; "&amp;CHAR(10)&amp;VLOOKUP(G8,AttackRiskStep!$A$3:$C$99,3,FALSE),"")</f>
        <v>AS2 -&gt; AS6
Gain access to a local network -&gt; 
Spoofing / tampering with the EC-Master stack's outgoing communication</v>
      </c>
      <c r="K8" s="8" t="s">
        <v>62</v>
      </c>
      <c r="L8" s="5" t="s">
        <v>16</v>
      </c>
      <c r="M8" s="3" t="s">
        <v>190</v>
      </c>
      <c r="N8" s="4" t="s">
        <v>36</v>
      </c>
      <c r="O8" s="6" t="s">
        <v>42</v>
      </c>
      <c r="P8" s="38">
        <f>VLOOKUP($N8,Likelihood!$A$3:$B$7,2,FALSE)*VLOOKUP($O8,Impact!$A$4:$B$8,2,FALSE)</f>
        <v>5</v>
      </c>
      <c r="Q8" s="39" t="str">
        <f>VLOOKUP(P8,RPN!$B$6:$C$22,2)</f>
        <v>Low</v>
      </c>
      <c r="R8" s="10" t="s">
        <v>231</v>
      </c>
      <c r="S8" s="10" t="s">
        <v>231</v>
      </c>
      <c r="T8" s="11" t="s">
        <v>195</v>
      </c>
      <c r="U8" s="10"/>
      <c r="V8" s="13" t="s">
        <v>5</v>
      </c>
      <c r="W8" s="6"/>
      <c r="X8" s="14"/>
      <c r="Y8" s="14"/>
      <c r="Z8" s="9">
        <f ca="1">VLOOKUP($N8,Likelihood!$A$3:$C$7,2,FALSE)+RANDBETWEEN(-20,20)/100</f>
        <v>0.8</v>
      </c>
      <c r="AA8" s="9">
        <f ca="1">IF($Q8=AA$2,VLOOKUP($O8,Impact!$A$4:$B$8,2,FALSE)+RANDBETWEEN(-20,20)/100,NA())</f>
        <v>4.8099999999999996</v>
      </c>
      <c r="AB8" s="9" t="e">
        <f ca="1">IF($Q8=AB$2,VLOOKUP($O8,Impact!$A$4:$B$8,2,FALSE)+RANDBETWEEN(-20,20)/100,NA())</f>
        <v>#N/A</v>
      </c>
      <c r="AC8" s="9" t="e">
        <f ca="1">IF($Q8=AC$2,VLOOKUP($O8,Impact!$A$4:$B$8,2,FALSE)+RANDBETWEEN(-20,20)/100,NA())</f>
        <v>#N/A</v>
      </c>
    </row>
    <row r="9" spans="1:29" ht="38.25" x14ac:dyDescent="0.25">
      <c r="A9" s="17">
        <v>7</v>
      </c>
      <c r="B9" s="3" t="str">
        <f>I9</f>
        <v>AS1 -&gt; AS7</v>
      </c>
      <c r="C9" s="3" t="s">
        <v>202</v>
      </c>
      <c r="D9" s="7">
        <v>46077</v>
      </c>
      <c r="E9" s="47" t="s">
        <v>93</v>
      </c>
      <c r="F9" s="47" t="s">
        <v>109</v>
      </c>
      <c r="H9" s="49" t="str">
        <f t="shared" si="0"/>
        <v>AS7</v>
      </c>
      <c r="I9" s="48" t="str">
        <f t="shared" si="1"/>
        <v>AS1 -&gt; AS7</v>
      </c>
      <c r="J9" s="49" t="str">
        <f>I9&amp;IF(NOT(ISBLANK(E9)),CHAR(10)&amp;VLOOKUP(E9,AttackRiskStep!$A$3:$C$99,3,FALSE),"see Description")&amp;IF(NOT(ISBLANK(F9))," -&gt; "&amp;CHAR(10)&amp;VLOOKUP(F9,AttackRiskStep!$A$3:$C$99,3,FALSE),"")&amp;IF(NOT(ISBLANK(G9))," -&gt; "&amp;CHAR(10)&amp;VLOOKUP(G9,AttackRiskStep!$A$3:$C$99,3,FALSE),"")</f>
        <v>AS1 -&gt; AS7
Gain access to a trusted operational environment -&gt; 
Spoofing / tampering with the EC-Master stack's incoming communication</v>
      </c>
      <c r="K9" s="8" t="s">
        <v>62</v>
      </c>
      <c r="L9" s="5" t="s">
        <v>15</v>
      </c>
      <c r="M9" s="3" t="s">
        <v>191</v>
      </c>
      <c r="N9" s="4" t="s">
        <v>46</v>
      </c>
      <c r="O9" s="6" t="s">
        <v>42</v>
      </c>
      <c r="P9" s="38">
        <f>VLOOKUP($N9,Likelihood!$A$3:$B$7,2,FALSE)*VLOOKUP($O9,Impact!$A$4:$B$8,2,FALSE)</f>
        <v>15</v>
      </c>
      <c r="Q9" s="39" t="str">
        <f>VLOOKUP(P9,RPN!$B$6:$C$22,2)</f>
        <v>High</v>
      </c>
      <c r="R9" s="10" t="s">
        <v>235</v>
      </c>
      <c r="S9" s="10" t="s">
        <v>235</v>
      </c>
      <c r="U9" s="10"/>
      <c r="V9" s="13"/>
      <c r="W9" s="6"/>
      <c r="X9" s="14"/>
      <c r="Y9" s="14"/>
      <c r="Z9" s="9">
        <f ca="1">VLOOKUP($N9,Likelihood!$A$3:$C$7,2,FALSE)+RANDBETWEEN(-20,20)/100</f>
        <v>2.93</v>
      </c>
      <c r="AA9" s="9" t="e">
        <f ca="1">IF($Q9=AA$2,VLOOKUP($O9,Impact!$A$4:$B$8,2,FALSE)+RANDBETWEEN(-20,20)/100,NA())</f>
        <v>#N/A</v>
      </c>
      <c r="AB9" s="9" t="e">
        <f ca="1">IF($Q9=AB$2,VLOOKUP($O9,Impact!$A$4:$B$8,2,FALSE)+RANDBETWEEN(-20,20)/100,NA())</f>
        <v>#N/A</v>
      </c>
      <c r="AC9" s="9">
        <f ca="1">IF($Q9=AC$2,VLOOKUP($O9,Impact!$A$4:$B$8,2,FALSE)+RANDBETWEEN(-20,20)/100,NA())</f>
        <v>5.16</v>
      </c>
    </row>
    <row r="10" spans="1:29" ht="38.25" x14ac:dyDescent="0.25">
      <c r="A10" s="17">
        <v>8</v>
      </c>
      <c r="B10" s="3" t="str">
        <f>I10</f>
        <v>AS2 -&gt; AS7</v>
      </c>
      <c r="C10" s="3" t="s">
        <v>234</v>
      </c>
      <c r="D10" s="7">
        <v>46077</v>
      </c>
      <c r="E10" s="47" t="s">
        <v>94</v>
      </c>
      <c r="F10" s="47" t="s">
        <v>109</v>
      </c>
      <c r="H10" s="49" t="str">
        <f t="shared" si="0"/>
        <v>AS7</v>
      </c>
      <c r="I10" s="48" t="str">
        <f t="shared" si="1"/>
        <v>AS2 -&gt; AS7</v>
      </c>
      <c r="J10" s="49" t="str">
        <f>I10&amp;IF(NOT(ISBLANK(E10)),CHAR(10)&amp;VLOOKUP(E10,AttackRiskStep!$A$3:$C$99,3,FALSE),"see Description")&amp;IF(NOT(ISBLANK(F10))," -&gt; "&amp;CHAR(10)&amp;VLOOKUP(F10,AttackRiskStep!$A$3:$C$99,3,FALSE),"")&amp;IF(NOT(ISBLANK(G10))," -&gt; "&amp;CHAR(10)&amp;VLOOKUP(G10,AttackRiskStep!$A$3:$C$99,3,FALSE),"")</f>
        <v>AS2 -&gt; AS7
Gain access to a local network -&gt; 
Spoofing / tampering with the EC-Master stack's incoming communication</v>
      </c>
      <c r="K10" s="8" t="s">
        <v>62</v>
      </c>
      <c r="L10" s="5" t="s">
        <v>16</v>
      </c>
      <c r="M10" s="3" t="s">
        <v>190</v>
      </c>
      <c r="N10" s="4" t="s">
        <v>45</v>
      </c>
      <c r="O10" s="6" t="s">
        <v>42</v>
      </c>
      <c r="P10" s="38">
        <f>VLOOKUP($N10,Likelihood!$A$3:$B$7,2,FALSE)*VLOOKUP($O10,Impact!$A$4:$B$8,2,FALSE)</f>
        <v>10</v>
      </c>
      <c r="Q10" s="39" t="str">
        <f>VLOOKUP(P10,RPN!$B$6:$C$22,2)</f>
        <v>Medium</v>
      </c>
      <c r="R10" s="10" t="s">
        <v>231</v>
      </c>
      <c r="S10" s="10" t="s">
        <v>231</v>
      </c>
      <c r="U10" s="10"/>
      <c r="V10" s="13"/>
      <c r="W10" s="6"/>
      <c r="X10" s="14"/>
      <c r="Y10" s="14"/>
      <c r="Z10" s="9">
        <f ca="1">VLOOKUP($N10,Likelihood!$A$3:$C$7,2,FALSE)+RANDBETWEEN(-20,20)/100</f>
        <v>1.89</v>
      </c>
      <c r="AA10" s="9" t="e">
        <f ca="1">IF($Q10=AA$2,VLOOKUP($O10,Impact!$A$4:$B$8,2,FALSE)+RANDBETWEEN(-20,20)/100,NA())</f>
        <v>#N/A</v>
      </c>
      <c r="AB10" s="9">
        <f ca="1">IF($Q10=AB$2,VLOOKUP($O10,Impact!$A$4:$B$8,2,FALSE)+RANDBETWEEN(-20,20)/100,NA())</f>
        <v>5.19</v>
      </c>
      <c r="AC10" s="9" t="e">
        <f ca="1">IF($Q10=AC$2,VLOOKUP($O10,Impact!$A$4:$B$8,2,FALSE)+RANDBETWEEN(-20,20)/100,NA())</f>
        <v>#N/A</v>
      </c>
    </row>
    <row r="11" spans="1:29" ht="51" x14ac:dyDescent="0.25">
      <c r="A11" s="17">
        <v>9</v>
      </c>
      <c r="B11" s="3" t="str">
        <f t="shared" si="2"/>
        <v>AS1 -&gt; AS3 -&gt; AS10</v>
      </c>
      <c r="D11" s="7">
        <v>46079</v>
      </c>
      <c r="E11" s="47" t="s">
        <v>93</v>
      </c>
      <c r="F11" s="47" t="s">
        <v>95</v>
      </c>
      <c r="G11" s="47" t="s">
        <v>115</v>
      </c>
      <c r="H11" s="49" t="str">
        <f t="shared" si="0"/>
        <v>AS10</v>
      </c>
      <c r="I11" s="48" t="str">
        <f t="shared" si="1"/>
        <v>AS1 -&gt; AS3 -&gt; AS10</v>
      </c>
      <c r="J11" s="49" t="str">
        <f>I11&amp;IF(NOT(ISBLANK(E11)),CHAR(10)&amp;VLOOKUP(E11,AttackRiskStep!$A$3:$C$99,3,FALSE),"see Description")&amp;IF(NOT(ISBLANK(F11))," -&gt; "&amp;CHAR(10)&amp;VLOOKUP(F11,AttackRiskStep!$A$3:$C$99,3,FALSE),"")&amp;IF(NOT(ISBLANK(G11))," -&gt; "&amp;CHAR(10)&amp;VLOOKUP(G11,AttackRiskStep!$A$3:$C$99,3,FALSE),"")</f>
        <v>AS1 -&gt; AS3 -&gt; AS10
Gain access to a trusted operational environment -&gt; 
Compromising the EC-Master stack using a software vulnerability -&gt; 
Attacking devices in the customer's network</v>
      </c>
      <c r="K11" s="8" t="s">
        <v>62</v>
      </c>
      <c r="L11" s="5" t="s">
        <v>16</v>
      </c>
      <c r="N11" s="4" t="s">
        <v>45</v>
      </c>
      <c r="O11" s="6" t="s">
        <v>42</v>
      </c>
      <c r="P11" s="38">
        <f>VLOOKUP($N11,Likelihood!$A$3:$B$7,2,FALSE)*VLOOKUP($O11,Impact!$A$4:$B$8,2,FALSE)</f>
        <v>10</v>
      </c>
      <c r="Q11" s="39" t="str">
        <f>VLOOKUP(P11,RPN!$B$6:$C$22,2)</f>
        <v>Medium</v>
      </c>
      <c r="R11" s="10" t="str">
        <f>$R$27 &amp; " + customer firewall"</f>
        <v>RID25: SW Tests + customer firewall</v>
      </c>
      <c r="S11" s="10" t="str">
        <f>$S$27 &amp; ", customer firewall, waiting for ETG Document"</f>
        <v>RID25: Virus scan, Static code analysis (Lint, CppCheck), Unit Tests, Functional Tests, Dynamic Tests, customer firewall, waiting for ETG Document</v>
      </c>
      <c r="T11" s="11" t="s">
        <v>236</v>
      </c>
      <c r="U11" s="10"/>
      <c r="V11" s="13"/>
      <c r="W11" s="6"/>
      <c r="X11" s="14"/>
      <c r="Y11" s="14"/>
      <c r="Z11" s="9">
        <f ca="1">VLOOKUP($N11,Likelihood!$A$3:$C$7,2,FALSE)+RANDBETWEEN(-20,20)/100</f>
        <v>2.0299999999999998</v>
      </c>
      <c r="AA11" s="9" t="e">
        <f ca="1">IF($Q11=AA$2,VLOOKUP($O11,Impact!$A$4:$B$8,2,FALSE)+RANDBETWEEN(-20,20)/100,NA())</f>
        <v>#N/A</v>
      </c>
      <c r="AB11" s="9">
        <f ca="1">IF($Q11=AB$2,VLOOKUP($O11,Impact!$A$4:$B$8,2,FALSE)+RANDBETWEEN(-20,20)/100,NA())</f>
        <v>5.03</v>
      </c>
      <c r="AC11" s="9" t="e">
        <f ca="1">IF($Q11=AC$2,VLOOKUP($O11,Impact!$A$4:$B$8,2,FALSE)+RANDBETWEEN(-20,20)/100,NA())</f>
        <v>#N/A</v>
      </c>
    </row>
    <row r="12" spans="1:29" ht="51" x14ac:dyDescent="0.25">
      <c r="A12" s="17">
        <v>10</v>
      </c>
      <c r="B12" s="3" t="str">
        <f t="shared" si="2"/>
        <v>AS2 -&gt; AS3 -&gt; AS10</v>
      </c>
      <c r="D12" s="7">
        <v>46079</v>
      </c>
      <c r="E12" s="47" t="s">
        <v>94</v>
      </c>
      <c r="F12" s="47" t="s">
        <v>95</v>
      </c>
      <c r="G12" s="47" t="s">
        <v>115</v>
      </c>
      <c r="H12" s="49" t="str">
        <f t="shared" si="0"/>
        <v>AS10</v>
      </c>
      <c r="I12" s="48" t="str">
        <f t="shared" si="1"/>
        <v>AS2 -&gt; AS3 -&gt; AS10</v>
      </c>
      <c r="J12" s="49" t="str">
        <f>I12&amp;IF(NOT(ISBLANK(E12)),CHAR(10)&amp;VLOOKUP(E12,AttackRiskStep!$A$3:$C$99,3,FALSE),"see Description")&amp;IF(NOT(ISBLANK(F12))," -&gt; "&amp;CHAR(10)&amp;VLOOKUP(F12,AttackRiskStep!$A$3:$C$99,3,FALSE),"")&amp;IF(NOT(ISBLANK(G12))," -&gt; "&amp;CHAR(10)&amp;VLOOKUP(G12,AttackRiskStep!$A$3:$C$99,3,FALSE),"")</f>
        <v>AS2 -&gt; AS3 -&gt; AS10
Gain access to a local network -&gt; 
Compromising the EC-Master stack using a software vulnerability -&gt; 
Attacking devices in the customer's network</v>
      </c>
      <c r="K12" s="8" t="s">
        <v>62</v>
      </c>
      <c r="L12" s="5" t="s">
        <v>16</v>
      </c>
      <c r="N12" s="4" t="s">
        <v>45</v>
      </c>
      <c r="O12" s="6" t="s">
        <v>42</v>
      </c>
      <c r="P12" s="38">
        <f>VLOOKUP($N12,Likelihood!$A$3:$B$7,2,FALSE)*VLOOKUP($O12,Impact!$A$4:$B$8,2,FALSE)</f>
        <v>10</v>
      </c>
      <c r="Q12" s="39" t="str">
        <f>VLOOKUP(P12,RPN!$B$6:$C$22,2)</f>
        <v>Medium</v>
      </c>
      <c r="R12" s="10" t="str">
        <f>$R$27 &amp; " + customer firewall"</f>
        <v>RID25: SW Tests + customer firewall</v>
      </c>
      <c r="S12" s="10" t="str">
        <f>$S$27 &amp; ", customer firewall, waiting for ETG Document"</f>
        <v>RID25: Virus scan, Static code analysis (Lint, CppCheck), Unit Tests, Functional Tests, Dynamic Tests, customer firewall, waiting for ETG Document</v>
      </c>
      <c r="T12" s="11" t="s">
        <v>236</v>
      </c>
      <c r="U12" s="10"/>
      <c r="V12" s="13"/>
      <c r="W12" s="6"/>
      <c r="X12" s="14"/>
      <c r="Y12" s="14"/>
      <c r="Z12" s="9">
        <f ca="1">VLOOKUP($N12,Likelihood!$A$3:$C$7,2,FALSE)+RANDBETWEEN(-20,20)/100</f>
        <v>2.0299999999999998</v>
      </c>
      <c r="AA12" s="9" t="e">
        <f ca="1">IF($Q12=AA$2,VLOOKUP($O12,Impact!$A$4:$B$8,2,FALSE)+RANDBETWEEN(-20,20)/100,NA())</f>
        <v>#N/A</v>
      </c>
      <c r="AB12" s="9">
        <f ca="1">IF($Q12=AB$2,VLOOKUP($O12,Impact!$A$4:$B$8,2,FALSE)+RANDBETWEEN(-20,20)/100,NA())</f>
        <v>5.04</v>
      </c>
      <c r="AC12" s="9" t="e">
        <f ca="1">IF($Q12=AC$2,VLOOKUP($O12,Impact!$A$4:$B$8,2,FALSE)+RANDBETWEEN(-20,20)/100,NA())</f>
        <v>#N/A</v>
      </c>
    </row>
    <row r="13" spans="1:29" ht="51" x14ac:dyDescent="0.25">
      <c r="A13" s="17">
        <v>11</v>
      </c>
      <c r="B13" s="3" t="str">
        <f t="shared" ref="B13:B15" si="3">I13</f>
        <v>AS1 -&gt; AS3 -&gt; AS11</v>
      </c>
      <c r="D13" s="7">
        <v>46079</v>
      </c>
      <c r="E13" s="47" t="s">
        <v>93</v>
      </c>
      <c r="F13" s="47" t="s">
        <v>95</v>
      </c>
      <c r="G13" s="47" t="s">
        <v>117</v>
      </c>
      <c r="H13" s="49" t="str">
        <f t="shared" si="0"/>
        <v>AS11</v>
      </c>
      <c r="I13" s="48" t="str">
        <f t="shared" ref="I13:I15" si="4">IF(NOT(ISBLANK(E13)),E13,"")&amp;IF(NOT(ISBLANK(F13))," -&gt; "&amp;F13,"")&amp;IF(NOT(ISBLANK(G13))," -&gt; "&amp;G13,"")</f>
        <v>AS1 -&gt; AS3 -&gt; AS11</v>
      </c>
      <c r="J13" s="49" t="str">
        <f>I13&amp;IF(NOT(ISBLANK(E13)),CHAR(10)&amp;VLOOKUP(E13,AttackRiskStep!$A$3:$C$99,3,FALSE),"see Description")&amp;IF(NOT(ISBLANK(F13))," -&gt; "&amp;CHAR(10)&amp;VLOOKUP(F13,AttackRiskStep!$A$3:$C$99,3,FALSE),"")&amp;IF(NOT(ISBLANK(G13))," -&gt; "&amp;CHAR(10)&amp;VLOOKUP(G13,AttackRiskStep!$A$3:$C$99,3,FALSE),"")</f>
        <v>AS1 -&gt; AS3 -&gt; AS11
Gain access to a trusted operational environment -&gt; 
Compromising the EC-Master stack using a software vulnerability -&gt; 
Denial of Service (DoS) on the customer's network</v>
      </c>
      <c r="K13" s="8" t="s">
        <v>62</v>
      </c>
      <c r="L13" s="5" t="s">
        <v>16</v>
      </c>
      <c r="N13" s="4" t="s">
        <v>45</v>
      </c>
      <c r="O13" s="6" t="s">
        <v>42</v>
      </c>
      <c r="P13" s="38">
        <f>VLOOKUP($N13,Likelihood!$A$3:$B$7,2,FALSE)*VLOOKUP($O13,Impact!$A$4:$B$8,2,FALSE)</f>
        <v>10</v>
      </c>
      <c r="Q13" s="39" t="str">
        <f>VLOOKUP(P13,RPN!$B$6:$C$22,2)</f>
        <v>Medium</v>
      </c>
      <c r="R13" s="10"/>
      <c r="S13" s="10"/>
      <c r="U13" s="10"/>
      <c r="V13" s="13"/>
      <c r="W13" s="6"/>
      <c r="X13" s="14"/>
      <c r="Y13" s="14"/>
      <c r="Z13" s="9">
        <f ca="1">VLOOKUP($N13,Likelihood!$A$3:$C$7,2,FALSE)+RANDBETWEEN(-20,20)/100</f>
        <v>1.82</v>
      </c>
      <c r="AA13" s="9" t="e">
        <f ca="1">IF($Q13=AA$2,VLOOKUP($O13,Impact!$A$4:$B$8,2,FALSE)+RANDBETWEEN(-20,20)/100,NA())</f>
        <v>#N/A</v>
      </c>
      <c r="AB13" s="9">
        <f ca="1">IF($Q13=AB$2,VLOOKUP($O13,Impact!$A$4:$B$8,2,FALSE)+RANDBETWEEN(-20,20)/100,NA())</f>
        <v>5.19</v>
      </c>
      <c r="AC13" s="9" t="e">
        <f ca="1">IF($Q13=AC$2,VLOOKUP($O13,Impact!$A$4:$B$8,2,FALSE)+RANDBETWEEN(-20,20)/100,NA())</f>
        <v>#N/A</v>
      </c>
    </row>
    <row r="14" spans="1:29" ht="51" x14ac:dyDescent="0.25">
      <c r="A14" s="17">
        <v>12</v>
      </c>
      <c r="B14" s="3" t="str">
        <f t="shared" si="3"/>
        <v>AS2 -&gt; AS3 -&gt; AS11</v>
      </c>
      <c r="D14" s="7">
        <v>46079</v>
      </c>
      <c r="E14" s="47" t="s">
        <v>94</v>
      </c>
      <c r="F14" s="47" t="s">
        <v>95</v>
      </c>
      <c r="G14" s="47" t="s">
        <v>117</v>
      </c>
      <c r="H14" s="49" t="str">
        <f t="shared" si="0"/>
        <v>AS11</v>
      </c>
      <c r="I14" s="48" t="str">
        <f t="shared" si="4"/>
        <v>AS2 -&gt; AS3 -&gt; AS11</v>
      </c>
      <c r="J14" s="49" t="str">
        <f>I14&amp;IF(NOT(ISBLANK(E14)),CHAR(10)&amp;VLOOKUP(E14,AttackRiskStep!$A$3:$C$99,3,FALSE),"see Description")&amp;IF(NOT(ISBLANK(F14))," -&gt; "&amp;CHAR(10)&amp;VLOOKUP(F14,AttackRiskStep!$A$3:$C$99,3,FALSE),"")&amp;IF(NOT(ISBLANK(G14))," -&gt; "&amp;CHAR(10)&amp;VLOOKUP(G14,AttackRiskStep!$A$3:$C$99,3,FALSE),"")</f>
        <v>AS2 -&gt; AS3 -&gt; AS11
Gain access to a local network -&gt; 
Compromising the EC-Master stack using a software vulnerability -&gt; 
Denial of Service (DoS) on the customer's network</v>
      </c>
      <c r="K14" s="8" t="s">
        <v>62</v>
      </c>
      <c r="L14" s="5" t="s">
        <v>16</v>
      </c>
      <c r="N14" s="4" t="s">
        <v>45</v>
      </c>
      <c r="O14" s="6" t="s">
        <v>42</v>
      </c>
      <c r="P14" s="38">
        <f>VLOOKUP($N14,Likelihood!$A$3:$B$7,2,FALSE)*VLOOKUP($O14,Impact!$A$4:$B$8,2,FALSE)</f>
        <v>10</v>
      </c>
      <c r="Q14" s="39" t="str">
        <f>VLOOKUP(P14,RPN!$B$6:$C$22,2)</f>
        <v>Medium</v>
      </c>
      <c r="R14" s="10"/>
      <c r="S14" s="10"/>
      <c r="U14" s="10"/>
      <c r="V14" s="13"/>
      <c r="W14" s="6"/>
      <c r="X14" s="14"/>
      <c r="Y14" s="14"/>
      <c r="Z14" s="9">
        <f ca="1">VLOOKUP($N14,Likelihood!$A$3:$C$7,2,FALSE)+RANDBETWEEN(-20,20)/100</f>
        <v>1.93</v>
      </c>
      <c r="AA14" s="9" t="e">
        <f ca="1">IF($Q14=AA$2,VLOOKUP($O14,Impact!$A$4:$B$8,2,FALSE)+RANDBETWEEN(-20,20)/100,NA())</f>
        <v>#N/A</v>
      </c>
      <c r="AB14" s="9">
        <f ca="1">IF($Q14=AB$2,VLOOKUP($O14,Impact!$A$4:$B$8,2,FALSE)+RANDBETWEEN(-20,20)/100,NA())</f>
        <v>5.03</v>
      </c>
      <c r="AC14" s="9" t="e">
        <f ca="1">IF($Q14=AC$2,VLOOKUP($O14,Impact!$A$4:$B$8,2,FALSE)+RANDBETWEEN(-20,20)/100,NA())</f>
        <v>#N/A</v>
      </c>
    </row>
    <row r="15" spans="1:29" ht="38.25" x14ac:dyDescent="0.25">
      <c r="A15" s="17">
        <v>13</v>
      </c>
      <c r="B15" s="3" t="str">
        <f t="shared" si="3"/>
        <v>AS1 -&gt; AS14</v>
      </c>
      <c r="C15" s="3" t="s">
        <v>203</v>
      </c>
      <c r="D15" s="7">
        <v>46077</v>
      </c>
      <c r="E15" s="47" t="s">
        <v>93</v>
      </c>
      <c r="F15" s="47" t="s">
        <v>122</v>
      </c>
      <c r="H15" s="49" t="str">
        <f t="shared" si="0"/>
        <v>AS14</v>
      </c>
      <c r="I15" s="48" t="str">
        <f t="shared" si="4"/>
        <v>AS1 -&gt; AS14</v>
      </c>
      <c r="J15" s="49" t="str">
        <f>I15&amp;IF(NOT(ISBLANK(E15)),CHAR(10)&amp;VLOOKUP(E15,AttackRiskStep!$A$3:$C$99,3,FALSE),"see Description")&amp;IF(NOT(ISBLANK(F15))," -&gt; "&amp;CHAR(10)&amp;VLOOKUP(F15,AttackRiskStep!$A$3:$C$99,3,FALSE),"")&amp;IF(NOT(ISBLANK(G15))," -&gt; "&amp;CHAR(10)&amp;VLOOKUP(G15,AttackRiskStep!$A$3:$C$99,3,FALSE),"")</f>
        <v>AS1 -&gt; AS14
Gain access to a trusted operational environment -&gt; 
Disrupting the EC-Master stack's communication over the local network</v>
      </c>
      <c r="K15" s="8" t="s">
        <v>62</v>
      </c>
      <c r="L15" s="5" t="s">
        <v>15</v>
      </c>
      <c r="M15" s="3" t="s">
        <v>190</v>
      </c>
      <c r="N15" s="4" t="s">
        <v>46</v>
      </c>
      <c r="O15" s="6" t="s">
        <v>42</v>
      </c>
      <c r="P15" s="38">
        <f>VLOOKUP($N15,Likelihood!$A$3:$B$7,2,FALSE)*VLOOKUP($O15,Impact!$A$4:$B$8,2,FALSE)</f>
        <v>15</v>
      </c>
      <c r="Q15" s="39" t="str">
        <f>VLOOKUP(P15,RPN!$B$6:$C$22,2)</f>
        <v>High</v>
      </c>
      <c r="R15" s="10"/>
      <c r="S15" s="10"/>
      <c r="U15" s="10"/>
      <c r="V15" s="13"/>
      <c r="W15" s="6"/>
      <c r="X15" s="14"/>
      <c r="Y15" s="14"/>
      <c r="Z15" s="9">
        <f ca="1">VLOOKUP($N15,Likelihood!$A$3:$C$7,2,FALSE)+RANDBETWEEN(-20,20)/100</f>
        <v>2.91</v>
      </c>
      <c r="AA15" s="9" t="e">
        <f ca="1">IF($Q15=AA$2,VLOOKUP($O15,Impact!$A$4:$B$8,2,FALSE)+RANDBETWEEN(-20,20)/100,NA())</f>
        <v>#N/A</v>
      </c>
      <c r="AB15" s="9" t="e">
        <f ca="1">IF($Q15=AB$2,VLOOKUP($O15,Impact!$A$4:$B$8,2,FALSE)+RANDBETWEEN(-20,20)/100,NA())</f>
        <v>#N/A</v>
      </c>
      <c r="AC15" s="9">
        <f ca="1">IF($Q15=AC$2,VLOOKUP($O15,Impact!$A$4:$B$8,2,FALSE)+RANDBETWEEN(-20,20)/100,NA())</f>
        <v>5.0999999999999996</v>
      </c>
    </row>
    <row r="16" spans="1:29" ht="38.25" x14ac:dyDescent="0.25">
      <c r="A16" s="17">
        <v>14</v>
      </c>
      <c r="B16" s="3" t="str">
        <f t="shared" ref="B16" si="5">I16</f>
        <v>AS2 -&gt; AS14</v>
      </c>
      <c r="C16" s="3" t="s">
        <v>203</v>
      </c>
      <c r="D16" s="7">
        <v>46077</v>
      </c>
      <c r="E16" s="47" t="s">
        <v>94</v>
      </c>
      <c r="F16" s="47" t="s">
        <v>122</v>
      </c>
      <c r="H16" s="49" t="str">
        <f t="shared" si="0"/>
        <v>AS14</v>
      </c>
      <c r="I16" s="48" t="str">
        <f t="shared" ref="I16" si="6">IF(NOT(ISBLANK(E16)),E16,"")&amp;IF(NOT(ISBLANK(F16))," -&gt; "&amp;F16,"")&amp;IF(NOT(ISBLANK(G16))," -&gt; "&amp;G16,"")</f>
        <v>AS2 -&gt; AS14</v>
      </c>
      <c r="J16" s="49" t="str">
        <f>I16&amp;IF(NOT(ISBLANK(E16)),CHAR(10)&amp;VLOOKUP(E16,AttackRiskStep!$A$3:$C$99,3,FALSE),"see Description")&amp;IF(NOT(ISBLANK(F16))," -&gt; "&amp;CHAR(10)&amp;VLOOKUP(F16,AttackRiskStep!$A$3:$C$99,3,FALSE),"")&amp;IF(NOT(ISBLANK(G16))," -&gt; "&amp;CHAR(10)&amp;VLOOKUP(G16,AttackRiskStep!$A$3:$C$99,3,FALSE),"")</f>
        <v>AS2 -&gt; AS14
Gain access to a local network -&gt; 
Disrupting the EC-Master stack's communication over the local network</v>
      </c>
      <c r="K16" s="8" t="s">
        <v>62</v>
      </c>
      <c r="L16" s="5" t="s">
        <v>16</v>
      </c>
      <c r="M16" s="3" t="s">
        <v>190</v>
      </c>
      <c r="N16" s="4" t="s">
        <v>46</v>
      </c>
      <c r="O16" s="6" t="s">
        <v>42</v>
      </c>
      <c r="P16" s="38">
        <f>VLOOKUP($N16,Likelihood!$A$3:$B$7,2,FALSE)*VLOOKUP($O16,Impact!$A$4:$B$8,2,FALSE)</f>
        <v>15</v>
      </c>
      <c r="Q16" s="39" t="str">
        <f>VLOOKUP(P16,RPN!$B$6:$C$22,2)</f>
        <v>High</v>
      </c>
      <c r="R16" s="10"/>
      <c r="S16" s="10"/>
      <c r="U16" s="10"/>
      <c r="V16" s="13"/>
      <c r="W16" s="6"/>
      <c r="X16" s="14"/>
      <c r="Y16" s="14"/>
      <c r="Z16" s="9">
        <f ca="1">VLOOKUP($N16,Likelihood!$A$3:$C$7,2,FALSE)+RANDBETWEEN(-20,20)/100</f>
        <v>2.85</v>
      </c>
      <c r="AA16" s="9" t="e">
        <f ca="1">IF($Q16=AA$2,VLOOKUP($O16,Impact!$A$4:$B$8,2,FALSE)+RANDBETWEEN(-20,20)/100,NA())</f>
        <v>#N/A</v>
      </c>
      <c r="AB16" s="9" t="e">
        <f ca="1">IF($Q16=AB$2,VLOOKUP($O16,Impact!$A$4:$B$8,2,FALSE)+RANDBETWEEN(-20,20)/100,NA())</f>
        <v>#N/A</v>
      </c>
      <c r="AC16" s="9">
        <f ca="1">IF($Q16=AC$2,VLOOKUP($O16,Impact!$A$4:$B$8,2,FALSE)+RANDBETWEEN(-20,20)/100,NA())</f>
        <v>5.04</v>
      </c>
    </row>
    <row r="17" spans="1:29" ht="38.25" x14ac:dyDescent="0.25">
      <c r="A17" s="17">
        <v>15</v>
      </c>
      <c r="B17" s="3" t="str">
        <f t="shared" si="2"/>
        <v>AS1 -&gt; AS16</v>
      </c>
      <c r="C17" s="3" t="s">
        <v>204</v>
      </c>
      <c r="D17" s="7">
        <v>46077</v>
      </c>
      <c r="E17" s="47" t="s">
        <v>93</v>
      </c>
      <c r="F17" s="47" t="s">
        <v>126</v>
      </c>
      <c r="H17" s="49" t="str">
        <f t="shared" si="0"/>
        <v>AS16</v>
      </c>
      <c r="I17" s="48" t="str">
        <f t="shared" si="1"/>
        <v>AS1 -&gt; AS16</v>
      </c>
      <c r="J17" s="49" t="str">
        <f>I17&amp;IF(NOT(ISBLANK(E17)),CHAR(10)&amp;VLOOKUP(E17,AttackRiskStep!$A$3:$C$99,3,FALSE),"see Description")&amp;IF(NOT(ISBLANK(F17))," -&gt; "&amp;CHAR(10)&amp;VLOOKUP(F17,AttackRiskStep!$A$3:$C$99,3,FALSE),"")&amp;IF(NOT(ISBLANK(G17))," -&gt; "&amp;CHAR(10)&amp;VLOOKUP(G17,AttackRiskStep!$A$3:$C$99,3,FALSE),"")</f>
        <v>AS1 -&gt; AS16
Gain access to a trusted operational environment -&gt; 
Manipulating the EC-Master stack's configuration via its configuration interface</v>
      </c>
      <c r="K17" s="8" t="s">
        <v>62</v>
      </c>
      <c r="L17" s="5" t="s">
        <v>16</v>
      </c>
      <c r="M17" s="3" t="s">
        <v>205</v>
      </c>
      <c r="N17" s="4" t="s">
        <v>46</v>
      </c>
      <c r="O17" s="6" t="s">
        <v>42</v>
      </c>
      <c r="P17" s="38">
        <f>VLOOKUP($N17,Likelihood!$A$3:$B$7,2,FALSE)*VLOOKUP($O17,Impact!$A$4:$B$8,2,FALSE)</f>
        <v>15</v>
      </c>
      <c r="Q17" s="39" t="str">
        <f>VLOOKUP(P17,RPN!$B$6:$C$22,2)</f>
        <v>High</v>
      </c>
      <c r="R17" s="10"/>
      <c r="S17" s="10" t="s">
        <v>196</v>
      </c>
      <c r="U17" s="10"/>
      <c r="V17" s="13"/>
      <c r="W17" s="6"/>
      <c r="X17" s="14"/>
      <c r="Y17" s="14"/>
      <c r="Z17" s="9">
        <f ca="1">VLOOKUP($N17,Likelihood!$A$3:$C$7,2,FALSE)+RANDBETWEEN(-20,20)/100</f>
        <v>3.09</v>
      </c>
      <c r="AA17" s="9" t="e">
        <f ca="1">IF($Q17=AA$2,VLOOKUP($O17,Impact!$A$4:$B$8,2,FALSE)+RANDBETWEEN(-20,20)/100,NA())</f>
        <v>#N/A</v>
      </c>
      <c r="AB17" s="9" t="e">
        <f ca="1">IF($Q17=AB$2,VLOOKUP($O17,Impact!$A$4:$B$8,2,FALSE)+RANDBETWEEN(-20,20)/100,NA())</f>
        <v>#N/A</v>
      </c>
      <c r="AC17" s="9">
        <f ca="1">IF($Q17=AC$2,VLOOKUP($O17,Impact!$A$4:$B$8,2,FALSE)+RANDBETWEEN(-20,20)/100,NA())</f>
        <v>5.14</v>
      </c>
    </row>
    <row r="18" spans="1:29" ht="38.25" x14ac:dyDescent="0.25">
      <c r="A18" s="17">
        <v>16</v>
      </c>
      <c r="B18" s="3" t="str">
        <f t="shared" si="2"/>
        <v>AS2 -&gt; AS16</v>
      </c>
      <c r="C18" s="3" t="s">
        <v>204</v>
      </c>
      <c r="D18" s="7">
        <v>46077</v>
      </c>
      <c r="E18" s="47" t="s">
        <v>94</v>
      </c>
      <c r="F18" s="47" t="s">
        <v>126</v>
      </c>
      <c r="H18" s="49" t="str">
        <f t="shared" si="0"/>
        <v>AS16</v>
      </c>
      <c r="I18" s="48" t="str">
        <f t="shared" si="1"/>
        <v>AS2 -&gt; AS16</v>
      </c>
      <c r="J18" s="49" t="str">
        <f>I18&amp;IF(NOT(ISBLANK(E18)),CHAR(10)&amp;VLOOKUP(E18,AttackRiskStep!$A$3:$C$99,3,FALSE),"see Description")&amp;IF(NOT(ISBLANK(F18))," -&gt; "&amp;CHAR(10)&amp;VLOOKUP(F18,AttackRiskStep!$A$3:$C$99,3,FALSE),"")&amp;IF(NOT(ISBLANK(G18))," -&gt; "&amp;CHAR(10)&amp;VLOOKUP(G18,AttackRiskStep!$A$3:$C$99,3,FALSE),"")</f>
        <v>AS2 -&gt; AS16
Gain access to a local network -&gt; 
Manipulating the EC-Master stack's configuration via its configuration interface</v>
      </c>
      <c r="K18" s="8" t="s">
        <v>62</v>
      </c>
      <c r="L18" s="5" t="s">
        <v>16</v>
      </c>
      <c r="M18" s="3" t="s">
        <v>205</v>
      </c>
      <c r="N18" s="4" t="s">
        <v>46</v>
      </c>
      <c r="O18" s="6" t="s">
        <v>42</v>
      </c>
      <c r="P18" s="38">
        <f>VLOOKUP($N18,Likelihood!$A$3:$B$7,2,FALSE)*VLOOKUP($O18,Impact!$A$4:$B$8,2,FALSE)</f>
        <v>15</v>
      </c>
      <c r="Q18" s="39" t="str">
        <f>VLOOKUP(P18,RPN!$B$6:$C$22,2)</f>
        <v>High</v>
      </c>
      <c r="R18" s="10"/>
      <c r="S18" s="10" t="s">
        <v>196</v>
      </c>
      <c r="U18" s="10"/>
      <c r="V18" s="13"/>
      <c r="W18" s="6"/>
      <c r="X18" s="14"/>
      <c r="Y18" s="14"/>
      <c r="Z18" s="9">
        <f ca="1">VLOOKUP($N18,Likelihood!$A$3:$C$7,2,FALSE)+RANDBETWEEN(-20,20)/100</f>
        <v>2.88</v>
      </c>
      <c r="AA18" s="9" t="e">
        <f ca="1">IF($Q18=AA$2,VLOOKUP($O18,Impact!$A$4:$B$8,2,FALSE)+RANDBETWEEN(-20,20)/100,NA())</f>
        <v>#N/A</v>
      </c>
      <c r="AB18" s="9" t="e">
        <f ca="1">IF($Q18=AB$2,VLOOKUP($O18,Impact!$A$4:$B$8,2,FALSE)+RANDBETWEEN(-20,20)/100,NA())</f>
        <v>#N/A</v>
      </c>
      <c r="AC18" s="9">
        <f ca="1">IF($Q18=AC$2,VLOOKUP($O18,Impact!$A$4:$B$8,2,FALSE)+RANDBETWEEN(-20,20)/100,NA())</f>
        <v>5.15</v>
      </c>
    </row>
    <row r="19" spans="1:29" ht="51" x14ac:dyDescent="0.25">
      <c r="A19" s="17">
        <v>17</v>
      </c>
      <c r="B19" s="3" t="str">
        <f t="shared" ref="B19:B20" si="7">I19</f>
        <v>AS21 -&gt; AS23</v>
      </c>
      <c r="C19" s="3" t="s">
        <v>206</v>
      </c>
      <c r="D19" s="7">
        <v>46078</v>
      </c>
      <c r="E19" s="47" t="s">
        <v>136</v>
      </c>
      <c r="F19" s="47" t="s">
        <v>140</v>
      </c>
      <c r="H19" s="49" t="str">
        <f t="shared" si="0"/>
        <v>AS23</v>
      </c>
      <c r="I19" s="48" t="str">
        <f t="shared" ref="I19:I20" si="8">IF(NOT(ISBLANK(E19)),E19,"")&amp;IF(NOT(ISBLANK(F19))," -&gt; "&amp;F19,"")&amp;IF(NOT(ISBLANK(G19))," -&gt; "&amp;G19,"")</f>
        <v>AS21 -&gt; AS23</v>
      </c>
      <c r="J19" s="49" t="str">
        <f>I19&amp;IF(NOT(ISBLANK(E19)),CHAR(10)&amp;VLOOKUP(E19,AttackRiskStep!$A$3:$C$99,3,FALSE),"see Description")&amp;IF(NOT(ISBLANK(F19))," -&gt; "&amp;CHAR(10)&amp;VLOOKUP(F19,AttackRiskStep!$A$3:$C$99,3,FALSE),"")&amp;IF(NOT(ISBLANK(G19))," -&gt; "&amp;CHAR(10)&amp;VLOOKUP(G19,AttackRiskStep!$A$3:$C$99,3,FALSE),"")</f>
        <v>AS21 -&gt; AS23
Gaining physical access to the EC-Master stack (3rd party) -&gt; 
Compromising the EC-Master stack with direct access to its persistent memory</v>
      </c>
      <c r="K19" s="8" t="s">
        <v>62</v>
      </c>
      <c r="L19" s="5" t="s">
        <v>16</v>
      </c>
      <c r="M19" s="3" t="s">
        <v>192</v>
      </c>
      <c r="N19" s="4" t="s">
        <v>46</v>
      </c>
      <c r="O19" s="6" t="s">
        <v>42</v>
      </c>
      <c r="P19" s="38">
        <f>VLOOKUP($N19,Likelihood!$A$3:$B$7,2,FALSE)*VLOOKUP($O19,Impact!$A$4:$B$8,2,FALSE)</f>
        <v>15</v>
      </c>
      <c r="Q19" s="39" t="str">
        <f>VLOOKUP(P19,RPN!$B$6:$C$22,2)</f>
        <v>High</v>
      </c>
      <c r="R19" s="10"/>
      <c r="S19" s="10" t="s">
        <v>196</v>
      </c>
      <c r="U19" s="10"/>
      <c r="V19" s="13"/>
      <c r="W19" s="6"/>
      <c r="X19" s="14"/>
      <c r="Y19" s="14"/>
      <c r="Z19" s="9">
        <f ca="1">VLOOKUP($N19,Likelihood!$A$3:$C$7,2,FALSE)+RANDBETWEEN(-20,20)/100</f>
        <v>3.2</v>
      </c>
      <c r="AA19" s="9" t="e">
        <f ca="1">IF($Q19=AA$2,VLOOKUP($O19,Impact!$A$4:$B$8,2,FALSE)+RANDBETWEEN(-20,20)/100,NA())</f>
        <v>#N/A</v>
      </c>
      <c r="AB19" s="9" t="e">
        <f ca="1">IF($Q19=AB$2,VLOOKUP($O19,Impact!$A$4:$B$8,2,FALSE)+RANDBETWEEN(-20,20)/100,NA())</f>
        <v>#N/A</v>
      </c>
      <c r="AC19" s="9">
        <f ca="1">IF($Q19=AC$2,VLOOKUP($O19,Impact!$A$4:$B$8,2,FALSE)+RANDBETWEEN(-20,20)/100,NA())</f>
        <v>4.91</v>
      </c>
    </row>
    <row r="20" spans="1:29" ht="51" x14ac:dyDescent="0.25">
      <c r="A20" s="17">
        <v>18</v>
      </c>
      <c r="B20" s="3" t="str">
        <f t="shared" si="7"/>
        <v>AS22 -&gt; AS23</v>
      </c>
      <c r="C20" s="3" t="s">
        <v>207</v>
      </c>
      <c r="D20" s="7">
        <v>46078</v>
      </c>
      <c r="E20" s="47" t="s">
        <v>138</v>
      </c>
      <c r="F20" s="47" t="s">
        <v>140</v>
      </c>
      <c r="H20" s="49" t="str">
        <f t="shared" si="0"/>
        <v>AS23</v>
      </c>
      <c r="I20" s="48" t="str">
        <f t="shared" si="8"/>
        <v>AS22 -&gt; AS23</v>
      </c>
      <c r="J20" s="49" t="str">
        <f>I20&amp;IF(NOT(ISBLANK(E20)),CHAR(10)&amp;VLOOKUP(E20,AttackRiskStep!$A$3:$C$99,3,FALSE),"see Description")&amp;IF(NOT(ISBLANK(F20))," -&gt; "&amp;CHAR(10)&amp;VLOOKUP(F20,AttackRiskStep!$A$3:$C$99,3,FALSE),"")&amp;IF(NOT(ISBLANK(G20))," -&gt; "&amp;CHAR(10)&amp;VLOOKUP(G20,AttackRiskStep!$A$3:$C$99,3,FALSE),"")</f>
        <v>AS22 -&gt; AS23
Gaining physical access to the EC-Master stack (customer) -&gt; 
Compromising the EC-Master stack with direct access to its persistent memory</v>
      </c>
      <c r="K20" s="8" t="s">
        <v>62</v>
      </c>
      <c r="L20" s="5" t="s">
        <v>15</v>
      </c>
      <c r="M20" s="3" t="s">
        <v>192</v>
      </c>
      <c r="N20" s="4" t="s">
        <v>47</v>
      </c>
      <c r="O20" s="6" t="s">
        <v>42</v>
      </c>
      <c r="P20" s="38">
        <f>VLOOKUP($N20,Likelihood!$A$3:$B$7,2,FALSE)*VLOOKUP($O20,Impact!$A$4:$B$8,2,FALSE)</f>
        <v>20</v>
      </c>
      <c r="Q20" s="39" t="str">
        <f>VLOOKUP(P20,RPN!$B$6:$C$22,2)</f>
        <v>High</v>
      </c>
      <c r="R20" s="10"/>
      <c r="S20" s="10" t="s">
        <v>196</v>
      </c>
      <c r="U20" s="10"/>
      <c r="V20" s="13"/>
      <c r="W20" s="6"/>
      <c r="X20" s="14"/>
      <c r="Y20" s="14"/>
      <c r="Z20" s="9">
        <f ca="1">VLOOKUP($N20,Likelihood!$A$3:$C$7,2,FALSE)+RANDBETWEEN(-20,20)/100</f>
        <v>3.8</v>
      </c>
      <c r="AA20" s="9" t="e">
        <f ca="1">IF($Q20=AA$2,VLOOKUP($O20,Impact!$A$4:$B$8,2,FALSE)+RANDBETWEEN(-20,20)/100,NA())</f>
        <v>#N/A</v>
      </c>
      <c r="AB20" s="9" t="e">
        <f ca="1">IF($Q20=AB$2,VLOOKUP($O20,Impact!$A$4:$B$8,2,FALSE)+RANDBETWEEN(-20,20)/100,NA())</f>
        <v>#N/A</v>
      </c>
      <c r="AC20" s="9">
        <f ca="1">IF($Q20=AC$2,VLOOKUP($O20,Impact!$A$4:$B$8,2,FALSE)+RANDBETWEEN(-20,20)/100,NA())</f>
        <v>5.12</v>
      </c>
    </row>
    <row r="21" spans="1:29" ht="63.75" x14ac:dyDescent="0.25">
      <c r="A21" s="17">
        <v>19</v>
      </c>
      <c r="B21" s="3" t="str">
        <f t="shared" si="2"/>
        <v>AS31</v>
      </c>
      <c r="C21" s="3" t="s">
        <v>186</v>
      </c>
      <c r="D21" s="7">
        <v>46077</v>
      </c>
      <c r="E21" s="47" t="s">
        <v>156</v>
      </c>
      <c r="H21" s="49" t="str">
        <f t="shared" si="0"/>
        <v>AS31</v>
      </c>
      <c r="I21" s="48" t="str">
        <f t="shared" si="1"/>
        <v>AS31</v>
      </c>
      <c r="J21" s="49" t="str">
        <f>I21&amp;IF(NOT(ISBLANK(E21)),CHAR(10)&amp;VLOOKUP(E21,AttackRiskStep!$A$3:$C$99,3,FALSE),"see Description")&amp;IF(NOT(ISBLANK(F21))," -&gt; "&amp;CHAR(10)&amp;VLOOKUP(F21,AttackRiskStep!$A$3:$C$99,3,FALSE),"")&amp;IF(NOT(ISBLANK(G21))," -&gt; "&amp;CHAR(10)&amp;VLOOKUP(G21,AttackRiskStep!$A$3:$C$99,3,FALSE),"")</f>
        <v>AS31
Attacking a customer network from another customer network via the EC-Master stack's internal gateway</v>
      </c>
      <c r="K21" s="8" t="s">
        <v>62</v>
      </c>
      <c r="L21" s="5" t="s">
        <v>16</v>
      </c>
      <c r="M21" s="3" t="s">
        <v>193</v>
      </c>
      <c r="N21" s="4" t="s">
        <v>47</v>
      </c>
      <c r="O21" s="6" t="s">
        <v>42</v>
      </c>
      <c r="P21" s="38">
        <f>VLOOKUP($N21,Likelihood!$A$3:$B$7,2,FALSE)*VLOOKUP($O21,Impact!$A$4:$B$8,2,FALSE)</f>
        <v>20</v>
      </c>
      <c r="Q21" s="39" t="str">
        <f>VLOOKUP(P21,RPN!$B$6:$C$22,2)</f>
        <v>High</v>
      </c>
      <c r="R21" s="10"/>
      <c r="S21" s="10" t="s">
        <v>197</v>
      </c>
      <c r="U21" s="10"/>
      <c r="V21" s="13"/>
      <c r="W21" s="6"/>
      <c r="X21" s="14"/>
      <c r="Y21" s="14"/>
      <c r="Z21" s="9">
        <f ca="1">VLOOKUP($N21,Likelihood!$A$3:$C$7,2,FALSE)+RANDBETWEEN(-20,20)/100</f>
        <v>4.1100000000000003</v>
      </c>
      <c r="AA21" s="9" t="e">
        <f ca="1">IF($Q21=AA$2,VLOOKUP($O21,Impact!$A$4:$B$8,2,FALSE)+RANDBETWEEN(-20,20)/100,NA())</f>
        <v>#N/A</v>
      </c>
      <c r="AB21" s="9" t="e">
        <f ca="1">IF($Q21=AB$2,VLOOKUP($O21,Impact!$A$4:$B$8,2,FALSE)+RANDBETWEEN(-20,20)/100,NA())</f>
        <v>#N/A</v>
      </c>
      <c r="AC21" s="9">
        <f ca="1">IF($Q21=AC$2,VLOOKUP($O21,Impact!$A$4:$B$8,2,FALSE)+RANDBETWEEN(-20,20)/100,NA())</f>
        <v>5.01</v>
      </c>
    </row>
    <row r="22" spans="1:29" ht="38.25" x14ac:dyDescent="0.25">
      <c r="A22" s="17">
        <v>20</v>
      </c>
      <c r="B22" s="3" t="str">
        <f>I22 &amp; " " &amp; L22</f>
        <v>AS32 customer</v>
      </c>
      <c r="C22" s="50" t="s">
        <v>212</v>
      </c>
      <c r="D22" s="7">
        <v>46078</v>
      </c>
      <c r="E22" s="47" t="s">
        <v>158</v>
      </c>
      <c r="H22" s="49" t="str">
        <f t="shared" si="0"/>
        <v>AS32</v>
      </c>
      <c r="I22" s="48" t="str">
        <f t="shared" si="1"/>
        <v>AS32</v>
      </c>
      <c r="J22" s="49" t="str">
        <f>I22&amp;IF(NOT(ISBLANK(E22)),CHAR(10)&amp;VLOOKUP(E22,AttackRiskStep!$A$3:$C$99,3,FALSE),"see Description")&amp;IF(NOT(ISBLANK(F22))," -&gt; "&amp;CHAR(10)&amp;VLOOKUP(F22,AttackRiskStep!$A$3:$C$99,3,FALSE),"")&amp;IF(NOT(ISBLANK(G22))," -&gt; "&amp;CHAR(10)&amp;VLOOKUP(G22,AttackRiskStep!$A$3:$C$99,3,FALSE),"")</f>
        <v>AS32
Extracting or misusing the acontis technology GmbH IP</v>
      </c>
      <c r="K22" s="8" t="s">
        <v>24</v>
      </c>
      <c r="L22" s="5" t="s">
        <v>15</v>
      </c>
      <c r="N22" s="4" t="s">
        <v>47</v>
      </c>
      <c r="O22" s="6" t="s">
        <v>43</v>
      </c>
      <c r="P22" s="38">
        <f>VLOOKUP($N22,Likelihood!$A$3:$B$7,2,FALSE)*VLOOKUP($O22,Impact!$A$4:$B$8,2,FALSE)</f>
        <v>16</v>
      </c>
      <c r="Q22" s="39" t="str">
        <f>VLOOKUP(P22,RPN!$B$6:$C$22,2)</f>
        <v>High</v>
      </c>
      <c r="R22" s="10"/>
      <c r="S22" s="10"/>
      <c r="U22" s="10"/>
      <c r="V22" s="13"/>
      <c r="W22" s="6"/>
      <c r="X22" s="14"/>
      <c r="Y22" s="14"/>
      <c r="Z22" s="9">
        <f ca="1">VLOOKUP($N22,Likelihood!$A$3:$C$7,2,FALSE)+RANDBETWEEN(-20,20)/100</f>
        <v>3.99</v>
      </c>
      <c r="AA22" s="9" t="e">
        <f ca="1">IF($Q22=AA$2,VLOOKUP($O22,Impact!$A$4:$B$8,2,FALSE)+RANDBETWEEN(-20,20)/100,NA())</f>
        <v>#N/A</v>
      </c>
      <c r="AB22" s="9" t="e">
        <f ca="1">IF($Q22=AB$2,VLOOKUP($O22,Impact!$A$4:$B$8,2,FALSE)+RANDBETWEEN(-20,20)/100,NA())</f>
        <v>#N/A</v>
      </c>
      <c r="AC22" s="9">
        <f ca="1">IF($Q22=AC$2,VLOOKUP($O22,Impact!$A$4:$B$8,2,FALSE)+RANDBETWEEN(-20,20)/100,NA())</f>
        <v>3.98</v>
      </c>
    </row>
    <row r="23" spans="1:29" ht="38.25" x14ac:dyDescent="0.25">
      <c r="A23" s="17">
        <v>21</v>
      </c>
      <c r="B23" s="3" t="str">
        <f>I23 &amp; " " &amp; L23</f>
        <v>AS32 acontis</v>
      </c>
      <c r="C23" s="50" t="s">
        <v>213</v>
      </c>
      <c r="D23" s="7">
        <v>46078</v>
      </c>
      <c r="E23" s="47" t="s">
        <v>158</v>
      </c>
      <c r="H23" s="49" t="str">
        <f t="shared" si="0"/>
        <v>AS32</v>
      </c>
      <c r="I23" s="48" t="str">
        <f t="shared" si="1"/>
        <v>AS32</v>
      </c>
      <c r="J23" s="49" t="str">
        <f>I23&amp;IF(NOT(ISBLANK(E23)),CHAR(10)&amp;VLOOKUP(E23,AttackRiskStep!$A$3:$C$99,3,FALSE),"see Description")&amp;IF(NOT(ISBLANK(F23))," -&gt; "&amp;CHAR(10)&amp;VLOOKUP(F23,AttackRiskStep!$A$3:$C$99,3,FALSE),"")&amp;IF(NOT(ISBLANK(G23))," -&gt; "&amp;CHAR(10)&amp;VLOOKUP(G23,AttackRiskStep!$A$3:$C$99,3,FALSE),"")</f>
        <v>AS32
Extracting or misusing the acontis technology GmbH IP</v>
      </c>
      <c r="K23" s="8" t="s">
        <v>24</v>
      </c>
      <c r="L23" s="5" t="s">
        <v>16</v>
      </c>
      <c r="N23" s="4" t="s">
        <v>47</v>
      </c>
      <c r="O23" s="6" t="s">
        <v>20</v>
      </c>
      <c r="P23" s="38">
        <f>VLOOKUP($N23,Likelihood!$A$3:$B$7,2,FALSE)*VLOOKUP($O23,Impact!$A$4:$B$8,2,FALSE)</f>
        <v>12</v>
      </c>
      <c r="Q23" s="39" t="str">
        <f>VLOOKUP(P23,RPN!$B$6:$C$22,2)</f>
        <v>Medium</v>
      </c>
      <c r="R23" s="10"/>
      <c r="S23" s="10"/>
      <c r="U23" s="10"/>
      <c r="V23" s="13"/>
      <c r="W23" s="6"/>
      <c r="X23" s="14"/>
      <c r="Y23" s="14"/>
      <c r="Z23" s="9">
        <f ca="1">VLOOKUP($N23,Likelihood!$A$3:$C$7,2,FALSE)+RANDBETWEEN(-20,20)/100</f>
        <v>3.98</v>
      </c>
      <c r="AA23" s="9" t="e">
        <f ca="1">IF($Q23=AA$2,VLOOKUP($O23,Impact!$A$4:$B$8,2,FALSE)+RANDBETWEEN(-20,20)/100,NA())</f>
        <v>#N/A</v>
      </c>
      <c r="AB23" s="9">
        <f ca="1">IF($Q23=AB$2,VLOOKUP($O23,Impact!$A$4:$B$8,2,FALSE)+RANDBETWEEN(-20,20)/100,NA())</f>
        <v>3.18</v>
      </c>
      <c r="AC23" s="9" t="e">
        <f ca="1">IF($Q23=AC$2,VLOOKUP($O23,Impact!$A$4:$B$8,2,FALSE)+RANDBETWEEN(-20,20)/100,NA())</f>
        <v>#N/A</v>
      </c>
    </row>
    <row r="24" spans="1:29" ht="51" x14ac:dyDescent="0.25">
      <c r="A24" s="17">
        <v>22</v>
      </c>
      <c r="B24" s="3" t="str">
        <f t="shared" si="2"/>
        <v>AS37</v>
      </c>
      <c r="C24" s="3" t="s">
        <v>208</v>
      </c>
      <c r="D24" s="7">
        <v>46078</v>
      </c>
      <c r="E24" s="47" t="s">
        <v>167</v>
      </c>
      <c r="H24" s="49" t="str">
        <f t="shared" si="0"/>
        <v>AS37</v>
      </c>
      <c r="I24" s="48" t="str">
        <f t="shared" si="1"/>
        <v>AS37</v>
      </c>
      <c r="J24" s="49" t="str">
        <f>I24&amp;IF(NOT(ISBLANK(E24)),CHAR(10)&amp;VLOOKUP(E24,AttackRiskStep!$A$3:$C$99,3,FALSE),"see Description")&amp;IF(NOT(ISBLANK(F24))," -&gt; "&amp;CHAR(10)&amp;VLOOKUP(F24,AttackRiskStep!$A$3:$C$99,3,FALSE),"")&amp;IF(NOT(ISBLANK(G24))," -&gt; "&amp;CHAR(10)&amp;VLOOKUP(G24,AttackRiskStep!$A$3:$C$99,3,FALSE),"")</f>
        <v>AS37
The EC-Master stack is manipulated during EC-Master stackion and consequently behaves maliciously</v>
      </c>
      <c r="K24" s="8" t="s">
        <v>62</v>
      </c>
      <c r="L24" s="5" t="s">
        <v>16</v>
      </c>
      <c r="N24" s="4" t="s">
        <v>46</v>
      </c>
      <c r="O24" s="6" t="s">
        <v>42</v>
      </c>
      <c r="P24" s="38">
        <f>VLOOKUP($N24,Likelihood!$A$3:$B$7,2,FALSE)*VLOOKUP($O24,Impact!$A$4:$B$8,2,FALSE)</f>
        <v>15</v>
      </c>
      <c r="Q24" s="39" t="str">
        <f>VLOOKUP(P24,RPN!$B$6:$C$22,2)</f>
        <v>High</v>
      </c>
      <c r="R24" s="10"/>
      <c r="S24" s="10" t="s">
        <v>198</v>
      </c>
      <c r="U24" s="10"/>
      <c r="V24" s="13"/>
      <c r="W24" s="6"/>
      <c r="X24" s="14"/>
      <c r="Y24" s="14"/>
      <c r="Z24" s="9">
        <f ca="1">VLOOKUP($N24,Likelihood!$A$3:$C$7,2,FALSE)+RANDBETWEEN(-20,20)/100</f>
        <v>3.01</v>
      </c>
      <c r="AA24" s="9" t="e">
        <f ca="1">IF($Q24=AA$2,VLOOKUP($O24,Impact!$A$4:$B$8,2,FALSE)+RANDBETWEEN(-20,20)/100,NA())</f>
        <v>#N/A</v>
      </c>
      <c r="AB24" s="9" t="e">
        <f ca="1">IF($Q24=AB$2,VLOOKUP($O24,Impact!$A$4:$B$8,2,FALSE)+RANDBETWEEN(-20,20)/100,NA())</f>
        <v>#N/A</v>
      </c>
      <c r="AC24" s="9">
        <f ca="1">IF($Q24=AC$2,VLOOKUP($O24,Impact!$A$4:$B$8,2,FALSE)+RANDBETWEEN(-20,20)/100,NA())</f>
        <v>5.14</v>
      </c>
    </row>
    <row r="25" spans="1:29" ht="76.5" x14ac:dyDescent="0.25">
      <c r="A25" s="17">
        <v>23</v>
      </c>
      <c r="B25" s="3" t="str">
        <f t="shared" si="2"/>
        <v>AS38</v>
      </c>
      <c r="D25" s="7">
        <v>46078</v>
      </c>
      <c r="E25" s="47" t="s">
        <v>169</v>
      </c>
      <c r="H25" s="49" t="str">
        <f t="shared" si="0"/>
        <v>AS38</v>
      </c>
      <c r="I25" s="48" t="str">
        <f t="shared" si="1"/>
        <v>AS38</v>
      </c>
      <c r="J25" s="49" t="str">
        <f>I25&amp;IF(NOT(ISBLANK(E25)),CHAR(10)&amp;VLOOKUP(E25,AttackRiskStep!$A$3:$C$99,3,FALSE),"see Description")&amp;IF(NOT(ISBLANK(F25))," -&gt; "&amp;CHAR(10)&amp;VLOOKUP(F25,AttackRiskStep!$A$3:$C$99,3,FALSE),"")&amp;IF(NOT(ISBLANK(G25))," -&gt; "&amp;CHAR(10)&amp;VLOOKUP(G25,AttackRiskStep!$A$3:$C$99,3,FALSE),"")</f>
        <v>AS38
Manipulated parts from the supply chain are integrated into the EC-Master stack, leading to the EC-Master stack behaving maliciously</v>
      </c>
      <c r="K25" s="8" t="s">
        <v>62</v>
      </c>
      <c r="L25" s="5" t="s">
        <v>16</v>
      </c>
      <c r="M25" s="3" t="s">
        <v>194</v>
      </c>
      <c r="N25" s="4" t="s">
        <v>45</v>
      </c>
      <c r="O25" s="6" t="s">
        <v>42</v>
      </c>
      <c r="P25" s="38">
        <f>VLOOKUP($N25,Likelihood!$A$3:$B$7,2,FALSE)*VLOOKUP($O25,Impact!$A$4:$B$8,2,FALSE)</f>
        <v>10</v>
      </c>
      <c r="Q25" s="39" t="str">
        <f>VLOOKUP(P25,RPN!$B$6:$C$22,2)</f>
        <v>Medium</v>
      </c>
      <c r="R25" s="10"/>
      <c r="S25" s="10" t="s">
        <v>199</v>
      </c>
      <c r="U25" s="10"/>
      <c r="V25" s="13"/>
      <c r="W25" s="6"/>
      <c r="X25" s="14"/>
      <c r="Y25" s="14"/>
      <c r="Z25" s="9">
        <f ca="1">VLOOKUP($N25,Likelihood!$A$3:$C$7,2,FALSE)+RANDBETWEEN(-20,20)/100</f>
        <v>1.83</v>
      </c>
      <c r="AA25" s="9" t="e">
        <f ca="1">IF($Q25=AA$2,VLOOKUP($O25,Impact!$A$4:$B$8,2,FALSE)+RANDBETWEEN(-20,20)/100,NA())</f>
        <v>#N/A</v>
      </c>
      <c r="AB25" s="9">
        <f ca="1">IF($Q25=AB$2,VLOOKUP($O25,Impact!$A$4:$B$8,2,FALSE)+RANDBETWEEN(-20,20)/100,NA())</f>
        <v>5.1100000000000003</v>
      </c>
      <c r="AC25" s="9" t="e">
        <f ca="1">IF($Q25=AC$2,VLOOKUP($O25,Impact!$A$4:$B$8,2,FALSE)+RANDBETWEEN(-20,20)/100,NA())</f>
        <v>#N/A</v>
      </c>
    </row>
    <row r="26" spans="1:29" ht="51" x14ac:dyDescent="0.25">
      <c r="A26" s="17">
        <v>24</v>
      </c>
      <c r="B26" s="3" t="str">
        <f>I26 &amp; " in unmaintained supply chain"</f>
        <v>AS3 in unmaintained supply chain</v>
      </c>
      <c r="C26" s="3" t="s">
        <v>187</v>
      </c>
      <c r="D26" s="7">
        <v>46078</v>
      </c>
      <c r="E26" s="47" t="s">
        <v>95</v>
      </c>
      <c r="H26" s="49" t="str">
        <f t="shared" si="0"/>
        <v>AS3</v>
      </c>
      <c r="I26" s="48" t="str">
        <f t="shared" si="1"/>
        <v>AS3</v>
      </c>
      <c r="J26" s="49" t="str">
        <f>I26&amp;IF(NOT(ISBLANK(E26)),CHAR(10)&amp;VLOOKUP(E26,AttackRiskStep!$A$3:$C$99,3,FALSE),"see Description")&amp;IF(NOT(ISBLANK(F26))," -&gt; "&amp;CHAR(10)&amp;VLOOKUP(F26,AttackRiskStep!$A$3:$C$99,3,FALSE),"")&amp;IF(NOT(ISBLANK(G26))," -&gt; "&amp;CHAR(10)&amp;VLOOKUP(G26,AttackRiskStep!$A$3:$C$99,3,FALSE),"")</f>
        <v>AS3
Compromising the EC-Master stack using a software vulnerability</v>
      </c>
      <c r="K26" s="8" t="s">
        <v>62</v>
      </c>
      <c r="L26" s="5" t="s">
        <v>16</v>
      </c>
      <c r="M26" s="3" t="s">
        <v>194</v>
      </c>
      <c r="N26" s="4" t="s">
        <v>45</v>
      </c>
      <c r="O26" s="6" t="s">
        <v>20</v>
      </c>
      <c r="P26" s="38">
        <f>VLOOKUP($N26,Likelihood!$A$3:$B$7,2,FALSE)*VLOOKUP($O26,Impact!$A$4:$B$8,2,FALSE)</f>
        <v>6</v>
      </c>
      <c r="Q26" s="39" t="str">
        <f>VLOOKUP(P26,RPN!$B$6:$C$22,2)</f>
        <v>Medium</v>
      </c>
      <c r="S26" s="3" t="s">
        <v>200</v>
      </c>
      <c r="Z26" s="9">
        <f ca="1">VLOOKUP($N26,Likelihood!$A$3:$C$7,2,FALSE)+RANDBETWEEN(-20,20)/100</f>
        <v>1.81</v>
      </c>
      <c r="AA26" s="9" t="e">
        <f ca="1">IF($Q26=AA$2,VLOOKUP($O26,Impact!$A$4:$B$8,2,FALSE)+RANDBETWEEN(-20,20)/100,NA())</f>
        <v>#N/A</v>
      </c>
      <c r="AB26" s="9">
        <f ca="1">IF($Q26=AB$2,VLOOKUP($O26,Impact!$A$4:$B$8,2,FALSE)+RANDBETWEEN(-20,20)/100,NA())</f>
        <v>3.13</v>
      </c>
      <c r="AC26" s="9" t="e">
        <f ca="1">IF($Q26=AC$2,VLOOKUP($O26,Impact!$A$4:$B$8,2,FALSE)+RANDBETWEEN(-20,20)/100,NA())</f>
        <v>#N/A</v>
      </c>
    </row>
    <row r="27" spans="1:29" ht="38.25" x14ac:dyDescent="0.25">
      <c r="A27" s="17">
        <v>25</v>
      </c>
      <c r="B27" s="3" t="str">
        <f t="shared" ref="B27" si="9">I27</f>
        <v>AS3</v>
      </c>
      <c r="D27" s="7">
        <v>46078</v>
      </c>
      <c r="E27" s="47" t="s">
        <v>95</v>
      </c>
      <c r="H27" s="49" t="str">
        <f t="shared" ref="H27" si="10">IF(ISBLANK(E27),"s. D.",IF(ISBLANK(F27),E27,IF(ISBLANK(G27),F27,G27)))</f>
        <v>AS3</v>
      </c>
      <c r="I27" s="48" t="str">
        <f t="shared" ref="I27" si="11">IF(NOT(ISBLANK(E27)),E27,"")&amp;IF(NOT(ISBLANK(F27))," -&gt; "&amp;F27,"")&amp;IF(NOT(ISBLANK(G27))," -&gt; "&amp;G27,"")</f>
        <v>AS3</v>
      </c>
      <c r="J27" s="49" t="str">
        <f>I27&amp;IF(NOT(ISBLANK(E27)),CHAR(10)&amp;VLOOKUP(E27,AttackRiskStep!$A$3:$C$99,3,FALSE),"see Description")&amp;IF(NOT(ISBLANK(F27))," -&gt; "&amp;CHAR(10)&amp;VLOOKUP(F27,AttackRiskStep!$A$3:$C$99,3,FALSE),"")&amp;IF(NOT(ISBLANK(G27))," -&gt; "&amp;CHAR(10)&amp;VLOOKUP(G27,AttackRiskStep!$A$3:$C$99,3,FALSE),"")</f>
        <v>AS3
Compromising the EC-Master stack using a software vulnerability</v>
      </c>
      <c r="K27" s="8" t="s">
        <v>62</v>
      </c>
      <c r="L27" s="5" t="s">
        <v>16</v>
      </c>
      <c r="N27" s="4" t="s">
        <v>45</v>
      </c>
      <c r="O27" s="6" t="s">
        <v>42</v>
      </c>
      <c r="P27" s="38">
        <f>VLOOKUP($N27,Likelihood!$A$3:$B$7,2,FALSE)*VLOOKUP($O27,Impact!$A$4:$B$8,2,FALSE)</f>
        <v>10</v>
      </c>
      <c r="Q27" s="39" t="str">
        <f>VLOOKUP(P27,RPN!$B$6:$C$22,2)</f>
        <v>Medium</v>
      </c>
      <c r="R27" s="3" t="str">
        <f xml:space="preserve"> "RID" &amp; A27 &amp; ": SW Tests"</f>
        <v>RID25: SW Tests</v>
      </c>
      <c r="S27" s="3" t="str">
        <f xml:space="preserve"> "RID" &amp; A27 &amp; ": Virus scan, Static code analysis (Lint, CppCheck), Unit Tests, Functional Tests, Dynamic Tests"</f>
        <v>RID25: Virus scan, Static code analysis (Lint, CppCheck), Unit Tests, Functional Tests, Dynamic Tests</v>
      </c>
      <c r="Z27" s="9">
        <f ca="1">VLOOKUP($N27,Likelihood!$A$3:$C$7,2,FALSE)+RANDBETWEEN(-20,20)/100</f>
        <v>1.8599999999999999</v>
      </c>
      <c r="AA27" s="9" t="e">
        <f ca="1">IF($Q27=AA$2,VLOOKUP($O27,Impact!$A$4:$B$8,2,FALSE)+RANDBETWEEN(-20,20)/100,NA())</f>
        <v>#N/A</v>
      </c>
      <c r="AB27" s="9">
        <f ca="1">IF($Q27=AB$2,VLOOKUP($O27,Impact!$A$4:$B$8,2,FALSE)+RANDBETWEEN(-20,20)/100,NA())</f>
        <v>5.12</v>
      </c>
      <c r="AC27" s="9" t="e">
        <f ca="1">IF($Q27=AC$2,VLOOKUP($O27,Impact!$A$4:$B$8,2,FALSE)+RANDBETWEEN(-20,20)/100,NA())</f>
        <v>#N/A</v>
      </c>
    </row>
    <row r="28" spans="1:29" ht="38.25" x14ac:dyDescent="0.25">
      <c r="A28" s="17">
        <v>26</v>
      </c>
      <c r="B28" s="3" t="s">
        <v>209</v>
      </c>
      <c r="C28" s="3" t="s">
        <v>188</v>
      </c>
      <c r="D28" s="7">
        <v>46078</v>
      </c>
      <c r="H28" s="49" t="str">
        <f t="shared" si="0"/>
        <v>s. D.</v>
      </c>
      <c r="I28" s="48" t="str">
        <f t="shared" si="1"/>
        <v/>
      </c>
      <c r="J28" s="49" t="str">
        <f>I28&amp;IF(NOT(ISBLANK(E28)),CHAR(10)&amp;VLOOKUP(E28,AttackRiskStep!$A$3:$C$99,3,FALSE),"see Description")&amp;IF(NOT(ISBLANK(F28))," -&gt; "&amp;CHAR(10)&amp;VLOOKUP(F28,AttackRiskStep!$A$3:$C$99,3,FALSE),"")&amp;IF(NOT(ISBLANK(G28))," -&gt; "&amp;CHAR(10)&amp;VLOOKUP(G28,AttackRiskStep!$A$3:$C$99,3,FALSE),"")</f>
        <v>see Description</v>
      </c>
      <c r="K28" s="8" t="s">
        <v>25</v>
      </c>
      <c r="L28" s="5" t="s">
        <v>16</v>
      </c>
      <c r="M28" s="3" t="s">
        <v>194</v>
      </c>
      <c r="N28" s="4" t="s">
        <v>45</v>
      </c>
      <c r="O28" s="6" t="s">
        <v>44</v>
      </c>
      <c r="P28" s="38">
        <f>VLOOKUP($N28,Likelihood!$A$3:$B$7,2,FALSE)*VLOOKUP($O28,Impact!$A$4:$B$8,2,FALSE)</f>
        <v>4</v>
      </c>
      <c r="Q28" s="39" t="str">
        <f>VLOOKUP(P28,RPN!$B$6:$C$22,2)</f>
        <v>Low</v>
      </c>
      <c r="S28" s="3" t="s">
        <v>200</v>
      </c>
      <c r="Z28" s="9">
        <f ca="1">VLOOKUP($N28,Likelihood!$A$3:$C$7,2,FALSE)+RANDBETWEEN(-20,20)/100</f>
        <v>2.0099999999999998</v>
      </c>
      <c r="AA28" s="9">
        <f ca="1">IF($Q28=AA$2,VLOOKUP($O28,Impact!$A$4:$B$8,2,FALSE)+RANDBETWEEN(-20,20)/100,NA())</f>
        <v>1.84</v>
      </c>
      <c r="AB28" s="9" t="e">
        <f ca="1">IF($Q28=AB$2,VLOOKUP($O28,Impact!$A$4:$B$8,2,FALSE)+RANDBETWEEN(-20,20)/100,NA())</f>
        <v>#N/A</v>
      </c>
      <c r="AC28" s="9" t="e">
        <f ca="1">IF($Q28=AC$2,VLOOKUP($O28,Impact!$A$4:$B$8,2,FALSE)+RANDBETWEEN(-20,20)/100,NA())</f>
        <v>#N/A</v>
      </c>
    </row>
    <row r="29" spans="1:29" ht="63.75" x14ac:dyDescent="0.25">
      <c r="A29" s="17">
        <v>27</v>
      </c>
      <c r="B29" s="3" t="str">
        <f t="shared" si="2"/>
        <v>AS39</v>
      </c>
      <c r="C29" s="3" t="s">
        <v>189</v>
      </c>
      <c r="D29" s="7">
        <v>46078</v>
      </c>
      <c r="E29" s="47" t="s">
        <v>171</v>
      </c>
      <c r="H29" s="49" t="str">
        <f t="shared" si="0"/>
        <v>AS39</v>
      </c>
      <c r="I29" s="48" t="str">
        <f t="shared" si="1"/>
        <v>AS39</v>
      </c>
      <c r="J29" s="49" t="str">
        <f>I29&amp;IF(NOT(ISBLANK(E29)),CHAR(10)&amp;VLOOKUP(E29,AttackRiskStep!$A$3:$C$99,3,FALSE),"see Description")&amp;IF(NOT(ISBLANK(F29))," -&gt; "&amp;CHAR(10)&amp;VLOOKUP(F29,AttackRiskStep!$A$3:$C$99,3,FALSE),"")&amp;IF(NOT(ISBLANK(G29))," -&gt; "&amp;CHAR(10)&amp;VLOOKUP(G29,AttackRiskStep!$A$3:$C$99,3,FALSE),"")</f>
        <v>AS39
Data extraction from the EC-Master stack's volatile memory</v>
      </c>
      <c r="K29" s="8" t="s">
        <v>24</v>
      </c>
      <c r="L29" s="5" t="s">
        <v>16</v>
      </c>
      <c r="N29" s="4" t="s">
        <v>45</v>
      </c>
      <c r="O29" s="6" t="s">
        <v>44</v>
      </c>
      <c r="P29" s="38">
        <f>VLOOKUP($N29,Likelihood!$A$3:$B$7,2,FALSE)*VLOOKUP($O29,Impact!$A$4:$B$8,2,FALSE)</f>
        <v>4</v>
      </c>
      <c r="Q29" s="39" t="str">
        <f>VLOOKUP(P29,RPN!$B$6:$C$22,2)</f>
        <v>Low</v>
      </c>
      <c r="S29" s="3" t="s">
        <v>201</v>
      </c>
      <c r="Z29" s="9">
        <f ca="1">VLOOKUP($N29,Likelihood!$A$3:$C$7,2,FALSE)+RANDBETWEEN(-20,20)/100</f>
        <v>1.99</v>
      </c>
      <c r="AA29" s="9">
        <f ca="1">IF($Q29=AA$2,VLOOKUP($O29,Impact!$A$4:$B$8,2,FALSE)+RANDBETWEEN(-20,20)/100,NA())</f>
        <v>1.97</v>
      </c>
      <c r="AB29" s="9" t="e">
        <f ca="1">IF($Q29=AB$2,VLOOKUP($O29,Impact!$A$4:$B$8,2,FALSE)+RANDBETWEEN(-20,20)/100,NA())</f>
        <v>#N/A</v>
      </c>
      <c r="AC29" s="9" t="e">
        <f ca="1">IF($Q29=AC$2,VLOOKUP($O29,Impact!$A$4:$B$8,2,FALSE)+RANDBETWEEN(-20,20)/100,NA())</f>
        <v>#N/A</v>
      </c>
    </row>
    <row r="30" spans="1:29" ht="38.25" x14ac:dyDescent="0.25">
      <c r="A30" s="17">
        <v>28</v>
      </c>
      <c r="B30" s="3" t="s">
        <v>210</v>
      </c>
      <c r="C30" s="3" t="s">
        <v>211</v>
      </c>
      <c r="D30" s="7">
        <v>46078</v>
      </c>
      <c r="H30" s="49" t="str">
        <f t="shared" si="0"/>
        <v>s. D.</v>
      </c>
      <c r="I30" s="48" t="str">
        <f t="shared" si="1"/>
        <v/>
      </c>
      <c r="J30" s="49" t="str">
        <f>I30&amp;IF(NOT(ISBLANK(E30)),CHAR(10)&amp;VLOOKUP(E30,AttackRiskStep!$A$3:$C$99,3,FALSE),"see Description")&amp;IF(NOT(ISBLANK(F30))," -&gt; "&amp;CHAR(10)&amp;VLOOKUP(F30,AttackRiskStep!$A$3:$C$99,3,FALSE),"")&amp;IF(NOT(ISBLANK(G30))," -&gt; "&amp;CHAR(10)&amp;VLOOKUP(G30,AttackRiskStep!$A$3:$C$99,3,FALSE),"")</f>
        <v>see Description</v>
      </c>
      <c r="K30" s="8" t="s">
        <v>24</v>
      </c>
      <c r="L30" s="5" t="s">
        <v>16</v>
      </c>
      <c r="N30" s="4" t="s">
        <v>45</v>
      </c>
      <c r="O30" s="6" t="s">
        <v>36</v>
      </c>
      <c r="P30" s="38">
        <f>VLOOKUP($N30,Likelihood!$A$3:$B$7,2,FALSE)*VLOOKUP($O30,Impact!$A$4:$B$8,2,FALSE)</f>
        <v>2</v>
      </c>
      <c r="Q30" s="39" t="str">
        <f>VLOOKUP(P30,RPN!$B$6:$C$22,2)</f>
        <v>Low</v>
      </c>
      <c r="Z30" s="9">
        <f ca="1">VLOOKUP($N30,Likelihood!$A$3:$C$7,2,FALSE)+RANDBETWEEN(-20,20)/100</f>
        <v>1.81</v>
      </c>
      <c r="AA30" s="9">
        <f ca="1">IF($Q30=AA$2,VLOOKUP($O30,Impact!$A$4:$B$8,2,FALSE)+RANDBETWEEN(-20,20)/100,NA())</f>
        <v>1.2</v>
      </c>
      <c r="AB30" s="9" t="e">
        <f ca="1">IF($Q30=AB$2,VLOOKUP($O30,Impact!$A$4:$B$8,2,FALSE)+RANDBETWEEN(-20,20)/100,NA())</f>
        <v>#N/A</v>
      </c>
      <c r="AC30" s="9" t="e">
        <f ca="1">IF($Q30=AC$2,VLOOKUP($O30,Impact!$A$4:$B$8,2,FALSE)+RANDBETWEEN(-20,20)/100,NA())</f>
        <v>#N/A</v>
      </c>
    </row>
    <row r="31" spans="1:29" ht="25.5" x14ac:dyDescent="0.25">
      <c r="A31" s="17">
        <v>29</v>
      </c>
      <c r="B31" s="3" t="str">
        <f t="shared" si="2"/>
        <v>AS42</v>
      </c>
      <c r="C31" s="3" t="s">
        <v>219</v>
      </c>
      <c r="D31" s="7">
        <v>46079</v>
      </c>
      <c r="E31" s="47" t="s">
        <v>218</v>
      </c>
      <c r="H31" s="49" t="str">
        <f t="shared" si="0"/>
        <v>AS42</v>
      </c>
      <c r="I31" s="48" t="str">
        <f t="shared" si="1"/>
        <v>AS42</v>
      </c>
      <c r="J31" s="49" t="str">
        <f>I31&amp;IF(NOT(ISBLANK(E31)),CHAR(10)&amp;VLOOKUP(E31,AttackRiskStep!$A$3:$C$99,3,FALSE),"see Description")&amp;IF(NOT(ISBLANK(F31))," -&gt; "&amp;CHAR(10)&amp;VLOOKUP(F31,AttackRiskStep!$A$3:$C$99,3,FALSE),"")&amp;IF(NOT(ISBLANK(G31))," -&gt; "&amp;CHAR(10)&amp;VLOOKUP(G31,AttackRiskStep!$A$3:$C$99,3,FALSE),"")</f>
        <v>AS42
Circumvention of licence provisions or bypassing of licensing procedures</v>
      </c>
      <c r="K31" s="8" t="s">
        <v>24</v>
      </c>
      <c r="L31" s="5" t="s">
        <v>16</v>
      </c>
      <c r="N31" s="4" t="s">
        <v>46</v>
      </c>
      <c r="O31" s="6" t="s">
        <v>20</v>
      </c>
      <c r="P31" s="38">
        <f>VLOOKUP($N31,Likelihood!$A$3:$B$7,2,FALSE)*VLOOKUP($O31,Impact!$A$4:$B$8,2,FALSE)</f>
        <v>9</v>
      </c>
      <c r="Q31" s="39" t="str">
        <f>VLOOKUP(P31,RPN!$B$6:$C$22,2)</f>
        <v>Medium</v>
      </c>
      <c r="Z31" s="9">
        <f ca="1">VLOOKUP($N31,Likelihood!$A$3:$C$7,2,FALSE)+RANDBETWEEN(-20,20)/100</f>
        <v>2.82</v>
      </c>
      <c r="AA31" s="9" t="e">
        <f ca="1">IF($Q31=AA$2,VLOOKUP($O31,Impact!$A$4:$B$8,2,FALSE)+RANDBETWEEN(-20,20)/100,NA())</f>
        <v>#N/A</v>
      </c>
      <c r="AB31" s="9">
        <f ca="1">IF($Q31=AB$2,VLOOKUP($O31,Impact!$A$4:$B$8,2,FALSE)+RANDBETWEEN(-20,20)/100,NA())</f>
        <v>3.07</v>
      </c>
      <c r="AC31" s="9" t="e">
        <f ca="1">IF($Q31=AC$2,VLOOKUP($O31,Impact!$A$4:$B$8,2,FALSE)+RANDBETWEEN(-20,20)/100,NA())</f>
        <v>#N/A</v>
      </c>
    </row>
    <row r="32" spans="1:29" x14ac:dyDescent="0.25">
      <c r="A32" s="17">
        <v>30</v>
      </c>
      <c r="B32" s="3" t="str">
        <f t="shared" si="2"/>
        <v/>
      </c>
      <c r="H32" s="49" t="str">
        <f t="shared" si="0"/>
        <v>s. D.</v>
      </c>
      <c r="I32" s="48" t="str">
        <f t="shared" si="1"/>
        <v/>
      </c>
      <c r="J32" s="49" t="str">
        <f>I32&amp;IF(NOT(ISBLANK(E32)),CHAR(10)&amp;VLOOKUP(E32,AttackRiskStep!$A$3:$C$99,3,FALSE),"see Description")&amp;IF(NOT(ISBLANK(F32))," -&gt; "&amp;CHAR(10)&amp;VLOOKUP(F32,AttackRiskStep!$A$3:$C$99,3,FALSE),"")&amp;IF(NOT(ISBLANK(G32))," -&gt; "&amp;CHAR(10)&amp;VLOOKUP(G32,AttackRiskStep!$A$3:$C$99,3,FALSE),"")</f>
        <v>see Description</v>
      </c>
      <c r="P32" s="38" t="e">
        <f>VLOOKUP($N32,Likelihood!$A$3:$B$7,2,FALSE)*VLOOKUP($O32,Impact!$A$4:$B$8,2,FALSE)</f>
        <v>#N/A</v>
      </c>
      <c r="Q32" s="39" t="e">
        <f>VLOOKUP(P32,RPN!$B$6:$C$22,2)</f>
        <v>#N/A</v>
      </c>
      <c r="Z32" s="9" t="e">
        <f ca="1">VLOOKUP($N32,Likelihood!$A$3:$C$7,2,FALSE)+RANDBETWEEN(-20,20)/100</f>
        <v>#N/A</v>
      </c>
      <c r="AA32" s="9" t="e">
        <f ca="1">IF($Q32=AA$2,VLOOKUP($O32,Impact!$A$4:$B$8,2,FALSE)+RANDBETWEEN(-20,20)/100,NA())</f>
        <v>#N/A</v>
      </c>
      <c r="AB32" s="9" t="e">
        <f ca="1">IF($Q32=AB$2,VLOOKUP($O32,Impact!$A$4:$B$8,2,FALSE)+RANDBETWEEN(-20,20)/100,NA())</f>
        <v>#N/A</v>
      </c>
      <c r="AC32" s="9" t="e">
        <f ca="1">IF($Q32=AC$2,VLOOKUP($O32,Impact!$A$4:$B$8,2,FALSE)+RANDBETWEEN(-20,20)/100,NA())</f>
        <v>#N/A</v>
      </c>
    </row>
    <row r="33" spans="1:29" x14ac:dyDescent="0.25">
      <c r="A33" s="17">
        <v>31</v>
      </c>
      <c r="B33" s="3" t="str">
        <f t="shared" si="2"/>
        <v/>
      </c>
      <c r="H33" s="49" t="str">
        <f t="shared" si="0"/>
        <v>s. D.</v>
      </c>
      <c r="I33" s="48" t="str">
        <f t="shared" si="1"/>
        <v/>
      </c>
      <c r="J33" s="49" t="str">
        <f>I33&amp;IF(NOT(ISBLANK(E33)),CHAR(10)&amp;VLOOKUP(E33,AttackRiskStep!$A$3:$C$99,3,FALSE),"see Description")&amp;IF(NOT(ISBLANK(F33))," -&gt; "&amp;CHAR(10)&amp;VLOOKUP(F33,AttackRiskStep!$A$3:$C$99,3,FALSE),"")&amp;IF(NOT(ISBLANK(G33))," -&gt; "&amp;CHAR(10)&amp;VLOOKUP(G33,AttackRiskStep!$A$3:$C$99,3,FALSE),"")</f>
        <v>see Description</v>
      </c>
      <c r="P33" s="38" t="e">
        <f>VLOOKUP($N33,Likelihood!$A$3:$B$7,2,FALSE)*VLOOKUP($O33,Impact!$A$4:$B$8,2,FALSE)</f>
        <v>#N/A</v>
      </c>
      <c r="Q33" s="39" t="e">
        <f>VLOOKUP(P33,RPN!$B$6:$C$22,2)</f>
        <v>#N/A</v>
      </c>
      <c r="Z33" s="9" t="e">
        <f ca="1">VLOOKUP($N33,Likelihood!$A$3:$C$7,2,FALSE)+RANDBETWEEN(-20,20)/100</f>
        <v>#N/A</v>
      </c>
      <c r="AA33" s="9" t="e">
        <f ca="1">IF($Q33=AA$2,VLOOKUP($O33,Impact!$A$4:$B$8,2,FALSE)+RANDBETWEEN(-20,20)/100,NA())</f>
        <v>#N/A</v>
      </c>
      <c r="AB33" s="9" t="e">
        <f ca="1">IF($Q33=AB$2,VLOOKUP($O33,Impact!$A$4:$B$8,2,FALSE)+RANDBETWEEN(-20,20)/100,NA())</f>
        <v>#N/A</v>
      </c>
      <c r="AC33" s="9" t="e">
        <f ca="1">IF($Q33=AC$2,VLOOKUP($O33,Impact!$A$4:$B$8,2,FALSE)+RANDBETWEEN(-20,20)/100,NA())</f>
        <v>#N/A</v>
      </c>
    </row>
    <row r="34" spans="1:29" x14ac:dyDescent="0.25">
      <c r="A34" s="17">
        <v>32</v>
      </c>
      <c r="B34" s="3" t="str">
        <f t="shared" si="2"/>
        <v/>
      </c>
      <c r="H34" s="49" t="str">
        <f t="shared" si="0"/>
        <v>s. D.</v>
      </c>
      <c r="I34" s="48" t="str">
        <f t="shared" si="1"/>
        <v/>
      </c>
      <c r="J34" s="49" t="str">
        <f>I34&amp;IF(NOT(ISBLANK(E34)),CHAR(10)&amp;VLOOKUP(E34,AttackRiskStep!$A$3:$C$99,3,FALSE),"see Description")&amp;IF(NOT(ISBLANK(F34))," -&gt; "&amp;CHAR(10)&amp;VLOOKUP(F34,AttackRiskStep!$A$3:$C$99,3,FALSE),"")&amp;IF(NOT(ISBLANK(G34))," -&gt; "&amp;CHAR(10)&amp;VLOOKUP(G34,AttackRiskStep!$A$3:$C$99,3,FALSE),"")</f>
        <v>see Description</v>
      </c>
      <c r="P34" s="38" t="e">
        <f>VLOOKUP($N34,Likelihood!$A$3:$B$7,2,FALSE)*VLOOKUP($O34,Impact!$A$4:$B$8,2,FALSE)</f>
        <v>#N/A</v>
      </c>
      <c r="Q34" s="39" t="e">
        <f>VLOOKUP(P34,RPN!$B$6:$C$22,2)</f>
        <v>#N/A</v>
      </c>
      <c r="Z34" s="9" t="e">
        <f ca="1">VLOOKUP($N34,Likelihood!$A$3:$C$7,2,FALSE)+RANDBETWEEN(-20,20)/100</f>
        <v>#N/A</v>
      </c>
      <c r="AA34" s="9" t="e">
        <f ca="1">IF($Q34=AA$2,VLOOKUP($O34,Impact!$A$4:$B$8,2,FALSE)+RANDBETWEEN(-20,20)/100,NA())</f>
        <v>#N/A</v>
      </c>
      <c r="AB34" s="9" t="e">
        <f ca="1">IF($Q34=AB$2,VLOOKUP($O34,Impact!$A$4:$B$8,2,FALSE)+RANDBETWEEN(-20,20)/100,NA())</f>
        <v>#N/A</v>
      </c>
      <c r="AC34" s="9" t="e">
        <f ca="1">IF($Q34=AC$2,VLOOKUP($O34,Impact!$A$4:$B$8,2,FALSE)+RANDBETWEEN(-20,20)/100,NA())</f>
        <v>#N/A</v>
      </c>
    </row>
    <row r="35" spans="1:29" x14ac:dyDescent="0.25">
      <c r="A35" s="17">
        <v>33</v>
      </c>
      <c r="B35" s="3" t="str">
        <f t="shared" si="2"/>
        <v/>
      </c>
      <c r="H35" s="49" t="str">
        <f t="shared" si="0"/>
        <v>s. D.</v>
      </c>
      <c r="I35" s="48" t="str">
        <f t="shared" si="1"/>
        <v/>
      </c>
      <c r="J35" s="49" t="str">
        <f>I35&amp;IF(NOT(ISBLANK(E35)),CHAR(10)&amp;VLOOKUP(E35,AttackRiskStep!$A$3:$C$99,3,FALSE),"see Description")&amp;IF(NOT(ISBLANK(F35))," -&gt; "&amp;CHAR(10)&amp;VLOOKUP(F35,AttackRiskStep!$A$3:$C$99,3,FALSE),"")&amp;IF(NOT(ISBLANK(G35))," -&gt; "&amp;CHAR(10)&amp;VLOOKUP(G35,AttackRiskStep!$A$3:$C$99,3,FALSE),"")</f>
        <v>see Description</v>
      </c>
      <c r="P35" s="38" t="e">
        <f>VLOOKUP($N35,Likelihood!$A$3:$B$7,2,FALSE)*VLOOKUP($O35,Impact!$A$4:$B$8,2,FALSE)</f>
        <v>#N/A</v>
      </c>
      <c r="Q35" s="39" t="e">
        <f>VLOOKUP(P35,RPN!$B$6:$C$22,2)</f>
        <v>#N/A</v>
      </c>
      <c r="Z35" s="9" t="e">
        <f ca="1">VLOOKUP($N35,Likelihood!$A$3:$C$7,2,FALSE)+RANDBETWEEN(-20,20)/100</f>
        <v>#N/A</v>
      </c>
      <c r="AA35" s="9" t="e">
        <f ca="1">IF($Q35=AA$2,VLOOKUP($O35,Impact!$A$4:$B$8,2,FALSE)+RANDBETWEEN(-20,20)/100,NA())</f>
        <v>#N/A</v>
      </c>
      <c r="AB35" s="9" t="e">
        <f ca="1">IF($Q35=AB$2,VLOOKUP($O35,Impact!$A$4:$B$8,2,FALSE)+RANDBETWEEN(-20,20)/100,NA())</f>
        <v>#N/A</v>
      </c>
      <c r="AC35" s="9" t="e">
        <f ca="1">IF($Q35=AC$2,VLOOKUP($O35,Impact!$A$4:$B$8,2,FALSE)+RANDBETWEEN(-20,20)/100,NA())</f>
        <v>#N/A</v>
      </c>
    </row>
    <row r="36" spans="1:29" x14ac:dyDescent="0.25">
      <c r="A36" s="17">
        <v>34</v>
      </c>
      <c r="B36" s="3" t="str">
        <f t="shared" si="2"/>
        <v/>
      </c>
      <c r="H36" s="49" t="str">
        <f t="shared" si="0"/>
        <v>s. D.</v>
      </c>
      <c r="I36" s="48" t="str">
        <f t="shared" si="1"/>
        <v/>
      </c>
      <c r="J36" s="49" t="str">
        <f>I36&amp;IF(NOT(ISBLANK(E36)),CHAR(10)&amp;VLOOKUP(E36,AttackRiskStep!$A$3:$C$99,3,FALSE),"see Description")&amp;IF(NOT(ISBLANK(F36))," -&gt; "&amp;CHAR(10)&amp;VLOOKUP(F36,AttackRiskStep!$A$3:$C$99,3,FALSE),"")&amp;IF(NOT(ISBLANK(G36))," -&gt; "&amp;CHAR(10)&amp;VLOOKUP(G36,AttackRiskStep!$A$3:$C$99,3,FALSE),"")</f>
        <v>see Description</v>
      </c>
      <c r="P36" s="38" t="e">
        <f>VLOOKUP($N36,Likelihood!$A$3:$B$7,2,FALSE)*VLOOKUP($O36,Impact!$A$4:$B$8,2,FALSE)</f>
        <v>#N/A</v>
      </c>
      <c r="Q36" s="39" t="e">
        <f>VLOOKUP(P36,RPN!$B$6:$C$22,2)</f>
        <v>#N/A</v>
      </c>
      <c r="Z36" s="9" t="e">
        <f ca="1">VLOOKUP($N36,Likelihood!$A$3:$C$7,2,FALSE)+RANDBETWEEN(-20,20)/100</f>
        <v>#N/A</v>
      </c>
      <c r="AA36" s="9" t="e">
        <f ca="1">IF($Q36=AA$2,VLOOKUP($O36,Impact!$A$4:$B$8,2,FALSE)+RANDBETWEEN(-20,20)/100,NA())</f>
        <v>#N/A</v>
      </c>
      <c r="AB36" s="9" t="e">
        <f ca="1">IF($Q36=AB$2,VLOOKUP($O36,Impact!$A$4:$B$8,2,FALSE)+RANDBETWEEN(-20,20)/100,NA())</f>
        <v>#N/A</v>
      </c>
      <c r="AC36" s="9" t="e">
        <f ca="1">IF($Q36=AC$2,VLOOKUP($O36,Impact!$A$4:$B$8,2,FALSE)+RANDBETWEEN(-20,20)/100,NA())</f>
        <v>#N/A</v>
      </c>
    </row>
    <row r="37" spans="1:29" x14ac:dyDescent="0.25">
      <c r="A37" s="17">
        <v>35</v>
      </c>
      <c r="B37" s="3" t="str">
        <f t="shared" si="2"/>
        <v/>
      </c>
      <c r="H37" s="49" t="str">
        <f t="shared" si="0"/>
        <v>s. D.</v>
      </c>
      <c r="I37" s="48" t="str">
        <f t="shared" si="1"/>
        <v/>
      </c>
      <c r="J37" s="49" t="str">
        <f>I37&amp;IF(NOT(ISBLANK(E37)),CHAR(10)&amp;VLOOKUP(E37,AttackRiskStep!$A$3:$C$99,3,FALSE),"see Description")&amp;IF(NOT(ISBLANK(F37))," -&gt; "&amp;CHAR(10)&amp;VLOOKUP(F37,AttackRiskStep!$A$3:$C$99,3,FALSE),"")&amp;IF(NOT(ISBLANK(G37))," -&gt; "&amp;CHAR(10)&amp;VLOOKUP(G37,AttackRiskStep!$A$3:$C$99,3,FALSE),"")</f>
        <v>see Description</v>
      </c>
      <c r="P37" s="38" t="e">
        <f>VLOOKUP($N37,Likelihood!$A$3:$B$7,2,FALSE)*VLOOKUP($O37,Impact!$A$4:$B$8,2,FALSE)</f>
        <v>#N/A</v>
      </c>
      <c r="Q37" s="39" t="e">
        <f>VLOOKUP(P37,RPN!$B$6:$C$22,2)</f>
        <v>#N/A</v>
      </c>
      <c r="Z37" s="9" t="e">
        <f ca="1">VLOOKUP($N37,Likelihood!$A$3:$C$7,2,FALSE)+RANDBETWEEN(-20,20)/100</f>
        <v>#N/A</v>
      </c>
      <c r="AA37" s="9" t="e">
        <f ca="1">IF($Q37=AA$2,VLOOKUP($O37,Impact!$A$4:$B$8,2,FALSE)+RANDBETWEEN(-20,20)/100,NA())</f>
        <v>#N/A</v>
      </c>
      <c r="AB37" s="9" t="e">
        <f ca="1">IF($Q37=AB$2,VLOOKUP($O37,Impact!$A$4:$B$8,2,FALSE)+RANDBETWEEN(-20,20)/100,NA())</f>
        <v>#N/A</v>
      </c>
      <c r="AC37" s="9" t="e">
        <f ca="1">IF($Q37=AC$2,VLOOKUP($O37,Impact!$A$4:$B$8,2,FALSE)+RANDBETWEEN(-20,20)/100,NA())</f>
        <v>#N/A</v>
      </c>
    </row>
    <row r="38" spans="1:29" x14ac:dyDescent="0.25">
      <c r="A38" s="17">
        <v>36</v>
      </c>
      <c r="B38" s="3" t="str">
        <f t="shared" si="2"/>
        <v/>
      </c>
      <c r="H38" s="49" t="str">
        <f t="shared" si="0"/>
        <v>s. D.</v>
      </c>
      <c r="I38" s="48" t="str">
        <f t="shared" si="1"/>
        <v/>
      </c>
      <c r="J38" s="49" t="str">
        <f>I38&amp;IF(NOT(ISBLANK(E38)),CHAR(10)&amp;VLOOKUP(E38,AttackRiskStep!$A$3:$C$99,3,FALSE),"see Description")&amp;IF(NOT(ISBLANK(F38))," -&gt; "&amp;CHAR(10)&amp;VLOOKUP(F38,AttackRiskStep!$A$3:$C$99,3,FALSE),"")&amp;IF(NOT(ISBLANK(G38))," -&gt; "&amp;CHAR(10)&amp;VLOOKUP(G38,AttackRiskStep!$A$3:$C$99,3,FALSE),"")</f>
        <v>see Description</v>
      </c>
      <c r="P38" s="38" t="e">
        <f>VLOOKUP($N38,Likelihood!$A$3:$B$7,2,FALSE)*VLOOKUP($O38,Impact!$A$4:$B$8,2,FALSE)</f>
        <v>#N/A</v>
      </c>
      <c r="Q38" s="39" t="e">
        <f>VLOOKUP(P38,RPN!$B$6:$C$22,2)</f>
        <v>#N/A</v>
      </c>
      <c r="Z38" s="9" t="e">
        <f ca="1">VLOOKUP($N38,Likelihood!$A$3:$C$7,2,FALSE)+RANDBETWEEN(-20,20)/100</f>
        <v>#N/A</v>
      </c>
      <c r="AA38" s="9" t="e">
        <f ca="1">IF($Q38=AA$2,VLOOKUP($O38,Impact!$A$4:$B$8,2,FALSE)+RANDBETWEEN(-20,20)/100,NA())</f>
        <v>#N/A</v>
      </c>
      <c r="AB38" s="9" t="e">
        <f ca="1">IF($Q38=AB$2,VLOOKUP($O38,Impact!$A$4:$B$8,2,FALSE)+RANDBETWEEN(-20,20)/100,NA())</f>
        <v>#N/A</v>
      </c>
      <c r="AC38" s="9" t="e">
        <f ca="1">IF($Q38=AC$2,VLOOKUP($O38,Impact!$A$4:$B$8,2,FALSE)+RANDBETWEEN(-20,20)/100,NA())</f>
        <v>#N/A</v>
      </c>
    </row>
    <row r="39" spans="1:29" x14ac:dyDescent="0.25">
      <c r="A39" s="17">
        <v>37</v>
      </c>
      <c r="B39" s="3" t="str">
        <f t="shared" si="2"/>
        <v/>
      </c>
      <c r="H39" s="49" t="str">
        <f t="shared" si="0"/>
        <v>s. D.</v>
      </c>
      <c r="I39" s="48" t="str">
        <f t="shared" si="1"/>
        <v/>
      </c>
      <c r="J39" s="49" t="str">
        <f>I39&amp;IF(NOT(ISBLANK(E39)),CHAR(10)&amp;VLOOKUP(E39,AttackRiskStep!$A$3:$C$99,3,FALSE),"see Description")&amp;IF(NOT(ISBLANK(F39))," -&gt; "&amp;CHAR(10)&amp;VLOOKUP(F39,AttackRiskStep!$A$3:$C$99,3,FALSE),"")&amp;IF(NOT(ISBLANK(G39))," -&gt; "&amp;CHAR(10)&amp;VLOOKUP(G39,AttackRiskStep!$A$3:$C$99,3,FALSE),"")</f>
        <v>see Description</v>
      </c>
      <c r="P39" s="38" t="e">
        <f>VLOOKUP($N39,Likelihood!$A$3:$B$7,2,FALSE)*VLOOKUP($O39,Impact!$A$4:$B$8,2,FALSE)</f>
        <v>#N/A</v>
      </c>
      <c r="Q39" s="39" t="e">
        <f>VLOOKUP(P39,RPN!$B$6:$C$22,2)</f>
        <v>#N/A</v>
      </c>
      <c r="Z39" s="9" t="e">
        <f ca="1">VLOOKUP($N39,Likelihood!$A$3:$C$7,2,FALSE)+RANDBETWEEN(-20,20)/100</f>
        <v>#N/A</v>
      </c>
      <c r="AA39" s="9" t="e">
        <f ca="1">IF($Q39=AA$2,VLOOKUP($O39,Impact!$A$4:$B$8,2,FALSE)+RANDBETWEEN(-20,20)/100,NA())</f>
        <v>#N/A</v>
      </c>
      <c r="AB39" s="9" t="e">
        <f ca="1">IF($Q39=AB$2,VLOOKUP($O39,Impact!$A$4:$B$8,2,FALSE)+RANDBETWEEN(-20,20)/100,NA())</f>
        <v>#N/A</v>
      </c>
      <c r="AC39" s="9" t="e">
        <f ca="1">IF($Q39=AC$2,VLOOKUP($O39,Impact!$A$4:$B$8,2,FALSE)+RANDBETWEEN(-20,20)/100,NA())</f>
        <v>#N/A</v>
      </c>
    </row>
    <row r="40" spans="1:29" x14ac:dyDescent="0.25">
      <c r="A40" s="17">
        <v>38</v>
      </c>
      <c r="B40" s="3" t="str">
        <f t="shared" si="2"/>
        <v/>
      </c>
      <c r="H40" s="49" t="str">
        <f t="shared" si="0"/>
        <v>s. D.</v>
      </c>
      <c r="I40" s="48" t="str">
        <f t="shared" si="1"/>
        <v/>
      </c>
      <c r="J40" s="49" t="str">
        <f>I40&amp;IF(NOT(ISBLANK(E40)),CHAR(10)&amp;VLOOKUP(E40,AttackRiskStep!$A$3:$C$99,3,FALSE),"see Description")&amp;IF(NOT(ISBLANK(F40))," -&gt; "&amp;CHAR(10)&amp;VLOOKUP(F40,AttackRiskStep!$A$3:$C$99,3,FALSE),"")&amp;IF(NOT(ISBLANK(G40))," -&gt; "&amp;CHAR(10)&amp;VLOOKUP(G40,AttackRiskStep!$A$3:$C$99,3,FALSE),"")</f>
        <v>see Description</v>
      </c>
      <c r="P40" s="38" t="e">
        <f>VLOOKUP($N40,Likelihood!$A$3:$B$7,2,FALSE)*VLOOKUP($O40,Impact!$A$4:$B$8,2,FALSE)</f>
        <v>#N/A</v>
      </c>
      <c r="Q40" s="39" t="e">
        <f>VLOOKUP(P40,RPN!$B$6:$C$22,2)</f>
        <v>#N/A</v>
      </c>
      <c r="Z40" s="9" t="e">
        <f ca="1">VLOOKUP($N40,Likelihood!$A$3:$C$7,2,FALSE)+RANDBETWEEN(-20,20)/100</f>
        <v>#N/A</v>
      </c>
      <c r="AA40" s="9" t="e">
        <f ca="1">IF($Q40=AA$2,VLOOKUP($O40,Impact!$A$4:$B$8,2,FALSE)+RANDBETWEEN(-20,20)/100,NA())</f>
        <v>#N/A</v>
      </c>
      <c r="AB40" s="9" t="e">
        <f ca="1">IF($Q40=AB$2,VLOOKUP($O40,Impact!$A$4:$B$8,2,FALSE)+RANDBETWEEN(-20,20)/100,NA())</f>
        <v>#N/A</v>
      </c>
      <c r="AC40" s="9" t="e">
        <f ca="1">IF($Q40=AC$2,VLOOKUP($O40,Impact!$A$4:$B$8,2,FALSE)+RANDBETWEEN(-20,20)/100,NA())</f>
        <v>#N/A</v>
      </c>
    </row>
    <row r="41" spans="1:29" x14ac:dyDescent="0.25">
      <c r="A41" s="17">
        <v>39</v>
      </c>
      <c r="B41" s="3" t="str">
        <f t="shared" si="2"/>
        <v/>
      </c>
      <c r="H41" s="49" t="str">
        <f t="shared" si="0"/>
        <v>s. D.</v>
      </c>
      <c r="I41" s="48" t="str">
        <f t="shared" si="1"/>
        <v/>
      </c>
      <c r="J41" s="49" t="str">
        <f>I41&amp;IF(NOT(ISBLANK(E41)),CHAR(10)&amp;VLOOKUP(E41,AttackRiskStep!$A$3:$C$99,3,FALSE),"see Description")&amp;IF(NOT(ISBLANK(F41))," -&gt; "&amp;CHAR(10)&amp;VLOOKUP(F41,AttackRiskStep!$A$3:$C$99,3,FALSE),"")&amp;IF(NOT(ISBLANK(G41))," -&gt; "&amp;CHAR(10)&amp;VLOOKUP(G41,AttackRiskStep!$A$3:$C$99,3,FALSE),"")</f>
        <v>see Description</v>
      </c>
      <c r="P41" s="38" t="e">
        <f>VLOOKUP($N41,Likelihood!$A$3:$B$7,2,FALSE)*VLOOKUP($O41,Impact!$A$4:$B$8,2,FALSE)</f>
        <v>#N/A</v>
      </c>
      <c r="Q41" s="39" t="e">
        <f>VLOOKUP(P41,RPN!$B$6:$C$22,2)</f>
        <v>#N/A</v>
      </c>
      <c r="Z41" s="9" t="e">
        <f ca="1">VLOOKUP($N41,Likelihood!$A$3:$C$7,2,FALSE)+RANDBETWEEN(-20,20)/100</f>
        <v>#N/A</v>
      </c>
      <c r="AA41" s="9" t="e">
        <f ca="1">IF($Q41=AA$2,VLOOKUP($O41,Impact!$A$4:$B$8,2,FALSE)+RANDBETWEEN(-20,20)/100,NA())</f>
        <v>#N/A</v>
      </c>
      <c r="AB41" s="9" t="e">
        <f ca="1">IF($Q41=AB$2,VLOOKUP($O41,Impact!$A$4:$B$8,2,FALSE)+RANDBETWEEN(-20,20)/100,NA())</f>
        <v>#N/A</v>
      </c>
      <c r="AC41" s="9" t="e">
        <f ca="1">IF($Q41=AC$2,VLOOKUP($O41,Impact!$A$4:$B$8,2,FALSE)+RANDBETWEEN(-20,20)/100,NA())</f>
        <v>#N/A</v>
      </c>
    </row>
    <row r="42" spans="1:29" x14ac:dyDescent="0.25">
      <c r="A42" s="17">
        <v>40</v>
      </c>
      <c r="B42" s="3" t="str">
        <f t="shared" si="2"/>
        <v/>
      </c>
      <c r="H42" s="49" t="str">
        <f t="shared" si="0"/>
        <v>s. D.</v>
      </c>
      <c r="I42" s="48" t="str">
        <f t="shared" si="1"/>
        <v/>
      </c>
      <c r="J42" s="49" t="str">
        <f>I42&amp;IF(NOT(ISBLANK(E42)),CHAR(10)&amp;VLOOKUP(E42,AttackRiskStep!$A$3:$C$99,3,FALSE),"see Description")&amp;IF(NOT(ISBLANK(F42))," -&gt; "&amp;CHAR(10)&amp;VLOOKUP(F42,AttackRiskStep!$A$3:$C$99,3,FALSE),"")&amp;IF(NOT(ISBLANK(G42))," -&gt; "&amp;CHAR(10)&amp;VLOOKUP(G42,AttackRiskStep!$A$3:$C$99,3,FALSE),"")</f>
        <v>see Description</v>
      </c>
      <c r="P42" s="38" t="e">
        <f>VLOOKUP($N42,Likelihood!$A$3:$B$7,2,FALSE)*VLOOKUP($O42,Impact!$A$4:$B$8,2,FALSE)</f>
        <v>#N/A</v>
      </c>
      <c r="Q42" s="39" t="e">
        <f>VLOOKUP(P42,RPN!$B$6:$C$22,2)</f>
        <v>#N/A</v>
      </c>
      <c r="Z42" s="9" t="e">
        <f ca="1">VLOOKUP($N42,Likelihood!$A$3:$C$7,2,FALSE)+RANDBETWEEN(-20,20)/100</f>
        <v>#N/A</v>
      </c>
      <c r="AA42" s="9" t="e">
        <f ca="1">IF($Q42=AA$2,VLOOKUP($O42,Impact!$A$4:$B$8,2,FALSE)+RANDBETWEEN(-20,20)/100,NA())</f>
        <v>#N/A</v>
      </c>
      <c r="AB42" s="9" t="e">
        <f ca="1">IF($Q42=AB$2,VLOOKUP($O42,Impact!$A$4:$B$8,2,FALSE)+RANDBETWEEN(-20,20)/100,NA())</f>
        <v>#N/A</v>
      </c>
      <c r="AC42" s="9" t="e">
        <f ca="1">IF($Q42=AC$2,VLOOKUP($O42,Impact!$A$4:$B$8,2,FALSE)+RANDBETWEEN(-20,20)/100,NA())</f>
        <v>#N/A</v>
      </c>
    </row>
    <row r="43" spans="1:29" x14ac:dyDescent="0.25">
      <c r="A43" s="17">
        <v>41</v>
      </c>
      <c r="B43" s="3" t="str">
        <f t="shared" si="2"/>
        <v/>
      </c>
      <c r="H43" s="49" t="str">
        <f t="shared" si="0"/>
        <v>s. D.</v>
      </c>
      <c r="I43" s="48" t="str">
        <f t="shared" si="1"/>
        <v/>
      </c>
      <c r="J43" s="49" t="str">
        <f>I43&amp;IF(NOT(ISBLANK(E43)),CHAR(10)&amp;VLOOKUP(E43,AttackRiskStep!$A$3:$C$99,3,FALSE),"see Description")&amp;IF(NOT(ISBLANK(F43))," -&gt; "&amp;CHAR(10)&amp;VLOOKUP(F43,AttackRiskStep!$A$3:$C$99,3,FALSE),"")&amp;IF(NOT(ISBLANK(G43))," -&gt; "&amp;CHAR(10)&amp;VLOOKUP(G43,AttackRiskStep!$A$3:$C$99,3,FALSE),"")</f>
        <v>see Description</v>
      </c>
      <c r="P43" s="38" t="e">
        <f>VLOOKUP($N43,Likelihood!$A$3:$B$7,2,FALSE)*VLOOKUP($O43,Impact!$A$4:$B$8,2,FALSE)</f>
        <v>#N/A</v>
      </c>
      <c r="Q43" s="39" t="e">
        <f>VLOOKUP(P43,RPN!$B$6:$C$22,2)</f>
        <v>#N/A</v>
      </c>
      <c r="Z43" s="9" t="e">
        <f ca="1">VLOOKUP($N43,Likelihood!$A$3:$C$7,2,FALSE)+RANDBETWEEN(-20,20)/100</f>
        <v>#N/A</v>
      </c>
      <c r="AA43" s="9" t="e">
        <f ca="1">IF($Q43=AA$2,VLOOKUP($O43,Impact!$A$4:$B$8,2,FALSE)+RANDBETWEEN(-20,20)/100,NA())</f>
        <v>#N/A</v>
      </c>
      <c r="AB43" s="9" t="e">
        <f ca="1">IF($Q43=AB$2,VLOOKUP($O43,Impact!$A$4:$B$8,2,FALSE)+RANDBETWEEN(-20,20)/100,NA())</f>
        <v>#N/A</v>
      </c>
      <c r="AC43" s="9" t="e">
        <f ca="1">IF($Q43=AC$2,VLOOKUP($O43,Impact!$A$4:$B$8,2,FALSE)+RANDBETWEEN(-20,20)/100,NA())</f>
        <v>#N/A</v>
      </c>
    </row>
    <row r="44" spans="1:29" x14ac:dyDescent="0.25">
      <c r="A44" s="17">
        <v>42</v>
      </c>
      <c r="B44" s="3" t="str">
        <f t="shared" si="2"/>
        <v/>
      </c>
      <c r="H44" s="49" t="str">
        <f t="shared" si="0"/>
        <v>s. D.</v>
      </c>
      <c r="I44" s="48" t="str">
        <f t="shared" si="1"/>
        <v/>
      </c>
      <c r="J44" s="49" t="str">
        <f>I44&amp;IF(NOT(ISBLANK(E44)),CHAR(10)&amp;VLOOKUP(E44,AttackRiskStep!$A$3:$C$99,3,FALSE),"see Description")&amp;IF(NOT(ISBLANK(F44))," -&gt; "&amp;CHAR(10)&amp;VLOOKUP(F44,AttackRiskStep!$A$3:$C$99,3,FALSE),"")&amp;IF(NOT(ISBLANK(G44))," -&gt; "&amp;CHAR(10)&amp;VLOOKUP(G44,AttackRiskStep!$A$3:$C$99,3,FALSE),"")</f>
        <v>see Description</v>
      </c>
      <c r="P44" s="38" t="e">
        <f>VLOOKUP($N44,Likelihood!$A$3:$B$7,2,FALSE)*VLOOKUP($O44,Impact!$A$4:$B$8,2,FALSE)</f>
        <v>#N/A</v>
      </c>
      <c r="Q44" s="39" t="e">
        <f>VLOOKUP(P44,RPN!$B$6:$C$22,2)</f>
        <v>#N/A</v>
      </c>
      <c r="Z44" s="9" t="e">
        <f ca="1">VLOOKUP($N44,Likelihood!$A$3:$C$7,2,FALSE)+RANDBETWEEN(-20,20)/100</f>
        <v>#N/A</v>
      </c>
      <c r="AA44" s="9" t="e">
        <f ca="1">IF($Q44=AA$2,VLOOKUP($O44,Impact!$A$4:$B$8,2,FALSE)+RANDBETWEEN(-20,20)/100,NA())</f>
        <v>#N/A</v>
      </c>
      <c r="AB44" s="9" t="e">
        <f ca="1">IF($Q44=AB$2,VLOOKUP($O44,Impact!$A$4:$B$8,2,FALSE)+RANDBETWEEN(-20,20)/100,NA())</f>
        <v>#N/A</v>
      </c>
      <c r="AC44" s="9" t="e">
        <f ca="1">IF($Q44=AC$2,VLOOKUP($O44,Impact!$A$4:$B$8,2,FALSE)+RANDBETWEEN(-20,20)/100,NA())</f>
        <v>#N/A</v>
      </c>
    </row>
    <row r="45" spans="1:29" x14ac:dyDescent="0.25">
      <c r="A45" s="17">
        <v>43</v>
      </c>
      <c r="B45" s="3" t="str">
        <f t="shared" si="2"/>
        <v/>
      </c>
      <c r="H45" s="49" t="str">
        <f t="shared" si="0"/>
        <v>s. D.</v>
      </c>
      <c r="I45" s="48" t="str">
        <f t="shared" si="1"/>
        <v/>
      </c>
      <c r="J45" s="49" t="str">
        <f>I45&amp;IF(NOT(ISBLANK(E45)),CHAR(10)&amp;VLOOKUP(E45,AttackRiskStep!$A$3:$C$99,3,FALSE),"see Description")&amp;IF(NOT(ISBLANK(F45))," -&gt; "&amp;CHAR(10)&amp;VLOOKUP(F45,AttackRiskStep!$A$3:$C$99,3,FALSE),"")&amp;IF(NOT(ISBLANK(G45))," -&gt; "&amp;CHAR(10)&amp;VLOOKUP(G45,AttackRiskStep!$A$3:$C$99,3,FALSE),"")</f>
        <v>see Description</v>
      </c>
      <c r="P45" s="38" t="e">
        <f>VLOOKUP($N45,Likelihood!$A$3:$B$7,2,FALSE)*VLOOKUP($O45,Impact!$A$4:$B$8,2,FALSE)</f>
        <v>#N/A</v>
      </c>
      <c r="Q45" s="39" t="e">
        <f>VLOOKUP(P45,RPN!$B$6:$C$22,2)</f>
        <v>#N/A</v>
      </c>
      <c r="Z45" s="9" t="e">
        <f ca="1">VLOOKUP($N45,Likelihood!$A$3:$C$7,2,FALSE)+RANDBETWEEN(-20,20)/100</f>
        <v>#N/A</v>
      </c>
      <c r="AA45" s="9" t="e">
        <f ca="1">IF($Q45=AA$2,VLOOKUP($O45,Impact!$A$4:$B$8,2,FALSE)+RANDBETWEEN(-20,20)/100,NA())</f>
        <v>#N/A</v>
      </c>
      <c r="AB45" s="9" t="e">
        <f ca="1">IF($Q45=AB$2,VLOOKUP($O45,Impact!$A$4:$B$8,2,FALSE)+RANDBETWEEN(-20,20)/100,NA())</f>
        <v>#N/A</v>
      </c>
      <c r="AC45" s="9" t="e">
        <f ca="1">IF($Q45=AC$2,VLOOKUP($O45,Impact!$A$4:$B$8,2,FALSE)+RANDBETWEEN(-20,20)/100,NA())</f>
        <v>#N/A</v>
      </c>
    </row>
    <row r="46" spans="1:29" x14ac:dyDescent="0.25">
      <c r="A46" s="17">
        <v>44</v>
      </c>
      <c r="B46" s="3" t="str">
        <f t="shared" si="2"/>
        <v/>
      </c>
      <c r="H46" s="49" t="str">
        <f t="shared" si="0"/>
        <v>s. D.</v>
      </c>
      <c r="I46" s="48" t="str">
        <f t="shared" si="1"/>
        <v/>
      </c>
      <c r="J46" s="49" t="str">
        <f>I46&amp;IF(NOT(ISBLANK(E46)),CHAR(10)&amp;VLOOKUP(E46,AttackRiskStep!$A$3:$C$99,3,FALSE),"see Description")&amp;IF(NOT(ISBLANK(F46))," -&gt; "&amp;CHAR(10)&amp;VLOOKUP(F46,AttackRiskStep!$A$3:$C$99,3,FALSE),"")&amp;IF(NOT(ISBLANK(G46))," -&gt; "&amp;CHAR(10)&amp;VLOOKUP(G46,AttackRiskStep!$A$3:$C$99,3,FALSE),"")</f>
        <v>see Description</v>
      </c>
      <c r="P46" s="38" t="e">
        <f>VLOOKUP($N46,Likelihood!$A$3:$B$7,2,FALSE)*VLOOKUP($O46,Impact!$A$4:$B$8,2,FALSE)</f>
        <v>#N/A</v>
      </c>
      <c r="Q46" s="39" t="e">
        <f>VLOOKUP(P46,RPN!$B$6:$C$22,2)</f>
        <v>#N/A</v>
      </c>
      <c r="Z46" s="9" t="e">
        <f ca="1">VLOOKUP($N46,Likelihood!$A$3:$C$7,2,FALSE)+RANDBETWEEN(-20,20)/100</f>
        <v>#N/A</v>
      </c>
      <c r="AA46" s="9" t="e">
        <f ca="1">IF($Q46=AA$2,VLOOKUP($O46,Impact!$A$4:$B$8,2,FALSE)+RANDBETWEEN(-20,20)/100,NA())</f>
        <v>#N/A</v>
      </c>
      <c r="AB46" s="9" t="e">
        <f ca="1">IF($Q46=AB$2,VLOOKUP($O46,Impact!$A$4:$B$8,2,FALSE)+RANDBETWEEN(-20,20)/100,NA())</f>
        <v>#N/A</v>
      </c>
      <c r="AC46" s="9" t="e">
        <f ca="1">IF($Q46=AC$2,VLOOKUP($O46,Impact!$A$4:$B$8,2,FALSE)+RANDBETWEEN(-20,20)/100,NA())</f>
        <v>#N/A</v>
      </c>
    </row>
    <row r="47" spans="1:29" x14ac:dyDescent="0.25">
      <c r="A47" s="17">
        <v>45</v>
      </c>
      <c r="B47" s="3" t="str">
        <f t="shared" si="2"/>
        <v/>
      </c>
      <c r="H47" s="49" t="str">
        <f t="shared" si="0"/>
        <v>s. D.</v>
      </c>
      <c r="I47" s="48" t="str">
        <f t="shared" si="1"/>
        <v/>
      </c>
      <c r="J47" s="49" t="str">
        <f>I47&amp;IF(NOT(ISBLANK(E47)),CHAR(10)&amp;VLOOKUP(E47,AttackRiskStep!$A$3:$C$99,3,FALSE),"see Description")&amp;IF(NOT(ISBLANK(F47))," -&gt; "&amp;CHAR(10)&amp;VLOOKUP(F47,AttackRiskStep!$A$3:$C$99,3,FALSE),"")&amp;IF(NOT(ISBLANK(G47))," -&gt; "&amp;CHAR(10)&amp;VLOOKUP(G47,AttackRiskStep!$A$3:$C$99,3,FALSE),"")</f>
        <v>see Description</v>
      </c>
      <c r="P47" s="38" t="e">
        <f>VLOOKUP($N47,Likelihood!$A$3:$B$7,2,FALSE)*VLOOKUP($O47,Impact!$A$4:$B$8,2,FALSE)</f>
        <v>#N/A</v>
      </c>
      <c r="Q47" s="39" t="e">
        <f>VLOOKUP(P47,RPN!$B$6:$C$22,2)</f>
        <v>#N/A</v>
      </c>
      <c r="Z47" s="9" t="e">
        <f ca="1">VLOOKUP($N47,Likelihood!$A$3:$C$7,2,FALSE)+RANDBETWEEN(-20,20)/100</f>
        <v>#N/A</v>
      </c>
      <c r="AA47" s="9" t="e">
        <f ca="1">IF($Q47=AA$2,VLOOKUP($O47,Impact!$A$4:$B$8,2,FALSE)+RANDBETWEEN(-20,20)/100,NA())</f>
        <v>#N/A</v>
      </c>
      <c r="AB47" s="9" t="e">
        <f ca="1">IF($Q47=AB$2,VLOOKUP($O47,Impact!$A$4:$B$8,2,FALSE)+RANDBETWEEN(-20,20)/100,NA())</f>
        <v>#N/A</v>
      </c>
      <c r="AC47" s="9" t="e">
        <f ca="1">IF($Q47=AC$2,VLOOKUP($O47,Impact!$A$4:$B$8,2,FALSE)+RANDBETWEEN(-20,20)/100,NA())</f>
        <v>#N/A</v>
      </c>
    </row>
    <row r="48" spans="1:29" x14ac:dyDescent="0.25">
      <c r="A48" s="17">
        <v>46</v>
      </c>
      <c r="B48" s="3" t="str">
        <f t="shared" si="2"/>
        <v/>
      </c>
      <c r="H48" s="49" t="str">
        <f t="shared" si="0"/>
        <v>s. D.</v>
      </c>
      <c r="I48" s="48" t="str">
        <f t="shared" si="1"/>
        <v/>
      </c>
      <c r="J48" s="49" t="str">
        <f>I48&amp;IF(NOT(ISBLANK(E48)),CHAR(10)&amp;VLOOKUP(E48,AttackRiskStep!$A$3:$C$99,3,FALSE),"see Description")&amp;IF(NOT(ISBLANK(F48))," -&gt; "&amp;CHAR(10)&amp;VLOOKUP(F48,AttackRiskStep!$A$3:$C$99,3,FALSE),"")&amp;IF(NOT(ISBLANK(G48))," -&gt; "&amp;CHAR(10)&amp;VLOOKUP(G48,AttackRiskStep!$A$3:$C$99,3,FALSE),"")</f>
        <v>see Description</v>
      </c>
      <c r="P48" s="38" t="e">
        <f>VLOOKUP($N48,Likelihood!$A$3:$B$7,2,FALSE)*VLOOKUP($O48,Impact!$A$4:$B$8,2,FALSE)</f>
        <v>#N/A</v>
      </c>
      <c r="Q48" s="39" t="e">
        <f>VLOOKUP(P48,RPN!$B$6:$C$22,2)</f>
        <v>#N/A</v>
      </c>
      <c r="Z48" s="9" t="e">
        <f ca="1">VLOOKUP($N48,Likelihood!$A$3:$C$7,2,FALSE)+RANDBETWEEN(-20,20)/100</f>
        <v>#N/A</v>
      </c>
      <c r="AA48" s="9" t="e">
        <f ca="1">IF($Q48=AA$2,VLOOKUP($O48,Impact!$A$4:$B$8,2,FALSE)+RANDBETWEEN(-20,20)/100,NA())</f>
        <v>#N/A</v>
      </c>
      <c r="AB48" s="9" t="e">
        <f ca="1">IF($Q48=AB$2,VLOOKUP($O48,Impact!$A$4:$B$8,2,FALSE)+RANDBETWEEN(-20,20)/100,NA())</f>
        <v>#N/A</v>
      </c>
      <c r="AC48" s="9" t="e">
        <f ca="1">IF($Q48=AC$2,VLOOKUP($O48,Impact!$A$4:$B$8,2,FALSE)+RANDBETWEEN(-20,20)/100,NA())</f>
        <v>#N/A</v>
      </c>
    </row>
    <row r="49" spans="1:29" x14ac:dyDescent="0.25">
      <c r="A49" s="17">
        <v>47</v>
      </c>
      <c r="B49" s="3" t="str">
        <f t="shared" si="2"/>
        <v/>
      </c>
      <c r="H49" s="49" t="str">
        <f t="shared" si="0"/>
        <v>s. D.</v>
      </c>
      <c r="I49" s="48" t="str">
        <f t="shared" si="1"/>
        <v/>
      </c>
      <c r="J49" s="49" t="str">
        <f>I49&amp;IF(NOT(ISBLANK(E49)),CHAR(10)&amp;VLOOKUP(E49,AttackRiskStep!$A$3:$C$99,3,FALSE),"see Description")&amp;IF(NOT(ISBLANK(F49))," -&gt; "&amp;CHAR(10)&amp;VLOOKUP(F49,AttackRiskStep!$A$3:$C$99,3,FALSE),"")&amp;IF(NOT(ISBLANK(G49))," -&gt; "&amp;CHAR(10)&amp;VLOOKUP(G49,AttackRiskStep!$A$3:$C$99,3,FALSE),"")</f>
        <v>see Description</v>
      </c>
      <c r="P49" s="38" t="e">
        <f>VLOOKUP($N49,Likelihood!$A$3:$B$7,2,FALSE)*VLOOKUP($O49,Impact!$A$4:$B$8,2,FALSE)</f>
        <v>#N/A</v>
      </c>
      <c r="Q49" s="39" t="e">
        <f>VLOOKUP(P49,RPN!$B$6:$C$22,2)</f>
        <v>#N/A</v>
      </c>
      <c r="Z49" s="9" t="e">
        <f ca="1">VLOOKUP($N49,Likelihood!$A$3:$C$7,2,FALSE)+RANDBETWEEN(-20,20)/100</f>
        <v>#N/A</v>
      </c>
      <c r="AA49" s="9" t="e">
        <f ca="1">IF($Q49=AA$2,VLOOKUP($O49,Impact!$A$4:$B$8,2,FALSE)+RANDBETWEEN(-20,20)/100,NA())</f>
        <v>#N/A</v>
      </c>
      <c r="AB49" s="9" t="e">
        <f ca="1">IF($Q49=AB$2,VLOOKUP($O49,Impact!$A$4:$B$8,2,FALSE)+RANDBETWEEN(-20,20)/100,NA())</f>
        <v>#N/A</v>
      </c>
      <c r="AC49" s="9" t="e">
        <f ca="1">IF($Q49=AC$2,VLOOKUP($O49,Impact!$A$4:$B$8,2,FALSE)+RANDBETWEEN(-20,20)/100,NA())</f>
        <v>#N/A</v>
      </c>
    </row>
    <row r="50" spans="1:29" x14ac:dyDescent="0.25">
      <c r="A50" s="17">
        <v>48</v>
      </c>
      <c r="B50" s="3" t="str">
        <f t="shared" si="2"/>
        <v/>
      </c>
      <c r="H50" s="49" t="str">
        <f t="shared" si="0"/>
        <v>s. D.</v>
      </c>
      <c r="I50" s="48" t="str">
        <f t="shared" si="1"/>
        <v/>
      </c>
      <c r="J50" s="49" t="str">
        <f>I50&amp;IF(NOT(ISBLANK(E50)),CHAR(10)&amp;VLOOKUP(E50,AttackRiskStep!$A$3:$C$99,3,FALSE),"see Description")&amp;IF(NOT(ISBLANK(F50))," -&gt; "&amp;CHAR(10)&amp;VLOOKUP(F50,AttackRiskStep!$A$3:$C$99,3,FALSE),"")&amp;IF(NOT(ISBLANK(G50))," -&gt; "&amp;CHAR(10)&amp;VLOOKUP(G50,AttackRiskStep!$A$3:$C$99,3,FALSE),"")</f>
        <v>see Description</v>
      </c>
      <c r="P50" s="38" t="e">
        <f>VLOOKUP($N50,Likelihood!$A$3:$B$7,2,FALSE)*VLOOKUP($O50,Impact!$A$4:$B$8,2,FALSE)</f>
        <v>#N/A</v>
      </c>
      <c r="Q50" s="39" t="e">
        <f>VLOOKUP(P50,RPN!$B$6:$C$22,2)</f>
        <v>#N/A</v>
      </c>
      <c r="Z50" s="9" t="e">
        <f ca="1">VLOOKUP($N50,Likelihood!$A$3:$C$7,2,FALSE)+RANDBETWEEN(-20,20)/100</f>
        <v>#N/A</v>
      </c>
      <c r="AA50" s="9" t="e">
        <f ca="1">IF($Q50=AA$2,VLOOKUP($O50,Impact!$A$4:$B$8,2,FALSE)+RANDBETWEEN(-20,20)/100,NA())</f>
        <v>#N/A</v>
      </c>
      <c r="AB50" s="9" t="e">
        <f ca="1">IF($Q50=AB$2,VLOOKUP($O50,Impact!$A$4:$B$8,2,FALSE)+RANDBETWEEN(-20,20)/100,NA())</f>
        <v>#N/A</v>
      </c>
      <c r="AC50" s="9" t="e">
        <f ca="1">IF($Q50=AC$2,VLOOKUP($O50,Impact!$A$4:$B$8,2,FALSE)+RANDBETWEEN(-20,20)/100,NA())</f>
        <v>#N/A</v>
      </c>
    </row>
    <row r="51" spans="1:29" x14ac:dyDescent="0.25">
      <c r="A51" s="17">
        <v>49</v>
      </c>
      <c r="B51" s="3" t="str">
        <f t="shared" si="2"/>
        <v/>
      </c>
      <c r="H51" s="49" t="str">
        <f t="shared" si="0"/>
        <v>s. D.</v>
      </c>
      <c r="I51" s="48" t="str">
        <f t="shared" si="1"/>
        <v/>
      </c>
      <c r="J51" s="49" t="str">
        <f>I51&amp;IF(NOT(ISBLANK(E51)),CHAR(10)&amp;VLOOKUP(E51,AttackRiskStep!$A$3:$C$99,3,FALSE),"see Description")&amp;IF(NOT(ISBLANK(F51))," -&gt; "&amp;CHAR(10)&amp;VLOOKUP(F51,AttackRiskStep!$A$3:$C$99,3,FALSE),"")&amp;IF(NOT(ISBLANK(G51))," -&gt; "&amp;CHAR(10)&amp;VLOOKUP(G51,AttackRiskStep!$A$3:$C$99,3,FALSE),"")</f>
        <v>see Description</v>
      </c>
      <c r="P51" s="38" t="e">
        <f>VLOOKUP($N51,Likelihood!$A$3:$B$7,2,FALSE)*VLOOKUP($O51,Impact!$A$4:$B$8,2,FALSE)</f>
        <v>#N/A</v>
      </c>
      <c r="Q51" s="39" t="e">
        <f>VLOOKUP(P51,RPN!$B$6:$C$22,2)</f>
        <v>#N/A</v>
      </c>
      <c r="Z51" s="9" t="e">
        <f ca="1">VLOOKUP($N51,Likelihood!$A$3:$C$7,2,FALSE)+RANDBETWEEN(-20,20)/100</f>
        <v>#N/A</v>
      </c>
      <c r="AA51" s="9" t="e">
        <f ca="1">IF($Q51=AA$2,VLOOKUP($O51,Impact!$A$4:$B$8,2,FALSE)+RANDBETWEEN(-20,20)/100,NA())</f>
        <v>#N/A</v>
      </c>
      <c r="AB51" s="9" t="e">
        <f ca="1">IF($Q51=AB$2,VLOOKUP($O51,Impact!$A$4:$B$8,2,FALSE)+RANDBETWEEN(-20,20)/100,NA())</f>
        <v>#N/A</v>
      </c>
      <c r="AC51" s="9" t="e">
        <f ca="1">IF($Q51=AC$2,VLOOKUP($O51,Impact!$A$4:$B$8,2,FALSE)+RANDBETWEEN(-20,20)/100,NA())</f>
        <v>#N/A</v>
      </c>
    </row>
    <row r="52" spans="1:29" x14ac:dyDescent="0.25">
      <c r="A52" s="17">
        <v>50</v>
      </c>
      <c r="B52" s="3" t="str">
        <f t="shared" si="2"/>
        <v/>
      </c>
      <c r="H52" s="49" t="str">
        <f t="shared" si="0"/>
        <v>s. D.</v>
      </c>
      <c r="I52" s="48" t="str">
        <f t="shared" si="1"/>
        <v/>
      </c>
      <c r="J52" s="49" t="str">
        <f>I52&amp;IF(NOT(ISBLANK(E52)),CHAR(10)&amp;VLOOKUP(E52,AttackRiskStep!$A$3:$C$99,3,FALSE),"see Description")&amp;IF(NOT(ISBLANK(F52))," -&gt; "&amp;CHAR(10)&amp;VLOOKUP(F52,AttackRiskStep!$A$3:$C$99,3,FALSE),"")&amp;IF(NOT(ISBLANK(G52))," -&gt; "&amp;CHAR(10)&amp;VLOOKUP(G52,AttackRiskStep!$A$3:$C$99,3,FALSE),"")</f>
        <v>see Description</v>
      </c>
      <c r="P52" s="38" t="e">
        <f>VLOOKUP($N52,Likelihood!$A$3:$B$7,2,FALSE)*VLOOKUP($O52,Impact!$A$4:$B$8,2,FALSE)</f>
        <v>#N/A</v>
      </c>
      <c r="Q52" s="39" t="e">
        <f>VLOOKUP(P52,RPN!$B$6:$C$22,2)</f>
        <v>#N/A</v>
      </c>
      <c r="Z52" s="9" t="e">
        <f ca="1">VLOOKUP($N52,Likelihood!$A$3:$C$7,2,FALSE)+RANDBETWEEN(-20,20)/100</f>
        <v>#N/A</v>
      </c>
      <c r="AA52" s="9" t="e">
        <f ca="1">IF($Q52=AA$2,VLOOKUP($O52,Impact!$A$4:$B$8,2,FALSE)+RANDBETWEEN(-20,20)/100,NA())</f>
        <v>#N/A</v>
      </c>
      <c r="AB52" s="9" t="e">
        <f ca="1">IF($Q52=AB$2,VLOOKUP($O52,Impact!$A$4:$B$8,2,FALSE)+RANDBETWEEN(-20,20)/100,NA())</f>
        <v>#N/A</v>
      </c>
      <c r="AC52" s="9" t="e">
        <f ca="1">IF($Q52=AC$2,VLOOKUP($O52,Impact!$A$4:$B$8,2,FALSE)+RANDBETWEEN(-20,20)/100,NA())</f>
        <v>#N/A</v>
      </c>
    </row>
    <row r="53" spans="1:29" x14ac:dyDescent="0.25">
      <c r="A53" s="17">
        <v>51</v>
      </c>
      <c r="B53" s="3" t="str">
        <f t="shared" si="2"/>
        <v/>
      </c>
      <c r="H53" s="49" t="str">
        <f t="shared" si="0"/>
        <v>s. D.</v>
      </c>
      <c r="I53" s="48" t="str">
        <f t="shared" si="1"/>
        <v/>
      </c>
      <c r="J53" s="49" t="str">
        <f>I53&amp;IF(NOT(ISBLANK(E53)),CHAR(10)&amp;VLOOKUP(E53,AttackRiskStep!$A$3:$C$99,3,FALSE),"see Description")&amp;IF(NOT(ISBLANK(F53))," -&gt; "&amp;CHAR(10)&amp;VLOOKUP(F53,AttackRiskStep!$A$3:$C$99,3,FALSE),"")&amp;IF(NOT(ISBLANK(G53))," -&gt; "&amp;CHAR(10)&amp;VLOOKUP(G53,AttackRiskStep!$A$3:$C$99,3,FALSE),"")</f>
        <v>see Description</v>
      </c>
      <c r="P53" s="38" t="e">
        <f>VLOOKUP($N53,Likelihood!$A$3:$B$7,2,FALSE)*VLOOKUP($O53,Impact!$A$4:$B$8,2,FALSE)</f>
        <v>#N/A</v>
      </c>
      <c r="Q53" s="39" t="e">
        <f>VLOOKUP(P53,RPN!$B$6:$C$22,2)</f>
        <v>#N/A</v>
      </c>
      <c r="Z53" s="9" t="e">
        <f ca="1">VLOOKUP($N53,Likelihood!$A$3:$C$7,2,FALSE)+RANDBETWEEN(-20,20)/100</f>
        <v>#N/A</v>
      </c>
      <c r="AA53" s="9" t="e">
        <f ca="1">IF($Q53=AA$2,VLOOKUP($O53,Impact!$A$4:$B$8,2,FALSE)+RANDBETWEEN(-20,20)/100,NA())</f>
        <v>#N/A</v>
      </c>
      <c r="AB53" s="9" t="e">
        <f ca="1">IF($Q53=AB$2,VLOOKUP($O53,Impact!$A$4:$B$8,2,FALSE)+RANDBETWEEN(-20,20)/100,NA())</f>
        <v>#N/A</v>
      </c>
      <c r="AC53" s="9" t="e">
        <f ca="1">IF($Q53=AC$2,VLOOKUP($O53,Impact!$A$4:$B$8,2,FALSE)+RANDBETWEEN(-20,20)/100,NA())</f>
        <v>#N/A</v>
      </c>
    </row>
    <row r="54" spans="1:29" x14ac:dyDescent="0.25">
      <c r="A54" s="17">
        <v>52</v>
      </c>
      <c r="B54" s="3" t="str">
        <f t="shared" si="2"/>
        <v/>
      </c>
      <c r="H54" s="49" t="str">
        <f t="shared" si="0"/>
        <v>s. D.</v>
      </c>
      <c r="I54" s="48" t="str">
        <f t="shared" si="1"/>
        <v/>
      </c>
      <c r="J54" s="49" t="str">
        <f>I54&amp;IF(NOT(ISBLANK(E54)),CHAR(10)&amp;VLOOKUP(E54,AttackRiskStep!$A$3:$C$99,3,FALSE),"see Description")&amp;IF(NOT(ISBLANK(F54))," -&gt; "&amp;CHAR(10)&amp;VLOOKUP(F54,AttackRiskStep!$A$3:$C$99,3,FALSE),"")&amp;IF(NOT(ISBLANK(G54))," -&gt; "&amp;CHAR(10)&amp;VLOOKUP(G54,AttackRiskStep!$A$3:$C$99,3,FALSE),"")</f>
        <v>see Description</v>
      </c>
      <c r="P54" s="38" t="e">
        <f>VLOOKUP($N54,Likelihood!$A$3:$B$7,2,FALSE)*VLOOKUP($O54,Impact!$A$4:$B$8,2,FALSE)</f>
        <v>#N/A</v>
      </c>
      <c r="Q54" s="39" t="e">
        <f>VLOOKUP(P54,RPN!$B$6:$C$22,2)</f>
        <v>#N/A</v>
      </c>
      <c r="Z54" s="9" t="e">
        <f ca="1">VLOOKUP($N54,Likelihood!$A$3:$C$7,2,FALSE)+RANDBETWEEN(-20,20)/100</f>
        <v>#N/A</v>
      </c>
      <c r="AA54" s="9" t="e">
        <f ca="1">IF($Q54=AA$2,VLOOKUP($O54,Impact!$A$4:$B$8,2,FALSE)+RANDBETWEEN(-20,20)/100,NA())</f>
        <v>#N/A</v>
      </c>
      <c r="AB54" s="9" t="e">
        <f ca="1">IF($Q54=AB$2,VLOOKUP($O54,Impact!$A$4:$B$8,2,FALSE)+RANDBETWEEN(-20,20)/100,NA())</f>
        <v>#N/A</v>
      </c>
      <c r="AC54" s="9" t="e">
        <f ca="1">IF($Q54=AC$2,VLOOKUP($O54,Impact!$A$4:$B$8,2,FALSE)+RANDBETWEEN(-20,20)/100,NA())</f>
        <v>#N/A</v>
      </c>
    </row>
    <row r="55" spans="1:29" x14ac:dyDescent="0.25">
      <c r="A55" s="17">
        <v>53</v>
      </c>
      <c r="B55" s="3" t="str">
        <f t="shared" si="2"/>
        <v/>
      </c>
      <c r="H55" s="49" t="str">
        <f t="shared" si="0"/>
        <v>s. D.</v>
      </c>
      <c r="I55" s="48" t="str">
        <f t="shared" si="1"/>
        <v/>
      </c>
      <c r="J55" s="49" t="str">
        <f>I55&amp;IF(NOT(ISBLANK(E55)),CHAR(10)&amp;VLOOKUP(E55,AttackRiskStep!$A$3:$C$99,3,FALSE),"see Description")&amp;IF(NOT(ISBLANK(F55))," -&gt; "&amp;CHAR(10)&amp;VLOOKUP(F55,AttackRiskStep!$A$3:$C$99,3,FALSE),"")&amp;IF(NOT(ISBLANK(G55))," -&gt; "&amp;CHAR(10)&amp;VLOOKUP(G55,AttackRiskStep!$A$3:$C$99,3,FALSE),"")</f>
        <v>see Description</v>
      </c>
      <c r="P55" s="38" t="e">
        <f>VLOOKUP($N55,Likelihood!$A$3:$B$7,2,FALSE)*VLOOKUP($O55,Impact!$A$4:$B$8,2,FALSE)</f>
        <v>#N/A</v>
      </c>
      <c r="Q55" s="39" t="e">
        <f>VLOOKUP(P55,RPN!$B$6:$C$22,2)</f>
        <v>#N/A</v>
      </c>
      <c r="Z55" s="9" t="e">
        <f ca="1">VLOOKUP($N55,Likelihood!$A$3:$C$7,2,FALSE)+RANDBETWEEN(-20,20)/100</f>
        <v>#N/A</v>
      </c>
      <c r="AA55" s="9" t="e">
        <f ca="1">IF($Q55=AA$2,VLOOKUP($O55,Impact!$A$4:$B$8,2,FALSE)+RANDBETWEEN(-20,20)/100,NA())</f>
        <v>#N/A</v>
      </c>
      <c r="AB55" s="9" t="e">
        <f ca="1">IF($Q55=AB$2,VLOOKUP($O55,Impact!$A$4:$B$8,2,FALSE)+RANDBETWEEN(-20,20)/100,NA())</f>
        <v>#N/A</v>
      </c>
      <c r="AC55" s="9" t="e">
        <f ca="1">IF($Q55=AC$2,VLOOKUP($O55,Impact!$A$4:$B$8,2,FALSE)+RANDBETWEEN(-20,20)/100,NA())</f>
        <v>#N/A</v>
      </c>
    </row>
    <row r="56" spans="1:29" x14ac:dyDescent="0.25">
      <c r="A56" s="17">
        <v>54</v>
      </c>
      <c r="B56" s="3" t="str">
        <f t="shared" si="2"/>
        <v/>
      </c>
      <c r="H56" s="49" t="str">
        <f t="shared" si="0"/>
        <v>s. D.</v>
      </c>
      <c r="I56" s="48" t="str">
        <f t="shared" si="1"/>
        <v/>
      </c>
      <c r="J56" s="49" t="str">
        <f>I56&amp;IF(NOT(ISBLANK(E56)),CHAR(10)&amp;VLOOKUP(E56,AttackRiskStep!$A$3:$C$99,3,FALSE),"see Description")&amp;IF(NOT(ISBLANK(F56))," -&gt; "&amp;CHAR(10)&amp;VLOOKUP(F56,AttackRiskStep!$A$3:$C$99,3,FALSE),"")&amp;IF(NOT(ISBLANK(G56))," -&gt; "&amp;CHAR(10)&amp;VLOOKUP(G56,AttackRiskStep!$A$3:$C$99,3,FALSE),"")</f>
        <v>see Description</v>
      </c>
      <c r="P56" s="38" t="e">
        <f>VLOOKUP($N56,Likelihood!$A$3:$B$7,2,FALSE)*VLOOKUP($O56,Impact!$A$4:$B$8,2,FALSE)</f>
        <v>#N/A</v>
      </c>
      <c r="Q56" s="39" t="e">
        <f>VLOOKUP(P56,RPN!$B$6:$C$22,2)</f>
        <v>#N/A</v>
      </c>
      <c r="Z56" s="9" t="e">
        <f ca="1">VLOOKUP($N56,Likelihood!$A$3:$C$7,2,FALSE)+RANDBETWEEN(-20,20)/100</f>
        <v>#N/A</v>
      </c>
      <c r="AA56" s="9" t="e">
        <f ca="1">IF($Q56=AA$2,VLOOKUP($O56,Impact!$A$4:$B$8,2,FALSE)+RANDBETWEEN(-20,20)/100,NA())</f>
        <v>#N/A</v>
      </c>
      <c r="AB56" s="9" t="e">
        <f ca="1">IF($Q56=AB$2,VLOOKUP($O56,Impact!$A$4:$B$8,2,FALSE)+RANDBETWEEN(-20,20)/100,NA())</f>
        <v>#N/A</v>
      </c>
      <c r="AC56" s="9" t="e">
        <f ca="1">IF($Q56=AC$2,VLOOKUP($O56,Impact!$A$4:$B$8,2,FALSE)+RANDBETWEEN(-20,20)/100,NA())</f>
        <v>#N/A</v>
      </c>
    </row>
    <row r="57" spans="1:29" x14ac:dyDescent="0.25">
      <c r="A57" s="17">
        <v>55</v>
      </c>
      <c r="B57" s="3" t="str">
        <f t="shared" si="2"/>
        <v/>
      </c>
      <c r="H57" s="49" t="str">
        <f t="shared" si="0"/>
        <v>s. D.</v>
      </c>
      <c r="I57" s="48" t="str">
        <f t="shared" si="1"/>
        <v/>
      </c>
      <c r="J57" s="49" t="str">
        <f>I57&amp;IF(NOT(ISBLANK(E57)),CHAR(10)&amp;VLOOKUP(E57,AttackRiskStep!$A$3:$C$99,3,FALSE),"see Description")&amp;IF(NOT(ISBLANK(F57))," -&gt; "&amp;CHAR(10)&amp;VLOOKUP(F57,AttackRiskStep!$A$3:$C$99,3,FALSE),"")&amp;IF(NOT(ISBLANK(G57))," -&gt; "&amp;CHAR(10)&amp;VLOOKUP(G57,AttackRiskStep!$A$3:$C$99,3,FALSE),"")</f>
        <v>see Description</v>
      </c>
      <c r="P57" s="38" t="e">
        <f>VLOOKUP($N57,Likelihood!$A$3:$B$7,2,FALSE)*VLOOKUP($O57,Impact!$A$4:$B$8,2,FALSE)</f>
        <v>#N/A</v>
      </c>
      <c r="Q57" s="39" t="e">
        <f>VLOOKUP(P57,RPN!$B$6:$C$22,2)</f>
        <v>#N/A</v>
      </c>
      <c r="Z57" s="9" t="e">
        <f ca="1">VLOOKUP($N57,Likelihood!$A$3:$C$7,2,FALSE)+RANDBETWEEN(-20,20)/100</f>
        <v>#N/A</v>
      </c>
      <c r="AA57" s="9" t="e">
        <f ca="1">IF($Q57=AA$2,VLOOKUP($O57,Impact!$A$4:$B$8,2,FALSE)+RANDBETWEEN(-20,20)/100,NA())</f>
        <v>#N/A</v>
      </c>
      <c r="AB57" s="9" t="e">
        <f ca="1">IF($Q57=AB$2,VLOOKUP($O57,Impact!$A$4:$B$8,2,FALSE)+RANDBETWEEN(-20,20)/100,NA())</f>
        <v>#N/A</v>
      </c>
      <c r="AC57" s="9" t="e">
        <f ca="1">IF($Q57=AC$2,VLOOKUP($O57,Impact!$A$4:$B$8,2,FALSE)+RANDBETWEEN(-20,20)/100,NA())</f>
        <v>#N/A</v>
      </c>
    </row>
    <row r="58" spans="1:29" x14ac:dyDescent="0.25">
      <c r="A58" s="17">
        <v>56</v>
      </c>
      <c r="B58" s="3" t="str">
        <f t="shared" si="2"/>
        <v/>
      </c>
      <c r="H58" s="49" t="str">
        <f t="shared" si="0"/>
        <v>s. D.</v>
      </c>
      <c r="I58" s="48" t="str">
        <f t="shared" si="1"/>
        <v/>
      </c>
      <c r="J58" s="49" t="str">
        <f>I58&amp;IF(NOT(ISBLANK(E58)),CHAR(10)&amp;VLOOKUP(E58,AttackRiskStep!$A$3:$C$99,3,FALSE),"see Description")&amp;IF(NOT(ISBLANK(F58))," -&gt; "&amp;CHAR(10)&amp;VLOOKUP(F58,AttackRiskStep!$A$3:$C$99,3,FALSE),"")&amp;IF(NOT(ISBLANK(G58))," -&gt; "&amp;CHAR(10)&amp;VLOOKUP(G58,AttackRiskStep!$A$3:$C$99,3,FALSE),"")</f>
        <v>see Description</v>
      </c>
      <c r="P58" s="38" t="e">
        <f>VLOOKUP($N58,Likelihood!$A$3:$B$7,2,FALSE)*VLOOKUP($O58,Impact!$A$4:$B$8,2,FALSE)</f>
        <v>#N/A</v>
      </c>
      <c r="Q58" s="39" t="e">
        <f>VLOOKUP(P58,RPN!$B$6:$C$22,2)</f>
        <v>#N/A</v>
      </c>
      <c r="Z58" s="9" t="e">
        <f ca="1">VLOOKUP($N58,Likelihood!$A$3:$C$7,2,FALSE)+RANDBETWEEN(-20,20)/100</f>
        <v>#N/A</v>
      </c>
      <c r="AA58" s="9" t="e">
        <f ca="1">IF($Q58=AA$2,VLOOKUP($O58,Impact!$A$4:$B$8,2,FALSE)+RANDBETWEEN(-20,20)/100,NA())</f>
        <v>#N/A</v>
      </c>
      <c r="AB58" s="9" t="e">
        <f ca="1">IF($Q58=AB$2,VLOOKUP($O58,Impact!$A$4:$B$8,2,FALSE)+RANDBETWEEN(-20,20)/100,NA())</f>
        <v>#N/A</v>
      </c>
      <c r="AC58" s="9" t="e">
        <f ca="1">IF($Q58=AC$2,VLOOKUP($O58,Impact!$A$4:$B$8,2,FALSE)+RANDBETWEEN(-20,20)/100,NA())</f>
        <v>#N/A</v>
      </c>
    </row>
    <row r="59" spans="1:29" x14ac:dyDescent="0.25">
      <c r="A59" s="17">
        <v>57</v>
      </c>
      <c r="B59" s="3" t="str">
        <f t="shared" si="2"/>
        <v/>
      </c>
      <c r="H59" s="49" t="str">
        <f t="shared" si="0"/>
        <v>s. D.</v>
      </c>
      <c r="I59" s="48" t="str">
        <f t="shared" si="1"/>
        <v/>
      </c>
      <c r="J59" s="49" t="str">
        <f>I59&amp;IF(NOT(ISBLANK(E59)),CHAR(10)&amp;VLOOKUP(E59,AttackRiskStep!$A$3:$C$99,3,FALSE),"see Description")&amp;IF(NOT(ISBLANK(F59))," -&gt; "&amp;CHAR(10)&amp;VLOOKUP(F59,AttackRiskStep!$A$3:$C$99,3,FALSE),"")&amp;IF(NOT(ISBLANK(G59))," -&gt; "&amp;CHAR(10)&amp;VLOOKUP(G59,AttackRiskStep!$A$3:$C$99,3,FALSE),"")</f>
        <v>see Description</v>
      </c>
      <c r="P59" s="38" t="e">
        <f>VLOOKUP($N59,Likelihood!$A$3:$B$7,2,FALSE)*VLOOKUP($O59,Impact!$A$4:$B$8,2,FALSE)</f>
        <v>#N/A</v>
      </c>
      <c r="Q59" s="39" t="e">
        <f>VLOOKUP(P59,RPN!$B$6:$C$22,2)</f>
        <v>#N/A</v>
      </c>
      <c r="Z59" s="9" t="e">
        <f ca="1">VLOOKUP($N59,Likelihood!$A$3:$C$7,2,FALSE)+RANDBETWEEN(-20,20)/100</f>
        <v>#N/A</v>
      </c>
      <c r="AA59" s="9" t="e">
        <f ca="1">IF($Q59=AA$2,VLOOKUP($O59,Impact!$A$4:$B$8,2,FALSE)+RANDBETWEEN(-20,20)/100,NA())</f>
        <v>#N/A</v>
      </c>
      <c r="AB59" s="9" t="e">
        <f ca="1">IF($Q59=AB$2,VLOOKUP($O59,Impact!$A$4:$B$8,2,FALSE)+RANDBETWEEN(-20,20)/100,NA())</f>
        <v>#N/A</v>
      </c>
      <c r="AC59" s="9" t="e">
        <f ca="1">IF($Q59=AC$2,VLOOKUP($O59,Impact!$A$4:$B$8,2,FALSE)+RANDBETWEEN(-20,20)/100,NA())</f>
        <v>#N/A</v>
      </c>
    </row>
    <row r="60" spans="1:29" x14ac:dyDescent="0.25">
      <c r="A60" s="17">
        <v>58</v>
      </c>
      <c r="B60" s="3" t="str">
        <f t="shared" si="2"/>
        <v/>
      </c>
      <c r="H60" s="49" t="str">
        <f t="shared" si="0"/>
        <v>s. D.</v>
      </c>
      <c r="I60" s="48" t="str">
        <f t="shared" si="1"/>
        <v/>
      </c>
      <c r="J60" s="49" t="str">
        <f>I60&amp;IF(NOT(ISBLANK(E60)),CHAR(10)&amp;VLOOKUP(E60,AttackRiskStep!$A$3:$C$99,3,FALSE),"see Description")&amp;IF(NOT(ISBLANK(F60))," -&gt; "&amp;CHAR(10)&amp;VLOOKUP(F60,AttackRiskStep!$A$3:$C$99,3,FALSE),"")&amp;IF(NOT(ISBLANK(G60))," -&gt; "&amp;CHAR(10)&amp;VLOOKUP(G60,AttackRiskStep!$A$3:$C$99,3,FALSE),"")</f>
        <v>see Description</v>
      </c>
      <c r="P60" s="38" t="e">
        <f>VLOOKUP($N60,Likelihood!$A$3:$B$7,2,FALSE)*VLOOKUP($O60,Impact!$A$4:$B$8,2,FALSE)</f>
        <v>#N/A</v>
      </c>
      <c r="Q60" s="39" t="e">
        <f>VLOOKUP(P60,RPN!$B$6:$C$22,2)</f>
        <v>#N/A</v>
      </c>
      <c r="Z60" s="9" t="e">
        <f ca="1">VLOOKUP($N60,Likelihood!$A$3:$C$7,2,FALSE)+RANDBETWEEN(-20,20)/100</f>
        <v>#N/A</v>
      </c>
      <c r="AA60" s="9" t="e">
        <f ca="1">IF($Q60=AA$2,VLOOKUP($O60,Impact!$A$4:$B$8,2,FALSE)+RANDBETWEEN(-20,20)/100,NA())</f>
        <v>#N/A</v>
      </c>
      <c r="AB60" s="9" t="e">
        <f ca="1">IF($Q60=AB$2,VLOOKUP($O60,Impact!$A$4:$B$8,2,FALSE)+RANDBETWEEN(-20,20)/100,NA())</f>
        <v>#N/A</v>
      </c>
      <c r="AC60" s="9" t="e">
        <f ca="1">IF($Q60=AC$2,VLOOKUP($O60,Impact!$A$4:$B$8,2,FALSE)+RANDBETWEEN(-20,20)/100,NA())</f>
        <v>#N/A</v>
      </c>
    </row>
    <row r="61" spans="1:29" x14ac:dyDescent="0.25">
      <c r="A61" s="17">
        <v>59</v>
      </c>
      <c r="B61" s="3" t="str">
        <f t="shared" si="2"/>
        <v/>
      </c>
      <c r="H61" s="49" t="str">
        <f t="shared" si="0"/>
        <v>s. D.</v>
      </c>
      <c r="I61" s="48" t="str">
        <f t="shared" si="1"/>
        <v/>
      </c>
      <c r="J61" s="49" t="str">
        <f>I61&amp;IF(NOT(ISBLANK(E61)),CHAR(10)&amp;VLOOKUP(E61,AttackRiskStep!$A$3:$C$99,3,FALSE),"see Description")&amp;IF(NOT(ISBLANK(F61))," -&gt; "&amp;CHAR(10)&amp;VLOOKUP(F61,AttackRiskStep!$A$3:$C$99,3,FALSE),"")&amp;IF(NOT(ISBLANK(G61))," -&gt; "&amp;CHAR(10)&amp;VLOOKUP(G61,AttackRiskStep!$A$3:$C$99,3,FALSE),"")</f>
        <v>see Description</v>
      </c>
      <c r="P61" s="38" t="e">
        <f>VLOOKUP($N61,Likelihood!$A$3:$B$7,2,FALSE)*VLOOKUP($O61,Impact!$A$4:$B$8,2,FALSE)</f>
        <v>#N/A</v>
      </c>
      <c r="Q61" s="39" t="e">
        <f>VLOOKUP(P61,RPN!$B$6:$C$22,2)</f>
        <v>#N/A</v>
      </c>
      <c r="Z61" s="9" t="e">
        <f ca="1">VLOOKUP($N61,Likelihood!$A$3:$C$7,2,FALSE)+RANDBETWEEN(-20,20)/100</f>
        <v>#N/A</v>
      </c>
      <c r="AA61" s="9" t="e">
        <f ca="1">IF($Q61=AA$2,VLOOKUP($O61,Impact!$A$4:$B$8,2,FALSE)+RANDBETWEEN(-20,20)/100,NA())</f>
        <v>#N/A</v>
      </c>
      <c r="AB61" s="9" t="e">
        <f ca="1">IF($Q61=AB$2,VLOOKUP($O61,Impact!$A$4:$B$8,2,FALSE)+RANDBETWEEN(-20,20)/100,NA())</f>
        <v>#N/A</v>
      </c>
      <c r="AC61" s="9" t="e">
        <f ca="1">IF($Q61=AC$2,VLOOKUP($O61,Impact!$A$4:$B$8,2,FALSE)+RANDBETWEEN(-20,20)/100,NA())</f>
        <v>#N/A</v>
      </c>
    </row>
    <row r="62" spans="1:29" x14ac:dyDescent="0.25">
      <c r="A62" s="17">
        <v>60</v>
      </c>
      <c r="B62" s="3" t="str">
        <f t="shared" si="2"/>
        <v/>
      </c>
      <c r="H62" s="49" t="str">
        <f t="shared" si="0"/>
        <v>s. D.</v>
      </c>
      <c r="I62" s="48" t="str">
        <f t="shared" si="1"/>
        <v/>
      </c>
      <c r="J62" s="49" t="str">
        <f>I62&amp;IF(NOT(ISBLANK(E62)),CHAR(10)&amp;VLOOKUP(E62,AttackRiskStep!$A$3:$C$99,3,FALSE),"see Description")&amp;IF(NOT(ISBLANK(F62))," -&gt; "&amp;CHAR(10)&amp;VLOOKUP(F62,AttackRiskStep!$A$3:$C$99,3,FALSE),"")&amp;IF(NOT(ISBLANK(G62))," -&gt; "&amp;CHAR(10)&amp;VLOOKUP(G62,AttackRiskStep!$A$3:$C$99,3,FALSE),"")</f>
        <v>see Description</v>
      </c>
      <c r="P62" s="38" t="e">
        <f>VLOOKUP($N62,Likelihood!$A$3:$B$7,2,FALSE)*VLOOKUP($O62,Impact!$A$4:$B$8,2,FALSE)</f>
        <v>#N/A</v>
      </c>
      <c r="Q62" s="39" t="e">
        <f>VLOOKUP(P62,RPN!$B$6:$C$22,2)</f>
        <v>#N/A</v>
      </c>
      <c r="Z62" s="9" t="e">
        <f ca="1">VLOOKUP($N62,Likelihood!$A$3:$C$7,2,FALSE)+RANDBETWEEN(-20,20)/100</f>
        <v>#N/A</v>
      </c>
      <c r="AA62" s="9" t="e">
        <f ca="1">IF($Q62=AA$2,VLOOKUP($O62,Impact!$A$4:$B$8,2,FALSE)+RANDBETWEEN(-20,20)/100,NA())</f>
        <v>#N/A</v>
      </c>
      <c r="AB62" s="9" t="e">
        <f ca="1">IF($Q62=AB$2,VLOOKUP($O62,Impact!$A$4:$B$8,2,FALSE)+RANDBETWEEN(-20,20)/100,NA())</f>
        <v>#N/A</v>
      </c>
      <c r="AC62" s="9" t="e">
        <f ca="1">IF($Q62=AC$2,VLOOKUP($O62,Impact!$A$4:$B$8,2,FALSE)+RANDBETWEEN(-20,20)/100,NA())</f>
        <v>#N/A</v>
      </c>
    </row>
    <row r="63" spans="1:29" x14ac:dyDescent="0.25">
      <c r="A63" s="17">
        <v>61</v>
      </c>
      <c r="B63" s="3" t="str">
        <f t="shared" si="2"/>
        <v/>
      </c>
      <c r="H63" s="49" t="str">
        <f t="shared" si="0"/>
        <v>s. D.</v>
      </c>
      <c r="I63" s="48" t="str">
        <f t="shared" si="1"/>
        <v/>
      </c>
      <c r="J63" s="49" t="str">
        <f>I63&amp;IF(NOT(ISBLANK(E63)),CHAR(10)&amp;VLOOKUP(E63,AttackRiskStep!$A$3:$C$99,3,FALSE),"see Description")&amp;IF(NOT(ISBLANK(F63))," -&gt; "&amp;CHAR(10)&amp;VLOOKUP(F63,AttackRiskStep!$A$3:$C$99,3,FALSE),"")&amp;IF(NOT(ISBLANK(G63))," -&gt; "&amp;CHAR(10)&amp;VLOOKUP(G63,AttackRiskStep!$A$3:$C$99,3,FALSE),"")</f>
        <v>see Description</v>
      </c>
      <c r="P63" s="38" t="e">
        <f>VLOOKUP($N63,Likelihood!$A$3:$B$7,2,FALSE)*VLOOKUP($O63,Impact!$A$4:$B$8,2,FALSE)</f>
        <v>#N/A</v>
      </c>
      <c r="Q63" s="39" t="e">
        <f>VLOOKUP(P63,RPN!$B$6:$C$22,2)</f>
        <v>#N/A</v>
      </c>
      <c r="Z63" s="9" t="e">
        <f ca="1">VLOOKUP($N63,Likelihood!$A$3:$C$7,2,FALSE)+RANDBETWEEN(-20,20)/100</f>
        <v>#N/A</v>
      </c>
      <c r="AA63" s="9" t="e">
        <f ca="1">IF($Q63=AA$2,VLOOKUP($O63,Impact!$A$4:$B$8,2,FALSE)+RANDBETWEEN(-20,20)/100,NA())</f>
        <v>#N/A</v>
      </c>
      <c r="AB63" s="9" t="e">
        <f ca="1">IF($Q63=AB$2,VLOOKUP($O63,Impact!$A$4:$B$8,2,FALSE)+RANDBETWEEN(-20,20)/100,NA())</f>
        <v>#N/A</v>
      </c>
      <c r="AC63" s="9" t="e">
        <f ca="1">IF($Q63=AC$2,VLOOKUP($O63,Impact!$A$4:$B$8,2,FALSE)+RANDBETWEEN(-20,20)/100,NA())</f>
        <v>#N/A</v>
      </c>
    </row>
    <row r="64" spans="1:29" x14ac:dyDescent="0.25">
      <c r="A64" s="17">
        <v>62</v>
      </c>
      <c r="B64" s="3" t="str">
        <f t="shared" si="2"/>
        <v/>
      </c>
      <c r="H64" s="49" t="str">
        <f t="shared" si="0"/>
        <v>s. D.</v>
      </c>
      <c r="I64" s="48" t="str">
        <f t="shared" si="1"/>
        <v/>
      </c>
      <c r="J64" s="49" t="str">
        <f>I64&amp;IF(NOT(ISBLANK(E64)),CHAR(10)&amp;VLOOKUP(E64,AttackRiskStep!$A$3:$C$99,3,FALSE),"see Description")&amp;IF(NOT(ISBLANK(F64))," -&gt; "&amp;CHAR(10)&amp;VLOOKUP(F64,AttackRiskStep!$A$3:$C$99,3,FALSE),"")&amp;IF(NOT(ISBLANK(G64))," -&gt; "&amp;CHAR(10)&amp;VLOOKUP(G64,AttackRiskStep!$A$3:$C$99,3,FALSE),"")</f>
        <v>see Description</v>
      </c>
      <c r="P64" s="38" t="e">
        <f>VLOOKUP($N64,Likelihood!$A$3:$B$7,2,FALSE)*VLOOKUP($O64,Impact!$A$4:$B$8,2,FALSE)</f>
        <v>#N/A</v>
      </c>
      <c r="Q64" s="39" t="e">
        <f>VLOOKUP(P64,RPN!$B$6:$C$22,2)</f>
        <v>#N/A</v>
      </c>
      <c r="Z64" s="9" t="e">
        <f ca="1">VLOOKUP($N64,Likelihood!$A$3:$C$7,2,FALSE)+RANDBETWEEN(-20,20)/100</f>
        <v>#N/A</v>
      </c>
      <c r="AA64" s="9" t="e">
        <f ca="1">IF($Q64=AA$2,VLOOKUP($O64,Impact!$A$4:$B$8,2,FALSE)+RANDBETWEEN(-20,20)/100,NA())</f>
        <v>#N/A</v>
      </c>
      <c r="AB64" s="9" t="e">
        <f ca="1">IF($Q64=AB$2,VLOOKUP($O64,Impact!$A$4:$B$8,2,FALSE)+RANDBETWEEN(-20,20)/100,NA())</f>
        <v>#N/A</v>
      </c>
      <c r="AC64" s="9" t="e">
        <f ca="1">IF($Q64=AC$2,VLOOKUP($O64,Impact!$A$4:$B$8,2,FALSE)+RANDBETWEEN(-20,20)/100,NA())</f>
        <v>#N/A</v>
      </c>
    </row>
    <row r="65" spans="1:29" x14ac:dyDescent="0.25">
      <c r="A65" s="17">
        <v>63</v>
      </c>
      <c r="B65" s="3" t="str">
        <f t="shared" si="2"/>
        <v/>
      </c>
      <c r="H65" s="49" t="str">
        <f t="shared" ref="H65:H128" si="12">IF(ISBLANK(E65),"s. D.",IF(ISBLANK(F65),E65,IF(ISBLANK(G65),F65,G65)))</f>
        <v>s. D.</v>
      </c>
      <c r="I65" s="48" t="str">
        <f t="shared" si="1"/>
        <v/>
      </c>
      <c r="J65" s="49" t="str">
        <f>I65&amp;IF(NOT(ISBLANK(E65)),CHAR(10)&amp;VLOOKUP(E65,AttackRiskStep!$A$3:$C$99,3,FALSE),"see Description")&amp;IF(NOT(ISBLANK(F65))," -&gt; "&amp;CHAR(10)&amp;VLOOKUP(F65,AttackRiskStep!$A$3:$C$99,3,FALSE),"")&amp;IF(NOT(ISBLANK(G65))," -&gt; "&amp;CHAR(10)&amp;VLOOKUP(G65,AttackRiskStep!$A$3:$C$99,3,FALSE),"")</f>
        <v>see Description</v>
      </c>
      <c r="P65" s="38" t="e">
        <f>VLOOKUP($N65,Likelihood!$A$3:$B$7,2,FALSE)*VLOOKUP($O65,Impact!$A$4:$B$8,2,FALSE)</f>
        <v>#N/A</v>
      </c>
      <c r="Q65" s="39" t="e">
        <f>VLOOKUP(P65,RPN!$B$6:$C$22,2)</f>
        <v>#N/A</v>
      </c>
      <c r="Z65" s="9" t="e">
        <f ca="1">VLOOKUP($N65,Likelihood!$A$3:$C$7,2,FALSE)+RANDBETWEEN(-20,20)/100</f>
        <v>#N/A</v>
      </c>
      <c r="AA65" s="9" t="e">
        <f ca="1">IF($Q65=AA$2,VLOOKUP($O65,Impact!$A$4:$B$8,2,FALSE)+RANDBETWEEN(-20,20)/100,NA())</f>
        <v>#N/A</v>
      </c>
      <c r="AB65" s="9" t="e">
        <f ca="1">IF($Q65=AB$2,VLOOKUP($O65,Impact!$A$4:$B$8,2,FALSE)+RANDBETWEEN(-20,20)/100,NA())</f>
        <v>#N/A</v>
      </c>
      <c r="AC65" s="9" t="e">
        <f ca="1">IF($Q65=AC$2,VLOOKUP($O65,Impact!$A$4:$B$8,2,FALSE)+RANDBETWEEN(-20,20)/100,NA())</f>
        <v>#N/A</v>
      </c>
    </row>
    <row r="66" spans="1:29" x14ac:dyDescent="0.25">
      <c r="A66" s="17">
        <v>64</v>
      </c>
      <c r="B66" s="3" t="str">
        <f t="shared" si="2"/>
        <v/>
      </c>
      <c r="H66" s="49" t="str">
        <f t="shared" si="12"/>
        <v>s. D.</v>
      </c>
      <c r="I66" s="48" t="str">
        <f t="shared" si="1"/>
        <v/>
      </c>
      <c r="J66" s="49" t="str">
        <f>I66&amp;IF(NOT(ISBLANK(E66)),CHAR(10)&amp;VLOOKUP(E66,AttackRiskStep!$A$3:$C$99,3,FALSE),"see Description")&amp;IF(NOT(ISBLANK(F66))," -&gt; "&amp;CHAR(10)&amp;VLOOKUP(F66,AttackRiskStep!$A$3:$C$99,3,FALSE),"")&amp;IF(NOT(ISBLANK(G66))," -&gt; "&amp;CHAR(10)&amp;VLOOKUP(G66,AttackRiskStep!$A$3:$C$99,3,FALSE),"")</f>
        <v>see Description</v>
      </c>
      <c r="P66" s="38" t="e">
        <f>VLOOKUP($N66,Likelihood!$A$3:$B$7,2,FALSE)*VLOOKUP($O66,Impact!$A$4:$B$8,2,FALSE)</f>
        <v>#N/A</v>
      </c>
      <c r="Q66" s="39" t="e">
        <f>VLOOKUP(P66,RPN!$B$6:$C$22,2)</f>
        <v>#N/A</v>
      </c>
      <c r="Z66" s="9" t="e">
        <f ca="1">VLOOKUP($N66,Likelihood!$A$3:$C$7,2,FALSE)+RANDBETWEEN(-20,20)/100</f>
        <v>#N/A</v>
      </c>
      <c r="AA66" s="9" t="e">
        <f ca="1">IF($Q66=AA$2,VLOOKUP($O66,Impact!$A$4:$B$8,2,FALSE)+RANDBETWEEN(-20,20)/100,NA())</f>
        <v>#N/A</v>
      </c>
      <c r="AB66" s="9" t="e">
        <f ca="1">IF($Q66=AB$2,VLOOKUP($O66,Impact!$A$4:$B$8,2,FALSE)+RANDBETWEEN(-20,20)/100,NA())</f>
        <v>#N/A</v>
      </c>
      <c r="AC66" s="9" t="e">
        <f ca="1">IF($Q66=AC$2,VLOOKUP($O66,Impact!$A$4:$B$8,2,FALSE)+RANDBETWEEN(-20,20)/100,NA())</f>
        <v>#N/A</v>
      </c>
    </row>
    <row r="67" spans="1:29" x14ac:dyDescent="0.25">
      <c r="A67" s="17">
        <v>65</v>
      </c>
      <c r="B67" s="3" t="str">
        <f t="shared" ref="B67:B130" si="13">I67</f>
        <v/>
      </c>
      <c r="H67" s="49" t="str">
        <f t="shared" si="12"/>
        <v>s. D.</v>
      </c>
      <c r="I67" s="48" t="str">
        <f t="shared" ref="I67:I130" si="14">IF(NOT(ISBLANK(E67)),E67,"")&amp;IF(NOT(ISBLANK(F67))," -&gt; "&amp;F67,"")&amp;IF(NOT(ISBLANK(G67))," -&gt; "&amp;G67,"")</f>
        <v/>
      </c>
      <c r="J67" s="49" t="str">
        <f>I67&amp;IF(NOT(ISBLANK(E67)),CHAR(10)&amp;VLOOKUP(E67,AttackRiskStep!$A$3:$C$99,3,FALSE),"see Description")&amp;IF(NOT(ISBLANK(F67))," -&gt; "&amp;CHAR(10)&amp;VLOOKUP(F67,AttackRiskStep!$A$3:$C$99,3,FALSE),"")&amp;IF(NOT(ISBLANK(G67))," -&gt; "&amp;CHAR(10)&amp;VLOOKUP(G67,AttackRiskStep!$A$3:$C$99,3,FALSE),"")</f>
        <v>see Description</v>
      </c>
      <c r="P67" s="38" t="e">
        <f>VLOOKUP($N67,Likelihood!$A$3:$B$7,2,FALSE)*VLOOKUP($O67,Impact!$A$4:$B$8,2,FALSE)</f>
        <v>#N/A</v>
      </c>
      <c r="Q67" s="39" t="e">
        <f>VLOOKUP(P67,RPN!$B$6:$C$22,2)</f>
        <v>#N/A</v>
      </c>
      <c r="Z67" s="9" t="e">
        <f ca="1">VLOOKUP($N67,Likelihood!$A$3:$C$7,2,FALSE)+RANDBETWEEN(-20,20)/100</f>
        <v>#N/A</v>
      </c>
      <c r="AA67" s="9" t="e">
        <f ca="1">IF($Q67=AA$2,VLOOKUP($O67,Impact!$A$4:$B$8,2,FALSE)+RANDBETWEEN(-20,20)/100,NA())</f>
        <v>#N/A</v>
      </c>
      <c r="AB67" s="9" t="e">
        <f ca="1">IF($Q67=AB$2,VLOOKUP($O67,Impact!$A$4:$B$8,2,FALSE)+RANDBETWEEN(-20,20)/100,NA())</f>
        <v>#N/A</v>
      </c>
      <c r="AC67" s="9" t="e">
        <f ca="1">IF($Q67=AC$2,VLOOKUP($O67,Impact!$A$4:$B$8,2,FALSE)+RANDBETWEEN(-20,20)/100,NA())</f>
        <v>#N/A</v>
      </c>
    </row>
    <row r="68" spans="1:29" x14ac:dyDescent="0.25">
      <c r="A68" s="17">
        <v>66</v>
      </c>
      <c r="B68" s="3" t="str">
        <f t="shared" si="13"/>
        <v/>
      </c>
      <c r="H68" s="49" t="str">
        <f t="shared" si="12"/>
        <v>s. D.</v>
      </c>
      <c r="I68" s="48" t="str">
        <f t="shared" si="14"/>
        <v/>
      </c>
      <c r="J68" s="49" t="str">
        <f>I68&amp;IF(NOT(ISBLANK(E68)),CHAR(10)&amp;VLOOKUP(E68,AttackRiskStep!$A$3:$C$99,3,FALSE),"see Description")&amp;IF(NOT(ISBLANK(F68))," -&gt; "&amp;CHAR(10)&amp;VLOOKUP(F68,AttackRiskStep!$A$3:$C$99,3,FALSE),"")&amp;IF(NOT(ISBLANK(G68))," -&gt; "&amp;CHAR(10)&amp;VLOOKUP(G68,AttackRiskStep!$A$3:$C$99,3,FALSE),"")</f>
        <v>see Description</v>
      </c>
      <c r="P68" s="38" t="e">
        <f>VLOOKUP($N68,Likelihood!$A$3:$B$7,2,FALSE)*VLOOKUP($O68,Impact!$A$4:$B$8,2,FALSE)</f>
        <v>#N/A</v>
      </c>
      <c r="Q68" s="39" t="e">
        <f>VLOOKUP(P68,RPN!$B$6:$C$22,2)</f>
        <v>#N/A</v>
      </c>
      <c r="Z68" s="9" t="e">
        <f ca="1">VLOOKUP($N68,Likelihood!$A$3:$C$7,2,FALSE)+RANDBETWEEN(-20,20)/100</f>
        <v>#N/A</v>
      </c>
      <c r="AA68" s="9" t="e">
        <f ca="1">IF($Q68=AA$2,VLOOKUP($O68,Impact!$A$4:$B$8,2,FALSE)+RANDBETWEEN(-20,20)/100,NA())</f>
        <v>#N/A</v>
      </c>
      <c r="AB68" s="9" t="e">
        <f ca="1">IF($Q68=AB$2,VLOOKUP($O68,Impact!$A$4:$B$8,2,FALSE)+RANDBETWEEN(-20,20)/100,NA())</f>
        <v>#N/A</v>
      </c>
      <c r="AC68" s="9" t="e">
        <f ca="1">IF($Q68=AC$2,VLOOKUP($O68,Impact!$A$4:$B$8,2,FALSE)+RANDBETWEEN(-20,20)/100,NA())</f>
        <v>#N/A</v>
      </c>
    </row>
    <row r="69" spans="1:29" x14ac:dyDescent="0.25">
      <c r="A69" s="17">
        <v>67</v>
      </c>
      <c r="B69" s="3" t="str">
        <f t="shared" si="13"/>
        <v/>
      </c>
      <c r="H69" s="49" t="str">
        <f t="shared" si="12"/>
        <v>s. D.</v>
      </c>
      <c r="I69" s="48" t="str">
        <f t="shared" si="14"/>
        <v/>
      </c>
      <c r="J69" s="49" t="str">
        <f>I69&amp;IF(NOT(ISBLANK(E69)),CHAR(10)&amp;VLOOKUP(E69,AttackRiskStep!$A$3:$C$99,3,FALSE),"see Description")&amp;IF(NOT(ISBLANK(F69))," -&gt; "&amp;CHAR(10)&amp;VLOOKUP(F69,AttackRiskStep!$A$3:$C$99,3,FALSE),"")&amp;IF(NOT(ISBLANK(G69))," -&gt; "&amp;CHAR(10)&amp;VLOOKUP(G69,AttackRiskStep!$A$3:$C$99,3,FALSE),"")</f>
        <v>see Description</v>
      </c>
      <c r="P69" s="38" t="e">
        <f>VLOOKUP($N69,Likelihood!$A$3:$B$7,2,FALSE)*VLOOKUP($O69,Impact!$A$4:$B$8,2,FALSE)</f>
        <v>#N/A</v>
      </c>
      <c r="Q69" s="39" t="e">
        <f>VLOOKUP(P69,RPN!$B$6:$C$22,2)</f>
        <v>#N/A</v>
      </c>
      <c r="Z69" s="9" t="e">
        <f ca="1">VLOOKUP($N69,Likelihood!$A$3:$C$7,2,FALSE)+RANDBETWEEN(-20,20)/100</f>
        <v>#N/A</v>
      </c>
      <c r="AA69" s="9" t="e">
        <f ca="1">IF($Q69=AA$2,VLOOKUP($O69,Impact!$A$4:$B$8,2,FALSE)+RANDBETWEEN(-20,20)/100,NA())</f>
        <v>#N/A</v>
      </c>
      <c r="AB69" s="9" t="e">
        <f ca="1">IF($Q69=AB$2,VLOOKUP($O69,Impact!$A$4:$B$8,2,FALSE)+RANDBETWEEN(-20,20)/100,NA())</f>
        <v>#N/A</v>
      </c>
      <c r="AC69" s="9" t="e">
        <f ca="1">IF($Q69=AC$2,VLOOKUP($O69,Impact!$A$4:$B$8,2,FALSE)+RANDBETWEEN(-20,20)/100,NA())</f>
        <v>#N/A</v>
      </c>
    </row>
    <row r="70" spans="1:29" x14ac:dyDescent="0.25">
      <c r="A70" s="17">
        <v>68</v>
      </c>
      <c r="B70" s="3" t="str">
        <f t="shared" si="13"/>
        <v/>
      </c>
      <c r="H70" s="49" t="str">
        <f t="shared" si="12"/>
        <v>s. D.</v>
      </c>
      <c r="I70" s="48" t="str">
        <f t="shared" si="14"/>
        <v/>
      </c>
      <c r="J70" s="49" t="str">
        <f>I70&amp;IF(NOT(ISBLANK(E70)),CHAR(10)&amp;VLOOKUP(E70,AttackRiskStep!$A$3:$C$99,3,FALSE),"see Description")&amp;IF(NOT(ISBLANK(F70))," -&gt; "&amp;CHAR(10)&amp;VLOOKUP(F70,AttackRiskStep!$A$3:$C$99,3,FALSE),"")&amp;IF(NOT(ISBLANK(G70))," -&gt; "&amp;CHAR(10)&amp;VLOOKUP(G70,AttackRiskStep!$A$3:$C$99,3,FALSE),"")</f>
        <v>see Description</v>
      </c>
      <c r="P70" s="38" t="e">
        <f>VLOOKUP($N70,Likelihood!$A$3:$B$7,2,FALSE)*VLOOKUP($O70,Impact!$A$4:$B$8,2,FALSE)</f>
        <v>#N/A</v>
      </c>
      <c r="Q70" s="39" t="e">
        <f>VLOOKUP(P70,RPN!$B$6:$C$22,2)</f>
        <v>#N/A</v>
      </c>
      <c r="Z70" s="9" t="e">
        <f ca="1">VLOOKUP($N70,Likelihood!$A$3:$C$7,2,FALSE)+RANDBETWEEN(-20,20)/100</f>
        <v>#N/A</v>
      </c>
      <c r="AA70" s="9" t="e">
        <f ca="1">IF($Q70=AA$2,VLOOKUP($O70,Impact!$A$4:$B$8,2,FALSE)+RANDBETWEEN(-20,20)/100,NA())</f>
        <v>#N/A</v>
      </c>
      <c r="AB70" s="9" t="e">
        <f ca="1">IF($Q70=AB$2,VLOOKUP($O70,Impact!$A$4:$B$8,2,FALSE)+RANDBETWEEN(-20,20)/100,NA())</f>
        <v>#N/A</v>
      </c>
      <c r="AC70" s="9" t="e">
        <f ca="1">IF($Q70=AC$2,VLOOKUP($O70,Impact!$A$4:$B$8,2,FALSE)+RANDBETWEEN(-20,20)/100,NA())</f>
        <v>#N/A</v>
      </c>
    </row>
    <row r="71" spans="1:29" x14ac:dyDescent="0.25">
      <c r="A71" s="17">
        <v>69</v>
      </c>
      <c r="B71" s="3" t="str">
        <f t="shared" si="13"/>
        <v/>
      </c>
      <c r="H71" s="49" t="str">
        <f t="shared" si="12"/>
        <v>s. D.</v>
      </c>
      <c r="I71" s="48" t="str">
        <f t="shared" si="14"/>
        <v/>
      </c>
      <c r="J71" s="49" t="str">
        <f>I71&amp;IF(NOT(ISBLANK(E71)),CHAR(10)&amp;VLOOKUP(E71,AttackRiskStep!$A$3:$C$99,3,FALSE),"see Description")&amp;IF(NOT(ISBLANK(F71))," -&gt; "&amp;CHAR(10)&amp;VLOOKUP(F71,AttackRiskStep!$A$3:$C$99,3,FALSE),"")&amp;IF(NOT(ISBLANK(G71))," -&gt; "&amp;CHAR(10)&amp;VLOOKUP(G71,AttackRiskStep!$A$3:$C$99,3,FALSE),"")</f>
        <v>see Description</v>
      </c>
      <c r="P71" s="38" t="e">
        <f>VLOOKUP($N71,Likelihood!$A$3:$B$7,2,FALSE)*VLOOKUP($O71,Impact!$A$4:$B$8,2,FALSE)</f>
        <v>#N/A</v>
      </c>
      <c r="Q71" s="39" t="e">
        <f>VLOOKUP(P71,RPN!$B$6:$C$22,2)</f>
        <v>#N/A</v>
      </c>
      <c r="Z71" s="9" t="e">
        <f ca="1">VLOOKUP($N71,Likelihood!$A$3:$C$7,2,FALSE)+RANDBETWEEN(-20,20)/100</f>
        <v>#N/A</v>
      </c>
      <c r="AA71" s="9" t="e">
        <f ca="1">IF($Q71=AA$2,VLOOKUP($O71,Impact!$A$4:$B$8,2,FALSE)+RANDBETWEEN(-20,20)/100,NA())</f>
        <v>#N/A</v>
      </c>
      <c r="AB71" s="9" t="e">
        <f ca="1">IF($Q71=AB$2,VLOOKUP($O71,Impact!$A$4:$B$8,2,FALSE)+RANDBETWEEN(-20,20)/100,NA())</f>
        <v>#N/A</v>
      </c>
      <c r="AC71" s="9" t="e">
        <f ca="1">IF($Q71=AC$2,VLOOKUP($O71,Impact!$A$4:$B$8,2,FALSE)+RANDBETWEEN(-20,20)/100,NA())</f>
        <v>#N/A</v>
      </c>
    </row>
    <row r="72" spans="1:29" x14ac:dyDescent="0.25">
      <c r="A72" s="17">
        <v>70</v>
      </c>
      <c r="B72" s="3" t="str">
        <f t="shared" si="13"/>
        <v/>
      </c>
      <c r="H72" s="49" t="str">
        <f t="shared" si="12"/>
        <v>s. D.</v>
      </c>
      <c r="I72" s="48" t="str">
        <f t="shared" si="14"/>
        <v/>
      </c>
      <c r="J72" s="49" t="str">
        <f>I72&amp;IF(NOT(ISBLANK(E72)),CHAR(10)&amp;VLOOKUP(E72,AttackRiskStep!$A$3:$C$99,3,FALSE),"see Description")&amp;IF(NOT(ISBLANK(F72))," -&gt; "&amp;CHAR(10)&amp;VLOOKUP(F72,AttackRiskStep!$A$3:$C$99,3,FALSE),"")&amp;IF(NOT(ISBLANK(G72))," -&gt; "&amp;CHAR(10)&amp;VLOOKUP(G72,AttackRiskStep!$A$3:$C$99,3,FALSE),"")</f>
        <v>see Description</v>
      </c>
      <c r="P72" s="38" t="e">
        <f>VLOOKUP($N72,Likelihood!$A$3:$B$7,2,FALSE)*VLOOKUP($O72,Impact!$A$4:$B$8,2,FALSE)</f>
        <v>#N/A</v>
      </c>
      <c r="Q72" s="39" t="e">
        <f>VLOOKUP(P72,RPN!$B$6:$C$22,2)</f>
        <v>#N/A</v>
      </c>
      <c r="Z72" s="9" t="e">
        <f ca="1">VLOOKUP($N72,Likelihood!$A$3:$C$7,2,FALSE)+RANDBETWEEN(-20,20)/100</f>
        <v>#N/A</v>
      </c>
      <c r="AA72" s="9" t="e">
        <f ca="1">IF($Q72=AA$2,VLOOKUP($O72,Impact!$A$4:$B$8,2,FALSE)+RANDBETWEEN(-20,20)/100,NA())</f>
        <v>#N/A</v>
      </c>
      <c r="AB72" s="9" t="e">
        <f ca="1">IF($Q72=AB$2,VLOOKUP($O72,Impact!$A$4:$B$8,2,FALSE)+RANDBETWEEN(-20,20)/100,NA())</f>
        <v>#N/A</v>
      </c>
      <c r="AC72" s="9" t="e">
        <f ca="1">IF($Q72=AC$2,VLOOKUP($O72,Impact!$A$4:$B$8,2,FALSE)+RANDBETWEEN(-20,20)/100,NA())</f>
        <v>#N/A</v>
      </c>
    </row>
    <row r="73" spans="1:29" x14ac:dyDescent="0.25">
      <c r="A73" s="17">
        <v>71</v>
      </c>
      <c r="B73" s="3" t="str">
        <f t="shared" si="13"/>
        <v/>
      </c>
      <c r="H73" s="49" t="str">
        <f t="shared" si="12"/>
        <v>s. D.</v>
      </c>
      <c r="I73" s="48" t="str">
        <f t="shared" si="14"/>
        <v/>
      </c>
      <c r="J73" s="49" t="str">
        <f>I73&amp;IF(NOT(ISBLANK(E73)),CHAR(10)&amp;VLOOKUP(E73,AttackRiskStep!$A$3:$C$99,3,FALSE),"see Description")&amp;IF(NOT(ISBLANK(F73))," -&gt; "&amp;CHAR(10)&amp;VLOOKUP(F73,AttackRiskStep!$A$3:$C$99,3,FALSE),"")&amp;IF(NOT(ISBLANK(G73))," -&gt; "&amp;CHAR(10)&amp;VLOOKUP(G73,AttackRiskStep!$A$3:$C$99,3,FALSE),"")</f>
        <v>see Description</v>
      </c>
      <c r="P73" s="38" t="e">
        <f>VLOOKUP($N73,Likelihood!$A$3:$B$7,2,FALSE)*VLOOKUP($O73,Impact!$A$4:$B$8,2,FALSE)</f>
        <v>#N/A</v>
      </c>
      <c r="Q73" s="39" t="e">
        <f>VLOOKUP(P73,RPN!$B$6:$C$22,2)</f>
        <v>#N/A</v>
      </c>
      <c r="Z73" s="9" t="e">
        <f ca="1">VLOOKUP($N73,Likelihood!$A$3:$C$7,2,FALSE)+RANDBETWEEN(-20,20)/100</f>
        <v>#N/A</v>
      </c>
      <c r="AA73" s="9" t="e">
        <f ca="1">IF($Q73=AA$2,VLOOKUP($O73,Impact!$A$4:$B$8,2,FALSE)+RANDBETWEEN(-20,20)/100,NA())</f>
        <v>#N/A</v>
      </c>
      <c r="AB73" s="9" t="e">
        <f ca="1">IF($Q73=AB$2,VLOOKUP($O73,Impact!$A$4:$B$8,2,FALSE)+RANDBETWEEN(-20,20)/100,NA())</f>
        <v>#N/A</v>
      </c>
      <c r="AC73" s="9" t="e">
        <f ca="1">IF($Q73=AC$2,VLOOKUP($O73,Impact!$A$4:$B$8,2,FALSE)+RANDBETWEEN(-20,20)/100,NA())</f>
        <v>#N/A</v>
      </c>
    </row>
    <row r="74" spans="1:29" x14ac:dyDescent="0.25">
      <c r="A74" s="17">
        <v>72</v>
      </c>
      <c r="B74" s="3" t="str">
        <f t="shared" si="13"/>
        <v/>
      </c>
      <c r="H74" s="49" t="str">
        <f t="shared" si="12"/>
        <v>s. D.</v>
      </c>
      <c r="I74" s="48" t="str">
        <f t="shared" si="14"/>
        <v/>
      </c>
      <c r="J74" s="49" t="str">
        <f>I74&amp;IF(NOT(ISBLANK(E74)),CHAR(10)&amp;VLOOKUP(E74,AttackRiskStep!$A$3:$C$99,3,FALSE),"see Description")&amp;IF(NOT(ISBLANK(F74))," -&gt; "&amp;CHAR(10)&amp;VLOOKUP(F74,AttackRiskStep!$A$3:$C$99,3,FALSE),"")&amp;IF(NOT(ISBLANK(G74))," -&gt; "&amp;CHAR(10)&amp;VLOOKUP(G74,AttackRiskStep!$A$3:$C$99,3,FALSE),"")</f>
        <v>see Description</v>
      </c>
      <c r="P74" s="38" t="e">
        <f>VLOOKUP($N74,Likelihood!$A$3:$B$7,2,FALSE)*VLOOKUP($O74,Impact!$A$4:$B$8,2,FALSE)</f>
        <v>#N/A</v>
      </c>
      <c r="Q74" s="39" t="e">
        <f>VLOOKUP(P74,RPN!$B$6:$C$22,2)</f>
        <v>#N/A</v>
      </c>
      <c r="Z74" s="9" t="e">
        <f ca="1">VLOOKUP($N74,Likelihood!$A$3:$C$7,2,FALSE)+RANDBETWEEN(-20,20)/100</f>
        <v>#N/A</v>
      </c>
      <c r="AA74" s="9" t="e">
        <f ca="1">IF($Q74=AA$2,VLOOKUP($O74,Impact!$A$4:$B$8,2,FALSE)+RANDBETWEEN(-20,20)/100,NA())</f>
        <v>#N/A</v>
      </c>
      <c r="AB74" s="9" t="e">
        <f ca="1">IF($Q74=AB$2,VLOOKUP($O74,Impact!$A$4:$B$8,2,FALSE)+RANDBETWEEN(-20,20)/100,NA())</f>
        <v>#N/A</v>
      </c>
      <c r="AC74" s="9" t="e">
        <f ca="1">IF($Q74=AC$2,VLOOKUP($O74,Impact!$A$4:$B$8,2,FALSE)+RANDBETWEEN(-20,20)/100,NA())</f>
        <v>#N/A</v>
      </c>
    </row>
    <row r="75" spans="1:29" x14ac:dyDescent="0.25">
      <c r="A75" s="17">
        <v>73</v>
      </c>
      <c r="B75" s="3" t="str">
        <f t="shared" si="13"/>
        <v/>
      </c>
      <c r="H75" s="49" t="str">
        <f t="shared" si="12"/>
        <v>s. D.</v>
      </c>
      <c r="I75" s="48" t="str">
        <f t="shared" si="14"/>
        <v/>
      </c>
      <c r="J75" s="49" t="str">
        <f>I75&amp;IF(NOT(ISBLANK(E75)),CHAR(10)&amp;VLOOKUP(E75,AttackRiskStep!$A$3:$C$99,3,FALSE),"see Description")&amp;IF(NOT(ISBLANK(F75))," -&gt; "&amp;CHAR(10)&amp;VLOOKUP(F75,AttackRiskStep!$A$3:$C$99,3,FALSE),"")&amp;IF(NOT(ISBLANK(G75))," -&gt; "&amp;CHAR(10)&amp;VLOOKUP(G75,AttackRiskStep!$A$3:$C$99,3,FALSE),"")</f>
        <v>see Description</v>
      </c>
      <c r="P75" s="38" t="e">
        <f>VLOOKUP($N75,Likelihood!$A$3:$B$7,2,FALSE)*VLOOKUP($O75,Impact!$A$4:$B$8,2,FALSE)</f>
        <v>#N/A</v>
      </c>
      <c r="Q75" s="39" t="e">
        <f>VLOOKUP(P75,RPN!$B$6:$C$22,2)</f>
        <v>#N/A</v>
      </c>
      <c r="Z75" s="9" t="e">
        <f ca="1">VLOOKUP($N75,Likelihood!$A$3:$C$7,2,FALSE)+RANDBETWEEN(-20,20)/100</f>
        <v>#N/A</v>
      </c>
      <c r="AA75" s="9" t="e">
        <f ca="1">IF($Q75=AA$2,VLOOKUP($O75,Impact!$A$4:$B$8,2,FALSE)+RANDBETWEEN(-20,20)/100,NA())</f>
        <v>#N/A</v>
      </c>
      <c r="AB75" s="9" t="e">
        <f ca="1">IF($Q75=AB$2,VLOOKUP($O75,Impact!$A$4:$B$8,2,FALSE)+RANDBETWEEN(-20,20)/100,NA())</f>
        <v>#N/A</v>
      </c>
      <c r="AC75" s="9" t="e">
        <f ca="1">IF($Q75=AC$2,VLOOKUP($O75,Impact!$A$4:$B$8,2,FALSE)+RANDBETWEEN(-20,20)/100,NA())</f>
        <v>#N/A</v>
      </c>
    </row>
    <row r="76" spans="1:29" x14ac:dyDescent="0.25">
      <c r="A76" s="17">
        <v>74</v>
      </c>
      <c r="B76" s="3" t="str">
        <f t="shared" si="13"/>
        <v/>
      </c>
      <c r="H76" s="49" t="str">
        <f t="shared" si="12"/>
        <v>s. D.</v>
      </c>
      <c r="I76" s="48" t="str">
        <f t="shared" si="14"/>
        <v/>
      </c>
      <c r="J76" s="49" t="str">
        <f>I76&amp;IF(NOT(ISBLANK(E76)),CHAR(10)&amp;VLOOKUP(E76,AttackRiskStep!$A$3:$C$99,3,FALSE),"see Description")&amp;IF(NOT(ISBLANK(F76))," -&gt; "&amp;CHAR(10)&amp;VLOOKUP(F76,AttackRiskStep!$A$3:$C$99,3,FALSE),"")&amp;IF(NOT(ISBLANK(G76))," -&gt; "&amp;CHAR(10)&amp;VLOOKUP(G76,AttackRiskStep!$A$3:$C$99,3,FALSE),"")</f>
        <v>see Description</v>
      </c>
      <c r="P76" s="38" t="e">
        <f>VLOOKUP($N76,Likelihood!$A$3:$B$7,2,FALSE)*VLOOKUP($O76,Impact!$A$4:$B$8,2,FALSE)</f>
        <v>#N/A</v>
      </c>
      <c r="Q76" s="39" t="e">
        <f>VLOOKUP(P76,RPN!$B$6:$C$22,2)</f>
        <v>#N/A</v>
      </c>
      <c r="Z76" s="9" t="e">
        <f ca="1">VLOOKUP($N76,Likelihood!$A$3:$C$7,2,FALSE)+RANDBETWEEN(-20,20)/100</f>
        <v>#N/A</v>
      </c>
      <c r="AA76" s="9" t="e">
        <f ca="1">IF($Q76=AA$2,VLOOKUP($O76,Impact!$A$4:$B$8,2,FALSE)+RANDBETWEEN(-20,20)/100,NA())</f>
        <v>#N/A</v>
      </c>
      <c r="AB76" s="9" t="e">
        <f ca="1">IF($Q76=AB$2,VLOOKUP($O76,Impact!$A$4:$B$8,2,FALSE)+RANDBETWEEN(-20,20)/100,NA())</f>
        <v>#N/A</v>
      </c>
      <c r="AC76" s="9" t="e">
        <f ca="1">IF($Q76=AC$2,VLOOKUP($O76,Impact!$A$4:$B$8,2,FALSE)+RANDBETWEEN(-20,20)/100,NA())</f>
        <v>#N/A</v>
      </c>
    </row>
    <row r="77" spans="1:29" x14ac:dyDescent="0.25">
      <c r="A77" s="17">
        <v>75</v>
      </c>
      <c r="B77" s="3" t="str">
        <f t="shared" si="13"/>
        <v/>
      </c>
      <c r="H77" s="49" t="str">
        <f t="shared" si="12"/>
        <v>s. D.</v>
      </c>
      <c r="I77" s="48" t="str">
        <f t="shared" si="14"/>
        <v/>
      </c>
      <c r="J77" s="49" t="str">
        <f>I77&amp;IF(NOT(ISBLANK(E77)),CHAR(10)&amp;VLOOKUP(E77,AttackRiskStep!$A$3:$C$99,3,FALSE),"see Description")&amp;IF(NOT(ISBLANK(F77))," -&gt; "&amp;CHAR(10)&amp;VLOOKUP(F77,AttackRiskStep!$A$3:$C$99,3,FALSE),"")&amp;IF(NOT(ISBLANK(G77))," -&gt; "&amp;CHAR(10)&amp;VLOOKUP(G77,AttackRiskStep!$A$3:$C$99,3,FALSE),"")</f>
        <v>see Description</v>
      </c>
      <c r="P77" s="38" t="e">
        <f>VLOOKUP($N77,Likelihood!$A$3:$B$7,2,FALSE)*VLOOKUP($O77,Impact!$A$4:$B$8,2,FALSE)</f>
        <v>#N/A</v>
      </c>
      <c r="Q77" s="39" t="e">
        <f>VLOOKUP(P77,RPN!$B$6:$C$22,2)</f>
        <v>#N/A</v>
      </c>
      <c r="Z77" s="9" t="e">
        <f ca="1">VLOOKUP($N77,Likelihood!$A$3:$C$7,2,FALSE)+RANDBETWEEN(-20,20)/100</f>
        <v>#N/A</v>
      </c>
      <c r="AA77" s="9" t="e">
        <f ca="1">IF($Q77=AA$2,VLOOKUP($O77,Impact!$A$4:$B$8,2,FALSE)+RANDBETWEEN(-20,20)/100,NA())</f>
        <v>#N/A</v>
      </c>
      <c r="AB77" s="9" t="e">
        <f ca="1">IF($Q77=AB$2,VLOOKUP($O77,Impact!$A$4:$B$8,2,FALSE)+RANDBETWEEN(-20,20)/100,NA())</f>
        <v>#N/A</v>
      </c>
      <c r="AC77" s="9" t="e">
        <f ca="1">IF($Q77=AC$2,VLOOKUP($O77,Impact!$A$4:$B$8,2,FALSE)+RANDBETWEEN(-20,20)/100,NA())</f>
        <v>#N/A</v>
      </c>
    </row>
    <row r="78" spans="1:29" x14ac:dyDescent="0.25">
      <c r="A78" s="17">
        <v>76</v>
      </c>
      <c r="B78" s="3" t="str">
        <f t="shared" si="13"/>
        <v/>
      </c>
      <c r="H78" s="49" t="str">
        <f t="shared" si="12"/>
        <v>s. D.</v>
      </c>
      <c r="I78" s="48" t="str">
        <f t="shared" si="14"/>
        <v/>
      </c>
      <c r="J78" s="49" t="str">
        <f>I78&amp;IF(NOT(ISBLANK(E78)),CHAR(10)&amp;VLOOKUP(E78,AttackRiskStep!$A$3:$C$99,3,FALSE),"see Description")&amp;IF(NOT(ISBLANK(F78))," -&gt; "&amp;CHAR(10)&amp;VLOOKUP(F78,AttackRiskStep!$A$3:$C$99,3,FALSE),"")&amp;IF(NOT(ISBLANK(G78))," -&gt; "&amp;CHAR(10)&amp;VLOOKUP(G78,AttackRiskStep!$A$3:$C$99,3,FALSE),"")</f>
        <v>see Description</v>
      </c>
      <c r="P78" s="38" t="e">
        <f>VLOOKUP($N78,Likelihood!$A$3:$B$7,2,FALSE)*VLOOKUP($O78,Impact!$A$4:$B$8,2,FALSE)</f>
        <v>#N/A</v>
      </c>
      <c r="Q78" s="39" t="e">
        <f>VLOOKUP(P78,RPN!$B$6:$C$22,2)</f>
        <v>#N/A</v>
      </c>
      <c r="Z78" s="9" t="e">
        <f ca="1">VLOOKUP($N78,Likelihood!$A$3:$C$7,2,FALSE)+RANDBETWEEN(-20,20)/100</f>
        <v>#N/A</v>
      </c>
      <c r="AA78" s="9" t="e">
        <f ca="1">IF($Q78=AA$2,VLOOKUP($O78,Impact!$A$4:$B$8,2,FALSE)+RANDBETWEEN(-20,20)/100,NA())</f>
        <v>#N/A</v>
      </c>
      <c r="AB78" s="9" t="e">
        <f ca="1">IF($Q78=AB$2,VLOOKUP($O78,Impact!$A$4:$B$8,2,FALSE)+RANDBETWEEN(-20,20)/100,NA())</f>
        <v>#N/A</v>
      </c>
      <c r="AC78" s="9" t="e">
        <f ca="1">IF($Q78=AC$2,VLOOKUP($O78,Impact!$A$4:$B$8,2,FALSE)+RANDBETWEEN(-20,20)/100,NA())</f>
        <v>#N/A</v>
      </c>
    </row>
    <row r="79" spans="1:29" x14ac:dyDescent="0.25">
      <c r="A79" s="17">
        <v>77</v>
      </c>
      <c r="B79" s="3" t="str">
        <f t="shared" si="13"/>
        <v/>
      </c>
      <c r="H79" s="49" t="str">
        <f t="shared" si="12"/>
        <v>s. D.</v>
      </c>
      <c r="I79" s="48" t="str">
        <f t="shared" si="14"/>
        <v/>
      </c>
      <c r="J79" s="49" t="str">
        <f>I79&amp;IF(NOT(ISBLANK(E79)),CHAR(10)&amp;VLOOKUP(E79,AttackRiskStep!$A$3:$C$99,3,FALSE),"see Description")&amp;IF(NOT(ISBLANK(F79))," -&gt; "&amp;CHAR(10)&amp;VLOOKUP(F79,AttackRiskStep!$A$3:$C$99,3,FALSE),"")&amp;IF(NOT(ISBLANK(G79))," -&gt; "&amp;CHAR(10)&amp;VLOOKUP(G79,AttackRiskStep!$A$3:$C$99,3,FALSE),"")</f>
        <v>see Description</v>
      </c>
      <c r="P79" s="38" t="e">
        <f>VLOOKUP($N79,Likelihood!$A$3:$B$7,2,FALSE)*VLOOKUP($O79,Impact!$A$4:$B$8,2,FALSE)</f>
        <v>#N/A</v>
      </c>
      <c r="Q79" s="39" t="e">
        <f>VLOOKUP(P79,RPN!$B$6:$C$22,2)</f>
        <v>#N/A</v>
      </c>
      <c r="Z79" s="9" t="e">
        <f ca="1">VLOOKUP($N79,Likelihood!$A$3:$C$7,2,FALSE)+RANDBETWEEN(-20,20)/100</f>
        <v>#N/A</v>
      </c>
      <c r="AA79" s="9" t="e">
        <f ca="1">IF($Q79=AA$2,VLOOKUP($O79,Impact!$A$4:$B$8,2,FALSE)+RANDBETWEEN(-20,20)/100,NA())</f>
        <v>#N/A</v>
      </c>
      <c r="AB79" s="9" t="e">
        <f ca="1">IF($Q79=AB$2,VLOOKUP($O79,Impact!$A$4:$B$8,2,FALSE)+RANDBETWEEN(-20,20)/100,NA())</f>
        <v>#N/A</v>
      </c>
      <c r="AC79" s="9" t="e">
        <f ca="1">IF($Q79=AC$2,VLOOKUP($O79,Impact!$A$4:$B$8,2,FALSE)+RANDBETWEEN(-20,20)/100,NA())</f>
        <v>#N/A</v>
      </c>
    </row>
    <row r="80" spans="1:29" x14ac:dyDescent="0.25">
      <c r="A80" s="17">
        <v>78</v>
      </c>
      <c r="B80" s="3" t="str">
        <f t="shared" si="13"/>
        <v/>
      </c>
      <c r="H80" s="49" t="str">
        <f t="shared" si="12"/>
        <v>s. D.</v>
      </c>
      <c r="I80" s="48" t="str">
        <f t="shared" si="14"/>
        <v/>
      </c>
      <c r="J80" s="49" t="str">
        <f>I80&amp;IF(NOT(ISBLANK(E80)),CHAR(10)&amp;VLOOKUP(E80,AttackRiskStep!$A$3:$C$99,3,FALSE),"see Description")&amp;IF(NOT(ISBLANK(F80))," -&gt; "&amp;CHAR(10)&amp;VLOOKUP(F80,AttackRiskStep!$A$3:$C$99,3,FALSE),"")&amp;IF(NOT(ISBLANK(G80))," -&gt; "&amp;CHAR(10)&amp;VLOOKUP(G80,AttackRiskStep!$A$3:$C$99,3,FALSE),"")</f>
        <v>see Description</v>
      </c>
      <c r="P80" s="38" t="e">
        <f>VLOOKUP($N80,Likelihood!$A$3:$B$7,2,FALSE)*VLOOKUP($O80,Impact!$A$4:$B$8,2,FALSE)</f>
        <v>#N/A</v>
      </c>
      <c r="Q80" s="39" t="e">
        <f>VLOOKUP(P80,RPN!$B$6:$C$22,2)</f>
        <v>#N/A</v>
      </c>
      <c r="Z80" s="9" t="e">
        <f ca="1">VLOOKUP($N80,Likelihood!$A$3:$C$7,2,FALSE)+RANDBETWEEN(-20,20)/100</f>
        <v>#N/A</v>
      </c>
      <c r="AA80" s="9" t="e">
        <f ca="1">IF($Q80=AA$2,VLOOKUP($O80,Impact!$A$4:$B$8,2,FALSE)+RANDBETWEEN(-20,20)/100,NA())</f>
        <v>#N/A</v>
      </c>
      <c r="AB80" s="9" t="e">
        <f ca="1">IF($Q80=AB$2,VLOOKUP($O80,Impact!$A$4:$B$8,2,FALSE)+RANDBETWEEN(-20,20)/100,NA())</f>
        <v>#N/A</v>
      </c>
      <c r="AC80" s="9" t="e">
        <f ca="1">IF($Q80=AC$2,VLOOKUP($O80,Impact!$A$4:$B$8,2,FALSE)+RANDBETWEEN(-20,20)/100,NA())</f>
        <v>#N/A</v>
      </c>
    </row>
    <row r="81" spans="1:29" x14ac:dyDescent="0.25">
      <c r="A81" s="17">
        <v>79</v>
      </c>
      <c r="B81" s="3" t="str">
        <f t="shared" si="13"/>
        <v/>
      </c>
      <c r="H81" s="49" t="str">
        <f t="shared" si="12"/>
        <v>s. D.</v>
      </c>
      <c r="I81" s="48" t="str">
        <f t="shared" si="14"/>
        <v/>
      </c>
      <c r="J81" s="49" t="str">
        <f>I81&amp;IF(NOT(ISBLANK(E81)),CHAR(10)&amp;VLOOKUP(E81,AttackRiskStep!$A$3:$C$99,3,FALSE),"see Description")&amp;IF(NOT(ISBLANK(F81))," -&gt; "&amp;CHAR(10)&amp;VLOOKUP(F81,AttackRiskStep!$A$3:$C$99,3,FALSE),"")&amp;IF(NOT(ISBLANK(G81))," -&gt; "&amp;CHAR(10)&amp;VLOOKUP(G81,AttackRiskStep!$A$3:$C$99,3,FALSE),"")</f>
        <v>see Description</v>
      </c>
      <c r="P81" s="38" t="e">
        <f>VLOOKUP($N81,Likelihood!$A$3:$B$7,2,FALSE)*VLOOKUP($O81,Impact!$A$4:$B$8,2,FALSE)</f>
        <v>#N/A</v>
      </c>
      <c r="Q81" s="39" t="e">
        <f>VLOOKUP(P81,RPN!$B$6:$C$22,2)</f>
        <v>#N/A</v>
      </c>
      <c r="Z81" s="9" t="e">
        <f ca="1">VLOOKUP($N81,Likelihood!$A$3:$C$7,2,FALSE)+RANDBETWEEN(-20,20)/100</f>
        <v>#N/A</v>
      </c>
      <c r="AA81" s="9" t="e">
        <f ca="1">IF($Q81=AA$2,VLOOKUP($O81,Impact!$A$4:$B$8,2,FALSE)+RANDBETWEEN(-20,20)/100,NA())</f>
        <v>#N/A</v>
      </c>
      <c r="AB81" s="9" t="e">
        <f ca="1">IF($Q81=AB$2,VLOOKUP($O81,Impact!$A$4:$B$8,2,FALSE)+RANDBETWEEN(-20,20)/100,NA())</f>
        <v>#N/A</v>
      </c>
      <c r="AC81" s="9" t="e">
        <f ca="1">IF($Q81=AC$2,VLOOKUP($O81,Impact!$A$4:$B$8,2,FALSE)+RANDBETWEEN(-20,20)/100,NA())</f>
        <v>#N/A</v>
      </c>
    </row>
    <row r="82" spans="1:29" x14ac:dyDescent="0.25">
      <c r="A82" s="17">
        <v>80</v>
      </c>
      <c r="B82" s="3" t="str">
        <f t="shared" si="13"/>
        <v/>
      </c>
      <c r="H82" s="49" t="str">
        <f t="shared" si="12"/>
        <v>s. D.</v>
      </c>
      <c r="I82" s="48" t="str">
        <f t="shared" si="14"/>
        <v/>
      </c>
      <c r="J82" s="49" t="str">
        <f>I82&amp;IF(NOT(ISBLANK(E82)),CHAR(10)&amp;VLOOKUP(E82,AttackRiskStep!$A$3:$C$99,3,FALSE),"see Description")&amp;IF(NOT(ISBLANK(F82))," -&gt; "&amp;CHAR(10)&amp;VLOOKUP(F82,AttackRiskStep!$A$3:$C$99,3,FALSE),"")&amp;IF(NOT(ISBLANK(G82))," -&gt; "&amp;CHAR(10)&amp;VLOOKUP(G82,AttackRiskStep!$A$3:$C$99,3,FALSE),"")</f>
        <v>see Description</v>
      </c>
      <c r="P82" s="38" t="e">
        <f>VLOOKUP($N82,Likelihood!$A$3:$B$7,2,FALSE)*VLOOKUP($O82,Impact!$A$4:$B$8,2,FALSE)</f>
        <v>#N/A</v>
      </c>
      <c r="Q82" s="39" t="e">
        <f>VLOOKUP(P82,RPN!$B$6:$C$22,2)</f>
        <v>#N/A</v>
      </c>
      <c r="Z82" s="9" t="e">
        <f ca="1">VLOOKUP($N82,Likelihood!$A$3:$C$7,2,FALSE)+RANDBETWEEN(-20,20)/100</f>
        <v>#N/A</v>
      </c>
      <c r="AA82" s="9" t="e">
        <f ca="1">IF($Q82=AA$2,VLOOKUP($O82,Impact!$A$4:$B$8,2,FALSE)+RANDBETWEEN(-20,20)/100,NA())</f>
        <v>#N/A</v>
      </c>
      <c r="AB82" s="9" t="e">
        <f ca="1">IF($Q82=AB$2,VLOOKUP($O82,Impact!$A$4:$B$8,2,FALSE)+RANDBETWEEN(-20,20)/100,NA())</f>
        <v>#N/A</v>
      </c>
      <c r="AC82" s="9" t="e">
        <f ca="1">IF($Q82=AC$2,VLOOKUP($O82,Impact!$A$4:$B$8,2,FALSE)+RANDBETWEEN(-20,20)/100,NA())</f>
        <v>#N/A</v>
      </c>
    </row>
    <row r="83" spans="1:29" x14ac:dyDescent="0.25">
      <c r="A83" s="17">
        <v>81</v>
      </c>
      <c r="B83" s="3" t="str">
        <f t="shared" si="13"/>
        <v/>
      </c>
      <c r="H83" s="49" t="str">
        <f t="shared" si="12"/>
        <v>s. D.</v>
      </c>
      <c r="I83" s="48" t="str">
        <f t="shared" si="14"/>
        <v/>
      </c>
      <c r="J83" s="49" t="str">
        <f>I83&amp;IF(NOT(ISBLANK(E83)),CHAR(10)&amp;VLOOKUP(E83,AttackRiskStep!$A$3:$C$99,3,FALSE),"see Description")&amp;IF(NOT(ISBLANK(F83))," -&gt; "&amp;CHAR(10)&amp;VLOOKUP(F83,AttackRiskStep!$A$3:$C$99,3,FALSE),"")&amp;IF(NOT(ISBLANK(G83))," -&gt; "&amp;CHAR(10)&amp;VLOOKUP(G83,AttackRiskStep!$A$3:$C$99,3,FALSE),"")</f>
        <v>see Description</v>
      </c>
      <c r="P83" s="38" t="e">
        <f>VLOOKUP($N83,Likelihood!$A$3:$B$7,2,FALSE)*VLOOKUP($O83,Impact!$A$4:$B$8,2,FALSE)</f>
        <v>#N/A</v>
      </c>
      <c r="Q83" s="39" t="e">
        <f>VLOOKUP(P83,RPN!$B$6:$C$22,2)</f>
        <v>#N/A</v>
      </c>
      <c r="Z83" s="9" t="e">
        <f ca="1">VLOOKUP($N83,Likelihood!$A$3:$C$7,2,FALSE)+RANDBETWEEN(-20,20)/100</f>
        <v>#N/A</v>
      </c>
      <c r="AA83" s="9" t="e">
        <f ca="1">IF($Q83=AA$2,VLOOKUP($O83,Impact!$A$4:$B$8,2,FALSE)+RANDBETWEEN(-20,20)/100,NA())</f>
        <v>#N/A</v>
      </c>
      <c r="AB83" s="9" t="e">
        <f ca="1">IF($Q83=AB$2,VLOOKUP($O83,Impact!$A$4:$B$8,2,FALSE)+RANDBETWEEN(-20,20)/100,NA())</f>
        <v>#N/A</v>
      </c>
      <c r="AC83" s="9" t="e">
        <f ca="1">IF($Q83=AC$2,VLOOKUP($O83,Impact!$A$4:$B$8,2,FALSE)+RANDBETWEEN(-20,20)/100,NA())</f>
        <v>#N/A</v>
      </c>
    </row>
    <row r="84" spans="1:29" x14ac:dyDescent="0.25">
      <c r="A84" s="17">
        <v>82</v>
      </c>
      <c r="B84" s="3" t="str">
        <f t="shared" si="13"/>
        <v/>
      </c>
      <c r="H84" s="49" t="str">
        <f t="shared" si="12"/>
        <v>s. D.</v>
      </c>
      <c r="I84" s="48" t="str">
        <f t="shared" si="14"/>
        <v/>
      </c>
      <c r="J84" s="49" t="str">
        <f>I84&amp;IF(NOT(ISBLANK(E84)),CHAR(10)&amp;VLOOKUP(E84,AttackRiskStep!$A$3:$C$99,3,FALSE),"see Description")&amp;IF(NOT(ISBLANK(F84))," -&gt; "&amp;CHAR(10)&amp;VLOOKUP(F84,AttackRiskStep!$A$3:$C$99,3,FALSE),"")&amp;IF(NOT(ISBLANK(G84))," -&gt; "&amp;CHAR(10)&amp;VLOOKUP(G84,AttackRiskStep!$A$3:$C$99,3,FALSE),"")</f>
        <v>see Description</v>
      </c>
      <c r="P84" s="38" t="e">
        <f>VLOOKUP($N84,Likelihood!$A$3:$B$7,2,FALSE)*VLOOKUP($O84,Impact!$A$4:$B$8,2,FALSE)</f>
        <v>#N/A</v>
      </c>
      <c r="Q84" s="39" t="e">
        <f>VLOOKUP(P84,RPN!$B$6:$C$22,2)</f>
        <v>#N/A</v>
      </c>
      <c r="Z84" s="9" t="e">
        <f ca="1">VLOOKUP($N84,Likelihood!$A$3:$C$7,2,FALSE)+RANDBETWEEN(-20,20)/100</f>
        <v>#N/A</v>
      </c>
      <c r="AA84" s="9" t="e">
        <f ca="1">IF($Q84=AA$2,VLOOKUP($O84,Impact!$A$4:$B$8,2,FALSE)+RANDBETWEEN(-20,20)/100,NA())</f>
        <v>#N/A</v>
      </c>
      <c r="AB84" s="9" t="e">
        <f ca="1">IF($Q84=AB$2,VLOOKUP($O84,Impact!$A$4:$B$8,2,FALSE)+RANDBETWEEN(-20,20)/100,NA())</f>
        <v>#N/A</v>
      </c>
      <c r="AC84" s="9" t="e">
        <f ca="1">IF($Q84=AC$2,VLOOKUP($O84,Impact!$A$4:$B$8,2,FALSE)+RANDBETWEEN(-20,20)/100,NA())</f>
        <v>#N/A</v>
      </c>
    </row>
    <row r="85" spans="1:29" x14ac:dyDescent="0.25">
      <c r="A85" s="17">
        <v>83</v>
      </c>
      <c r="B85" s="3" t="str">
        <f t="shared" si="13"/>
        <v/>
      </c>
      <c r="H85" s="49" t="str">
        <f t="shared" si="12"/>
        <v>s. D.</v>
      </c>
      <c r="I85" s="48" t="str">
        <f t="shared" si="14"/>
        <v/>
      </c>
      <c r="J85" s="49" t="str">
        <f>I85&amp;IF(NOT(ISBLANK(E85)),CHAR(10)&amp;VLOOKUP(E85,AttackRiskStep!$A$3:$C$99,3,FALSE),"see Description")&amp;IF(NOT(ISBLANK(F85))," -&gt; "&amp;CHAR(10)&amp;VLOOKUP(F85,AttackRiskStep!$A$3:$C$99,3,FALSE),"")&amp;IF(NOT(ISBLANK(G85))," -&gt; "&amp;CHAR(10)&amp;VLOOKUP(G85,AttackRiskStep!$A$3:$C$99,3,FALSE),"")</f>
        <v>see Description</v>
      </c>
      <c r="P85" s="38" t="e">
        <f>VLOOKUP($N85,Likelihood!$A$3:$B$7,2,FALSE)*VLOOKUP($O85,Impact!$A$4:$B$8,2,FALSE)</f>
        <v>#N/A</v>
      </c>
      <c r="Q85" s="39" t="e">
        <f>VLOOKUP(P85,RPN!$B$6:$C$22,2)</f>
        <v>#N/A</v>
      </c>
      <c r="Z85" s="9" t="e">
        <f ca="1">VLOOKUP($N85,Likelihood!$A$3:$C$7,2,FALSE)+RANDBETWEEN(-20,20)/100</f>
        <v>#N/A</v>
      </c>
      <c r="AA85" s="9" t="e">
        <f ca="1">IF($Q85=AA$2,VLOOKUP($O85,Impact!$A$4:$B$8,2,FALSE)+RANDBETWEEN(-20,20)/100,NA())</f>
        <v>#N/A</v>
      </c>
      <c r="AB85" s="9" t="e">
        <f ca="1">IF($Q85=AB$2,VLOOKUP($O85,Impact!$A$4:$B$8,2,FALSE)+RANDBETWEEN(-20,20)/100,NA())</f>
        <v>#N/A</v>
      </c>
      <c r="AC85" s="9" t="e">
        <f ca="1">IF($Q85=AC$2,VLOOKUP($O85,Impact!$A$4:$B$8,2,FALSE)+RANDBETWEEN(-20,20)/100,NA())</f>
        <v>#N/A</v>
      </c>
    </row>
    <row r="86" spans="1:29" x14ac:dyDescent="0.25">
      <c r="A86" s="17">
        <v>84</v>
      </c>
      <c r="B86" s="3" t="str">
        <f t="shared" si="13"/>
        <v/>
      </c>
      <c r="H86" s="49" t="str">
        <f t="shared" si="12"/>
        <v>s. D.</v>
      </c>
      <c r="I86" s="48" t="str">
        <f t="shared" si="14"/>
        <v/>
      </c>
      <c r="J86" s="49" t="str">
        <f>I86&amp;IF(NOT(ISBLANK(E86)),CHAR(10)&amp;VLOOKUP(E86,AttackRiskStep!$A$3:$C$99,3,FALSE),"see Description")&amp;IF(NOT(ISBLANK(F86))," -&gt; "&amp;CHAR(10)&amp;VLOOKUP(F86,AttackRiskStep!$A$3:$C$99,3,FALSE),"")&amp;IF(NOT(ISBLANK(G86))," -&gt; "&amp;CHAR(10)&amp;VLOOKUP(G86,AttackRiskStep!$A$3:$C$99,3,FALSE),"")</f>
        <v>see Description</v>
      </c>
      <c r="P86" s="38" t="e">
        <f>VLOOKUP($N86,Likelihood!$A$3:$B$7,2,FALSE)*VLOOKUP($O86,Impact!$A$4:$B$8,2,FALSE)</f>
        <v>#N/A</v>
      </c>
      <c r="Q86" s="39" t="e">
        <f>VLOOKUP(P86,RPN!$B$6:$C$22,2)</f>
        <v>#N/A</v>
      </c>
      <c r="Z86" s="9" t="e">
        <f ca="1">VLOOKUP($N86,Likelihood!$A$3:$C$7,2,FALSE)+RANDBETWEEN(-20,20)/100</f>
        <v>#N/A</v>
      </c>
      <c r="AA86" s="9" t="e">
        <f ca="1">IF($Q86=AA$2,VLOOKUP($O86,Impact!$A$4:$B$8,2,FALSE)+RANDBETWEEN(-20,20)/100,NA())</f>
        <v>#N/A</v>
      </c>
      <c r="AB86" s="9" t="e">
        <f ca="1">IF($Q86=AB$2,VLOOKUP($O86,Impact!$A$4:$B$8,2,FALSE)+RANDBETWEEN(-20,20)/100,NA())</f>
        <v>#N/A</v>
      </c>
      <c r="AC86" s="9" t="e">
        <f ca="1">IF($Q86=AC$2,VLOOKUP($O86,Impact!$A$4:$B$8,2,FALSE)+RANDBETWEEN(-20,20)/100,NA())</f>
        <v>#N/A</v>
      </c>
    </row>
    <row r="87" spans="1:29" x14ac:dyDescent="0.25">
      <c r="A87" s="17">
        <v>85</v>
      </c>
      <c r="B87" s="3" t="str">
        <f t="shared" si="13"/>
        <v/>
      </c>
      <c r="H87" s="49" t="str">
        <f t="shared" si="12"/>
        <v>s. D.</v>
      </c>
      <c r="I87" s="48" t="str">
        <f t="shared" si="14"/>
        <v/>
      </c>
      <c r="J87" s="49" t="str">
        <f>I87&amp;IF(NOT(ISBLANK(E87)),CHAR(10)&amp;VLOOKUP(E87,AttackRiskStep!$A$3:$C$99,3,FALSE),"see Description")&amp;IF(NOT(ISBLANK(F87))," -&gt; "&amp;CHAR(10)&amp;VLOOKUP(F87,AttackRiskStep!$A$3:$C$99,3,FALSE),"")&amp;IF(NOT(ISBLANK(G87))," -&gt; "&amp;CHAR(10)&amp;VLOOKUP(G87,AttackRiskStep!$A$3:$C$99,3,FALSE),"")</f>
        <v>see Description</v>
      </c>
      <c r="P87" s="38" t="e">
        <f>VLOOKUP($N87,Likelihood!$A$3:$B$7,2,FALSE)*VLOOKUP($O87,Impact!$A$4:$B$8,2,FALSE)</f>
        <v>#N/A</v>
      </c>
      <c r="Q87" s="39" t="e">
        <f>VLOOKUP(P87,RPN!$B$6:$C$22,2)</f>
        <v>#N/A</v>
      </c>
      <c r="Z87" s="9" t="e">
        <f ca="1">VLOOKUP($N87,Likelihood!$A$3:$C$7,2,FALSE)+RANDBETWEEN(-20,20)/100</f>
        <v>#N/A</v>
      </c>
      <c r="AA87" s="9" t="e">
        <f ca="1">IF($Q87=AA$2,VLOOKUP($O87,Impact!$A$4:$B$8,2,FALSE)+RANDBETWEEN(-20,20)/100,NA())</f>
        <v>#N/A</v>
      </c>
      <c r="AB87" s="9" t="e">
        <f ca="1">IF($Q87=AB$2,VLOOKUP($O87,Impact!$A$4:$B$8,2,FALSE)+RANDBETWEEN(-20,20)/100,NA())</f>
        <v>#N/A</v>
      </c>
      <c r="AC87" s="9" t="e">
        <f ca="1">IF($Q87=AC$2,VLOOKUP($O87,Impact!$A$4:$B$8,2,FALSE)+RANDBETWEEN(-20,20)/100,NA())</f>
        <v>#N/A</v>
      </c>
    </row>
    <row r="88" spans="1:29" x14ac:dyDescent="0.25">
      <c r="A88" s="17">
        <v>86</v>
      </c>
      <c r="B88" s="3" t="str">
        <f t="shared" si="13"/>
        <v/>
      </c>
      <c r="H88" s="49" t="str">
        <f t="shared" si="12"/>
        <v>s. D.</v>
      </c>
      <c r="I88" s="48" t="str">
        <f t="shared" si="14"/>
        <v/>
      </c>
      <c r="J88" s="49" t="str">
        <f>I88&amp;IF(NOT(ISBLANK(E88)),CHAR(10)&amp;VLOOKUP(E88,AttackRiskStep!$A$3:$C$99,3,FALSE),"see Description")&amp;IF(NOT(ISBLANK(F88))," -&gt; "&amp;CHAR(10)&amp;VLOOKUP(F88,AttackRiskStep!$A$3:$C$99,3,FALSE),"")&amp;IF(NOT(ISBLANK(G88))," -&gt; "&amp;CHAR(10)&amp;VLOOKUP(G88,AttackRiskStep!$A$3:$C$99,3,FALSE),"")</f>
        <v>see Description</v>
      </c>
      <c r="P88" s="38" t="e">
        <f>VLOOKUP($N88,Likelihood!$A$3:$B$7,2,FALSE)*VLOOKUP($O88,Impact!$A$4:$B$8,2,FALSE)</f>
        <v>#N/A</v>
      </c>
      <c r="Q88" s="39" t="e">
        <f>VLOOKUP(P88,RPN!$B$6:$C$22,2)</f>
        <v>#N/A</v>
      </c>
      <c r="Z88" s="9" t="e">
        <f ca="1">VLOOKUP($N88,Likelihood!$A$3:$C$7,2,FALSE)+RANDBETWEEN(-20,20)/100</f>
        <v>#N/A</v>
      </c>
      <c r="AA88" s="9" t="e">
        <f ca="1">IF($Q88=AA$2,VLOOKUP($O88,Impact!$A$4:$B$8,2,FALSE)+RANDBETWEEN(-20,20)/100,NA())</f>
        <v>#N/A</v>
      </c>
      <c r="AB88" s="9" t="e">
        <f ca="1">IF($Q88=AB$2,VLOOKUP($O88,Impact!$A$4:$B$8,2,FALSE)+RANDBETWEEN(-20,20)/100,NA())</f>
        <v>#N/A</v>
      </c>
      <c r="AC88" s="9" t="e">
        <f ca="1">IF($Q88=AC$2,VLOOKUP($O88,Impact!$A$4:$B$8,2,FALSE)+RANDBETWEEN(-20,20)/100,NA())</f>
        <v>#N/A</v>
      </c>
    </row>
    <row r="89" spans="1:29" x14ac:dyDescent="0.25">
      <c r="A89" s="17">
        <v>87</v>
      </c>
      <c r="B89" s="3" t="str">
        <f t="shared" si="13"/>
        <v/>
      </c>
      <c r="H89" s="49" t="str">
        <f t="shared" si="12"/>
        <v>s. D.</v>
      </c>
      <c r="I89" s="48" t="str">
        <f t="shared" si="14"/>
        <v/>
      </c>
      <c r="J89" s="49" t="str">
        <f>I89&amp;IF(NOT(ISBLANK(E89)),CHAR(10)&amp;VLOOKUP(E89,AttackRiskStep!$A$3:$C$99,3,FALSE),"see Description")&amp;IF(NOT(ISBLANK(F89))," -&gt; "&amp;CHAR(10)&amp;VLOOKUP(F89,AttackRiskStep!$A$3:$C$99,3,FALSE),"")&amp;IF(NOT(ISBLANK(G89))," -&gt; "&amp;CHAR(10)&amp;VLOOKUP(G89,AttackRiskStep!$A$3:$C$99,3,FALSE),"")</f>
        <v>see Description</v>
      </c>
      <c r="P89" s="38" t="e">
        <f>VLOOKUP($N89,Likelihood!$A$3:$B$7,2,FALSE)*VLOOKUP($O89,Impact!$A$4:$B$8,2,FALSE)</f>
        <v>#N/A</v>
      </c>
      <c r="Q89" s="39" t="e">
        <f>VLOOKUP(P89,RPN!$B$6:$C$22,2)</f>
        <v>#N/A</v>
      </c>
      <c r="Z89" s="9" t="e">
        <f ca="1">VLOOKUP($N89,Likelihood!$A$3:$C$7,2,FALSE)+RANDBETWEEN(-20,20)/100</f>
        <v>#N/A</v>
      </c>
      <c r="AA89" s="9" t="e">
        <f ca="1">IF($Q89=AA$2,VLOOKUP($O89,Impact!$A$4:$B$8,2,FALSE)+RANDBETWEEN(-20,20)/100,NA())</f>
        <v>#N/A</v>
      </c>
      <c r="AB89" s="9" t="e">
        <f ca="1">IF($Q89=AB$2,VLOOKUP($O89,Impact!$A$4:$B$8,2,FALSE)+RANDBETWEEN(-20,20)/100,NA())</f>
        <v>#N/A</v>
      </c>
      <c r="AC89" s="9" t="e">
        <f ca="1">IF($Q89=AC$2,VLOOKUP($O89,Impact!$A$4:$B$8,2,FALSE)+RANDBETWEEN(-20,20)/100,NA())</f>
        <v>#N/A</v>
      </c>
    </row>
    <row r="90" spans="1:29" x14ac:dyDescent="0.25">
      <c r="A90" s="17">
        <v>88</v>
      </c>
      <c r="B90" s="3" t="str">
        <f t="shared" si="13"/>
        <v/>
      </c>
      <c r="H90" s="49" t="str">
        <f t="shared" si="12"/>
        <v>s. D.</v>
      </c>
      <c r="I90" s="48" t="str">
        <f t="shared" si="14"/>
        <v/>
      </c>
      <c r="J90" s="49" t="str">
        <f>I90&amp;IF(NOT(ISBLANK(E90)),CHAR(10)&amp;VLOOKUP(E90,AttackRiskStep!$A$3:$C$99,3,FALSE),"see Description")&amp;IF(NOT(ISBLANK(F90))," -&gt; "&amp;CHAR(10)&amp;VLOOKUP(F90,AttackRiskStep!$A$3:$C$99,3,FALSE),"")&amp;IF(NOT(ISBLANK(G90))," -&gt; "&amp;CHAR(10)&amp;VLOOKUP(G90,AttackRiskStep!$A$3:$C$99,3,FALSE),"")</f>
        <v>see Description</v>
      </c>
      <c r="P90" s="38" t="e">
        <f>VLOOKUP($N90,Likelihood!$A$3:$B$7,2,FALSE)*VLOOKUP($O90,Impact!$A$4:$B$8,2,FALSE)</f>
        <v>#N/A</v>
      </c>
      <c r="Q90" s="39" t="e">
        <f>VLOOKUP(P90,RPN!$B$6:$C$22,2)</f>
        <v>#N/A</v>
      </c>
      <c r="Z90" s="9" t="e">
        <f ca="1">VLOOKUP($N90,Likelihood!$A$3:$C$7,2,FALSE)+RANDBETWEEN(-20,20)/100</f>
        <v>#N/A</v>
      </c>
      <c r="AA90" s="9" t="e">
        <f ca="1">IF($Q90=AA$2,VLOOKUP($O90,Impact!$A$4:$B$8,2,FALSE)+RANDBETWEEN(-20,20)/100,NA())</f>
        <v>#N/A</v>
      </c>
      <c r="AB90" s="9" t="e">
        <f ca="1">IF($Q90=AB$2,VLOOKUP($O90,Impact!$A$4:$B$8,2,FALSE)+RANDBETWEEN(-20,20)/100,NA())</f>
        <v>#N/A</v>
      </c>
      <c r="AC90" s="9" t="e">
        <f ca="1">IF($Q90=AC$2,VLOOKUP($O90,Impact!$A$4:$B$8,2,FALSE)+RANDBETWEEN(-20,20)/100,NA())</f>
        <v>#N/A</v>
      </c>
    </row>
    <row r="91" spans="1:29" x14ac:dyDescent="0.25">
      <c r="A91" s="17">
        <v>89</v>
      </c>
      <c r="B91" s="3" t="str">
        <f t="shared" si="13"/>
        <v/>
      </c>
      <c r="H91" s="49" t="str">
        <f t="shared" si="12"/>
        <v>s. D.</v>
      </c>
      <c r="I91" s="48" t="str">
        <f t="shared" si="14"/>
        <v/>
      </c>
      <c r="J91" s="49" t="str">
        <f>I91&amp;IF(NOT(ISBLANK(E91)),CHAR(10)&amp;VLOOKUP(E91,AttackRiskStep!$A$3:$C$99,3,FALSE),"see Description")&amp;IF(NOT(ISBLANK(F91))," -&gt; "&amp;CHAR(10)&amp;VLOOKUP(F91,AttackRiskStep!$A$3:$C$99,3,FALSE),"")&amp;IF(NOT(ISBLANK(G91))," -&gt; "&amp;CHAR(10)&amp;VLOOKUP(G91,AttackRiskStep!$A$3:$C$99,3,FALSE),"")</f>
        <v>see Description</v>
      </c>
      <c r="P91" s="38" t="e">
        <f>VLOOKUP($N91,Likelihood!$A$3:$B$7,2,FALSE)*VLOOKUP($O91,Impact!$A$4:$B$8,2,FALSE)</f>
        <v>#N/A</v>
      </c>
      <c r="Q91" s="39" t="e">
        <f>VLOOKUP(P91,RPN!$B$6:$C$22,2)</f>
        <v>#N/A</v>
      </c>
      <c r="Z91" s="9" t="e">
        <f ca="1">VLOOKUP($N91,Likelihood!$A$3:$C$7,2,FALSE)+RANDBETWEEN(-20,20)/100</f>
        <v>#N/A</v>
      </c>
      <c r="AA91" s="9" t="e">
        <f ca="1">IF($Q91=AA$2,VLOOKUP($O91,Impact!$A$4:$B$8,2,FALSE)+RANDBETWEEN(-20,20)/100,NA())</f>
        <v>#N/A</v>
      </c>
      <c r="AB91" s="9" t="e">
        <f ca="1">IF($Q91=AB$2,VLOOKUP($O91,Impact!$A$4:$B$8,2,FALSE)+RANDBETWEEN(-20,20)/100,NA())</f>
        <v>#N/A</v>
      </c>
      <c r="AC91" s="9" t="e">
        <f ca="1">IF($Q91=AC$2,VLOOKUP($O91,Impact!$A$4:$B$8,2,FALSE)+RANDBETWEEN(-20,20)/100,NA())</f>
        <v>#N/A</v>
      </c>
    </row>
    <row r="92" spans="1:29" x14ac:dyDescent="0.25">
      <c r="A92" s="17">
        <v>90</v>
      </c>
      <c r="B92" s="3" t="str">
        <f t="shared" si="13"/>
        <v/>
      </c>
      <c r="H92" s="49" t="str">
        <f t="shared" si="12"/>
        <v>s. D.</v>
      </c>
      <c r="I92" s="48" t="str">
        <f t="shared" si="14"/>
        <v/>
      </c>
      <c r="J92" s="49" t="str">
        <f>I92&amp;IF(NOT(ISBLANK(E92)),CHAR(10)&amp;VLOOKUP(E92,AttackRiskStep!$A$3:$C$99,3,FALSE),"see Description")&amp;IF(NOT(ISBLANK(F92))," -&gt; "&amp;CHAR(10)&amp;VLOOKUP(F92,AttackRiskStep!$A$3:$C$99,3,FALSE),"")&amp;IF(NOT(ISBLANK(G92))," -&gt; "&amp;CHAR(10)&amp;VLOOKUP(G92,AttackRiskStep!$A$3:$C$99,3,FALSE),"")</f>
        <v>see Description</v>
      </c>
      <c r="P92" s="38" t="e">
        <f>VLOOKUP($N92,Likelihood!$A$3:$B$7,2,FALSE)*VLOOKUP($O92,Impact!$A$4:$B$8,2,FALSE)</f>
        <v>#N/A</v>
      </c>
      <c r="Q92" s="39" t="e">
        <f>VLOOKUP(P92,RPN!$B$6:$C$22,2)</f>
        <v>#N/A</v>
      </c>
      <c r="Z92" s="9" t="e">
        <f ca="1">VLOOKUP($N92,Likelihood!$A$3:$C$7,2,FALSE)+RANDBETWEEN(-20,20)/100</f>
        <v>#N/A</v>
      </c>
      <c r="AA92" s="9" t="e">
        <f ca="1">IF($Q92=AA$2,VLOOKUP($O92,Impact!$A$4:$B$8,2,FALSE)+RANDBETWEEN(-20,20)/100,NA())</f>
        <v>#N/A</v>
      </c>
      <c r="AB92" s="9" t="e">
        <f ca="1">IF($Q92=AB$2,VLOOKUP($O92,Impact!$A$4:$B$8,2,FALSE)+RANDBETWEEN(-20,20)/100,NA())</f>
        <v>#N/A</v>
      </c>
      <c r="AC92" s="9" t="e">
        <f ca="1">IF($Q92=AC$2,VLOOKUP($O92,Impact!$A$4:$B$8,2,FALSE)+RANDBETWEEN(-20,20)/100,NA())</f>
        <v>#N/A</v>
      </c>
    </row>
    <row r="93" spans="1:29" x14ac:dyDescent="0.25">
      <c r="A93" s="17">
        <v>91</v>
      </c>
      <c r="B93" s="3" t="str">
        <f t="shared" si="13"/>
        <v/>
      </c>
      <c r="H93" s="49" t="str">
        <f t="shared" si="12"/>
        <v>s. D.</v>
      </c>
      <c r="I93" s="48" t="str">
        <f t="shared" si="14"/>
        <v/>
      </c>
      <c r="J93" s="49" t="str">
        <f>I93&amp;IF(NOT(ISBLANK(E93)),CHAR(10)&amp;VLOOKUP(E93,AttackRiskStep!$A$3:$C$99,3,FALSE),"see Description")&amp;IF(NOT(ISBLANK(F93))," -&gt; "&amp;CHAR(10)&amp;VLOOKUP(F93,AttackRiskStep!$A$3:$C$99,3,FALSE),"")&amp;IF(NOT(ISBLANK(G93))," -&gt; "&amp;CHAR(10)&amp;VLOOKUP(G93,AttackRiskStep!$A$3:$C$99,3,FALSE),"")</f>
        <v>see Description</v>
      </c>
      <c r="P93" s="38" t="e">
        <f>VLOOKUP($N93,Likelihood!$A$3:$B$7,2,FALSE)*VLOOKUP($O93,Impact!$A$4:$B$8,2,FALSE)</f>
        <v>#N/A</v>
      </c>
      <c r="Q93" s="39" t="e">
        <f>VLOOKUP(P93,RPN!$B$6:$C$22,2)</f>
        <v>#N/A</v>
      </c>
      <c r="Z93" s="9" t="e">
        <f ca="1">VLOOKUP($N93,Likelihood!$A$3:$C$7,2,FALSE)+RANDBETWEEN(-20,20)/100</f>
        <v>#N/A</v>
      </c>
      <c r="AA93" s="9" t="e">
        <f ca="1">IF($Q93=AA$2,VLOOKUP($O93,Impact!$A$4:$B$8,2,FALSE)+RANDBETWEEN(-20,20)/100,NA())</f>
        <v>#N/A</v>
      </c>
      <c r="AB93" s="9" t="e">
        <f ca="1">IF($Q93=AB$2,VLOOKUP($O93,Impact!$A$4:$B$8,2,FALSE)+RANDBETWEEN(-20,20)/100,NA())</f>
        <v>#N/A</v>
      </c>
      <c r="AC93" s="9" t="e">
        <f ca="1">IF($Q93=AC$2,VLOOKUP($O93,Impact!$A$4:$B$8,2,FALSE)+RANDBETWEEN(-20,20)/100,NA())</f>
        <v>#N/A</v>
      </c>
    </row>
    <row r="94" spans="1:29" x14ac:dyDescent="0.25">
      <c r="A94" s="17">
        <v>92</v>
      </c>
      <c r="B94" s="3" t="str">
        <f t="shared" si="13"/>
        <v/>
      </c>
      <c r="H94" s="49" t="str">
        <f t="shared" si="12"/>
        <v>s. D.</v>
      </c>
      <c r="I94" s="48" t="str">
        <f t="shared" si="14"/>
        <v/>
      </c>
      <c r="J94" s="49" t="str">
        <f>I94&amp;IF(NOT(ISBLANK(E94)),CHAR(10)&amp;VLOOKUP(E94,AttackRiskStep!$A$3:$C$99,3,FALSE),"see Description")&amp;IF(NOT(ISBLANK(F94))," -&gt; "&amp;CHAR(10)&amp;VLOOKUP(F94,AttackRiskStep!$A$3:$C$99,3,FALSE),"")&amp;IF(NOT(ISBLANK(G94))," -&gt; "&amp;CHAR(10)&amp;VLOOKUP(G94,AttackRiskStep!$A$3:$C$99,3,FALSE),"")</f>
        <v>see Description</v>
      </c>
      <c r="P94" s="38" t="e">
        <f>VLOOKUP($N94,Likelihood!$A$3:$B$7,2,FALSE)*VLOOKUP($O94,Impact!$A$4:$B$8,2,FALSE)</f>
        <v>#N/A</v>
      </c>
      <c r="Q94" s="39" t="e">
        <f>VLOOKUP(P94,RPN!$B$6:$C$22,2)</f>
        <v>#N/A</v>
      </c>
      <c r="Z94" s="9" t="e">
        <f ca="1">VLOOKUP($N94,Likelihood!$A$3:$C$7,2,FALSE)+RANDBETWEEN(-20,20)/100</f>
        <v>#N/A</v>
      </c>
      <c r="AA94" s="9" t="e">
        <f ca="1">IF($Q94=AA$2,VLOOKUP($O94,Impact!$A$4:$B$8,2,FALSE)+RANDBETWEEN(-20,20)/100,NA())</f>
        <v>#N/A</v>
      </c>
      <c r="AB94" s="9" t="e">
        <f ca="1">IF($Q94=AB$2,VLOOKUP($O94,Impact!$A$4:$B$8,2,FALSE)+RANDBETWEEN(-20,20)/100,NA())</f>
        <v>#N/A</v>
      </c>
      <c r="AC94" s="9" t="e">
        <f ca="1">IF($Q94=AC$2,VLOOKUP($O94,Impact!$A$4:$B$8,2,FALSE)+RANDBETWEEN(-20,20)/100,NA())</f>
        <v>#N/A</v>
      </c>
    </row>
    <row r="95" spans="1:29" x14ac:dyDescent="0.25">
      <c r="A95" s="17">
        <v>93</v>
      </c>
      <c r="B95" s="3" t="str">
        <f t="shared" si="13"/>
        <v/>
      </c>
      <c r="H95" s="49" t="str">
        <f t="shared" si="12"/>
        <v>s. D.</v>
      </c>
      <c r="I95" s="48" t="str">
        <f t="shared" si="14"/>
        <v/>
      </c>
      <c r="J95" s="49" t="str">
        <f>I95&amp;IF(NOT(ISBLANK(E95)),CHAR(10)&amp;VLOOKUP(E95,AttackRiskStep!$A$3:$C$99,3,FALSE),"see Description")&amp;IF(NOT(ISBLANK(F95))," -&gt; "&amp;CHAR(10)&amp;VLOOKUP(F95,AttackRiskStep!$A$3:$C$99,3,FALSE),"")&amp;IF(NOT(ISBLANK(G95))," -&gt; "&amp;CHAR(10)&amp;VLOOKUP(G95,AttackRiskStep!$A$3:$C$99,3,FALSE),"")</f>
        <v>see Description</v>
      </c>
      <c r="P95" s="38" t="e">
        <f>VLOOKUP($N95,Likelihood!$A$3:$B$7,2,FALSE)*VLOOKUP($O95,Impact!$A$4:$B$8,2,FALSE)</f>
        <v>#N/A</v>
      </c>
      <c r="Q95" s="39" t="e">
        <f>VLOOKUP(P95,RPN!$B$6:$C$22,2)</f>
        <v>#N/A</v>
      </c>
      <c r="Z95" s="9" t="e">
        <f ca="1">VLOOKUP($N95,Likelihood!$A$3:$C$7,2,FALSE)+RANDBETWEEN(-20,20)/100</f>
        <v>#N/A</v>
      </c>
      <c r="AA95" s="9" t="e">
        <f ca="1">IF($Q95=AA$2,VLOOKUP($O95,Impact!$A$4:$B$8,2,FALSE)+RANDBETWEEN(-20,20)/100,NA())</f>
        <v>#N/A</v>
      </c>
      <c r="AB95" s="9" t="e">
        <f ca="1">IF($Q95=AB$2,VLOOKUP($O95,Impact!$A$4:$B$8,2,FALSE)+RANDBETWEEN(-20,20)/100,NA())</f>
        <v>#N/A</v>
      </c>
      <c r="AC95" s="9" t="e">
        <f ca="1">IF($Q95=AC$2,VLOOKUP($O95,Impact!$A$4:$B$8,2,FALSE)+RANDBETWEEN(-20,20)/100,NA())</f>
        <v>#N/A</v>
      </c>
    </row>
    <row r="96" spans="1:29" x14ac:dyDescent="0.25">
      <c r="A96" s="17">
        <v>94</v>
      </c>
      <c r="B96" s="3" t="str">
        <f t="shared" si="13"/>
        <v/>
      </c>
      <c r="H96" s="49" t="str">
        <f t="shared" si="12"/>
        <v>s. D.</v>
      </c>
      <c r="I96" s="48" t="str">
        <f t="shared" si="14"/>
        <v/>
      </c>
      <c r="J96" s="49" t="str">
        <f>I96&amp;IF(NOT(ISBLANK(E96)),CHAR(10)&amp;VLOOKUP(E96,AttackRiskStep!$A$3:$C$99,3,FALSE),"see Description")&amp;IF(NOT(ISBLANK(F96))," -&gt; "&amp;CHAR(10)&amp;VLOOKUP(F96,AttackRiskStep!$A$3:$C$99,3,FALSE),"")&amp;IF(NOT(ISBLANK(G96))," -&gt; "&amp;CHAR(10)&amp;VLOOKUP(G96,AttackRiskStep!$A$3:$C$99,3,FALSE),"")</f>
        <v>see Description</v>
      </c>
      <c r="P96" s="38" t="e">
        <f>VLOOKUP($N96,Likelihood!$A$3:$B$7,2,FALSE)*VLOOKUP($O96,Impact!$A$4:$B$8,2,FALSE)</f>
        <v>#N/A</v>
      </c>
      <c r="Q96" s="39" t="e">
        <f>VLOOKUP(P96,RPN!$B$6:$C$22,2)</f>
        <v>#N/A</v>
      </c>
      <c r="Z96" s="9" t="e">
        <f ca="1">VLOOKUP($N96,Likelihood!$A$3:$C$7,2,FALSE)+RANDBETWEEN(-20,20)/100</f>
        <v>#N/A</v>
      </c>
      <c r="AA96" s="9" t="e">
        <f ca="1">IF($Q96=AA$2,VLOOKUP($O96,Impact!$A$4:$B$8,2,FALSE)+RANDBETWEEN(-20,20)/100,NA())</f>
        <v>#N/A</v>
      </c>
      <c r="AB96" s="9" t="e">
        <f ca="1">IF($Q96=AB$2,VLOOKUP($O96,Impact!$A$4:$B$8,2,FALSE)+RANDBETWEEN(-20,20)/100,NA())</f>
        <v>#N/A</v>
      </c>
      <c r="AC96" s="9" t="e">
        <f ca="1">IF($Q96=AC$2,VLOOKUP($O96,Impact!$A$4:$B$8,2,FALSE)+RANDBETWEEN(-20,20)/100,NA())</f>
        <v>#N/A</v>
      </c>
    </row>
    <row r="97" spans="1:29" x14ac:dyDescent="0.25">
      <c r="A97" s="17">
        <v>95</v>
      </c>
      <c r="B97" s="3" t="str">
        <f t="shared" si="13"/>
        <v/>
      </c>
      <c r="H97" s="49" t="str">
        <f t="shared" si="12"/>
        <v>s. D.</v>
      </c>
      <c r="I97" s="48" t="str">
        <f t="shared" si="14"/>
        <v/>
      </c>
      <c r="J97" s="49" t="str">
        <f>I97&amp;IF(NOT(ISBLANK(E97)),CHAR(10)&amp;VLOOKUP(E97,AttackRiskStep!$A$3:$C$99,3,FALSE),"see Description")&amp;IF(NOT(ISBLANK(F97))," -&gt; "&amp;CHAR(10)&amp;VLOOKUP(F97,AttackRiskStep!$A$3:$C$99,3,FALSE),"")&amp;IF(NOT(ISBLANK(G97))," -&gt; "&amp;CHAR(10)&amp;VLOOKUP(G97,AttackRiskStep!$A$3:$C$99,3,FALSE),"")</f>
        <v>see Description</v>
      </c>
      <c r="P97" s="38" t="e">
        <f>VLOOKUP($N97,Likelihood!$A$3:$B$7,2,FALSE)*VLOOKUP($O97,Impact!$A$4:$B$8,2,FALSE)</f>
        <v>#N/A</v>
      </c>
      <c r="Q97" s="39" t="e">
        <f>VLOOKUP(P97,RPN!$B$6:$C$22,2)</f>
        <v>#N/A</v>
      </c>
      <c r="Z97" s="9" t="e">
        <f ca="1">VLOOKUP($N97,Likelihood!$A$3:$C$7,2,FALSE)+RANDBETWEEN(-20,20)/100</f>
        <v>#N/A</v>
      </c>
      <c r="AA97" s="9" t="e">
        <f ca="1">IF($Q97=AA$2,VLOOKUP($O97,Impact!$A$4:$B$8,2,FALSE)+RANDBETWEEN(-20,20)/100,NA())</f>
        <v>#N/A</v>
      </c>
      <c r="AB97" s="9" t="e">
        <f ca="1">IF($Q97=AB$2,VLOOKUP($O97,Impact!$A$4:$B$8,2,FALSE)+RANDBETWEEN(-20,20)/100,NA())</f>
        <v>#N/A</v>
      </c>
      <c r="AC97" s="9" t="e">
        <f ca="1">IF($Q97=AC$2,VLOOKUP($O97,Impact!$A$4:$B$8,2,FALSE)+RANDBETWEEN(-20,20)/100,NA())</f>
        <v>#N/A</v>
      </c>
    </row>
    <row r="98" spans="1:29" x14ac:dyDescent="0.25">
      <c r="A98" s="17">
        <v>96</v>
      </c>
      <c r="B98" s="3" t="str">
        <f t="shared" si="13"/>
        <v/>
      </c>
      <c r="H98" s="49" t="str">
        <f t="shared" si="12"/>
        <v>s. D.</v>
      </c>
      <c r="I98" s="48" t="str">
        <f t="shared" si="14"/>
        <v/>
      </c>
      <c r="J98" s="49" t="str">
        <f>I98&amp;IF(NOT(ISBLANK(E98)),CHAR(10)&amp;VLOOKUP(E98,AttackRiskStep!$A$3:$C$99,3,FALSE),"see Description")&amp;IF(NOT(ISBLANK(F98))," -&gt; "&amp;CHAR(10)&amp;VLOOKUP(F98,AttackRiskStep!$A$3:$C$99,3,FALSE),"")&amp;IF(NOT(ISBLANK(G98))," -&gt; "&amp;CHAR(10)&amp;VLOOKUP(G98,AttackRiskStep!$A$3:$C$99,3,FALSE),"")</f>
        <v>see Description</v>
      </c>
      <c r="P98" s="38" t="e">
        <f>VLOOKUP($N98,Likelihood!$A$3:$B$7,2,FALSE)*VLOOKUP($O98,Impact!$A$4:$B$8,2,FALSE)</f>
        <v>#N/A</v>
      </c>
      <c r="Q98" s="39" t="e">
        <f>VLOOKUP(P98,RPN!$B$6:$C$22,2)</f>
        <v>#N/A</v>
      </c>
      <c r="Z98" s="9" t="e">
        <f ca="1">VLOOKUP($N98,Likelihood!$A$3:$C$7,2,FALSE)+RANDBETWEEN(-20,20)/100</f>
        <v>#N/A</v>
      </c>
      <c r="AA98" s="9" t="e">
        <f ca="1">IF($Q98=AA$2,VLOOKUP($O98,Impact!$A$4:$B$8,2,FALSE)+RANDBETWEEN(-20,20)/100,NA())</f>
        <v>#N/A</v>
      </c>
      <c r="AB98" s="9" t="e">
        <f ca="1">IF($Q98=AB$2,VLOOKUP($O98,Impact!$A$4:$B$8,2,FALSE)+RANDBETWEEN(-20,20)/100,NA())</f>
        <v>#N/A</v>
      </c>
      <c r="AC98" s="9" t="e">
        <f ca="1">IF($Q98=AC$2,VLOOKUP($O98,Impact!$A$4:$B$8,2,FALSE)+RANDBETWEEN(-20,20)/100,NA())</f>
        <v>#N/A</v>
      </c>
    </row>
    <row r="99" spans="1:29" x14ac:dyDescent="0.25">
      <c r="A99" s="17">
        <v>97</v>
      </c>
      <c r="B99" s="3" t="str">
        <f t="shared" si="13"/>
        <v/>
      </c>
      <c r="H99" s="49" t="str">
        <f t="shared" si="12"/>
        <v>s. D.</v>
      </c>
      <c r="I99" s="48" t="str">
        <f t="shared" si="14"/>
        <v/>
      </c>
      <c r="J99" s="49" t="str">
        <f>I99&amp;IF(NOT(ISBLANK(E99)),CHAR(10)&amp;VLOOKUP(E99,AttackRiskStep!$A$3:$C$99,3,FALSE),"see Description")&amp;IF(NOT(ISBLANK(F99))," -&gt; "&amp;CHAR(10)&amp;VLOOKUP(F99,AttackRiskStep!$A$3:$C$99,3,FALSE),"")&amp;IF(NOT(ISBLANK(G99))," -&gt; "&amp;CHAR(10)&amp;VLOOKUP(G99,AttackRiskStep!$A$3:$C$99,3,FALSE),"")</f>
        <v>see Description</v>
      </c>
      <c r="P99" s="38" t="e">
        <f>VLOOKUP($N99,Likelihood!$A$3:$B$7,2,FALSE)*VLOOKUP($O99,Impact!$A$4:$B$8,2,FALSE)</f>
        <v>#N/A</v>
      </c>
      <c r="Q99" s="39" t="e">
        <f>VLOOKUP(P99,RPN!$B$6:$C$22,2)</f>
        <v>#N/A</v>
      </c>
      <c r="Z99" s="9" t="e">
        <f ca="1">VLOOKUP($N99,Likelihood!$A$3:$C$7,2,FALSE)+RANDBETWEEN(-20,20)/100</f>
        <v>#N/A</v>
      </c>
      <c r="AA99" s="9" t="e">
        <f ca="1">IF($Q99=AA$2,VLOOKUP($O99,Impact!$A$4:$B$8,2,FALSE)+RANDBETWEEN(-20,20)/100,NA())</f>
        <v>#N/A</v>
      </c>
      <c r="AB99" s="9" t="e">
        <f ca="1">IF($Q99=AB$2,VLOOKUP($O99,Impact!$A$4:$B$8,2,FALSE)+RANDBETWEEN(-20,20)/100,NA())</f>
        <v>#N/A</v>
      </c>
      <c r="AC99" s="9" t="e">
        <f ca="1">IF($Q99=AC$2,VLOOKUP($O99,Impact!$A$4:$B$8,2,FALSE)+RANDBETWEEN(-20,20)/100,NA())</f>
        <v>#N/A</v>
      </c>
    </row>
    <row r="100" spans="1:29" x14ac:dyDescent="0.25">
      <c r="A100" s="17">
        <v>98</v>
      </c>
      <c r="B100" s="3" t="str">
        <f t="shared" si="13"/>
        <v/>
      </c>
      <c r="H100" s="49" t="str">
        <f t="shared" si="12"/>
        <v>s. D.</v>
      </c>
      <c r="I100" s="48" t="str">
        <f t="shared" si="14"/>
        <v/>
      </c>
      <c r="J100" s="49" t="str">
        <f>I100&amp;IF(NOT(ISBLANK(E100)),CHAR(10)&amp;VLOOKUP(E100,AttackRiskStep!$A$3:$C$99,3,FALSE),"see Description")&amp;IF(NOT(ISBLANK(F100))," -&gt; "&amp;CHAR(10)&amp;VLOOKUP(F100,AttackRiskStep!$A$3:$C$99,3,FALSE),"")&amp;IF(NOT(ISBLANK(G100))," -&gt; "&amp;CHAR(10)&amp;VLOOKUP(G100,AttackRiskStep!$A$3:$C$99,3,FALSE),"")</f>
        <v>see Description</v>
      </c>
      <c r="P100" s="38" t="e">
        <f>VLOOKUP($N100,Likelihood!$A$3:$B$7,2,FALSE)*VLOOKUP($O100,Impact!$A$4:$B$8,2,FALSE)</f>
        <v>#N/A</v>
      </c>
      <c r="Q100" s="39" t="e">
        <f>VLOOKUP(P100,RPN!$B$6:$C$22,2)</f>
        <v>#N/A</v>
      </c>
      <c r="Z100" s="9" t="e">
        <f ca="1">VLOOKUP($N100,Likelihood!$A$3:$C$7,2,FALSE)+RANDBETWEEN(-20,20)/100</f>
        <v>#N/A</v>
      </c>
      <c r="AA100" s="9" t="e">
        <f ca="1">IF($Q100=AA$2,VLOOKUP($O100,Impact!$A$4:$B$8,2,FALSE)+RANDBETWEEN(-20,20)/100,NA())</f>
        <v>#N/A</v>
      </c>
      <c r="AB100" s="9" t="e">
        <f ca="1">IF($Q100=AB$2,VLOOKUP($O100,Impact!$A$4:$B$8,2,FALSE)+RANDBETWEEN(-20,20)/100,NA())</f>
        <v>#N/A</v>
      </c>
      <c r="AC100" s="9" t="e">
        <f ca="1">IF($Q100=AC$2,VLOOKUP($O100,Impact!$A$4:$B$8,2,FALSE)+RANDBETWEEN(-20,20)/100,NA())</f>
        <v>#N/A</v>
      </c>
    </row>
    <row r="101" spans="1:29" x14ac:dyDescent="0.25">
      <c r="A101" s="17">
        <v>99</v>
      </c>
      <c r="B101" s="3" t="str">
        <f t="shared" si="13"/>
        <v/>
      </c>
      <c r="H101" s="49" t="str">
        <f t="shared" si="12"/>
        <v>s. D.</v>
      </c>
      <c r="I101" s="48" t="str">
        <f t="shared" si="14"/>
        <v/>
      </c>
      <c r="J101" s="49" t="str">
        <f>I101&amp;IF(NOT(ISBLANK(E101)),CHAR(10)&amp;VLOOKUP(E101,AttackRiskStep!$A$3:$C$99,3,FALSE),"see Description")&amp;IF(NOT(ISBLANK(F101))," -&gt; "&amp;CHAR(10)&amp;VLOOKUP(F101,AttackRiskStep!$A$3:$C$99,3,FALSE),"")&amp;IF(NOT(ISBLANK(G101))," -&gt; "&amp;CHAR(10)&amp;VLOOKUP(G101,AttackRiskStep!$A$3:$C$99,3,FALSE),"")</f>
        <v>see Description</v>
      </c>
      <c r="P101" s="38" t="e">
        <f>VLOOKUP($N101,Likelihood!$A$3:$B$7,2,FALSE)*VLOOKUP($O101,Impact!$A$4:$B$8,2,FALSE)</f>
        <v>#N/A</v>
      </c>
      <c r="Q101" s="39" t="e">
        <f>VLOOKUP(P101,RPN!$B$6:$C$22,2)</f>
        <v>#N/A</v>
      </c>
      <c r="Z101" s="9" t="e">
        <f ca="1">VLOOKUP($N101,Likelihood!$A$3:$C$7,2,FALSE)+RANDBETWEEN(-20,20)/100</f>
        <v>#N/A</v>
      </c>
      <c r="AA101" s="9" t="e">
        <f ca="1">IF($Q101=AA$2,VLOOKUP($O101,Impact!$A$4:$B$8,2,FALSE)+RANDBETWEEN(-20,20)/100,NA())</f>
        <v>#N/A</v>
      </c>
      <c r="AB101" s="9" t="e">
        <f ca="1">IF($Q101=AB$2,VLOOKUP($O101,Impact!$A$4:$B$8,2,FALSE)+RANDBETWEEN(-20,20)/100,NA())</f>
        <v>#N/A</v>
      </c>
      <c r="AC101" s="9" t="e">
        <f ca="1">IF($Q101=AC$2,VLOOKUP($O101,Impact!$A$4:$B$8,2,FALSE)+RANDBETWEEN(-20,20)/100,NA())</f>
        <v>#N/A</v>
      </c>
    </row>
    <row r="102" spans="1:29" x14ac:dyDescent="0.25">
      <c r="A102" s="17">
        <v>100</v>
      </c>
      <c r="B102" s="3" t="str">
        <f t="shared" si="13"/>
        <v/>
      </c>
      <c r="H102" s="49" t="str">
        <f t="shared" si="12"/>
        <v>s. D.</v>
      </c>
      <c r="I102" s="48" t="str">
        <f t="shared" si="14"/>
        <v/>
      </c>
      <c r="J102" s="49" t="str">
        <f>I102&amp;IF(NOT(ISBLANK(E102)),CHAR(10)&amp;VLOOKUP(E102,AttackRiskStep!$A$3:$C$99,3,FALSE),"see Description")&amp;IF(NOT(ISBLANK(F102))," -&gt; "&amp;CHAR(10)&amp;VLOOKUP(F102,AttackRiskStep!$A$3:$C$99,3,FALSE),"")&amp;IF(NOT(ISBLANK(G102))," -&gt; "&amp;CHAR(10)&amp;VLOOKUP(G102,AttackRiskStep!$A$3:$C$99,3,FALSE),"")</f>
        <v>see Description</v>
      </c>
      <c r="P102" s="38" t="e">
        <f>VLOOKUP($N102,Likelihood!$A$3:$B$7,2,FALSE)*VLOOKUP($O102,Impact!$A$4:$B$8,2,FALSE)</f>
        <v>#N/A</v>
      </c>
      <c r="Q102" s="39" t="e">
        <f>VLOOKUP(P102,RPN!$B$6:$C$22,2)</f>
        <v>#N/A</v>
      </c>
      <c r="Z102" s="9" t="e">
        <f ca="1">VLOOKUP($N102,Likelihood!$A$3:$C$7,2,FALSE)+RANDBETWEEN(-20,20)/100</f>
        <v>#N/A</v>
      </c>
      <c r="AA102" s="9" t="e">
        <f ca="1">IF($Q102=AA$2,VLOOKUP($O102,Impact!$A$4:$B$8,2,FALSE)+RANDBETWEEN(-20,20)/100,NA())</f>
        <v>#N/A</v>
      </c>
      <c r="AB102" s="9" t="e">
        <f ca="1">IF($Q102=AB$2,VLOOKUP($O102,Impact!$A$4:$B$8,2,FALSE)+RANDBETWEEN(-20,20)/100,NA())</f>
        <v>#N/A</v>
      </c>
      <c r="AC102" s="9" t="e">
        <f ca="1">IF($Q102=AC$2,VLOOKUP($O102,Impact!$A$4:$B$8,2,FALSE)+RANDBETWEEN(-20,20)/100,NA())</f>
        <v>#N/A</v>
      </c>
    </row>
    <row r="103" spans="1:29" x14ac:dyDescent="0.25">
      <c r="A103" s="17">
        <v>101</v>
      </c>
      <c r="B103" s="3" t="str">
        <f t="shared" si="13"/>
        <v/>
      </c>
      <c r="H103" s="49" t="str">
        <f t="shared" si="12"/>
        <v>s. D.</v>
      </c>
      <c r="I103" s="48" t="str">
        <f t="shared" si="14"/>
        <v/>
      </c>
      <c r="J103" s="49" t="str">
        <f>I103&amp;IF(NOT(ISBLANK(E103)),CHAR(10)&amp;VLOOKUP(E103,AttackRiskStep!$A$3:$C$99,3,FALSE),"see Description")&amp;IF(NOT(ISBLANK(F103))," -&gt; "&amp;CHAR(10)&amp;VLOOKUP(F103,AttackRiskStep!$A$3:$C$99,3,FALSE),"")&amp;IF(NOT(ISBLANK(G103))," -&gt; "&amp;CHAR(10)&amp;VLOOKUP(G103,AttackRiskStep!$A$3:$C$99,3,FALSE),"")</f>
        <v>see Description</v>
      </c>
      <c r="P103" s="38" t="e">
        <f>VLOOKUP($N103,Likelihood!$A$3:$B$7,2,FALSE)*VLOOKUP($O103,Impact!$A$4:$B$8,2,FALSE)</f>
        <v>#N/A</v>
      </c>
      <c r="Q103" s="39" t="e">
        <f>VLOOKUP(P103,RPN!$B$6:$C$22,2)</f>
        <v>#N/A</v>
      </c>
      <c r="Z103" s="9" t="e">
        <f ca="1">VLOOKUP($N103,Likelihood!$A$3:$C$7,2,FALSE)+RANDBETWEEN(-20,20)/100</f>
        <v>#N/A</v>
      </c>
      <c r="AA103" s="9" t="e">
        <f ca="1">IF($Q103=AA$2,VLOOKUP($O103,Impact!$A$4:$B$8,2,FALSE)+RANDBETWEEN(-20,20)/100,NA())</f>
        <v>#N/A</v>
      </c>
      <c r="AB103" s="9" t="e">
        <f ca="1">IF($Q103=AB$2,VLOOKUP($O103,Impact!$A$4:$B$8,2,FALSE)+RANDBETWEEN(-20,20)/100,NA())</f>
        <v>#N/A</v>
      </c>
      <c r="AC103" s="9" t="e">
        <f ca="1">IF($Q103=AC$2,VLOOKUP($O103,Impact!$A$4:$B$8,2,FALSE)+RANDBETWEEN(-20,20)/100,NA())</f>
        <v>#N/A</v>
      </c>
    </row>
    <row r="104" spans="1:29" x14ac:dyDescent="0.25">
      <c r="A104" s="17">
        <v>102</v>
      </c>
      <c r="B104" s="3" t="str">
        <f t="shared" si="13"/>
        <v/>
      </c>
      <c r="H104" s="49" t="str">
        <f t="shared" si="12"/>
        <v>s. D.</v>
      </c>
      <c r="I104" s="48" t="str">
        <f t="shared" si="14"/>
        <v/>
      </c>
      <c r="J104" s="49" t="str">
        <f>I104&amp;IF(NOT(ISBLANK(E104)),CHAR(10)&amp;VLOOKUP(E104,AttackRiskStep!$A$3:$C$99,3,FALSE),"see Description")&amp;IF(NOT(ISBLANK(F104))," -&gt; "&amp;CHAR(10)&amp;VLOOKUP(F104,AttackRiskStep!$A$3:$C$99,3,FALSE),"")&amp;IF(NOT(ISBLANK(G104))," -&gt; "&amp;CHAR(10)&amp;VLOOKUP(G104,AttackRiskStep!$A$3:$C$99,3,FALSE),"")</f>
        <v>see Description</v>
      </c>
      <c r="P104" s="38" t="e">
        <f>VLOOKUP($N104,Likelihood!$A$3:$B$7,2,FALSE)*VLOOKUP($O104,Impact!$A$4:$B$8,2,FALSE)</f>
        <v>#N/A</v>
      </c>
      <c r="Q104" s="39" t="e">
        <f>VLOOKUP(P104,RPN!$B$6:$C$22,2)</f>
        <v>#N/A</v>
      </c>
      <c r="Z104" s="9" t="e">
        <f ca="1">VLOOKUP($N104,Likelihood!$A$3:$C$7,2,FALSE)+RANDBETWEEN(-20,20)/100</f>
        <v>#N/A</v>
      </c>
      <c r="AA104" s="9" t="e">
        <f ca="1">IF($Q104=AA$2,VLOOKUP($O104,Impact!$A$4:$B$8,2,FALSE)+RANDBETWEEN(-20,20)/100,NA())</f>
        <v>#N/A</v>
      </c>
      <c r="AB104" s="9" t="e">
        <f ca="1">IF($Q104=AB$2,VLOOKUP($O104,Impact!$A$4:$B$8,2,FALSE)+RANDBETWEEN(-20,20)/100,NA())</f>
        <v>#N/A</v>
      </c>
      <c r="AC104" s="9" t="e">
        <f ca="1">IF($Q104=AC$2,VLOOKUP($O104,Impact!$A$4:$B$8,2,FALSE)+RANDBETWEEN(-20,20)/100,NA())</f>
        <v>#N/A</v>
      </c>
    </row>
    <row r="105" spans="1:29" x14ac:dyDescent="0.25">
      <c r="A105" s="17">
        <v>103</v>
      </c>
      <c r="B105" s="3" t="str">
        <f t="shared" si="13"/>
        <v/>
      </c>
      <c r="H105" s="49" t="str">
        <f t="shared" si="12"/>
        <v>s. D.</v>
      </c>
      <c r="I105" s="48" t="str">
        <f t="shared" si="14"/>
        <v/>
      </c>
      <c r="J105" s="49" t="str">
        <f>I105&amp;IF(NOT(ISBLANK(E105)),CHAR(10)&amp;VLOOKUP(E105,AttackRiskStep!$A$3:$C$99,3,FALSE),"see Description")&amp;IF(NOT(ISBLANK(F105))," -&gt; "&amp;CHAR(10)&amp;VLOOKUP(F105,AttackRiskStep!$A$3:$C$99,3,FALSE),"")&amp;IF(NOT(ISBLANK(G105))," -&gt; "&amp;CHAR(10)&amp;VLOOKUP(G105,AttackRiskStep!$A$3:$C$99,3,FALSE),"")</f>
        <v>see Description</v>
      </c>
      <c r="P105" s="38" t="e">
        <f>VLOOKUP($N105,Likelihood!$A$3:$B$7,2,FALSE)*VLOOKUP($O105,Impact!$A$4:$B$8,2,FALSE)</f>
        <v>#N/A</v>
      </c>
      <c r="Q105" s="39" t="e">
        <f>VLOOKUP(P105,RPN!$B$6:$C$22,2)</f>
        <v>#N/A</v>
      </c>
      <c r="Z105" s="9" t="e">
        <f ca="1">VLOOKUP($N105,Likelihood!$A$3:$C$7,2,FALSE)+RANDBETWEEN(-20,20)/100</f>
        <v>#N/A</v>
      </c>
      <c r="AA105" s="9" t="e">
        <f ca="1">IF($Q105=AA$2,VLOOKUP($O105,Impact!$A$4:$B$8,2,FALSE)+RANDBETWEEN(-20,20)/100,NA())</f>
        <v>#N/A</v>
      </c>
      <c r="AB105" s="9" t="e">
        <f ca="1">IF($Q105=AB$2,VLOOKUP($O105,Impact!$A$4:$B$8,2,FALSE)+RANDBETWEEN(-20,20)/100,NA())</f>
        <v>#N/A</v>
      </c>
      <c r="AC105" s="9" t="e">
        <f ca="1">IF($Q105=AC$2,VLOOKUP($O105,Impact!$A$4:$B$8,2,FALSE)+RANDBETWEEN(-20,20)/100,NA())</f>
        <v>#N/A</v>
      </c>
    </row>
    <row r="106" spans="1:29" x14ac:dyDescent="0.25">
      <c r="A106" s="17">
        <v>104</v>
      </c>
      <c r="B106" s="3" t="str">
        <f t="shared" si="13"/>
        <v/>
      </c>
      <c r="H106" s="49" t="str">
        <f t="shared" si="12"/>
        <v>s. D.</v>
      </c>
      <c r="I106" s="48" t="str">
        <f t="shared" si="14"/>
        <v/>
      </c>
      <c r="J106" s="49" t="str">
        <f>I106&amp;IF(NOT(ISBLANK(E106)),CHAR(10)&amp;VLOOKUP(E106,AttackRiskStep!$A$3:$C$99,3,FALSE),"see Description")&amp;IF(NOT(ISBLANK(F106))," -&gt; "&amp;CHAR(10)&amp;VLOOKUP(F106,AttackRiskStep!$A$3:$C$99,3,FALSE),"")&amp;IF(NOT(ISBLANK(G106))," -&gt; "&amp;CHAR(10)&amp;VLOOKUP(G106,AttackRiskStep!$A$3:$C$99,3,FALSE),"")</f>
        <v>see Description</v>
      </c>
      <c r="P106" s="38" t="e">
        <f>VLOOKUP($N106,Likelihood!$A$3:$B$7,2,FALSE)*VLOOKUP($O106,Impact!$A$4:$B$8,2,FALSE)</f>
        <v>#N/A</v>
      </c>
      <c r="Q106" s="39" t="e">
        <f>VLOOKUP(P106,RPN!$B$6:$C$22,2)</f>
        <v>#N/A</v>
      </c>
      <c r="Z106" s="9" t="e">
        <f ca="1">VLOOKUP($N106,Likelihood!$A$3:$C$7,2,FALSE)+RANDBETWEEN(-20,20)/100</f>
        <v>#N/A</v>
      </c>
      <c r="AA106" s="9" t="e">
        <f ca="1">IF($Q106=AA$2,VLOOKUP($O106,Impact!$A$4:$B$8,2,FALSE)+RANDBETWEEN(-20,20)/100,NA())</f>
        <v>#N/A</v>
      </c>
      <c r="AB106" s="9" t="e">
        <f ca="1">IF($Q106=AB$2,VLOOKUP($O106,Impact!$A$4:$B$8,2,FALSE)+RANDBETWEEN(-20,20)/100,NA())</f>
        <v>#N/A</v>
      </c>
      <c r="AC106" s="9" t="e">
        <f ca="1">IF($Q106=AC$2,VLOOKUP($O106,Impact!$A$4:$B$8,2,FALSE)+RANDBETWEEN(-20,20)/100,NA())</f>
        <v>#N/A</v>
      </c>
    </row>
    <row r="107" spans="1:29" x14ac:dyDescent="0.25">
      <c r="A107" s="17">
        <v>105</v>
      </c>
      <c r="B107" s="3" t="str">
        <f t="shared" si="13"/>
        <v/>
      </c>
      <c r="H107" s="49" t="str">
        <f t="shared" si="12"/>
        <v>s. D.</v>
      </c>
      <c r="I107" s="48" t="str">
        <f t="shared" si="14"/>
        <v/>
      </c>
      <c r="J107" s="49" t="str">
        <f>I107&amp;IF(NOT(ISBLANK(E107)),CHAR(10)&amp;VLOOKUP(E107,AttackRiskStep!$A$3:$C$99,3,FALSE),"see Description")&amp;IF(NOT(ISBLANK(F107))," -&gt; "&amp;CHAR(10)&amp;VLOOKUP(F107,AttackRiskStep!$A$3:$C$99,3,FALSE),"")&amp;IF(NOT(ISBLANK(G107))," -&gt; "&amp;CHAR(10)&amp;VLOOKUP(G107,AttackRiskStep!$A$3:$C$99,3,FALSE),"")</f>
        <v>see Description</v>
      </c>
      <c r="P107" s="38" t="e">
        <f>VLOOKUP($N107,Likelihood!$A$3:$B$7,2,FALSE)*VLOOKUP($O107,Impact!$A$4:$B$8,2,FALSE)</f>
        <v>#N/A</v>
      </c>
      <c r="Q107" s="39" t="e">
        <f>VLOOKUP(P107,RPN!$B$6:$C$22,2)</f>
        <v>#N/A</v>
      </c>
      <c r="Z107" s="9" t="e">
        <f ca="1">VLOOKUP($N107,Likelihood!$A$3:$C$7,2,FALSE)+RANDBETWEEN(-20,20)/100</f>
        <v>#N/A</v>
      </c>
      <c r="AA107" s="9" t="e">
        <f ca="1">IF($Q107=AA$2,VLOOKUP($O107,Impact!$A$4:$B$8,2,FALSE)+RANDBETWEEN(-20,20)/100,NA())</f>
        <v>#N/A</v>
      </c>
      <c r="AB107" s="9" t="e">
        <f ca="1">IF($Q107=AB$2,VLOOKUP($O107,Impact!$A$4:$B$8,2,FALSE)+RANDBETWEEN(-20,20)/100,NA())</f>
        <v>#N/A</v>
      </c>
      <c r="AC107" s="9" t="e">
        <f ca="1">IF($Q107=AC$2,VLOOKUP($O107,Impact!$A$4:$B$8,2,FALSE)+RANDBETWEEN(-20,20)/100,NA())</f>
        <v>#N/A</v>
      </c>
    </row>
    <row r="108" spans="1:29" x14ac:dyDescent="0.25">
      <c r="A108" s="17">
        <v>106</v>
      </c>
      <c r="B108" s="3" t="str">
        <f t="shared" si="13"/>
        <v/>
      </c>
      <c r="H108" s="49" t="str">
        <f t="shared" si="12"/>
        <v>s. D.</v>
      </c>
      <c r="I108" s="48" t="str">
        <f t="shared" si="14"/>
        <v/>
      </c>
      <c r="J108" s="49" t="str">
        <f>I108&amp;IF(NOT(ISBLANK(E108)),CHAR(10)&amp;VLOOKUP(E108,AttackRiskStep!$A$3:$C$99,3,FALSE),"see Description")&amp;IF(NOT(ISBLANK(F108))," -&gt; "&amp;CHAR(10)&amp;VLOOKUP(F108,AttackRiskStep!$A$3:$C$99,3,FALSE),"")&amp;IF(NOT(ISBLANK(G108))," -&gt; "&amp;CHAR(10)&amp;VLOOKUP(G108,AttackRiskStep!$A$3:$C$99,3,FALSE),"")</f>
        <v>see Description</v>
      </c>
      <c r="P108" s="38" t="e">
        <f>VLOOKUP($N108,Likelihood!$A$3:$B$7,2,FALSE)*VLOOKUP($O108,Impact!$A$4:$B$8,2,FALSE)</f>
        <v>#N/A</v>
      </c>
      <c r="Q108" s="39" t="e">
        <f>VLOOKUP(P108,RPN!$B$6:$C$22,2)</f>
        <v>#N/A</v>
      </c>
      <c r="Z108" s="9" t="e">
        <f ca="1">VLOOKUP($N108,Likelihood!$A$3:$C$7,2,FALSE)+RANDBETWEEN(-20,20)/100</f>
        <v>#N/A</v>
      </c>
      <c r="AA108" s="9" t="e">
        <f ca="1">IF($Q108=AA$2,VLOOKUP($O108,Impact!$A$4:$B$8,2,FALSE)+RANDBETWEEN(-20,20)/100,NA())</f>
        <v>#N/A</v>
      </c>
      <c r="AB108" s="9" t="e">
        <f ca="1">IF($Q108=AB$2,VLOOKUP($O108,Impact!$A$4:$B$8,2,FALSE)+RANDBETWEEN(-20,20)/100,NA())</f>
        <v>#N/A</v>
      </c>
      <c r="AC108" s="9" t="e">
        <f ca="1">IF($Q108=AC$2,VLOOKUP($O108,Impact!$A$4:$B$8,2,FALSE)+RANDBETWEEN(-20,20)/100,NA())</f>
        <v>#N/A</v>
      </c>
    </row>
    <row r="109" spans="1:29" x14ac:dyDescent="0.25">
      <c r="A109" s="17">
        <v>107</v>
      </c>
      <c r="B109" s="3" t="str">
        <f t="shared" si="13"/>
        <v/>
      </c>
      <c r="H109" s="49" t="str">
        <f t="shared" si="12"/>
        <v>s. D.</v>
      </c>
      <c r="I109" s="48" t="str">
        <f t="shared" si="14"/>
        <v/>
      </c>
      <c r="J109" s="49" t="str">
        <f>I109&amp;IF(NOT(ISBLANK(E109)),CHAR(10)&amp;VLOOKUP(E109,AttackRiskStep!$A$3:$C$99,3,FALSE),"see Description")&amp;IF(NOT(ISBLANK(F109))," -&gt; "&amp;CHAR(10)&amp;VLOOKUP(F109,AttackRiskStep!$A$3:$C$99,3,FALSE),"")&amp;IF(NOT(ISBLANK(G109))," -&gt; "&amp;CHAR(10)&amp;VLOOKUP(G109,AttackRiskStep!$A$3:$C$99,3,FALSE),"")</f>
        <v>see Description</v>
      </c>
      <c r="P109" s="38" t="e">
        <f>VLOOKUP($N109,Likelihood!$A$3:$B$7,2,FALSE)*VLOOKUP($O109,Impact!$A$4:$B$8,2,FALSE)</f>
        <v>#N/A</v>
      </c>
      <c r="Q109" s="39" t="e">
        <f>VLOOKUP(P109,RPN!$B$6:$C$22,2)</f>
        <v>#N/A</v>
      </c>
      <c r="Z109" s="9" t="e">
        <f ca="1">VLOOKUP($N109,Likelihood!$A$3:$C$7,2,FALSE)+RANDBETWEEN(-20,20)/100</f>
        <v>#N/A</v>
      </c>
      <c r="AA109" s="9" t="e">
        <f ca="1">IF($Q109=AA$2,VLOOKUP($O109,Impact!$A$4:$B$8,2,FALSE)+RANDBETWEEN(-20,20)/100,NA())</f>
        <v>#N/A</v>
      </c>
      <c r="AB109" s="9" t="e">
        <f ca="1">IF($Q109=AB$2,VLOOKUP($O109,Impact!$A$4:$B$8,2,FALSE)+RANDBETWEEN(-20,20)/100,NA())</f>
        <v>#N/A</v>
      </c>
      <c r="AC109" s="9" t="e">
        <f ca="1">IF($Q109=AC$2,VLOOKUP($O109,Impact!$A$4:$B$8,2,FALSE)+RANDBETWEEN(-20,20)/100,NA())</f>
        <v>#N/A</v>
      </c>
    </row>
    <row r="110" spans="1:29" x14ac:dyDescent="0.25">
      <c r="A110" s="17">
        <v>108</v>
      </c>
      <c r="B110" s="3" t="str">
        <f t="shared" si="13"/>
        <v/>
      </c>
      <c r="H110" s="49" t="str">
        <f t="shared" si="12"/>
        <v>s. D.</v>
      </c>
      <c r="I110" s="48" t="str">
        <f t="shared" si="14"/>
        <v/>
      </c>
      <c r="J110" s="49" t="str">
        <f>I110&amp;IF(NOT(ISBLANK(E110)),CHAR(10)&amp;VLOOKUP(E110,AttackRiskStep!$A$3:$C$99,3,FALSE),"see Description")&amp;IF(NOT(ISBLANK(F110))," -&gt; "&amp;CHAR(10)&amp;VLOOKUP(F110,AttackRiskStep!$A$3:$C$99,3,FALSE),"")&amp;IF(NOT(ISBLANK(G110))," -&gt; "&amp;CHAR(10)&amp;VLOOKUP(G110,AttackRiskStep!$A$3:$C$99,3,FALSE),"")</f>
        <v>see Description</v>
      </c>
      <c r="P110" s="38" t="e">
        <f>VLOOKUP($N110,Likelihood!$A$3:$B$7,2,FALSE)*VLOOKUP($O110,Impact!$A$4:$B$8,2,FALSE)</f>
        <v>#N/A</v>
      </c>
      <c r="Q110" s="39" t="e">
        <f>VLOOKUP(P110,RPN!$B$6:$C$22,2)</f>
        <v>#N/A</v>
      </c>
      <c r="Z110" s="9" t="e">
        <f ca="1">VLOOKUP($N110,Likelihood!$A$3:$C$7,2,FALSE)+RANDBETWEEN(-20,20)/100</f>
        <v>#N/A</v>
      </c>
      <c r="AA110" s="9" t="e">
        <f ca="1">IF($Q110=AA$2,VLOOKUP($O110,Impact!$A$4:$B$8,2,FALSE)+RANDBETWEEN(-20,20)/100,NA())</f>
        <v>#N/A</v>
      </c>
      <c r="AB110" s="9" t="e">
        <f ca="1">IF($Q110=AB$2,VLOOKUP($O110,Impact!$A$4:$B$8,2,FALSE)+RANDBETWEEN(-20,20)/100,NA())</f>
        <v>#N/A</v>
      </c>
      <c r="AC110" s="9" t="e">
        <f ca="1">IF($Q110=AC$2,VLOOKUP($O110,Impact!$A$4:$B$8,2,FALSE)+RANDBETWEEN(-20,20)/100,NA())</f>
        <v>#N/A</v>
      </c>
    </row>
    <row r="111" spans="1:29" x14ac:dyDescent="0.25">
      <c r="A111" s="17">
        <v>109</v>
      </c>
      <c r="B111" s="3" t="str">
        <f t="shared" si="13"/>
        <v/>
      </c>
      <c r="H111" s="49" t="str">
        <f t="shared" si="12"/>
        <v>s. D.</v>
      </c>
      <c r="I111" s="48" t="str">
        <f t="shared" si="14"/>
        <v/>
      </c>
      <c r="J111" s="49" t="str">
        <f>I111&amp;IF(NOT(ISBLANK(E111)),CHAR(10)&amp;VLOOKUP(E111,AttackRiskStep!$A$3:$C$99,3,FALSE),"see Description")&amp;IF(NOT(ISBLANK(F111))," -&gt; "&amp;CHAR(10)&amp;VLOOKUP(F111,AttackRiskStep!$A$3:$C$99,3,FALSE),"")&amp;IF(NOT(ISBLANK(G111))," -&gt; "&amp;CHAR(10)&amp;VLOOKUP(G111,AttackRiskStep!$A$3:$C$99,3,FALSE),"")</f>
        <v>see Description</v>
      </c>
      <c r="P111" s="38" t="e">
        <f>VLOOKUP($N111,Likelihood!$A$3:$B$7,2,FALSE)*VLOOKUP($O111,Impact!$A$4:$B$8,2,FALSE)</f>
        <v>#N/A</v>
      </c>
      <c r="Q111" s="39" t="e">
        <f>VLOOKUP(P111,RPN!$B$6:$C$22,2)</f>
        <v>#N/A</v>
      </c>
      <c r="Z111" s="9" t="e">
        <f ca="1">VLOOKUP($N111,Likelihood!$A$3:$C$7,2,FALSE)+RANDBETWEEN(-20,20)/100</f>
        <v>#N/A</v>
      </c>
      <c r="AA111" s="9" t="e">
        <f ca="1">IF($Q111=AA$2,VLOOKUP($O111,Impact!$A$4:$B$8,2,FALSE)+RANDBETWEEN(-20,20)/100,NA())</f>
        <v>#N/A</v>
      </c>
      <c r="AB111" s="9" t="e">
        <f ca="1">IF($Q111=AB$2,VLOOKUP($O111,Impact!$A$4:$B$8,2,FALSE)+RANDBETWEEN(-20,20)/100,NA())</f>
        <v>#N/A</v>
      </c>
      <c r="AC111" s="9" t="e">
        <f ca="1">IF($Q111=AC$2,VLOOKUP($O111,Impact!$A$4:$B$8,2,FALSE)+RANDBETWEEN(-20,20)/100,NA())</f>
        <v>#N/A</v>
      </c>
    </row>
    <row r="112" spans="1:29" x14ac:dyDescent="0.25">
      <c r="A112" s="17">
        <v>110</v>
      </c>
      <c r="B112" s="3" t="str">
        <f t="shared" si="13"/>
        <v/>
      </c>
      <c r="H112" s="49" t="str">
        <f t="shared" si="12"/>
        <v>s. D.</v>
      </c>
      <c r="I112" s="48" t="str">
        <f t="shared" si="14"/>
        <v/>
      </c>
      <c r="J112" s="49" t="str">
        <f>I112&amp;IF(NOT(ISBLANK(E112)),CHAR(10)&amp;VLOOKUP(E112,AttackRiskStep!$A$3:$C$99,3,FALSE),"see Description")&amp;IF(NOT(ISBLANK(F112))," -&gt; "&amp;CHAR(10)&amp;VLOOKUP(F112,AttackRiskStep!$A$3:$C$99,3,FALSE),"")&amp;IF(NOT(ISBLANK(G112))," -&gt; "&amp;CHAR(10)&amp;VLOOKUP(G112,AttackRiskStep!$A$3:$C$99,3,FALSE),"")</f>
        <v>see Description</v>
      </c>
      <c r="P112" s="38" t="e">
        <f>VLOOKUP($N112,Likelihood!$A$3:$B$7,2,FALSE)*VLOOKUP($O112,Impact!$A$4:$B$8,2,FALSE)</f>
        <v>#N/A</v>
      </c>
      <c r="Q112" s="39" t="e">
        <f>VLOOKUP(P112,RPN!$B$6:$C$22,2)</f>
        <v>#N/A</v>
      </c>
      <c r="Z112" s="9" t="e">
        <f ca="1">VLOOKUP($N112,Likelihood!$A$3:$C$7,2,FALSE)+RANDBETWEEN(-20,20)/100</f>
        <v>#N/A</v>
      </c>
      <c r="AA112" s="9" t="e">
        <f ca="1">IF($Q112=AA$2,VLOOKUP($O112,Impact!$A$4:$B$8,2,FALSE)+RANDBETWEEN(-20,20)/100,NA())</f>
        <v>#N/A</v>
      </c>
      <c r="AB112" s="9" t="e">
        <f ca="1">IF($Q112=AB$2,VLOOKUP($O112,Impact!$A$4:$B$8,2,FALSE)+RANDBETWEEN(-20,20)/100,NA())</f>
        <v>#N/A</v>
      </c>
      <c r="AC112" s="9" t="e">
        <f ca="1">IF($Q112=AC$2,VLOOKUP($O112,Impact!$A$4:$B$8,2,FALSE)+RANDBETWEEN(-20,20)/100,NA())</f>
        <v>#N/A</v>
      </c>
    </row>
    <row r="113" spans="1:29" x14ac:dyDescent="0.25">
      <c r="A113" s="17">
        <v>111</v>
      </c>
      <c r="B113" s="3" t="str">
        <f t="shared" si="13"/>
        <v/>
      </c>
      <c r="H113" s="49" t="str">
        <f t="shared" si="12"/>
        <v>s. D.</v>
      </c>
      <c r="I113" s="48" t="str">
        <f t="shared" si="14"/>
        <v/>
      </c>
      <c r="J113" s="49" t="str">
        <f>I113&amp;IF(NOT(ISBLANK(E113)),CHAR(10)&amp;VLOOKUP(E113,AttackRiskStep!$A$3:$C$99,3,FALSE),"see Description")&amp;IF(NOT(ISBLANK(F113))," -&gt; "&amp;CHAR(10)&amp;VLOOKUP(F113,AttackRiskStep!$A$3:$C$99,3,FALSE),"")&amp;IF(NOT(ISBLANK(G113))," -&gt; "&amp;CHAR(10)&amp;VLOOKUP(G113,AttackRiskStep!$A$3:$C$99,3,FALSE),"")</f>
        <v>see Description</v>
      </c>
      <c r="P113" s="38" t="e">
        <f>VLOOKUP($N113,Likelihood!$A$3:$B$7,2,FALSE)*VLOOKUP($O113,Impact!$A$4:$B$8,2,FALSE)</f>
        <v>#N/A</v>
      </c>
      <c r="Q113" s="39" t="e">
        <f>VLOOKUP(P113,RPN!$B$6:$C$22,2)</f>
        <v>#N/A</v>
      </c>
      <c r="Z113" s="9" t="e">
        <f ca="1">VLOOKUP($N113,Likelihood!$A$3:$C$7,2,FALSE)+RANDBETWEEN(-20,20)/100</f>
        <v>#N/A</v>
      </c>
      <c r="AA113" s="9" t="e">
        <f ca="1">IF($Q113=AA$2,VLOOKUP($O113,Impact!$A$4:$B$8,2,FALSE)+RANDBETWEEN(-20,20)/100,NA())</f>
        <v>#N/A</v>
      </c>
      <c r="AB113" s="9" t="e">
        <f ca="1">IF($Q113=AB$2,VLOOKUP($O113,Impact!$A$4:$B$8,2,FALSE)+RANDBETWEEN(-20,20)/100,NA())</f>
        <v>#N/A</v>
      </c>
      <c r="AC113" s="9" t="e">
        <f ca="1">IF($Q113=AC$2,VLOOKUP($O113,Impact!$A$4:$B$8,2,FALSE)+RANDBETWEEN(-20,20)/100,NA())</f>
        <v>#N/A</v>
      </c>
    </row>
    <row r="114" spans="1:29" x14ac:dyDescent="0.25">
      <c r="A114" s="17">
        <v>112</v>
      </c>
      <c r="B114" s="3" t="str">
        <f t="shared" si="13"/>
        <v/>
      </c>
      <c r="H114" s="49" t="str">
        <f t="shared" si="12"/>
        <v>s. D.</v>
      </c>
      <c r="I114" s="48" t="str">
        <f t="shared" si="14"/>
        <v/>
      </c>
      <c r="J114" s="49" t="str">
        <f>I114&amp;IF(NOT(ISBLANK(E114)),CHAR(10)&amp;VLOOKUP(E114,AttackRiskStep!$A$3:$C$99,3,FALSE),"see Description")&amp;IF(NOT(ISBLANK(F114))," -&gt; "&amp;CHAR(10)&amp;VLOOKUP(F114,AttackRiskStep!$A$3:$C$99,3,FALSE),"")&amp;IF(NOT(ISBLANK(G114))," -&gt; "&amp;CHAR(10)&amp;VLOOKUP(G114,AttackRiskStep!$A$3:$C$99,3,FALSE),"")</f>
        <v>see Description</v>
      </c>
      <c r="P114" s="38" t="e">
        <f>VLOOKUP($N114,Likelihood!$A$3:$B$7,2,FALSE)*VLOOKUP($O114,Impact!$A$4:$B$8,2,FALSE)</f>
        <v>#N/A</v>
      </c>
      <c r="Q114" s="39" t="e">
        <f>VLOOKUP(P114,RPN!$B$6:$C$22,2)</f>
        <v>#N/A</v>
      </c>
      <c r="Z114" s="9" t="e">
        <f ca="1">VLOOKUP($N114,Likelihood!$A$3:$C$7,2,FALSE)+RANDBETWEEN(-20,20)/100</f>
        <v>#N/A</v>
      </c>
      <c r="AA114" s="9" t="e">
        <f ca="1">IF($Q114=AA$2,VLOOKUP($O114,Impact!$A$4:$B$8,2,FALSE)+RANDBETWEEN(-20,20)/100,NA())</f>
        <v>#N/A</v>
      </c>
      <c r="AB114" s="9" t="e">
        <f ca="1">IF($Q114=AB$2,VLOOKUP($O114,Impact!$A$4:$B$8,2,FALSE)+RANDBETWEEN(-20,20)/100,NA())</f>
        <v>#N/A</v>
      </c>
      <c r="AC114" s="9" t="e">
        <f ca="1">IF($Q114=AC$2,VLOOKUP($O114,Impact!$A$4:$B$8,2,FALSE)+RANDBETWEEN(-20,20)/100,NA())</f>
        <v>#N/A</v>
      </c>
    </row>
    <row r="115" spans="1:29" x14ac:dyDescent="0.25">
      <c r="A115" s="17">
        <v>113</v>
      </c>
      <c r="B115" s="3" t="str">
        <f t="shared" si="13"/>
        <v/>
      </c>
      <c r="H115" s="49" t="str">
        <f t="shared" si="12"/>
        <v>s. D.</v>
      </c>
      <c r="I115" s="48" t="str">
        <f t="shared" si="14"/>
        <v/>
      </c>
      <c r="J115" s="49" t="str">
        <f>I115&amp;IF(NOT(ISBLANK(E115)),CHAR(10)&amp;VLOOKUP(E115,AttackRiskStep!$A$3:$C$99,3,FALSE),"see Description")&amp;IF(NOT(ISBLANK(F115))," -&gt; "&amp;CHAR(10)&amp;VLOOKUP(F115,AttackRiskStep!$A$3:$C$99,3,FALSE),"")&amp;IF(NOT(ISBLANK(G115))," -&gt; "&amp;CHAR(10)&amp;VLOOKUP(G115,AttackRiskStep!$A$3:$C$99,3,FALSE),"")</f>
        <v>see Description</v>
      </c>
      <c r="P115" s="38" t="e">
        <f>VLOOKUP($N115,Likelihood!$A$3:$B$7,2,FALSE)*VLOOKUP($O115,Impact!$A$4:$B$8,2,FALSE)</f>
        <v>#N/A</v>
      </c>
      <c r="Q115" s="39" t="e">
        <f>VLOOKUP(P115,RPN!$B$6:$C$22,2)</f>
        <v>#N/A</v>
      </c>
      <c r="Z115" s="9" t="e">
        <f ca="1">VLOOKUP($N115,Likelihood!$A$3:$C$7,2,FALSE)+RANDBETWEEN(-20,20)/100</f>
        <v>#N/A</v>
      </c>
      <c r="AA115" s="9" t="e">
        <f ca="1">IF($Q115=AA$2,VLOOKUP($O115,Impact!$A$4:$B$8,2,FALSE)+RANDBETWEEN(-20,20)/100,NA())</f>
        <v>#N/A</v>
      </c>
      <c r="AB115" s="9" t="e">
        <f ca="1">IF($Q115=AB$2,VLOOKUP($O115,Impact!$A$4:$B$8,2,FALSE)+RANDBETWEEN(-20,20)/100,NA())</f>
        <v>#N/A</v>
      </c>
      <c r="AC115" s="9" t="e">
        <f ca="1">IF($Q115=AC$2,VLOOKUP($O115,Impact!$A$4:$B$8,2,FALSE)+RANDBETWEEN(-20,20)/100,NA())</f>
        <v>#N/A</v>
      </c>
    </row>
    <row r="116" spans="1:29" x14ac:dyDescent="0.25">
      <c r="A116" s="17">
        <v>114</v>
      </c>
      <c r="B116" s="3" t="str">
        <f t="shared" si="13"/>
        <v/>
      </c>
      <c r="H116" s="49" t="str">
        <f t="shared" si="12"/>
        <v>s. D.</v>
      </c>
      <c r="I116" s="48" t="str">
        <f t="shared" si="14"/>
        <v/>
      </c>
      <c r="J116" s="49" t="str">
        <f>I116&amp;IF(NOT(ISBLANK(E116)),CHAR(10)&amp;VLOOKUP(E116,AttackRiskStep!$A$3:$C$99,3,FALSE),"see Description")&amp;IF(NOT(ISBLANK(F116))," -&gt; "&amp;CHAR(10)&amp;VLOOKUP(F116,AttackRiskStep!$A$3:$C$99,3,FALSE),"")&amp;IF(NOT(ISBLANK(G116))," -&gt; "&amp;CHAR(10)&amp;VLOOKUP(G116,AttackRiskStep!$A$3:$C$99,3,FALSE),"")</f>
        <v>see Description</v>
      </c>
      <c r="P116" s="38" t="e">
        <f>VLOOKUP($N116,Likelihood!$A$3:$B$7,2,FALSE)*VLOOKUP($O116,Impact!$A$4:$B$8,2,FALSE)</f>
        <v>#N/A</v>
      </c>
      <c r="Q116" s="39" t="e">
        <f>VLOOKUP(P116,RPN!$B$6:$C$22,2)</f>
        <v>#N/A</v>
      </c>
      <c r="Z116" s="9" t="e">
        <f ca="1">VLOOKUP($N116,Likelihood!$A$3:$C$7,2,FALSE)+RANDBETWEEN(-20,20)/100</f>
        <v>#N/A</v>
      </c>
      <c r="AA116" s="9" t="e">
        <f ca="1">IF($Q116=AA$2,VLOOKUP($O116,Impact!$A$4:$B$8,2,FALSE)+RANDBETWEEN(-20,20)/100,NA())</f>
        <v>#N/A</v>
      </c>
      <c r="AB116" s="9" t="e">
        <f ca="1">IF($Q116=AB$2,VLOOKUP($O116,Impact!$A$4:$B$8,2,FALSE)+RANDBETWEEN(-20,20)/100,NA())</f>
        <v>#N/A</v>
      </c>
      <c r="AC116" s="9" t="e">
        <f ca="1">IF($Q116=AC$2,VLOOKUP($O116,Impact!$A$4:$B$8,2,FALSE)+RANDBETWEEN(-20,20)/100,NA())</f>
        <v>#N/A</v>
      </c>
    </row>
    <row r="117" spans="1:29" x14ac:dyDescent="0.25">
      <c r="A117" s="17">
        <v>115</v>
      </c>
      <c r="B117" s="3" t="str">
        <f t="shared" si="13"/>
        <v/>
      </c>
      <c r="H117" s="49" t="str">
        <f t="shared" si="12"/>
        <v>s. D.</v>
      </c>
      <c r="I117" s="48" t="str">
        <f t="shared" si="14"/>
        <v/>
      </c>
      <c r="J117" s="49" t="str">
        <f>I117&amp;IF(NOT(ISBLANK(E117)),CHAR(10)&amp;VLOOKUP(E117,AttackRiskStep!$A$3:$C$99,3,FALSE),"see Description")&amp;IF(NOT(ISBLANK(F117))," -&gt; "&amp;CHAR(10)&amp;VLOOKUP(F117,AttackRiskStep!$A$3:$C$99,3,FALSE),"")&amp;IF(NOT(ISBLANK(G117))," -&gt; "&amp;CHAR(10)&amp;VLOOKUP(G117,AttackRiskStep!$A$3:$C$99,3,FALSE),"")</f>
        <v>see Description</v>
      </c>
      <c r="P117" s="38" t="e">
        <f>VLOOKUP($N117,Likelihood!$A$3:$B$7,2,FALSE)*VLOOKUP($O117,Impact!$A$4:$B$8,2,FALSE)</f>
        <v>#N/A</v>
      </c>
      <c r="Q117" s="39" t="e">
        <f>VLOOKUP(P117,RPN!$B$6:$C$22,2)</f>
        <v>#N/A</v>
      </c>
      <c r="Z117" s="9" t="e">
        <f ca="1">VLOOKUP($N117,Likelihood!$A$3:$C$7,2,FALSE)+RANDBETWEEN(-20,20)/100</f>
        <v>#N/A</v>
      </c>
      <c r="AA117" s="9" t="e">
        <f ca="1">IF($Q117=AA$2,VLOOKUP($O117,Impact!$A$4:$B$8,2,FALSE)+RANDBETWEEN(-20,20)/100,NA())</f>
        <v>#N/A</v>
      </c>
      <c r="AB117" s="9" t="e">
        <f ca="1">IF($Q117=AB$2,VLOOKUP($O117,Impact!$A$4:$B$8,2,FALSE)+RANDBETWEEN(-20,20)/100,NA())</f>
        <v>#N/A</v>
      </c>
      <c r="AC117" s="9" t="e">
        <f ca="1">IF($Q117=AC$2,VLOOKUP($O117,Impact!$A$4:$B$8,2,FALSE)+RANDBETWEEN(-20,20)/100,NA())</f>
        <v>#N/A</v>
      </c>
    </row>
    <row r="118" spans="1:29" x14ac:dyDescent="0.25">
      <c r="A118" s="17">
        <v>116</v>
      </c>
      <c r="B118" s="3" t="str">
        <f t="shared" si="13"/>
        <v/>
      </c>
      <c r="H118" s="49" t="str">
        <f t="shared" si="12"/>
        <v>s. D.</v>
      </c>
      <c r="I118" s="48" t="str">
        <f t="shared" si="14"/>
        <v/>
      </c>
      <c r="J118" s="49" t="str">
        <f>I118&amp;IF(NOT(ISBLANK(E118)),CHAR(10)&amp;VLOOKUP(E118,AttackRiskStep!$A$3:$C$99,3,FALSE),"see Description")&amp;IF(NOT(ISBLANK(F118))," -&gt; "&amp;CHAR(10)&amp;VLOOKUP(F118,AttackRiskStep!$A$3:$C$99,3,FALSE),"")&amp;IF(NOT(ISBLANK(G118))," -&gt; "&amp;CHAR(10)&amp;VLOOKUP(G118,AttackRiskStep!$A$3:$C$99,3,FALSE),"")</f>
        <v>see Description</v>
      </c>
      <c r="P118" s="38" t="e">
        <f>VLOOKUP($N118,Likelihood!$A$3:$B$7,2,FALSE)*VLOOKUP($O118,Impact!$A$4:$B$8,2,FALSE)</f>
        <v>#N/A</v>
      </c>
      <c r="Q118" s="39" t="e">
        <f>VLOOKUP(P118,RPN!$B$6:$C$22,2)</f>
        <v>#N/A</v>
      </c>
      <c r="Z118" s="9" t="e">
        <f ca="1">VLOOKUP($N118,Likelihood!$A$3:$C$7,2,FALSE)+RANDBETWEEN(-20,20)/100</f>
        <v>#N/A</v>
      </c>
      <c r="AA118" s="9" t="e">
        <f ca="1">IF($Q118=AA$2,VLOOKUP($O118,Impact!$A$4:$B$8,2,FALSE)+RANDBETWEEN(-20,20)/100,NA())</f>
        <v>#N/A</v>
      </c>
      <c r="AB118" s="9" t="e">
        <f ca="1">IF($Q118=AB$2,VLOOKUP($O118,Impact!$A$4:$B$8,2,FALSE)+RANDBETWEEN(-20,20)/100,NA())</f>
        <v>#N/A</v>
      </c>
      <c r="AC118" s="9" t="e">
        <f ca="1">IF($Q118=AC$2,VLOOKUP($O118,Impact!$A$4:$B$8,2,FALSE)+RANDBETWEEN(-20,20)/100,NA())</f>
        <v>#N/A</v>
      </c>
    </row>
    <row r="119" spans="1:29" x14ac:dyDescent="0.25">
      <c r="A119" s="17">
        <v>117</v>
      </c>
      <c r="B119" s="3" t="str">
        <f t="shared" si="13"/>
        <v/>
      </c>
      <c r="H119" s="49" t="str">
        <f t="shared" si="12"/>
        <v>s. D.</v>
      </c>
      <c r="I119" s="48" t="str">
        <f t="shared" si="14"/>
        <v/>
      </c>
      <c r="J119" s="49" t="str">
        <f>I119&amp;IF(NOT(ISBLANK(E119)),CHAR(10)&amp;VLOOKUP(E119,AttackRiskStep!$A$3:$C$99,3,FALSE),"see Description")&amp;IF(NOT(ISBLANK(F119))," -&gt; "&amp;CHAR(10)&amp;VLOOKUP(F119,AttackRiskStep!$A$3:$C$99,3,FALSE),"")&amp;IF(NOT(ISBLANK(G119))," -&gt; "&amp;CHAR(10)&amp;VLOOKUP(G119,AttackRiskStep!$A$3:$C$99,3,FALSE),"")</f>
        <v>see Description</v>
      </c>
      <c r="P119" s="38" t="e">
        <f>VLOOKUP($N119,Likelihood!$A$3:$B$7,2,FALSE)*VLOOKUP($O119,Impact!$A$4:$B$8,2,FALSE)</f>
        <v>#N/A</v>
      </c>
      <c r="Q119" s="39" t="e">
        <f>VLOOKUP(P119,RPN!$B$6:$C$22,2)</f>
        <v>#N/A</v>
      </c>
      <c r="Z119" s="9" t="e">
        <f ca="1">VLOOKUP($N119,Likelihood!$A$3:$C$7,2,FALSE)+RANDBETWEEN(-20,20)/100</f>
        <v>#N/A</v>
      </c>
      <c r="AA119" s="9" t="e">
        <f ca="1">IF($Q119=AA$2,VLOOKUP($O119,Impact!$A$4:$B$8,2,FALSE)+RANDBETWEEN(-20,20)/100,NA())</f>
        <v>#N/A</v>
      </c>
      <c r="AB119" s="9" t="e">
        <f ca="1">IF($Q119=AB$2,VLOOKUP($O119,Impact!$A$4:$B$8,2,FALSE)+RANDBETWEEN(-20,20)/100,NA())</f>
        <v>#N/A</v>
      </c>
      <c r="AC119" s="9" t="e">
        <f ca="1">IF($Q119=AC$2,VLOOKUP($O119,Impact!$A$4:$B$8,2,FALSE)+RANDBETWEEN(-20,20)/100,NA())</f>
        <v>#N/A</v>
      </c>
    </row>
    <row r="120" spans="1:29" x14ac:dyDescent="0.25">
      <c r="A120" s="17">
        <v>118</v>
      </c>
      <c r="B120" s="3" t="str">
        <f t="shared" si="13"/>
        <v/>
      </c>
      <c r="H120" s="49" t="str">
        <f t="shared" si="12"/>
        <v>s. D.</v>
      </c>
      <c r="I120" s="48" t="str">
        <f t="shared" si="14"/>
        <v/>
      </c>
      <c r="J120" s="49" t="str">
        <f>I120&amp;IF(NOT(ISBLANK(E120)),CHAR(10)&amp;VLOOKUP(E120,AttackRiskStep!$A$3:$C$99,3,FALSE),"see Description")&amp;IF(NOT(ISBLANK(F120))," -&gt; "&amp;CHAR(10)&amp;VLOOKUP(F120,AttackRiskStep!$A$3:$C$99,3,FALSE),"")&amp;IF(NOT(ISBLANK(G120))," -&gt; "&amp;CHAR(10)&amp;VLOOKUP(G120,AttackRiskStep!$A$3:$C$99,3,FALSE),"")</f>
        <v>see Description</v>
      </c>
      <c r="P120" s="38" t="e">
        <f>VLOOKUP($N120,Likelihood!$A$3:$B$7,2,FALSE)*VLOOKUP($O120,Impact!$A$4:$B$8,2,FALSE)</f>
        <v>#N/A</v>
      </c>
      <c r="Q120" s="39" t="e">
        <f>VLOOKUP(P120,RPN!$B$6:$C$22,2)</f>
        <v>#N/A</v>
      </c>
      <c r="Z120" s="9" t="e">
        <f ca="1">VLOOKUP($N120,Likelihood!$A$3:$C$7,2,FALSE)+RANDBETWEEN(-20,20)/100</f>
        <v>#N/A</v>
      </c>
      <c r="AA120" s="9" t="e">
        <f ca="1">IF($Q120=AA$2,VLOOKUP($O120,Impact!$A$4:$B$8,2,FALSE)+RANDBETWEEN(-20,20)/100,NA())</f>
        <v>#N/A</v>
      </c>
      <c r="AB120" s="9" t="e">
        <f ca="1">IF($Q120=AB$2,VLOOKUP($O120,Impact!$A$4:$B$8,2,FALSE)+RANDBETWEEN(-20,20)/100,NA())</f>
        <v>#N/A</v>
      </c>
      <c r="AC120" s="9" t="e">
        <f ca="1">IF($Q120=AC$2,VLOOKUP($O120,Impact!$A$4:$B$8,2,FALSE)+RANDBETWEEN(-20,20)/100,NA())</f>
        <v>#N/A</v>
      </c>
    </row>
    <row r="121" spans="1:29" x14ac:dyDescent="0.25">
      <c r="A121" s="17">
        <v>119</v>
      </c>
      <c r="B121" s="3" t="str">
        <f t="shared" si="13"/>
        <v/>
      </c>
      <c r="H121" s="49" t="str">
        <f t="shared" si="12"/>
        <v>s. D.</v>
      </c>
      <c r="I121" s="48" t="str">
        <f t="shared" si="14"/>
        <v/>
      </c>
      <c r="J121" s="49" t="str">
        <f>I121&amp;IF(NOT(ISBLANK(E121)),CHAR(10)&amp;VLOOKUP(E121,AttackRiskStep!$A$3:$C$99,3,FALSE),"see Description")&amp;IF(NOT(ISBLANK(F121))," -&gt; "&amp;CHAR(10)&amp;VLOOKUP(F121,AttackRiskStep!$A$3:$C$99,3,FALSE),"")&amp;IF(NOT(ISBLANK(G121))," -&gt; "&amp;CHAR(10)&amp;VLOOKUP(G121,AttackRiskStep!$A$3:$C$99,3,FALSE),"")</f>
        <v>see Description</v>
      </c>
      <c r="P121" s="38" t="e">
        <f>VLOOKUP($N121,Likelihood!$A$3:$B$7,2,FALSE)*VLOOKUP($O121,Impact!$A$4:$B$8,2,FALSE)</f>
        <v>#N/A</v>
      </c>
      <c r="Q121" s="39" t="e">
        <f>VLOOKUP(P121,RPN!$B$6:$C$22,2)</f>
        <v>#N/A</v>
      </c>
      <c r="Z121" s="9" t="e">
        <f ca="1">VLOOKUP($N121,Likelihood!$A$3:$C$7,2,FALSE)+RANDBETWEEN(-20,20)/100</f>
        <v>#N/A</v>
      </c>
      <c r="AA121" s="9" t="e">
        <f ca="1">IF($Q121=AA$2,VLOOKUP($O121,Impact!$A$4:$B$8,2,FALSE)+RANDBETWEEN(-20,20)/100,NA())</f>
        <v>#N/A</v>
      </c>
      <c r="AB121" s="9" t="e">
        <f ca="1">IF($Q121=AB$2,VLOOKUP($O121,Impact!$A$4:$B$8,2,FALSE)+RANDBETWEEN(-20,20)/100,NA())</f>
        <v>#N/A</v>
      </c>
      <c r="AC121" s="9" t="e">
        <f ca="1">IF($Q121=AC$2,VLOOKUP($O121,Impact!$A$4:$B$8,2,FALSE)+RANDBETWEEN(-20,20)/100,NA())</f>
        <v>#N/A</v>
      </c>
    </row>
    <row r="122" spans="1:29" x14ac:dyDescent="0.25">
      <c r="A122" s="17">
        <v>120</v>
      </c>
      <c r="B122" s="3" t="str">
        <f t="shared" si="13"/>
        <v/>
      </c>
      <c r="H122" s="49" t="str">
        <f t="shared" si="12"/>
        <v>s. D.</v>
      </c>
      <c r="I122" s="48" t="str">
        <f t="shared" si="14"/>
        <v/>
      </c>
      <c r="J122" s="49" t="str">
        <f>I122&amp;IF(NOT(ISBLANK(E122)),CHAR(10)&amp;VLOOKUP(E122,AttackRiskStep!$A$3:$C$99,3,FALSE),"see Description")&amp;IF(NOT(ISBLANK(F122))," -&gt; "&amp;CHAR(10)&amp;VLOOKUP(F122,AttackRiskStep!$A$3:$C$99,3,FALSE),"")&amp;IF(NOT(ISBLANK(G122))," -&gt; "&amp;CHAR(10)&amp;VLOOKUP(G122,AttackRiskStep!$A$3:$C$99,3,FALSE),"")</f>
        <v>see Description</v>
      </c>
      <c r="P122" s="38" t="e">
        <f>VLOOKUP($N122,Likelihood!$A$3:$B$7,2,FALSE)*VLOOKUP($O122,Impact!$A$4:$B$8,2,FALSE)</f>
        <v>#N/A</v>
      </c>
      <c r="Q122" s="39" t="e">
        <f>VLOOKUP(P122,RPN!$B$6:$C$22,2)</f>
        <v>#N/A</v>
      </c>
      <c r="Z122" s="9" t="e">
        <f ca="1">VLOOKUP($N122,Likelihood!$A$3:$C$7,2,FALSE)+RANDBETWEEN(-20,20)/100</f>
        <v>#N/A</v>
      </c>
      <c r="AA122" s="9" t="e">
        <f ca="1">IF($Q122=AA$2,VLOOKUP($O122,Impact!$A$4:$B$8,2,FALSE)+RANDBETWEEN(-20,20)/100,NA())</f>
        <v>#N/A</v>
      </c>
      <c r="AB122" s="9" t="e">
        <f ca="1">IF($Q122=AB$2,VLOOKUP($O122,Impact!$A$4:$B$8,2,FALSE)+RANDBETWEEN(-20,20)/100,NA())</f>
        <v>#N/A</v>
      </c>
      <c r="AC122" s="9" t="e">
        <f ca="1">IF($Q122=AC$2,VLOOKUP($O122,Impact!$A$4:$B$8,2,FALSE)+RANDBETWEEN(-20,20)/100,NA())</f>
        <v>#N/A</v>
      </c>
    </row>
    <row r="123" spans="1:29" x14ac:dyDescent="0.25">
      <c r="A123" s="17">
        <v>121</v>
      </c>
      <c r="B123" s="3" t="str">
        <f t="shared" si="13"/>
        <v/>
      </c>
      <c r="H123" s="49" t="str">
        <f t="shared" si="12"/>
        <v>s. D.</v>
      </c>
      <c r="I123" s="48" t="str">
        <f t="shared" si="14"/>
        <v/>
      </c>
      <c r="J123" s="49" t="str">
        <f>I123&amp;IF(NOT(ISBLANK(E123)),CHAR(10)&amp;VLOOKUP(E123,AttackRiskStep!$A$3:$C$99,3,FALSE),"see Description")&amp;IF(NOT(ISBLANK(F123))," -&gt; "&amp;CHAR(10)&amp;VLOOKUP(F123,AttackRiskStep!$A$3:$C$99,3,FALSE),"")&amp;IF(NOT(ISBLANK(G123))," -&gt; "&amp;CHAR(10)&amp;VLOOKUP(G123,AttackRiskStep!$A$3:$C$99,3,FALSE),"")</f>
        <v>see Description</v>
      </c>
      <c r="P123" s="38" t="e">
        <f>VLOOKUP($N123,Likelihood!$A$3:$B$7,2,FALSE)*VLOOKUP($O123,Impact!$A$4:$B$8,2,FALSE)</f>
        <v>#N/A</v>
      </c>
      <c r="Q123" s="39" t="e">
        <f>VLOOKUP(P123,RPN!$B$6:$C$22,2)</f>
        <v>#N/A</v>
      </c>
      <c r="Z123" s="9" t="e">
        <f ca="1">VLOOKUP($N123,Likelihood!$A$3:$C$7,2,FALSE)+RANDBETWEEN(-20,20)/100</f>
        <v>#N/A</v>
      </c>
      <c r="AA123" s="9" t="e">
        <f ca="1">IF($Q123=AA$2,VLOOKUP($O123,Impact!$A$4:$B$8,2,FALSE)+RANDBETWEEN(-20,20)/100,NA())</f>
        <v>#N/A</v>
      </c>
      <c r="AB123" s="9" t="e">
        <f ca="1">IF($Q123=AB$2,VLOOKUP($O123,Impact!$A$4:$B$8,2,FALSE)+RANDBETWEEN(-20,20)/100,NA())</f>
        <v>#N/A</v>
      </c>
      <c r="AC123" s="9" t="e">
        <f ca="1">IF($Q123=AC$2,VLOOKUP($O123,Impact!$A$4:$B$8,2,FALSE)+RANDBETWEEN(-20,20)/100,NA())</f>
        <v>#N/A</v>
      </c>
    </row>
    <row r="124" spans="1:29" x14ac:dyDescent="0.25">
      <c r="A124" s="17">
        <v>122</v>
      </c>
      <c r="B124" s="3" t="str">
        <f t="shared" si="13"/>
        <v/>
      </c>
      <c r="H124" s="49" t="str">
        <f t="shared" si="12"/>
        <v>s. D.</v>
      </c>
      <c r="I124" s="48" t="str">
        <f t="shared" si="14"/>
        <v/>
      </c>
      <c r="J124" s="49" t="str">
        <f>I124&amp;IF(NOT(ISBLANK(E124)),CHAR(10)&amp;VLOOKUP(E124,AttackRiskStep!$A$3:$C$99,3,FALSE),"see Description")&amp;IF(NOT(ISBLANK(F124))," -&gt; "&amp;CHAR(10)&amp;VLOOKUP(F124,AttackRiskStep!$A$3:$C$99,3,FALSE),"")&amp;IF(NOT(ISBLANK(G124))," -&gt; "&amp;CHAR(10)&amp;VLOOKUP(G124,AttackRiskStep!$A$3:$C$99,3,FALSE),"")</f>
        <v>see Description</v>
      </c>
      <c r="P124" s="38" t="e">
        <f>VLOOKUP($N124,Likelihood!$A$3:$B$7,2,FALSE)*VLOOKUP($O124,Impact!$A$4:$B$8,2,FALSE)</f>
        <v>#N/A</v>
      </c>
      <c r="Q124" s="39" t="e">
        <f>VLOOKUP(P124,RPN!$B$6:$C$22,2)</f>
        <v>#N/A</v>
      </c>
      <c r="Z124" s="9" t="e">
        <f ca="1">VLOOKUP($N124,Likelihood!$A$3:$C$7,2,FALSE)+RANDBETWEEN(-20,20)/100</f>
        <v>#N/A</v>
      </c>
      <c r="AA124" s="9" t="e">
        <f ca="1">IF($Q124=AA$2,VLOOKUP($O124,Impact!$A$4:$B$8,2,FALSE)+RANDBETWEEN(-20,20)/100,NA())</f>
        <v>#N/A</v>
      </c>
      <c r="AB124" s="9" t="e">
        <f ca="1">IF($Q124=AB$2,VLOOKUP($O124,Impact!$A$4:$B$8,2,FALSE)+RANDBETWEEN(-20,20)/100,NA())</f>
        <v>#N/A</v>
      </c>
      <c r="AC124" s="9" t="e">
        <f ca="1">IF($Q124=AC$2,VLOOKUP($O124,Impact!$A$4:$B$8,2,FALSE)+RANDBETWEEN(-20,20)/100,NA())</f>
        <v>#N/A</v>
      </c>
    </row>
    <row r="125" spans="1:29" x14ac:dyDescent="0.25">
      <c r="A125" s="17">
        <v>123</v>
      </c>
      <c r="B125" s="3" t="str">
        <f t="shared" si="13"/>
        <v/>
      </c>
      <c r="H125" s="49" t="str">
        <f t="shared" si="12"/>
        <v>s. D.</v>
      </c>
      <c r="I125" s="48" t="str">
        <f t="shared" si="14"/>
        <v/>
      </c>
      <c r="J125" s="49" t="str">
        <f>I125&amp;IF(NOT(ISBLANK(E125)),CHAR(10)&amp;VLOOKUP(E125,AttackRiskStep!$A$3:$C$99,3,FALSE),"see Description")&amp;IF(NOT(ISBLANK(F125))," -&gt; "&amp;CHAR(10)&amp;VLOOKUP(F125,AttackRiskStep!$A$3:$C$99,3,FALSE),"")&amp;IF(NOT(ISBLANK(G125))," -&gt; "&amp;CHAR(10)&amp;VLOOKUP(G125,AttackRiskStep!$A$3:$C$99,3,FALSE),"")</f>
        <v>see Description</v>
      </c>
      <c r="P125" s="38" t="e">
        <f>VLOOKUP($N125,Likelihood!$A$3:$B$7,2,FALSE)*VLOOKUP($O125,Impact!$A$4:$B$8,2,FALSE)</f>
        <v>#N/A</v>
      </c>
      <c r="Q125" s="39" t="e">
        <f>VLOOKUP(P125,RPN!$B$6:$C$22,2)</f>
        <v>#N/A</v>
      </c>
      <c r="Z125" s="9" t="e">
        <f ca="1">VLOOKUP($N125,Likelihood!$A$3:$C$7,2,FALSE)+RANDBETWEEN(-20,20)/100</f>
        <v>#N/A</v>
      </c>
      <c r="AA125" s="9" t="e">
        <f ca="1">IF($Q125=AA$2,VLOOKUP($O125,Impact!$A$4:$B$8,2,FALSE)+RANDBETWEEN(-20,20)/100,NA())</f>
        <v>#N/A</v>
      </c>
      <c r="AB125" s="9" t="e">
        <f ca="1">IF($Q125=AB$2,VLOOKUP($O125,Impact!$A$4:$B$8,2,FALSE)+RANDBETWEEN(-20,20)/100,NA())</f>
        <v>#N/A</v>
      </c>
      <c r="AC125" s="9" t="e">
        <f ca="1">IF($Q125=AC$2,VLOOKUP($O125,Impact!$A$4:$B$8,2,FALSE)+RANDBETWEEN(-20,20)/100,NA())</f>
        <v>#N/A</v>
      </c>
    </row>
    <row r="126" spans="1:29" x14ac:dyDescent="0.25">
      <c r="A126" s="17">
        <v>124</v>
      </c>
      <c r="B126" s="3" t="str">
        <f t="shared" si="13"/>
        <v/>
      </c>
      <c r="H126" s="49" t="str">
        <f t="shared" si="12"/>
        <v>s. D.</v>
      </c>
      <c r="I126" s="48" t="str">
        <f t="shared" si="14"/>
        <v/>
      </c>
      <c r="J126" s="49" t="str">
        <f>I126&amp;IF(NOT(ISBLANK(E126)),CHAR(10)&amp;VLOOKUP(E126,AttackRiskStep!$A$3:$C$99,3,FALSE),"see Description")&amp;IF(NOT(ISBLANK(F126))," -&gt; "&amp;CHAR(10)&amp;VLOOKUP(F126,AttackRiskStep!$A$3:$C$99,3,FALSE),"")&amp;IF(NOT(ISBLANK(G126))," -&gt; "&amp;CHAR(10)&amp;VLOOKUP(G126,AttackRiskStep!$A$3:$C$99,3,FALSE),"")</f>
        <v>see Description</v>
      </c>
      <c r="P126" s="38" t="e">
        <f>VLOOKUP($N126,Likelihood!$A$3:$B$7,2,FALSE)*VLOOKUP($O126,Impact!$A$4:$B$8,2,FALSE)</f>
        <v>#N/A</v>
      </c>
      <c r="Q126" s="39" t="e">
        <f>VLOOKUP(P126,RPN!$B$6:$C$22,2)</f>
        <v>#N/A</v>
      </c>
      <c r="Z126" s="9" t="e">
        <f ca="1">VLOOKUP($N126,Likelihood!$A$3:$C$7,2,FALSE)+RANDBETWEEN(-20,20)/100</f>
        <v>#N/A</v>
      </c>
      <c r="AA126" s="9" t="e">
        <f ca="1">IF($Q126=AA$2,VLOOKUP($O126,Impact!$A$4:$B$8,2,FALSE)+RANDBETWEEN(-20,20)/100,NA())</f>
        <v>#N/A</v>
      </c>
      <c r="AB126" s="9" t="e">
        <f ca="1">IF($Q126=AB$2,VLOOKUP($O126,Impact!$A$4:$B$8,2,FALSE)+RANDBETWEEN(-20,20)/100,NA())</f>
        <v>#N/A</v>
      </c>
      <c r="AC126" s="9" t="e">
        <f ca="1">IF($Q126=AC$2,VLOOKUP($O126,Impact!$A$4:$B$8,2,FALSE)+RANDBETWEEN(-20,20)/100,NA())</f>
        <v>#N/A</v>
      </c>
    </row>
    <row r="127" spans="1:29" x14ac:dyDescent="0.25">
      <c r="A127" s="17">
        <v>125</v>
      </c>
      <c r="B127" s="3" t="str">
        <f t="shared" si="13"/>
        <v/>
      </c>
      <c r="H127" s="49" t="str">
        <f t="shared" si="12"/>
        <v>s. D.</v>
      </c>
      <c r="I127" s="48" t="str">
        <f t="shared" si="14"/>
        <v/>
      </c>
      <c r="J127" s="49" t="str">
        <f>I127&amp;IF(NOT(ISBLANK(E127)),CHAR(10)&amp;VLOOKUP(E127,AttackRiskStep!$A$3:$C$99,3,FALSE),"see Description")&amp;IF(NOT(ISBLANK(F127))," -&gt; "&amp;CHAR(10)&amp;VLOOKUP(F127,AttackRiskStep!$A$3:$C$99,3,FALSE),"")&amp;IF(NOT(ISBLANK(G127))," -&gt; "&amp;CHAR(10)&amp;VLOOKUP(G127,AttackRiskStep!$A$3:$C$99,3,FALSE),"")</f>
        <v>see Description</v>
      </c>
      <c r="P127" s="38" t="e">
        <f>VLOOKUP($N127,Likelihood!$A$3:$B$7,2,FALSE)*VLOOKUP($O127,Impact!$A$4:$B$8,2,FALSE)</f>
        <v>#N/A</v>
      </c>
      <c r="Q127" s="39" t="e">
        <f>VLOOKUP(P127,RPN!$B$6:$C$22,2)</f>
        <v>#N/A</v>
      </c>
      <c r="Z127" s="9" t="e">
        <f ca="1">VLOOKUP($N127,Likelihood!$A$3:$C$7,2,FALSE)+RANDBETWEEN(-20,20)/100</f>
        <v>#N/A</v>
      </c>
      <c r="AA127" s="9" t="e">
        <f ca="1">IF($Q127=AA$2,VLOOKUP($O127,Impact!$A$4:$B$8,2,FALSE)+RANDBETWEEN(-20,20)/100,NA())</f>
        <v>#N/A</v>
      </c>
      <c r="AB127" s="9" t="e">
        <f ca="1">IF($Q127=AB$2,VLOOKUP($O127,Impact!$A$4:$B$8,2,FALSE)+RANDBETWEEN(-20,20)/100,NA())</f>
        <v>#N/A</v>
      </c>
      <c r="AC127" s="9" t="e">
        <f ca="1">IF($Q127=AC$2,VLOOKUP($O127,Impact!$A$4:$B$8,2,FALSE)+RANDBETWEEN(-20,20)/100,NA())</f>
        <v>#N/A</v>
      </c>
    </row>
    <row r="128" spans="1:29" x14ac:dyDescent="0.25">
      <c r="A128" s="17">
        <v>126</v>
      </c>
      <c r="B128" s="3" t="str">
        <f t="shared" si="13"/>
        <v/>
      </c>
      <c r="H128" s="49" t="str">
        <f t="shared" si="12"/>
        <v>s. D.</v>
      </c>
      <c r="I128" s="48" t="str">
        <f t="shared" si="14"/>
        <v/>
      </c>
      <c r="J128" s="49" t="str">
        <f>I128&amp;IF(NOT(ISBLANK(E128)),CHAR(10)&amp;VLOOKUP(E128,AttackRiskStep!$A$3:$C$99,3,FALSE),"see Description")&amp;IF(NOT(ISBLANK(F128))," -&gt; "&amp;CHAR(10)&amp;VLOOKUP(F128,AttackRiskStep!$A$3:$C$99,3,FALSE),"")&amp;IF(NOT(ISBLANK(G128))," -&gt; "&amp;CHAR(10)&amp;VLOOKUP(G128,AttackRiskStep!$A$3:$C$99,3,FALSE),"")</f>
        <v>see Description</v>
      </c>
      <c r="P128" s="38" t="e">
        <f>VLOOKUP($N128,Likelihood!$A$3:$B$7,2,FALSE)*VLOOKUP($O128,Impact!$A$4:$B$8,2,FALSE)</f>
        <v>#N/A</v>
      </c>
      <c r="Q128" s="39" t="e">
        <f>VLOOKUP(P128,RPN!$B$6:$C$22,2)</f>
        <v>#N/A</v>
      </c>
      <c r="Z128" s="9" t="e">
        <f ca="1">VLOOKUP($N128,Likelihood!$A$3:$C$7,2,FALSE)+RANDBETWEEN(-20,20)/100</f>
        <v>#N/A</v>
      </c>
      <c r="AA128" s="9" t="e">
        <f ca="1">IF($Q128=AA$2,VLOOKUP($O128,Impact!$A$4:$B$8,2,FALSE)+RANDBETWEEN(-20,20)/100,NA())</f>
        <v>#N/A</v>
      </c>
      <c r="AB128" s="9" t="e">
        <f ca="1">IF($Q128=AB$2,VLOOKUP($O128,Impact!$A$4:$B$8,2,FALSE)+RANDBETWEEN(-20,20)/100,NA())</f>
        <v>#N/A</v>
      </c>
      <c r="AC128" s="9" t="e">
        <f ca="1">IF($Q128=AC$2,VLOOKUP($O128,Impact!$A$4:$B$8,2,FALSE)+RANDBETWEEN(-20,20)/100,NA())</f>
        <v>#N/A</v>
      </c>
    </row>
    <row r="129" spans="1:29" x14ac:dyDescent="0.25">
      <c r="A129" s="17">
        <v>127</v>
      </c>
      <c r="B129" s="3" t="str">
        <f t="shared" si="13"/>
        <v/>
      </c>
      <c r="H129" s="49" t="str">
        <f t="shared" ref="H129:H192" si="15">IF(ISBLANK(E129),"s. D.",IF(ISBLANK(F129),E129,IF(ISBLANK(G129),F129,G129)))</f>
        <v>s. D.</v>
      </c>
      <c r="I129" s="48" t="str">
        <f t="shared" si="14"/>
        <v/>
      </c>
      <c r="J129" s="49" t="str">
        <f>I129&amp;IF(NOT(ISBLANK(E129)),CHAR(10)&amp;VLOOKUP(E129,AttackRiskStep!$A$3:$C$99,3,FALSE),"see Description")&amp;IF(NOT(ISBLANK(F129))," -&gt; "&amp;CHAR(10)&amp;VLOOKUP(F129,AttackRiskStep!$A$3:$C$99,3,FALSE),"")&amp;IF(NOT(ISBLANK(G129))," -&gt; "&amp;CHAR(10)&amp;VLOOKUP(G129,AttackRiskStep!$A$3:$C$99,3,FALSE),"")</f>
        <v>see Description</v>
      </c>
      <c r="P129" s="38" t="e">
        <f>VLOOKUP($N129,Likelihood!$A$3:$B$7,2,FALSE)*VLOOKUP($O129,Impact!$A$4:$B$8,2,FALSE)</f>
        <v>#N/A</v>
      </c>
      <c r="Q129" s="39" t="e">
        <f>VLOOKUP(P129,RPN!$B$6:$C$22,2)</f>
        <v>#N/A</v>
      </c>
      <c r="Z129" s="9" t="e">
        <f ca="1">VLOOKUP($N129,Likelihood!$A$3:$C$7,2,FALSE)+RANDBETWEEN(-20,20)/100</f>
        <v>#N/A</v>
      </c>
      <c r="AA129" s="9" t="e">
        <f ca="1">IF($Q129=AA$2,VLOOKUP($O129,Impact!$A$4:$B$8,2,FALSE)+RANDBETWEEN(-20,20)/100,NA())</f>
        <v>#N/A</v>
      </c>
      <c r="AB129" s="9" t="e">
        <f ca="1">IF($Q129=AB$2,VLOOKUP($O129,Impact!$A$4:$B$8,2,FALSE)+RANDBETWEEN(-20,20)/100,NA())</f>
        <v>#N/A</v>
      </c>
      <c r="AC129" s="9" t="e">
        <f ca="1">IF($Q129=AC$2,VLOOKUP($O129,Impact!$A$4:$B$8,2,FALSE)+RANDBETWEEN(-20,20)/100,NA())</f>
        <v>#N/A</v>
      </c>
    </row>
    <row r="130" spans="1:29" x14ac:dyDescent="0.25">
      <c r="A130" s="17">
        <v>128</v>
      </c>
      <c r="B130" s="3" t="str">
        <f t="shared" si="13"/>
        <v/>
      </c>
      <c r="H130" s="49" t="str">
        <f t="shared" si="15"/>
        <v>s. D.</v>
      </c>
      <c r="I130" s="48" t="str">
        <f t="shared" si="14"/>
        <v/>
      </c>
      <c r="J130" s="49" t="str">
        <f>I130&amp;IF(NOT(ISBLANK(E130)),CHAR(10)&amp;VLOOKUP(E130,AttackRiskStep!$A$3:$C$99,3,FALSE),"see Description")&amp;IF(NOT(ISBLANK(F130))," -&gt; "&amp;CHAR(10)&amp;VLOOKUP(F130,AttackRiskStep!$A$3:$C$99,3,FALSE),"")&amp;IF(NOT(ISBLANK(G130))," -&gt; "&amp;CHAR(10)&amp;VLOOKUP(G130,AttackRiskStep!$A$3:$C$99,3,FALSE),"")</f>
        <v>see Description</v>
      </c>
      <c r="P130" s="38" t="e">
        <f>VLOOKUP($N130,Likelihood!$A$3:$B$7,2,FALSE)*VLOOKUP($O130,Impact!$A$4:$B$8,2,FALSE)</f>
        <v>#N/A</v>
      </c>
      <c r="Q130" s="39" t="e">
        <f>VLOOKUP(P130,RPN!$B$6:$C$22,2)</f>
        <v>#N/A</v>
      </c>
      <c r="Z130" s="9" t="e">
        <f ca="1">VLOOKUP($N130,Likelihood!$A$3:$C$7,2,FALSE)+RANDBETWEEN(-20,20)/100</f>
        <v>#N/A</v>
      </c>
      <c r="AA130" s="9" t="e">
        <f ca="1">IF($Q130=AA$2,VLOOKUP($O130,Impact!$A$4:$B$8,2,FALSE)+RANDBETWEEN(-20,20)/100,NA())</f>
        <v>#N/A</v>
      </c>
      <c r="AB130" s="9" t="e">
        <f ca="1">IF($Q130=AB$2,VLOOKUP($O130,Impact!$A$4:$B$8,2,FALSE)+RANDBETWEEN(-20,20)/100,NA())</f>
        <v>#N/A</v>
      </c>
      <c r="AC130" s="9" t="e">
        <f ca="1">IF($Q130=AC$2,VLOOKUP($O130,Impact!$A$4:$B$8,2,FALSE)+RANDBETWEEN(-20,20)/100,NA())</f>
        <v>#N/A</v>
      </c>
    </row>
    <row r="131" spans="1:29" x14ac:dyDescent="0.25">
      <c r="A131" s="17">
        <v>129</v>
      </c>
      <c r="B131" s="3" t="str">
        <f t="shared" ref="B131:B194" si="16">I131</f>
        <v/>
      </c>
      <c r="H131" s="49" t="str">
        <f t="shared" si="15"/>
        <v>s. D.</v>
      </c>
      <c r="I131" s="48" t="str">
        <f t="shared" ref="I131:I194" si="17">IF(NOT(ISBLANK(E131)),E131,"")&amp;IF(NOT(ISBLANK(F131))," -&gt; "&amp;F131,"")&amp;IF(NOT(ISBLANK(G131))," -&gt; "&amp;G131,"")</f>
        <v/>
      </c>
      <c r="J131" s="49" t="str">
        <f>I131&amp;IF(NOT(ISBLANK(E131)),CHAR(10)&amp;VLOOKUP(E131,AttackRiskStep!$A$3:$C$99,3,FALSE),"see Description")&amp;IF(NOT(ISBLANK(F131))," -&gt; "&amp;CHAR(10)&amp;VLOOKUP(F131,AttackRiskStep!$A$3:$C$99,3,FALSE),"")&amp;IF(NOT(ISBLANK(G131))," -&gt; "&amp;CHAR(10)&amp;VLOOKUP(G131,AttackRiskStep!$A$3:$C$99,3,FALSE),"")</f>
        <v>see Description</v>
      </c>
      <c r="P131" s="38" t="e">
        <f>VLOOKUP($N131,Likelihood!$A$3:$B$7,2,FALSE)*VLOOKUP($O131,Impact!$A$4:$B$8,2,FALSE)</f>
        <v>#N/A</v>
      </c>
      <c r="Q131" s="39" t="e">
        <f>VLOOKUP(P131,RPN!$B$6:$C$22,2)</f>
        <v>#N/A</v>
      </c>
      <c r="Z131" s="9" t="e">
        <f ca="1">VLOOKUP($N131,Likelihood!$A$3:$C$7,2,FALSE)+RANDBETWEEN(-20,20)/100</f>
        <v>#N/A</v>
      </c>
      <c r="AA131" s="9" t="e">
        <f ca="1">IF($Q131=AA$2,VLOOKUP($O131,Impact!$A$4:$B$8,2,FALSE)+RANDBETWEEN(-20,20)/100,NA())</f>
        <v>#N/A</v>
      </c>
      <c r="AB131" s="9" t="e">
        <f ca="1">IF($Q131=AB$2,VLOOKUP($O131,Impact!$A$4:$B$8,2,FALSE)+RANDBETWEEN(-20,20)/100,NA())</f>
        <v>#N/A</v>
      </c>
      <c r="AC131" s="9" t="e">
        <f ca="1">IF($Q131=AC$2,VLOOKUP($O131,Impact!$A$4:$B$8,2,FALSE)+RANDBETWEEN(-20,20)/100,NA())</f>
        <v>#N/A</v>
      </c>
    </row>
    <row r="132" spans="1:29" x14ac:dyDescent="0.25">
      <c r="A132" s="17">
        <v>130</v>
      </c>
      <c r="B132" s="3" t="str">
        <f t="shared" si="16"/>
        <v/>
      </c>
      <c r="H132" s="49" t="str">
        <f t="shared" si="15"/>
        <v>s. D.</v>
      </c>
      <c r="I132" s="48" t="str">
        <f t="shared" si="17"/>
        <v/>
      </c>
      <c r="J132" s="49" t="str">
        <f>I132&amp;IF(NOT(ISBLANK(E132)),CHAR(10)&amp;VLOOKUP(E132,AttackRiskStep!$A$3:$C$99,3,FALSE),"see Description")&amp;IF(NOT(ISBLANK(F132))," -&gt; "&amp;CHAR(10)&amp;VLOOKUP(F132,AttackRiskStep!$A$3:$C$99,3,FALSE),"")&amp;IF(NOT(ISBLANK(G132))," -&gt; "&amp;CHAR(10)&amp;VLOOKUP(G132,AttackRiskStep!$A$3:$C$99,3,FALSE),"")</f>
        <v>see Description</v>
      </c>
      <c r="P132" s="38" t="e">
        <f>VLOOKUP($N132,Likelihood!$A$3:$B$7,2,FALSE)*VLOOKUP($O132,Impact!$A$4:$B$8,2,FALSE)</f>
        <v>#N/A</v>
      </c>
      <c r="Q132" s="39" t="e">
        <f>VLOOKUP(P132,RPN!$B$6:$C$22,2)</f>
        <v>#N/A</v>
      </c>
      <c r="Z132" s="9" t="e">
        <f ca="1">VLOOKUP($N132,Likelihood!$A$3:$C$7,2,FALSE)+RANDBETWEEN(-20,20)/100</f>
        <v>#N/A</v>
      </c>
      <c r="AA132" s="9" t="e">
        <f ca="1">IF($Q132=AA$2,VLOOKUP($O132,Impact!$A$4:$B$8,2,FALSE)+RANDBETWEEN(-20,20)/100,NA())</f>
        <v>#N/A</v>
      </c>
      <c r="AB132" s="9" t="e">
        <f ca="1">IF($Q132=AB$2,VLOOKUP($O132,Impact!$A$4:$B$8,2,FALSE)+RANDBETWEEN(-20,20)/100,NA())</f>
        <v>#N/A</v>
      </c>
      <c r="AC132" s="9" t="e">
        <f ca="1">IF($Q132=AC$2,VLOOKUP($O132,Impact!$A$4:$B$8,2,FALSE)+RANDBETWEEN(-20,20)/100,NA())</f>
        <v>#N/A</v>
      </c>
    </row>
    <row r="133" spans="1:29" x14ac:dyDescent="0.25">
      <c r="A133" s="17">
        <v>131</v>
      </c>
      <c r="B133" s="3" t="str">
        <f t="shared" si="16"/>
        <v/>
      </c>
      <c r="H133" s="49" t="str">
        <f t="shared" si="15"/>
        <v>s. D.</v>
      </c>
      <c r="I133" s="48" t="str">
        <f t="shared" si="17"/>
        <v/>
      </c>
      <c r="J133" s="49" t="str">
        <f>I133&amp;IF(NOT(ISBLANK(E133)),CHAR(10)&amp;VLOOKUP(E133,AttackRiskStep!$A$3:$C$99,3,FALSE),"see Description")&amp;IF(NOT(ISBLANK(F133))," -&gt; "&amp;CHAR(10)&amp;VLOOKUP(F133,AttackRiskStep!$A$3:$C$99,3,FALSE),"")&amp;IF(NOT(ISBLANK(G133))," -&gt; "&amp;CHAR(10)&amp;VLOOKUP(G133,AttackRiskStep!$A$3:$C$99,3,FALSE),"")</f>
        <v>see Description</v>
      </c>
      <c r="P133" s="38" t="e">
        <f>VLOOKUP($N133,Likelihood!$A$3:$B$7,2,FALSE)*VLOOKUP($O133,Impact!$A$4:$B$8,2,FALSE)</f>
        <v>#N/A</v>
      </c>
      <c r="Q133" s="39" t="e">
        <f>VLOOKUP(P133,RPN!$B$6:$C$22,2)</f>
        <v>#N/A</v>
      </c>
      <c r="Z133" s="9" t="e">
        <f ca="1">VLOOKUP($N133,Likelihood!$A$3:$C$7,2,FALSE)+RANDBETWEEN(-20,20)/100</f>
        <v>#N/A</v>
      </c>
      <c r="AA133" s="9" t="e">
        <f ca="1">IF($Q133=AA$2,VLOOKUP($O133,Impact!$A$4:$B$8,2,FALSE)+RANDBETWEEN(-20,20)/100,NA())</f>
        <v>#N/A</v>
      </c>
      <c r="AB133" s="9" t="e">
        <f ca="1">IF($Q133=AB$2,VLOOKUP($O133,Impact!$A$4:$B$8,2,FALSE)+RANDBETWEEN(-20,20)/100,NA())</f>
        <v>#N/A</v>
      </c>
      <c r="AC133" s="9" t="e">
        <f ca="1">IF($Q133=AC$2,VLOOKUP($O133,Impact!$A$4:$B$8,2,FALSE)+RANDBETWEEN(-20,20)/100,NA())</f>
        <v>#N/A</v>
      </c>
    </row>
    <row r="134" spans="1:29" x14ac:dyDescent="0.25">
      <c r="A134" s="17">
        <v>132</v>
      </c>
      <c r="B134" s="3" t="str">
        <f t="shared" si="16"/>
        <v/>
      </c>
      <c r="H134" s="49" t="str">
        <f t="shared" si="15"/>
        <v>s. D.</v>
      </c>
      <c r="I134" s="48" t="str">
        <f t="shared" si="17"/>
        <v/>
      </c>
      <c r="J134" s="49" t="str">
        <f>I134&amp;IF(NOT(ISBLANK(E134)),CHAR(10)&amp;VLOOKUP(E134,AttackRiskStep!$A$3:$C$99,3,FALSE),"see Description")&amp;IF(NOT(ISBLANK(F134))," -&gt; "&amp;CHAR(10)&amp;VLOOKUP(F134,AttackRiskStep!$A$3:$C$99,3,FALSE),"")&amp;IF(NOT(ISBLANK(G134))," -&gt; "&amp;CHAR(10)&amp;VLOOKUP(G134,AttackRiskStep!$A$3:$C$99,3,FALSE),"")</f>
        <v>see Description</v>
      </c>
      <c r="P134" s="38" t="e">
        <f>VLOOKUP($N134,Likelihood!$A$3:$B$7,2,FALSE)*VLOOKUP($O134,Impact!$A$4:$B$8,2,FALSE)</f>
        <v>#N/A</v>
      </c>
      <c r="Q134" s="39" t="e">
        <f>VLOOKUP(P134,RPN!$B$6:$C$22,2)</f>
        <v>#N/A</v>
      </c>
      <c r="Z134" s="9" t="e">
        <f ca="1">VLOOKUP($N134,Likelihood!$A$3:$C$7,2,FALSE)+RANDBETWEEN(-20,20)/100</f>
        <v>#N/A</v>
      </c>
      <c r="AA134" s="9" t="e">
        <f ca="1">IF($Q134=AA$2,VLOOKUP($O134,Impact!$A$4:$B$8,2,FALSE)+RANDBETWEEN(-20,20)/100,NA())</f>
        <v>#N/A</v>
      </c>
      <c r="AB134" s="9" t="e">
        <f ca="1">IF($Q134=AB$2,VLOOKUP($O134,Impact!$A$4:$B$8,2,FALSE)+RANDBETWEEN(-20,20)/100,NA())</f>
        <v>#N/A</v>
      </c>
      <c r="AC134" s="9" t="e">
        <f ca="1">IF($Q134=AC$2,VLOOKUP($O134,Impact!$A$4:$B$8,2,FALSE)+RANDBETWEEN(-20,20)/100,NA())</f>
        <v>#N/A</v>
      </c>
    </row>
    <row r="135" spans="1:29" x14ac:dyDescent="0.25">
      <c r="A135" s="17">
        <v>133</v>
      </c>
      <c r="B135" s="3" t="str">
        <f t="shared" si="16"/>
        <v/>
      </c>
      <c r="H135" s="49" t="str">
        <f t="shared" si="15"/>
        <v>s. D.</v>
      </c>
      <c r="I135" s="48" t="str">
        <f t="shared" si="17"/>
        <v/>
      </c>
      <c r="J135" s="49" t="str">
        <f>I135&amp;IF(NOT(ISBLANK(E135)),CHAR(10)&amp;VLOOKUP(E135,AttackRiskStep!$A$3:$C$99,3,FALSE),"see Description")&amp;IF(NOT(ISBLANK(F135))," -&gt; "&amp;CHAR(10)&amp;VLOOKUP(F135,AttackRiskStep!$A$3:$C$99,3,FALSE),"")&amp;IF(NOT(ISBLANK(G135))," -&gt; "&amp;CHAR(10)&amp;VLOOKUP(G135,AttackRiskStep!$A$3:$C$99,3,FALSE),"")</f>
        <v>see Description</v>
      </c>
      <c r="P135" s="38" t="e">
        <f>VLOOKUP($N135,Likelihood!$A$3:$B$7,2,FALSE)*VLOOKUP($O135,Impact!$A$4:$B$8,2,FALSE)</f>
        <v>#N/A</v>
      </c>
      <c r="Q135" s="39" t="e">
        <f>VLOOKUP(P135,RPN!$B$6:$C$22,2)</f>
        <v>#N/A</v>
      </c>
      <c r="Z135" s="9" t="e">
        <f ca="1">VLOOKUP($N135,Likelihood!$A$3:$C$7,2,FALSE)+RANDBETWEEN(-20,20)/100</f>
        <v>#N/A</v>
      </c>
      <c r="AA135" s="9" t="e">
        <f ca="1">IF($Q135=AA$2,VLOOKUP($O135,Impact!$A$4:$B$8,2,FALSE)+RANDBETWEEN(-20,20)/100,NA())</f>
        <v>#N/A</v>
      </c>
      <c r="AB135" s="9" t="e">
        <f ca="1">IF($Q135=AB$2,VLOOKUP($O135,Impact!$A$4:$B$8,2,FALSE)+RANDBETWEEN(-20,20)/100,NA())</f>
        <v>#N/A</v>
      </c>
      <c r="AC135" s="9" t="e">
        <f ca="1">IF($Q135=AC$2,VLOOKUP($O135,Impact!$A$4:$B$8,2,FALSE)+RANDBETWEEN(-20,20)/100,NA())</f>
        <v>#N/A</v>
      </c>
    </row>
    <row r="136" spans="1:29" x14ac:dyDescent="0.25">
      <c r="A136" s="17">
        <v>134</v>
      </c>
      <c r="B136" s="3" t="str">
        <f t="shared" si="16"/>
        <v/>
      </c>
      <c r="H136" s="49" t="str">
        <f t="shared" si="15"/>
        <v>s. D.</v>
      </c>
      <c r="I136" s="48" t="str">
        <f t="shared" si="17"/>
        <v/>
      </c>
      <c r="J136" s="49" t="str">
        <f>I136&amp;IF(NOT(ISBLANK(E136)),CHAR(10)&amp;VLOOKUP(E136,AttackRiskStep!$A$3:$C$99,3,FALSE),"see Description")&amp;IF(NOT(ISBLANK(F136))," -&gt; "&amp;CHAR(10)&amp;VLOOKUP(F136,AttackRiskStep!$A$3:$C$99,3,FALSE),"")&amp;IF(NOT(ISBLANK(G136))," -&gt; "&amp;CHAR(10)&amp;VLOOKUP(G136,AttackRiskStep!$A$3:$C$99,3,FALSE),"")</f>
        <v>see Description</v>
      </c>
      <c r="P136" s="38" t="e">
        <f>VLOOKUP($N136,Likelihood!$A$3:$B$7,2,FALSE)*VLOOKUP($O136,Impact!$A$4:$B$8,2,FALSE)</f>
        <v>#N/A</v>
      </c>
      <c r="Q136" s="39" t="e">
        <f>VLOOKUP(P136,RPN!$B$6:$C$22,2)</f>
        <v>#N/A</v>
      </c>
      <c r="Z136" s="9" t="e">
        <f ca="1">VLOOKUP($N136,Likelihood!$A$3:$C$7,2,FALSE)+RANDBETWEEN(-20,20)/100</f>
        <v>#N/A</v>
      </c>
      <c r="AA136" s="9" t="e">
        <f ca="1">IF($Q136=AA$2,VLOOKUP($O136,Impact!$A$4:$B$8,2,FALSE)+RANDBETWEEN(-20,20)/100,NA())</f>
        <v>#N/A</v>
      </c>
      <c r="AB136" s="9" t="e">
        <f ca="1">IF($Q136=AB$2,VLOOKUP($O136,Impact!$A$4:$B$8,2,FALSE)+RANDBETWEEN(-20,20)/100,NA())</f>
        <v>#N/A</v>
      </c>
      <c r="AC136" s="9" t="e">
        <f ca="1">IF($Q136=AC$2,VLOOKUP($O136,Impact!$A$4:$B$8,2,FALSE)+RANDBETWEEN(-20,20)/100,NA())</f>
        <v>#N/A</v>
      </c>
    </row>
    <row r="137" spans="1:29" x14ac:dyDescent="0.25">
      <c r="A137" s="17">
        <v>135</v>
      </c>
      <c r="B137" s="3" t="str">
        <f t="shared" si="16"/>
        <v/>
      </c>
      <c r="H137" s="49" t="str">
        <f t="shared" si="15"/>
        <v>s. D.</v>
      </c>
      <c r="I137" s="48" t="str">
        <f t="shared" si="17"/>
        <v/>
      </c>
      <c r="J137" s="49" t="str">
        <f>I137&amp;IF(NOT(ISBLANK(E137)),CHAR(10)&amp;VLOOKUP(E137,AttackRiskStep!$A$3:$C$99,3,FALSE),"see Description")&amp;IF(NOT(ISBLANK(F137))," -&gt; "&amp;CHAR(10)&amp;VLOOKUP(F137,AttackRiskStep!$A$3:$C$99,3,FALSE),"")&amp;IF(NOT(ISBLANK(G137))," -&gt; "&amp;CHAR(10)&amp;VLOOKUP(G137,AttackRiskStep!$A$3:$C$99,3,FALSE),"")</f>
        <v>see Description</v>
      </c>
      <c r="P137" s="38" t="e">
        <f>VLOOKUP($N137,Likelihood!$A$3:$B$7,2,FALSE)*VLOOKUP($O137,Impact!$A$4:$B$8,2,FALSE)</f>
        <v>#N/A</v>
      </c>
      <c r="Q137" s="39" t="e">
        <f>VLOOKUP(P137,RPN!$B$6:$C$22,2)</f>
        <v>#N/A</v>
      </c>
      <c r="Z137" s="9" t="e">
        <f ca="1">VLOOKUP($N137,Likelihood!$A$3:$C$7,2,FALSE)+RANDBETWEEN(-20,20)/100</f>
        <v>#N/A</v>
      </c>
      <c r="AA137" s="9" t="e">
        <f ca="1">IF($Q137=AA$2,VLOOKUP($O137,Impact!$A$4:$B$8,2,FALSE)+RANDBETWEEN(-20,20)/100,NA())</f>
        <v>#N/A</v>
      </c>
      <c r="AB137" s="9" t="e">
        <f ca="1">IF($Q137=AB$2,VLOOKUP($O137,Impact!$A$4:$B$8,2,FALSE)+RANDBETWEEN(-20,20)/100,NA())</f>
        <v>#N/A</v>
      </c>
      <c r="AC137" s="9" t="e">
        <f ca="1">IF($Q137=AC$2,VLOOKUP($O137,Impact!$A$4:$B$8,2,FALSE)+RANDBETWEEN(-20,20)/100,NA())</f>
        <v>#N/A</v>
      </c>
    </row>
    <row r="138" spans="1:29" x14ac:dyDescent="0.25">
      <c r="A138" s="17">
        <v>136</v>
      </c>
      <c r="B138" s="3" t="str">
        <f t="shared" si="16"/>
        <v/>
      </c>
      <c r="H138" s="49" t="str">
        <f t="shared" si="15"/>
        <v>s. D.</v>
      </c>
      <c r="I138" s="48" t="str">
        <f t="shared" si="17"/>
        <v/>
      </c>
      <c r="J138" s="49" t="str">
        <f>I138&amp;IF(NOT(ISBLANK(E138)),CHAR(10)&amp;VLOOKUP(E138,AttackRiskStep!$A$3:$C$99,3,FALSE),"see Description")&amp;IF(NOT(ISBLANK(F138))," -&gt; "&amp;CHAR(10)&amp;VLOOKUP(F138,AttackRiskStep!$A$3:$C$99,3,FALSE),"")&amp;IF(NOT(ISBLANK(G138))," -&gt; "&amp;CHAR(10)&amp;VLOOKUP(G138,AttackRiskStep!$A$3:$C$99,3,FALSE),"")</f>
        <v>see Description</v>
      </c>
      <c r="P138" s="38" t="e">
        <f>VLOOKUP($N138,Likelihood!$A$3:$B$7,2,FALSE)*VLOOKUP($O138,Impact!$A$4:$B$8,2,FALSE)</f>
        <v>#N/A</v>
      </c>
      <c r="Q138" s="39" t="e">
        <f>VLOOKUP(P138,RPN!$B$6:$C$22,2)</f>
        <v>#N/A</v>
      </c>
      <c r="Z138" s="9" t="e">
        <f ca="1">VLOOKUP($N138,Likelihood!$A$3:$C$7,2,FALSE)+RANDBETWEEN(-20,20)/100</f>
        <v>#N/A</v>
      </c>
      <c r="AA138" s="9" t="e">
        <f ca="1">IF($Q138=AA$2,VLOOKUP($O138,Impact!$A$4:$B$8,2,FALSE)+RANDBETWEEN(-20,20)/100,NA())</f>
        <v>#N/A</v>
      </c>
      <c r="AB138" s="9" t="e">
        <f ca="1">IF($Q138=AB$2,VLOOKUP($O138,Impact!$A$4:$B$8,2,FALSE)+RANDBETWEEN(-20,20)/100,NA())</f>
        <v>#N/A</v>
      </c>
      <c r="AC138" s="9" t="e">
        <f ca="1">IF($Q138=AC$2,VLOOKUP($O138,Impact!$A$4:$B$8,2,FALSE)+RANDBETWEEN(-20,20)/100,NA())</f>
        <v>#N/A</v>
      </c>
    </row>
    <row r="139" spans="1:29" x14ac:dyDescent="0.25">
      <c r="A139" s="17">
        <v>137</v>
      </c>
      <c r="B139" s="3" t="str">
        <f t="shared" si="16"/>
        <v/>
      </c>
      <c r="H139" s="49" t="str">
        <f t="shared" si="15"/>
        <v>s. D.</v>
      </c>
      <c r="I139" s="48" t="str">
        <f t="shared" si="17"/>
        <v/>
      </c>
      <c r="J139" s="49" t="str">
        <f>I139&amp;IF(NOT(ISBLANK(E139)),CHAR(10)&amp;VLOOKUP(E139,AttackRiskStep!$A$3:$C$99,3,FALSE),"see Description")&amp;IF(NOT(ISBLANK(F139))," -&gt; "&amp;CHAR(10)&amp;VLOOKUP(F139,AttackRiskStep!$A$3:$C$99,3,FALSE),"")&amp;IF(NOT(ISBLANK(G139))," -&gt; "&amp;CHAR(10)&amp;VLOOKUP(G139,AttackRiskStep!$A$3:$C$99,3,FALSE),"")</f>
        <v>see Description</v>
      </c>
      <c r="P139" s="38" t="e">
        <f>VLOOKUP($N139,Likelihood!$A$3:$B$7,2,FALSE)*VLOOKUP($O139,Impact!$A$4:$B$8,2,FALSE)</f>
        <v>#N/A</v>
      </c>
      <c r="Q139" s="39" t="e">
        <f>VLOOKUP(P139,RPN!$B$6:$C$22,2)</f>
        <v>#N/A</v>
      </c>
      <c r="Z139" s="9" t="e">
        <f ca="1">VLOOKUP($N139,Likelihood!$A$3:$C$7,2,FALSE)+RANDBETWEEN(-20,20)/100</f>
        <v>#N/A</v>
      </c>
      <c r="AA139" s="9" t="e">
        <f ca="1">IF($Q139=AA$2,VLOOKUP($O139,Impact!$A$4:$B$8,2,FALSE)+RANDBETWEEN(-20,20)/100,NA())</f>
        <v>#N/A</v>
      </c>
      <c r="AB139" s="9" t="e">
        <f ca="1">IF($Q139=AB$2,VLOOKUP($O139,Impact!$A$4:$B$8,2,FALSE)+RANDBETWEEN(-20,20)/100,NA())</f>
        <v>#N/A</v>
      </c>
      <c r="AC139" s="9" t="e">
        <f ca="1">IF($Q139=AC$2,VLOOKUP($O139,Impact!$A$4:$B$8,2,FALSE)+RANDBETWEEN(-20,20)/100,NA())</f>
        <v>#N/A</v>
      </c>
    </row>
    <row r="140" spans="1:29" x14ac:dyDescent="0.25">
      <c r="A140" s="17">
        <v>138</v>
      </c>
      <c r="B140" s="3" t="str">
        <f t="shared" si="16"/>
        <v/>
      </c>
      <c r="H140" s="49" t="str">
        <f t="shared" si="15"/>
        <v>s. D.</v>
      </c>
      <c r="I140" s="48" t="str">
        <f t="shared" si="17"/>
        <v/>
      </c>
      <c r="J140" s="49" t="str">
        <f>I140&amp;IF(NOT(ISBLANK(E140)),CHAR(10)&amp;VLOOKUP(E140,AttackRiskStep!$A$3:$C$99,3,FALSE),"see Description")&amp;IF(NOT(ISBLANK(F140))," -&gt; "&amp;CHAR(10)&amp;VLOOKUP(F140,AttackRiskStep!$A$3:$C$99,3,FALSE),"")&amp;IF(NOT(ISBLANK(G140))," -&gt; "&amp;CHAR(10)&amp;VLOOKUP(G140,AttackRiskStep!$A$3:$C$99,3,FALSE),"")</f>
        <v>see Description</v>
      </c>
      <c r="P140" s="38" t="e">
        <f>VLOOKUP($N140,Likelihood!$A$3:$B$7,2,FALSE)*VLOOKUP($O140,Impact!$A$4:$B$8,2,FALSE)</f>
        <v>#N/A</v>
      </c>
      <c r="Q140" s="39" t="e">
        <f>VLOOKUP(P140,RPN!$B$6:$C$22,2)</f>
        <v>#N/A</v>
      </c>
      <c r="Z140" s="9" t="e">
        <f ca="1">VLOOKUP($N140,Likelihood!$A$3:$C$7,2,FALSE)+RANDBETWEEN(-20,20)/100</f>
        <v>#N/A</v>
      </c>
      <c r="AA140" s="9" t="e">
        <f ca="1">IF($Q140=AA$2,VLOOKUP($O140,Impact!$A$4:$B$8,2,FALSE)+RANDBETWEEN(-20,20)/100,NA())</f>
        <v>#N/A</v>
      </c>
      <c r="AB140" s="9" t="e">
        <f ca="1">IF($Q140=AB$2,VLOOKUP($O140,Impact!$A$4:$B$8,2,FALSE)+RANDBETWEEN(-20,20)/100,NA())</f>
        <v>#N/A</v>
      </c>
      <c r="AC140" s="9" t="e">
        <f ca="1">IF($Q140=AC$2,VLOOKUP($O140,Impact!$A$4:$B$8,2,FALSE)+RANDBETWEEN(-20,20)/100,NA())</f>
        <v>#N/A</v>
      </c>
    </row>
    <row r="141" spans="1:29" x14ac:dyDescent="0.25">
      <c r="A141" s="17">
        <v>139</v>
      </c>
      <c r="B141" s="3" t="str">
        <f t="shared" si="16"/>
        <v/>
      </c>
      <c r="H141" s="49" t="str">
        <f t="shared" si="15"/>
        <v>s. D.</v>
      </c>
      <c r="I141" s="48" t="str">
        <f t="shared" si="17"/>
        <v/>
      </c>
      <c r="J141" s="49" t="str">
        <f>I141&amp;IF(NOT(ISBLANK(E141)),CHAR(10)&amp;VLOOKUP(E141,AttackRiskStep!$A$3:$C$99,3,FALSE),"see Description")&amp;IF(NOT(ISBLANK(F141))," -&gt; "&amp;CHAR(10)&amp;VLOOKUP(F141,AttackRiskStep!$A$3:$C$99,3,FALSE),"")&amp;IF(NOT(ISBLANK(G141))," -&gt; "&amp;CHAR(10)&amp;VLOOKUP(G141,AttackRiskStep!$A$3:$C$99,3,FALSE),"")</f>
        <v>see Description</v>
      </c>
      <c r="P141" s="38" t="e">
        <f>VLOOKUP($N141,Likelihood!$A$3:$B$7,2,FALSE)*VLOOKUP($O141,Impact!$A$4:$B$8,2,FALSE)</f>
        <v>#N/A</v>
      </c>
      <c r="Q141" s="39" t="e">
        <f>VLOOKUP(P141,RPN!$B$6:$C$22,2)</f>
        <v>#N/A</v>
      </c>
      <c r="Z141" s="9" t="e">
        <f ca="1">VLOOKUP($N141,Likelihood!$A$3:$C$7,2,FALSE)+RANDBETWEEN(-20,20)/100</f>
        <v>#N/A</v>
      </c>
      <c r="AA141" s="9" t="e">
        <f ca="1">IF($Q141=AA$2,VLOOKUP($O141,Impact!$A$4:$B$8,2,FALSE)+RANDBETWEEN(-20,20)/100,NA())</f>
        <v>#N/A</v>
      </c>
      <c r="AB141" s="9" t="e">
        <f ca="1">IF($Q141=AB$2,VLOOKUP($O141,Impact!$A$4:$B$8,2,FALSE)+RANDBETWEEN(-20,20)/100,NA())</f>
        <v>#N/A</v>
      </c>
      <c r="AC141" s="9" t="e">
        <f ca="1">IF($Q141=AC$2,VLOOKUP($O141,Impact!$A$4:$B$8,2,FALSE)+RANDBETWEEN(-20,20)/100,NA())</f>
        <v>#N/A</v>
      </c>
    </row>
    <row r="142" spans="1:29" x14ac:dyDescent="0.25">
      <c r="A142" s="17">
        <v>140</v>
      </c>
      <c r="B142" s="3" t="str">
        <f t="shared" si="16"/>
        <v/>
      </c>
      <c r="H142" s="49" t="str">
        <f t="shared" si="15"/>
        <v>s. D.</v>
      </c>
      <c r="I142" s="48" t="str">
        <f t="shared" si="17"/>
        <v/>
      </c>
      <c r="J142" s="49" t="str">
        <f>I142&amp;IF(NOT(ISBLANK(E142)),CHAR(10)&amp;VLOOKUP(E142,AttackRiskStep!$A$3:$C$99,3,FALSE),"see Description")&amp;IF(NOT(ISBLANK(F142))," -&gt; "&amp;CHAR(10)&amp;VLOOKUP(F142,AttackRiskStep!$A$3:$C$99,3,FALSE),"")&amp;IF(NOT(ISBLANK(G142))," -&gt; "&amp;CHAR(10)&amp;VLOOKUP(G142,AttackRiskStep!$A$3:$C$99,3,FALSE),"")</f>
        <v>see Description</v>
      </c>
      <c r="P142" s="38" t="e">
        <f>VLOOKUP($N142,Likelihood!$A$3:$B$7,2,FALSE)*VLOOKUP($O142,Impact!$A$4:$B$8,2,FALSE)</f>
        <v>#N/A</v>
      </c>
      <c r="Q142" s="39" t="e">
        <f>VLOOKUP(P142,RPN!$B$6:$C$22,2)</f>
        <v>#N/A</v>
      </c>
      <c r="Z142" s="9" t="e">
        <f ca="1">VLOOKUP($N142,Likelihood!$A$3:$C$7,2,FALSE)+RANDBETWEEN(-20,20)/100</f>
        <v>#N/A</v>
      </c>
      <c r="AA142" s="9" t="e">
        <f ca="1">IF($Q142=AA$2,VLOOKUP($O142,Impact!$A$4:$B$8,2,FALSE)+RANDBETWEEN(-20,20)/100,NA())</f>
        <v>#N/A</v>
      </c>
      <c r="AB142" s="9" t="e">
        <f ca="1">IF($Q142=AB$2,VLOOKUP($O142,Impact!$A$4:$B$8,2,FALSE)+RANDBETWEEN(-20,20)/100,NA())</f>
        <v>#N/A</v>
      </c>
      <c r="AC142" s="9" t="e">
        <f ca="1">IF($Q142=AC$2,VLOOKUP($O142,Impact!$A$4:$B$8,2,FALSE)+RANDBETWEEN(-20,20)/100,NA())</f>
        <v>#N/A</v>
      </c>
    </row>
    <row r="143" spans="1:29" x14ac:dyDescent="0.25">
      <c r="A143" s="17">
        <v>141</v>
      </c>
      <c r="B143" s="3" t="str">
        <f t="shared" si="16"/>
        <v/>
      </c>
      <c r="H143" s="49" t="str">
        <f t="shared" si="15"/>
        <v>s. D.</v>
      </c>
      <c r="I143" s="48" t="str">
        <f t="shared" si="17"/>
        <v/>
      </c>
      <c r="J143" s="49" t="str">
        <f>I143&amp;IF(NOT(ISBLANK(E143)),CHAR(10)&amp;VLOOKUP(E143,AttackRiskStep!$A$3:$C$99,3,FALSE),"see Description")&amp;IF(NOT(ISBLANK(F143))," -&gt; "&amp;CHAR(10)&amp;VLOOKUP(F143,AttackRiskStep!$A$3:$C$99,3,FALSE),"")&amp;IF(NOT(ISBLANK(G143))," -&gt; "&amp;CHAR(10)&amp;VLOOKUP(G143,AttackRiskStep!$A$3:$C$99,3,FALSE),"")</f>
        <v>see Description</v>
      </c>
      <c r="P143" s="38" t="e">
        <f>VLOOKUP($N143,Likelihood!$A$3:$B$7,2,FALSE)*VLOOKUP($O143,Impact!$A$4:$B$8,2,FALSE)</f>
        <v>#N/A</v>
      </c>
      <c r="Q143" s="39" t="e">
        <f>VLOOKUP(P143,RPN!$B$6:$C$22,2)</f>
        <v>#N/A</v>
      </c>
      <c r="Z143" s="9" t="e">
        <f ca="1">VLOOKUP($N143,Likelihood!$A$3:$C$7,2,FALSE)+RANDBETWEEN(-20,20)/100</f>
        <v>#N/A</v>
      </c>
      <c r="AA143" s="9" t="e">
        <f ca="1">IF($Q143=AA$2,VLOOKUP($O143,Impact!$A$4:$B$8,2,FALSE)+RANDBETWEEN(-20,20)/100,NA())</f>
        <v>#N/A</v>
      </c>
      <c r="AB143" s="9" t="e">
        <f ca="1">IF($Q143=AB$2,VLOOKUP($O143,Impact!$A$4:$B$8,2,FALSE)+RANDBETWEEN(-20,20)/100,NA())</f>
        <v>#N/A</v>
      </c>
      <c r="AC143" s="9" t="e">
        <f ca="1">IF($Q143=AC$2,VLOOKUP($O143,Impact!$A$4:$B$8,2,FALSE)+RANDBETWEEN(-20,20)/100,NA())</f>
        <v>#N/A</v>
      </c>
    </row>
    <row r="144" spans="1:29" x14ac:dyDescent="0.25">
      <c r="A144" s="17">
        <v>142</v>
      </c>
      <c r="B144" s="3" t="str">
        <f t="shared" si="16"/>
        <v/>
      </c>
      <c r="H144" s="49" t="str">
        <f t="shared" si="15"/>
        <v>s. D.</v>
      </c>
      <c r="I144" s="48" t="str">
        <f t="shared" si="17"/>
        <v/>
      </c>
      <c r="J144" s="49" t="str">
        <f>I144&amp;IF(NOT(ISBLANK(E144)),CHAR(10)&amp;VLOOKUP(E144,AttackRiskStep!$A$3:$C$99,3,FALSE),"see Description")&amp;IF(NOT(ISBLANK(F144))," -&gt; "&amp;CHAR(10)&amp;VLOOKUP(F144,AttackRiskStep!$A$3:$C$99,3,FALSE),"")&amp;IF(NOT(ISBLANK(G144))," -&gt; "&amp;CHAR(10)&amp;VLOOKUP(G144,AttackRiskStep!$A$3:$C$99,3,FALSE),"")</f>
        <v>see Description</v>
      </c>
      <c r="P144" s="38" t="e">
        <f>VLOOKUP($N144,Likelihood!$A$3:$B$7,2,FALSE)*VLOOKUP($O144,Impact!$A$4:$B$8,2,FALSE)</f>
        <v>#N/A</v>
      </c>
      <c r="Q144" s="39" t="e">
        <f>VLOOKUP(P144,RPN!$B$6:$C$22,2)</f>
        <v>#N/A</v>
      </c>
      <c r="Z144" s="9" t="e">
        <f ca="1">VLOOKUP($N144,Likelihood!$A$3:$C$7,2,FALSE)+RANDBETWEEN(-20,20)/100</f>
        <v>#N/A</v>
      </c>
      <c r="AA144" s="9" t="e">
        <f ca="1">IF($Q144=AA$2,VLOOKUP($O144,Impact!$A$4:$B$8,2,FALSE)+RANDBETWEEN(-20,20)/100,NA())</f>
        <v>#N/A</v>
      </c>
      <c r="AB144" s="9" t="e">
        <f ca="1">IF($Q144=AB$2,VLOOKUP($O144,Impact!$A$4:$B$8,2,FALSE)+RANDBETWEEN(-20,20)/100,NA())</f>
        <v>#N/A</v>
      </c>
      <c r="AC144" s="9" t="e">
        <f ca="1">IF($Q144=AC$2,VLOOKUP($O144,Impact!$A$4:$B$8,2,FALSE)+RANDBETWEEN(-20,20)/100,NA())</f>
        <v>#N/A</v>
      </c>
    </row>
    <row r="145" spans="1:29" x14ac:dyDescent="0.25">
      <c r="A145" s="17">
        <v>143</v>
      </c>
      <c r="B145" s="3" t="str">
        <f t="shared" si="16"/>
        <v/>
      </c>
      <c r="H145" s="49" t="str">
        <f t="shared" si="15"/>
        <v>s. D.</v>
      </c>
      <c r="I145" s="48" t="str">
        <f t="shared" si="17"/>
        <v/>
      </c>
      <c r="J145" s="49" t="str">
        <f>I145&amp;IF(NOT(ISBLANK(E145)),CHAR(10)&amp;VLOOKUP(E145,AttackRiskStep!$A$3:$C$99,3,FALSE),"see Description")&amp;IF(NOT(ISBLANK(F145))," -&gt; "&amp;CHAR(10)&amp;VLOOKUP(F145,AttackRiskStep!$A$3:$C$99,3,FALSE),"")&amp;IF(NOT(ISBLANK(G145))," -&gt; "&amp;CHAR(10)&amp;VLOOKUP(G145,AttackRiskStep!$A$3:$C$99,3,FALSE),"")</f>
        <v>see Description</v>
      </c>
      <c r="P145" s="38" t="e">
        <f>VLOOKUP($N145,Likelihood!$A$3:$B$7,2,FALSE)*VLOOKUP($O145,Impact!$A$4:$B$8,2,FALSE)</f>
        <v>#N/A</v>
      </c>
      <c r="Q145" s="39" t="e">
        <f>VLOOKUP(P145,RPN!$B$6:$C$22,2)</f>
        <v>#N/A</v>
      </c>
      <c r="Z145" s="9" t="e">
        <f ca="1">VLOOKUP($N145,Likelihood!$A$3:$C$7,2,FALSE)+RANDBETWEEN(-20,20)/100</f>
        <v>#N/A</v>
      </c>
      <c r="AA145" s="9" t="e">
        <f ca="1">IF($Q145=AA$2,VLOOKUP($O145,Impact!$A$4:$B$8,2,FALSE)+RANDBETWEEN(-20,20)/100,NA())</f>
        <v>#N/A</v>
      </c>
      <c r="AB145" s="9" t="e">
        <f ca="1">IF($Q145=AB$2,VLOOKUP($O145,Impact!$A$4:$B$8,2,FALSE)+RANDBETWEEN(-20,20)/100,NA())</f>
        <v>#N/A</v>
      </c>
      <c r="AC145" s="9" t="e">
        <f ca="1">IF($Q145=AC$2,VLOOKUP($O145,Impact!$A$4:$B$8,2,FALSE)+RANDBETWEEN(-20,20)/100,NA())</f>
        <v>#N/A</v>
      </c>
    </row>
    <row r="146" spans="1:29" x14ac:dyDescent="0.25">
      <c r="A146" s="17">
        <v>144</v>
      </c>
      <c r="B146" s="3" t="str">
        <f t="shared" si="16"/>
        <v/>
      </c>
      <c r="H146" s="49" t="str">
        <f t="shared" si="15"/>
        <v>s. D.</v>
      </c>
      <c r="I146" s="48" t="str">
        <f t="shared" si="17"/>
        <v/>
      </c>
      <c r="J146" s="49" t="str">
        <f>I146&amp;IF(NOT(ISBLANK(E146)),CHAR(10)&amp;VLOOKUP(E146,AttackRiskStep!$A$3:$C$99,3,FALSE),"see Description")&amp;IF(NOT(ISBLANK(F146))," -&gt; "&amp;CHAR(10)&amp;VLOOKUP(F146,AttackRiskStep!$A$3:$C$99,3,FALSE),"")&amp;IF(NOT(ISBLANK(G146))," -&gt; "&amp;CHAR(10)&amp;VLOOKUP(G146,AttackRiskStep!$A$3:$C$99,3,FALSE),"")</f>
        <v>see Description</v>
      </c>
      <c r="P146" s="38" t="e">
        <f>VLOOKUP($N146,Likelihood!$A$3:$B$7,2,FALSE)*VLOOKUP($O146,Impact!$A$4:$B$8,2,FALSE)</f>
        <v>#N/A</v>
      </c>
      <c r="Q146" s="39" t="e">
        <f>VLOOKUP(P146,RPN!$B$6:$C$22,2)</f>
        <v>#N/A</v>
      </c>
      <c r="Z146" s="9" t="e">
        <f ca="1">VLOOKUP($N146,Likelihood!$A$3:$C$7,2,FALSE)+RANDBETWEEN(-20,20)/100</f>
        <v>#N/A</v>
      </c>
      <c r="AA146" s="9" t="e">
        <f ca="1">IF($Q146=AA$2,VLOOKUP($O146,Impact!$A$4:$B$8,2,FALSE)+RANDBETWEEN(-20,20)/100,NA())</f>
        <v>#N/A</v>
      </c>
      <c r="AB146" s="9" t="e">
        <f ca="1">IF($Q146=AB$2,VLOOKUP($O146,Impact!$A$4:$B$8,2,FALSE)+RANDBETWEEN(-20,20)/100,NA())</f>
        <v>#N/A</v>
      </c>
      <c r="AC146" s="9" t="e">
        <f ca="1">IF($Q146=AC$2,VLOOKUP($O146,Impact!$A$4:$B$8,2,FALSE)+RANDBETWEEN(-20,20)/100,NA())</f>
        <v>#N/A</v>
      </c>
    </row>
    <row r="147" spans="1:29" x14ac:dyDescent="0.25">
      <c r="A147" s="17">
        <v>145</v>
      </c>
      <c r="B147" s="3" t="str">
        <f t="shared" si="16"/>
        <v/>
      </c>
      <c r="H147" s="49" t="str">
        <f t="shared" si="15"/>
        <v>s. D.</v>
      </c>
      <c r="I147" s="48" t="str">
        <f t="shared" si="17"/>
        <v/>
      </c>
      <c r="J147" s="49" t="str">
        <f>I147&amp;IF(NOT(ISBLANK(E147)),CHAR(10)&amp;VLOOKUP(E147,AttackRiskStep!$A$3:$C$99,3,FALSE),"see Description")&amp;IF(NOT(ISBLANK(F147))," -&gt; "&amp;CHAR(10)&amp;VLOOKUP(F147,AttackRiskStep!$A$3:$C$99,3,FALSE),"")&amp;IF(NOT(ISBLANK(G147))," -&gt; "&amp;CHAR(10)&amp;VLOOKUP(G147,AttackRiskStep!$A$3:$C$99,3,FALSE),"")</f>
        <v>see Description</v>
      </c>
      <c r="P147" s="38" t="e">
        <f>VLOOKUP($N147,Likelihood!$A$3:$B$7,2,FALSE)*VLOOKUP($O147,Impact!$A$4:$B$8,2,FALSE)</f>
        <v>#N/A</v>
      </c>
      <c r="Q147" s="39" t="e">
        <f>VLOOKUP(P147,RPN!$B$6:$C$22,2)</f>
        <v>#N/A</v>
      </c>
      <c r="Z147" s="9" t="e">
        <f ca="1">VLOOKUP($N147,Likelihood!$A$3:$C$7,2,FALSE)+RANDBETWEEN(-20,20)/100</f>
        <v>#N/A</v>
      </c>
      <c r="AA147" s="9" t="e">
        <f ca="1">IF($Q147=AA$2,VLOOKUP($O147,Impact!$A$4:$B$8,2,FALSE)+RANDBETWEEN(-20,20)/100,NA())</f>
        <v>#N/A</v>
      </c>
      <c r="AB147" s="9" t="e">
        <f ca="1">IF($Q147=AB$2,VLOOKUP($O147,Impact!$A$4:$B$8,2,FALSE)+RANDBETWEEN(-20,20)/100,NA())</f>
        <v>#N/A</v>
      </c>
      <c r="AC147" s="9" t="e">
        <f ca="1">IF($Q147=AC$2,VLOOKUP($O147,Impact!$A$4:$B$8,2,FALSE)+RANDBETWEEN(-20,20)/100,NA())</f>
        <v>#N/A</v>
      </c>
    </row>
    <row r="148" spans="1:29" x14ac:dyDescent="0.25">
      <c r="A148" s="17">
        <v>146</v>
      </c>
      <c r="B148" s="3" t="str">
        <f t="shared" si="16"/>
        <v/>
      </c>
      <c r="H148" s="49" t="str">
        <f t="shared" si="15"/>
        <v>s. D.</v>
      </c>
      <c r="I148" s="48" t="str">
        <f t="shared" si="17"/>
        <v/>
      </c>
      <c r="J148" s="49" t="str">
        <f>I148&amp;IF(NOT(ISBLANK(E148)),CHAR(10)&amp;VLOOKUP(E148,AttackRiskStep!$A$3:$C$99,3,FALSE),"see Description")&amp;IF(NOT(ISBLANK(F148))," -&gt; "&amp;CHAR(10)&amp;VLOOKUP(F148,AttackRiskStep!$A$3:$C$99,3,FALSE),"")&amp;IF(NOT(ISBLANK(G148))," -&gt; "&amp;CHAR(10)&amp;VLOOKUP(G148,AttackRiskStep!$A$3:$C$99,3,FALSE),"")</f>
        <v>see Description</v>
      </c>
      <c r="P148" s="38" t="e">
        <f>VLOOKUP($N148,Likelihood!$A$3:$B$7,2,FALSE)*VLOOKUP($O148,Impact!$A$4:$B$8,2,FALSE)</f>
        <v>#N/A</v>
      </c>
      <c r="Q148" s="39" t="e">
        <f>VLOOKUP(P148,RPN!$B$6:$C$22,2)</f>
        <v>#N/A</v>
      </c>
      <c r="Z148" s="9" t="e">
        <f ca="1">VLOOKUP($N148,Likelihood!$A$3:$C$7,2,FALSE)+RANDBETWEEN(-20,20)/100</f>
        <v>#N/A</v>
      </c>
      <c r="AA148" s="9" t="e">
        <f ca="1">IF($Q148=AA$2,VLOOKUP($O148,Impact!$A$4:$B$8,2,FALSE)+RANDBETWEEN(-20,20)/100,NA())</f>
        <v>#N/A</v>
      </c>
      <c r="AB148" s="9" t="e">
        <f ca="1">IF($Q148=AB$2,VLOOKUP($O148,Impact!$A$4:$B$8,2,FALSE)+RANDBETWEEN(-20,20)/100,NA())</f>
        <v>#N/A</v>
      </c>
      <c r="AC148" s="9" t="e">
        <f ca="1">IF($Q148=AC$2,VLOOKUP($O148,Impact!$A$4:$B$8,2,FALSE)+RANDBETWEEN(-20,20)/100,NA())</f>
        <v>#N/A</v>
      </c>
    </row>
    <row r="149" spans="1:29" x14ac:dyDescent="0.25">
      <c r="A149" s="17">
        <v>147</v>
      </c>
      <c r="B149" s="3" t="str">
        <f t="shared" si="16"/>
        <v/>
      </c>
      <c r="H149" s="49" t="str">
        <f t="shared" si="15"/>
        <v>s. D.</v>
      </c>
      <c r="I149" s="48" t="str">
        <f t="shared" si="17"/>
        <v/>
      </c>
      <c r="J149" s="49" t="str">
        <f>I149&amp;IF(NOT(ISBLANK(E149)),CHAR(10)&amp;VLOOKUP(E149,AttackRiskStep!$A$3:$C$99,3,FALSE),"see Description")&amp;IF(NOT(ISBLANK(F149))," -&gt; "&amp;CHAR(10)&amp;VLOOKUP(F149,AttackRiskStep!$A$3:$C$99,3,FALSE),"")&amp;IF(NOT(ISBLANK(G149))," -&gt; "&amp;CHAR(10)&amp;VLOOKUP(G149,AttackRiskStep!$A$3:$C$99,3,FALSE),"")</f>
        <v>see Description</v>
      </c>
      <c r="P149" s="38" t="e">
        <f>VLOOKUP($N149,Likelihood!$A$3:$B$7,2,FALSE)*VLOOKUP($O149,Impact!$A$4:$B$8,2,FALSE)</f>
        <v>#N/A</v>
      </c>
      <c r="Q149" s="39" t="e">
        <f>VLOOKUP(P149,RPN!$B$6:$C$22,2)</f>
        <v>#N/A</v>
      </c>
      <c r="Z149" s="9" t="e">
        <f ca="1">VLOOKUP($N149,Likelihood!$A$3:$C$7,2,FALSE)+RANDBETWEEN(-20,20)/100</f>
        <v>#N/A</v>
      </c>
      <c r="AA149" s="9" t="e">
        <f ca="1">IF($Q149=AA$2,VLOOKUP($O149,Impact!$A$4:$B$8,2,FALSE)+RANDBETWEEN(-20,20)/100,NA())</f>
        <v>#N/A</v>
      </c>
      <c r="AB149" s="9" t="e">
        <f ca="1">IF($Q149=AB$2,VLOOKUP($O149,Impact!$A$4:$B$8,2,FALSE)+RANDBETWEEN(-20,20)/100,NA())</f>
        <v>#N/A</v>
      </c>
      <c r="AC149" s="9" t="e">
        <f ca="1">IF($Q149=AC$2,VLOOKUP($O149,Impact!$A$4:$B$8,2,FALSE)+RANDBETWEEN(-20,20)/100,NA())</f>
        <v>#N/A</v>
      </c>
    </row>
    <row r="150" spans="1:29" x14ac:dyDescent="0.25">
      <c r="A150" s="17">
        <v>148</v>
      </c>
      <c r="B150" s="3" t="str">
        <f t="shared" si="16"/>
        <v/>
      </c>
      <c r="H150" s="49" t="str">
        <f t="shared" si="15"/>
        <v>s. D.</v>
      </c>
      <c r="I150" s="48" t="str">
        <f t="shared" si="17"/>
        <v/>
      </c>
      <c r="J150" s="49" t="str">
        <f>I150&amp;IF(NOT(ISBLANK(E150)),CHAR(10)&amp;VLOOKUP(E150,AttackRiskStep!$A$3:$C$99,3,FALSE),"see Description")&amp;IF(NOT(ISBLANK(F150))," -&gt; "&amp;CHAR(10)&amp;VLOOKUP(F150,AttackRiskStep!$A$3:$C$99,3,FALSE),"")&amp;IF(NOT(ISBLANK(G150))," -&gt; "&amp;CHAR(10)&amp;VLOOKUP(G150,AttackRiskStep!$A$3:$C$99,3,FALSE),"")</f>
        <v>see Description</v>
      </c>
      <c r="P150" s="38" t="e">
        <f>VLOOKUP($N150,Likelihood!$A$3:$B$7,2,FALSE)*VLOOKUP($O150,Impact!$A$4:$B$8,2,FALSE)</f>
        <v>#N/A</v>
      </c>
      <c r="Q150" s="39" t="e">
        <f>VLOOKUP(P150,RPN!$B$6:$C$22,2)</f>
        <v>#N/A</v>
      </c>
      <c r="Z150" s="9" t="e">
        <f ca="1">VLOOKUP($N150,Likelihood!$A$3:$C$7,2,FALSE)+RANDBETWEEN(-20,20)/100</f>
        <v>#N/A</v>
      </c>
      <c r="AA150" s="9" t="e">
        <f ca="1">IF($Q150=AA$2,VLOOKUP($O150,Impact!$A$4:$B$8,2,FALSE)+RANDBETWEEN(-20,20)/100,NA())</f>
        <v>#N/A</v>
      </c>
      <c r="AB150" s="9" t="e">
        <f ca="1">IF($Q150=AB$2,VLOOKUP($O150,Impact!$A$4:$B$8,2,FALSE)+RANDBETWEEN(-20,20)/100,NA())</f>
        <v>#N/A</v>
      </c>
      <c r="AC150" s="9" t="e">
        <f ca="1">IF($Q150=AC$2,VLOOKUP($O150,Impact!$A$4:$B$8,2,FALSE)+RANDBETWEEN(-20,20)/100,NA())</f>
        <v>#N/A</v>
      </c>
    </row>
    <row r="151" spans="1:29" x14ac:dyDescent="0.25">
      <c r="A151" s="17">
        <v>149</v>
      </c>
      <c r="B151" s="3" t="str">
        <f t="shared" si="16"/>
        <v/>
      </c>
      <c r="H151" s="49" t="str">
        <f t="shared" si="15"/>
        <v>s. D.</v>
      </c>
      <c r="I151" s="48" t="str">
        <f t="shared" si="17"/>
        <v/>
      </c>
      <c r="J151" s="49" t="str">
        <f>I151&amp;IF(NOT(ISBLANK(E151)),CHAR(10)&amp;VLOOKUP(E151,AttackRiskStep!$A$3:$C$99,3,FALSE),"see Description")&amp;IF(NOT(ISBLANK(F151))," -&gt; "&amp;CHAR(10)&amp;VLOOKUP(F151,AttackRiskStep!$A$3:$C$99,3,FALSE),"")&amp;IF(NOT(ISBLANK(G151))," -&gt; "&amp;CHAR(10)&amp;VLOOKUP(G151,AttackRiskStep!$A$3:$C$99,3,FALSE),"")</f>
        <v>see Description</v>
      </c>
      <c r="P151" s="38" t="e">
        <f>VLOOKUP($N151,Likelihood!$A$3:$B$7,2,FALSE)*VLOOKUP($O151,Impact!$A$4:$B$8,2,FALSE)</f>
        <v>#N/A</v>
      </c>
      <c r="Q151" s="39" t="e">
        <f>VLOOKUP(P151,RPN!$B$6:$C$22,2)</f>
        <v>#N/A</v>
      </c>
      <c r="Z151" s="9" t="e">
        <f ca="1">VLOOKUP($N151,Likelihood!$A$3:$C$7,2,FALSE)+RANDBETWEEN(-20,20)/100</f>
        <v>#N/A</v>
      </c>
      <c r="AA151" s="9" t="e">
        <f ca="1">IF($Q151=AA$2,VLOOKUP($O151,Impact!$A$4:$B$8,2,FALSE)+RANDBETWEEN(-20,20)/100,NA())</f>
        <v>#N/A</v>
      </c>
      <c r="AB151" s="9" t="e">
        <f ca="1">IF($Q151=AB$2,VLOOKUP($O151,Impact!$A$4:$B$8,2,FALSE)+RANDBETWEEN(-20,20)/100,NA())</f>
        <v>#N/A</v>
      </c>
      <c r="AC151" s="9" t="e">
        <f ca="1">IF($Q151=AC$2,VLOOKUP($O151,Impact!$A$4:$B$8,2,FALSE)+RANDBETWEEN(-20,20)/100,NA())</f>
        <v>#N/A</v>
      </c>
    </row>
    <row r="152" spans="1:29" x14ac:dyDescent="0.25">
      <c r="A152" s="17">
        <v>150</v>
      </c>
      <c r="B152" s="3" t="str">
        <f t="shared" si="16"/>
        <v/>
      </c>
      <c r="H152" s="49" t="str">
        <f t="shared" si="15"/>
        <v>s. D.</v>
      </c>
      <c r="I152" s="48" t="str">
        <f t="shared" si="17"/>
        <v/>
      </c>
      <c r="J152" s="49" t="str">
        <f>I152&amp;IF(NOT(ISBLANK(E152)),CHAR(10)&amp;VLOOKUP(E152,AttackRiskStep!$A$3:$C$99,3,FALSE),"see Description")&amp;IF(NOT(ISBLANK(F152))," -&gt; "&amp;CHAR(10)&amp;VLOOKUP(F152,AttackRiskStep!$A$3:$C$99,3,FALSE),"")&amp;IF(NOT(ISBLANK(G152))," -&gt; "&amp;CHAR(10)&amp;VLOOKUP(G152,AttackRiskStep!$A$3:$C$99,3,FALSE),"")</f>
        <v>see Description</v>
      </c>
      <c r="P152" s="38" t="e">
        <f>VLOOKUP($N152,Likelihood!$A$3:$B$7,2,FALSE)*VLOOKUP($O152,Impact!$A$4:$B$8,2,FALSE)</f>
        <v>#N/A</v>
      </c>
      <c r="Q152" s="39" t="e">
        <f>VLOOKUP(P152,RPN!$B$6:$C$22,2)</f>
        <v>#N/A</v>
      </c>
      <c r="Z152" s="9" t="e">
        <f ca="1">VLOOKUP($N152,Likelihood!$A$3:$C$7,2,FALSE)+RANDBETWEEN(-20,20)/100</f>
        <v>#N/A</v>
      </c>
      <c r="AA152" s="9" t="e">
        <f ca="1">IF($Q152=AA$2,VLOOKUP($O152,Impact!$A$4:$B$8,2,FALSE)+RANDBETWEEN(-20,20)/100,NA())</f>
        <v>#N/A</v>
      </c>
      <c r="AB152" s="9" t="e">
        <f ca="1">IF($Q152=AB$2,VLOOKUP($O152,Impact!$A$4:$B$8,2,FALSE)+RANDBETWEEN(-20,20)/100,NA())</f>
        <v>#N/A</v>
      </c>
      <c r="AC152" s="9" t="e">
        <f ca="1">IF($Q152=AC$2,VLOOKUP($O152,Impact!$A$4:$B$8,2,FALSE)+RANDBETWEEN(-20,20)/100,NA())</f>
        <v>#N/A</v>
      </c>
    </row>
    <row r="153" spans="1:29" x14ac:dyDescent="0.25">
      <c r="A153" s="17">
        <v>151</v>
      </c>
      <c r="B153" s="3" t="str">
        <f t="shared" si="16"/>
        <v/>
      </c>
      <c r="H153" s="49" t="str">
        <f t="shared" si="15"/>
        <v>s. D.</v>
      </c>
      <c r="I153" s="48" t="str">
        <f t="shared" si="17"/>
        <v/>
      </c>
      <c r="J153" s="49" t="str">
        <f>I153&amp;IF(NOT(ISBLANK(E153)),CHAR(10)&amp;VLOOKUP(E153,AttackRiskStep!$A$3:$C$99,3,FALSE),"see Description")&amp;IF(NOT(ISBLANK(F153))," -&gt; "&amp;CHAR(10)&amp;VLOOKUP(F153,AttackRiskStep!$A$3:$C$99,3,FALSE),"")&amp;IF(NOT(ISBLANK(G153))," -&gt; "&amp;CHAR(10)&amp;VLOOKUP(G153,AttackRiskStep!$A$3:$C$99,3,FALSE),"")</f>
        <v>see Description</v>
      </c>
      <c r="P153" s="38" t="e">
        <f>VLOOKUP($N153,Likelihood!$A$3:$B$7,2,FALSE)*VLOOKUP($O153,Impact!$A$4:$B$8,2,FALSE)</f>
        <v>#N/A</v>
      </c>
      <c r="Q153" s="39" t="e">
        <f>VLOOKUP(P153,RPN!$B$6:$C$22,2)</f>
        <v>#N/A</v>
      </c>
      <c r="Z153" s="9" t="e">
        <f ca="1">VLOOKUP($N153,Likelihood!$A$3:$C$7,2,FALSE)+RANDBETWEEN(-20,20)/100</f>
        <v>#N/A</v>
      </c>
      <c r="AA153" s="9" t="e">
        <f ca="1">IF($Q153=AA$2,VLOOKUP($O153,Impact!$A$4:$B$8,2,FALSE)+RANDBETWEEN(-20,20)/100,NA())</f>
        <v>#N/A</v>
      </c>
      <c r="AB153" s="9" t="e">
        <f ca="1">IF($Q153=AB$2,VLOOKUP($O153,Impact!$A$4:$B$8,2,FALSE)+RANDBETWEEN(-20,20)/100,NA())</f>
        <v>#N/A</v>
      </c>
      <c r="AC153" s="9" t="e">
        <f ca="1">IF($Q153=AC$2,VLOOKUP($O153,Impact!$A$4:$B$8,2,FALSE)+RANDBETWEEN(-20,20)/100,NA())</f>
        <v>#N/A</v>
      </c>
    </row>
    <row r="154" spans="1:29" x14ac:dyDescent="0.25">
      <c r="A154" s="17">
        <v>152</v>
      </c>
      <c r="B154" s="3" t="str">
        <f t="shared" si="16"/>
        <v/>
      </c>
      <c r="H154" s="49" t="str">
        <f t="shared" si="15"/>
        <v>s. D.</v>
      </c>
      <c r="I154" s="48" t="str">
        <f t="shared" si="17"/>
        <v/>
      </c>
      <c r="J154" s="49" t="str">
        <f>I154&amp;IF(NOT(ISBLANK(E154)),CHAR(10)&amp;VLOOKUP(E154,AttackRiskStep!$A$3:$C$99,3,FALSE),"see Description")&amp;IF(NOT(ISBLANK(F154))," -&gt; "&amp;CHAR(10)&amp;VLOOKUP(F154,AttackRiskStep!$A$3:$C$99,3,FALSE),"")&amp;IF(NOT(ISBLANK(G154))," -&gt; "&amp;CHAR(10)&amp;VLOOKUP(G154,AttackRiskStep!$A$3:$C$99,3,FALSE),"")</f>
        <v>see Description</v>
      </c>
      <c r="P154" s="38" t="e">
        <f>VLOOKUP($N154,Likelihood!$A$3:$B$7,2,FALSE)*VLOOKUP($O154,Impact!$A$4:$B$8,2,FALSE)</f>
        <v>#N/A</v>
      </c>
      <c r="Q154" s="39" t="e">
        <f>VLOOKUP(P154,RPN!$B$6:$C$22,2)</f>
        <v>#N/A</v>
      </c>
      <c r="Z154" s="9" t="e">
        <f ca="1">VLOOKUP($N154,Likelihood!$A$3:$C$7,2,FALSE)+RANDBETWEEN(-20,20)/100</f>
        <v>#N/A</v>
      </c>
      <c r="AA154" s="9" t="e">
        <f ca="1">IF($Q154=AA$2,VLOOKUP($O154,Impact!$A$4:$B$8,2,FALSE)+RANDBETWEEN(-20,20)/100,NA())</f>
        <v>#N/A</v>
      </c>
      <c r="AB154" s="9" t="e">
        <f ca="1">IF($Q154=AB$2,VLOOKUP($O154,Impact!$A$4:$B$8,2,FALSE)+RANDBETWEEN(-20,20)/100,NA())</f>
        <v>#N/A</v>
      </c>
      <c r="AC154" s="9" t="e">
        <f ca="1">IF($Q154=AC$2,VLOOKUP($O154,Impact!$A$4:$B$8,2,FALSE)+RANDBETWEEN(-20,20)/100,NA())</f>
        <v>#N/A</v>
      </c>
    </row>
    <row r="155" spans="1:29" x14ac:dyDescent="0.25">
      <c r="A155" s="17">
        <v>153</v>
      </c>
      <c r="B155" s="3" t="str">
        <f t="shared" si="16"/>
        <v/>
      </c>
      <c r="H155" s="49" t="str">
        <f t="shared" si="15"/>
        <v>s. D.</v>
      </c>
      <c r="I155" s="48" t="str">
        <f t="shared" si="17"/>
        <v/>
      </c>
      <c r="J155" s="49" t="str">
        <f>I155&amp;IF(NOT(ISBLANK(E155)),CHAR(10)&amp;VLOOKUP(E155,AttackRiskStep!$A$3:$C$99,3,FALSE),"see Description")&amp;IF(NOT(ISBLANK(F155))," -&gt; "&amp;CHAR(10)&amp;VLOOKUP(F155,AttackRiskStep!$A$3:$C$99,3,FALSE),"")&amp;IF(NOT(ISBLANK(G155))," -&gt; "&amp;CHAR(10)&amp;VLOOKUP(G155,AttackRiskStep!$A$3:$C$99,3,FALSE),"")</f>
        <v>see Description</v>
      </c>
      <c r="P155" s="38" t="e">
        <f>VLOOKUP($N155,Likelihood!$A$3:$B$7,2,FALSE)*VLOOKUP($O155,Impact!$A$4:$B$8,2,FALSE)</f>
        <v>#N/A</v>
      </c>
      <c r="Q155" s="39" t="e">
        <f>VLOOKUP(P155,RPN!$B$6:$C$22,2)</f>
        <v>#N/A</v>
      </c>
      <c r="Z155" s="9" t="e">
        <f ca="1">VLOOKUP($N155,Likelihood!$A$3:$C$7,2,FALSE)+RANDBETWEEN(-20,20)/100</f>
        <v>#N/A</v>
      </c>
      <c r="AA155" s="9" t="e">
        <f ca="1">IF($Q155=AA$2,VLOOKUP($O155,Impact!$A$4:$B$8,2,FALSE)+RANDBETWEEN(-20,20)/100,NA())</f>
        <v>#N/A</v>
      </c>
      <c r="AB155" s="9" t="e">
        <f ca="1">IF($Q155=AB$2,VLOOKUP($O155,Impact!$A$4:$B$8,2,FALSE)+RANDBETWEEN(-20,20)/100,NA())</f>
        <v>#N/A</v>
      </c>
      <c r="AC155" s="9" t="e">
        <f ca="1">IF($Q155=AC$2,VLOOKUP($O155,Impact!$A$4:$B$8,2,FALSE)+RANDBETWEEN(-20,20)/100,NA())</f>
        <v>#N/A</v>
      </c>
    </row>
    <row r="156" spans="1:29" x14ac:dyDescent="0.25">
      <c r="A156" s="17">
        <v>154</v>
      </c>
      <c r="B156" s="3" t="str">
        <f t="shared" si="16"/>
        <v/>
      </c>
      <c r="H156" s="49" t="str">
        <f t="shared" si="15"/>
        <v>s. D.</v>
      </c>
      <c r="I156" s="48" t="str">
        <f t="shared" si="17"/>
        <v/>
      </c>
      <c r="J156" s="49" t="str">
        <f>I156&amp;IF(NOT(ISBLANK(E156)),CHAR(10)&amp;VLOOKUP(E156,AttackRiskStep!$A$3:$C$99,3,FALSE),"see Description")&amp;IF(NOT(ISBLANK(F156))," -&gt; "&amp;CHAR(10)&amp;VLOOKUP(F156,AttackRiskStep!$A$3:$C$99,3,FALSE),"")&amp;IF(NOT(ISBLANK(G156))," -&gt; "&amp;CHAR(10)&amp;VLOOKUP(G156,AttackRiskStep!$A$3:$C$99,3,FALSE),"")</f>
        <v>see Description</v>
      </c>
      <c r="P156" s="38" t="e">
        <f>VLOOKUP($N156,Likelihood!$A$3:$B$7,2,FALSE)*VLOOKUP($O156,Impact!$A$4:$B$8,2,FALSE)</f>
        <v>#N/A</v>
      </c>
      <c r="Q156" s="39" t="e">
        <f>VLOOKUP(P156,RPN!$B$6:$C$22,2)</f>
        <v>#N/A</v>
      </c>
      <c r="Z156" s="9" t="e">
        <f ca="1">VLOOKUP($N156,Likelihood!$A$3:$C$7,2,FALSE)+RANDBETWEEN(-20,20)/100</f>
        <v>#N/A</v>
      </c>
      <c r="AA156" s="9" t="e">
        <f ca="1">IF($Q156=AA$2,VLOOKUP($O156,Impact!$A$4:$B$8,2,FALSE)+RANDBETWEEN(-20,20)/100,NA())</f>
        <v>#N/A</v>
      </c>
      <c r="AB156" s="9" t="e">
        <f ca="1">IF($Q156=AB$2,VLOOKUP($O156,Impact!$A$4:$B$8,2,FALSE)+RANDBETWEEN(-20,20)/100,NA())</f>
        <v>#N/A</v>
      </c>
      <c r="AC156" s="9" t="e">
        <f ca="1">IF($Q156=AC$2,VLOOKUP($O156,Impact!$A$4:$B$8,2,FALSE)+RANDBETWEEN(-20,20)/100,NA())</f>
        <v>#N/A</v>
      </c>
    </row>
    <row r="157" spans="1:29" x14ac:dyDescent="0.25">
      <c r="A157" s="17">
        <v>155</v>
      </c>
      <c r="B157" s="3" t="str">
        <f t="shared" si="16"/>
        <v/>
      </c>
      <c r="H157" s="49" t="str">
        <f t="shared" si="15"/>
        <v>s. D.</v>
      </c>
      <c r="I157" s="48" t="str">
        <f t="shared" si="17"/>
        <v/>
      </c>
      <c r="J157" s="49" t="str">
        <f>I157&amp;IF(NOT(ISBLANK(E157)),CHAR(10)&amp;VLOOKUP(E157,AttackRiskStep!$A$3:$C$99,3,FALSE),"see Description")&amp;IF(NOT(ISBLANK(F157))," -&gt; "&amp;CHAR(10)&amp;VLOOKUP(F157,AttackRiskStep!$A$3:$C$99,3,FALSE),"")&amp;IF(NOT(ISBLANK(G157))," -&gt; "&amp;CHAR(10)&amp;VLOOKUP(G157,AttackRiskStep!$A$3:$C$99,3,FALSE),"")</f>
        <v>see Description</v>
      </c>
      <c r="P157" s="38" t="e">
        <f>VLOOKUP($N157,Likelihood!$A$3:$B$7,2,FALSE)*VLOOKUP($O157,Impact!$A$4:$B$8,2,FALSE)</f>
        <v>#N/A</v>
      </c>
      <c r="Q157" s="39" t="e">
        <f>VLOOKUP(P157,RPN!$B$6:$C$22,2)</f>
        <v>#N/A</v>
      </c>
      <c r="Z157" s="9" t="e">
        <f ca="1">VLOOKUP($N157,Likelihood!$A$3:$C$7,2,FALSE)+RANDBETWEEN(-20,20)/100</f>
        <v>#N/A</v>
      </c>
      <c r="AA157" s="9" t="e">
        <f ca="1">IF($Q157=AA$2,VLOOKUP($O157,Impact!$A$4:$B$8,2,FALSE)+RANDBETWEEN(-20,20)/100,NA())</f>
        <v>#N/A</v>
      </c>
      <c r="AB157" s="9" t="e">
        <f ca="1">IF($Q157=AB$2,VLOOKUP($O157,Impact!$A$4:$B$8,2,FALSE)+RANDBETWEEN(-20,20)/100,NA())</f>
        <v>#N/A</v>
      </c>
      <c r="AC157" s="9" t="e">
        <f ca="1">IF($Q157=AC$2,VLOOKUP($O157,Impact!$A$4:$B$8,2,FALSE)+RANDBETWEEN(-20,20)/100,NA())</f>
        <v>#N/A</v>
      </c>
    </row>
    <row r="158" spans="1:29" x14ac:dyDescent="0.25">
      <c r="A158" s="17">
        <v>156</v>
      </c>
      <c r="B158" s="3" t="str">
        <f t="shared" si="16"/>
        <v/>
      </c>
      <c r="H158" s="49" t="str">
        <f t="shared" si="15"/>
        <v>s. D.</v>
      </c>
      <c r="I158" s="48" t="str">
        <f t="shared" si="17"/>
        <v/>
      </c>
      <c r="J158" s="49" t="str">
        <f>I158&amp;IF(NOT(ISBLANK(E158)),CHAR(10)&amp;VLOOKUP(E158,AttackRiskStep!$A$3:$C$99,3,FALSE),"see Description")&amp;IF(NOT(ISBLANK(F158))," -&gt; "&amp;CHAR(10)&amp;VLOOKUP(F158,AttackRiskStep!$A$3:$C$99,3,FALSE),"")&amp;IF(NOT(ISBLANK(G158))," -&gt; "&amp;CHAR(10)&amp;VLOOKUP(G158,AttackRiskStep!$A$3:$C$99,3,FALSE),"")</f>
        <v>see Description</v>
      </c>
      <c r="P158" s="38" t="e">
        <f>VLOOKUP($N158,Likelihood!$A$3:$B$7,2,FALSE)*VLOOKUP($O158,Impact!$A$4:$B$8,2,FALSE)</f>
        <v>#N/A</v>
      </c>
      <c r="Q158" s="39" t="e">
        <f>VLOOKUP(P158,RPN!$B$6:$C$22,2)</f>
        <v>#N/A</v>
      </c>
      <c r="Z158" s="9" t="e">
        <f ca="1">VLOOKUP($N158,Likelihood!$A$3:$C$7,2,FALSE)+RANDBETWEEN(-20,20)/100</f>
        <v>#N/A</v>
      </c>
      <c r="AA158" s="9" t="e">
        <f ca="1">IF($Q158=AA$2,VLOOKUP($O158,Impact!$A$4:$B$8,2,FALSE)+RANDBETWEEN(-20,20)/100,NA())</f>
        <v>#N/A</v>
      </c>
      <c r="AB158" s="9" t="e">
        <f ca="1">IF($Q158=AB$2,VLOOKUP($O158,Impact!$A$4:$B$8,2,FALSE)+RANDBETWEEN(-20,20)/100,NA())</f>
        <v>#N/A</v>
      </c>
      <c r="AC158" s="9" t="e">
        <f ca="1">IF($Q158=AC$2,VLOOKUP($O158,Impact!$A$4:$B$8,2,FALSE)+RANDBETWEEN(-20,20)/100,NA())</f>
        <v>#N/A</v>
      </c>
    </row>
    <row r="159" spans="1:29" x14ac:dyDescent="0.25">
      <c r="A159" s="17">
        <v>157</v>
      </c>
      <c r="B159" s="3" t="str">
        <f t="shared" si="16"/>
        <v/>
      </c>
      <c r="H159" s="49" t="str">
        <f t="shared" si="15"/>
        <v>s. D.</v>
      </c>
      <c r="I159" s="48" t="str">
        <f t="shared" si="17"/>
        <v/>
      </c>
      <c r="J159" s="49" t="str">
        <f>I159&amp;IF(NOT(ISBLANK(E159)),CHAR(10)&amp;VLOOKUP(E159,AttackRiskStep!$A$3:$C$99,3,FALSE),"see Description")&amp;IF(NOT(ISBLANK(F159))," -&gt; "&amp;CHAR(10)&amp;VLOOKUP(F159,AttackRiskStep!$A$3:$C$99,3,FALSE),"")&amp;IF(NOT(ISBLANK(G159))," -&gt; "&amp;CHAR(10)&amp;VLOOKUP(G159,AttackRiskStep!$A$3:$C$99,3,FALSE),"")</f>
        <v>see Description</v>
      </c>
      <c r="P159" s="38" t="e">
        <f>VLOOKUP($N159,Likelihood!$A$3:$B$7,2,FALSE)*VLOOKUP($O159,Impact!$A$4:$B$8,2,FALSE)</f>
        <v>#N/A</v>
      </c>
      <c r="Q159" s="39" t="e">
        <f>VLOOKUP(P159,RPN!$B$6:$C$22,2)</f>
        <v>#N/A</v>
      </c>
      <c r="Z159" s="9" t="e">
        <f ca="1">VLOOKUP($N159,Likelihood!$A$3:$C$7,2,FALSE)+RANDBETWEEN(-20,20)/100</f>
        <v>#N/A</v>
      </c>
      <c r="AA159" s="9" t="e">
        <f ca="1">IF($Q159=AA$2,VLOOKUP($O159,Impact!$A$4:$B$8,2,FALSE)+RANDBETWEEN(-20,20)/100,NA())</f>
        <v>#N/A</v>
      </c>
      <c r="AB159" s="9" t="e">
        <f ca="1">IF($Q159=AB$2,VLOOKUP($O159,Impact!$A$4:$B$8,2,FALSE)+RANDBETWEEN(-20,20)/100,NA())</f>
        <v>#N/A</v>
      </c>
      <c r="AC159" s="9" t="e">
        <f ca="1">IF($Q159=AC$2,VLOOKUP($O159,Impact!$A$4:$B$8,2,FALSE)+RANDBETWEEN(-20,20)/100,NA())</f>
        <v>#N/A</v>
      </c>
    </row>
    <row r="160" spans="1:29" x14ac:dyDescent="0.25">
      <c r="A160" s="17">
        <v>158</v>
      </c>
      <c r="B160" s="3" t="str">
        <f t="shared" si="16"/>
        <v/>
      </c>
      <c r="H160" s="49" t="str">
        <f t="shared" si="15"/>
        <v>s. D.</v>
      </c>
      <c r="I160" s="48" t="str">
        <f t="shared" si="17"/>
        <v/>
      </c>
      <c r="J160" s="49" t="str">
        <f>I160&amp;IF(NOT(ISBLANK(E160)),CHAR(10)&amp;VLOOKUP(E160,AttackRiskStep!$A$3:$C$99,3,FALSE),"see Description")&amp;IF(NOT(ISBLANK(F160))," -&gt; "&amp;CHAR(10)&amp;VLOOKUP(F160,AttackRiskStep!$A$3:$C$99,3,FALSE),"")&amp;IF(NOT(ISBLANK(G160))," -&gt; "&amp;CHAR(10)&amp;VLOOKUP(G160,AttackRiskStep!$A$3:$C$99,3,FALSE),"")</f>
        <v>see Description</v>
      </c>
      <c r="P160" s="38" t="e">
        <f>VLOOKUP($N160,Likelihood!$A$3:$B$7,2,FALSE)*VLOOKUP($O160,Impact!$A$4:$B$8,2,FALSE)</f>
        <v>#N/A</v>
      </c>
      <c r="Q160" s="39" t="e">
        <f>VLOOKUP(P160,RPN!$B$6:$C$22,2)</f>
        <v>#N/A</v>
      </c>
      <c r="Z160" s="9" t="e">
        <f ca="1">VLOOKUP($N160,Likelihood!$A$3:$C$7,2,FALSE)+RANDBETWEEN(-20,20)/100</f>
        <v>#N/A</v>
      </c>
      <c r="AA160" s="9" t="e">
        <f ca="1">IF($Q160=AA$2,VLOOKUP($O160,Impact!$A$4:$B$8,2,FALSE)+RANDBETWEEN(-20,20)/100,NA())</f>
        <v>#N/A</v>
      </c>
      <c r="AB160" s="9" t="e">
        <f ca="1">IF($Q160=AB$2,VLOOKUP($O160,Impact!$A$4:$B$8,2,FALSE)+RANDBETWEEN(-20,20)/100,NA())</f>
        <v>#N/A</v>
      </c>
      <c r="AC160" s="9" t="e">
        <f ca="1">IF($Q160=AC$2,VLOOKUP($O160,Impact!$A$4:$B$8,2,FALSE)+RANDBETWEEN(-20,20)/100,NA())</f>
        <v>#N/A</v>
      </c>
    </row>
    <row r="161" spans="1:29" x14ac:dyDescent="0.25">
      <c r="A161" s="17">
        <v>159</v>
      </c>
      <c r="B161" s="3" t="str">
        <f t="shared" si="16"/>
        <v/>
      </c>
      <c r="H161" s="49" t="str">
        <f t="shared" si="15"/>
        <v>s. D.</v>
      </c>
      <c r="I161" s="48" t="str">
        <f t="shared" si="17"/>
        <v/>
      </c>
      <c r="J161" s="49" t="str">
        <f>I161&amp;IF(NOT(ISBLANK(E161)),CHAR(10)&amp;VLOOKUP(E161,AttackRiskStep!$A$3:$C$99,3,FALSE),"see Description")&amp;IF(NOT(ISBLANK(F161))," -&gt; "&amp;CHAR(10)&amp;VLOOKUP(F161,AttackRiskStep!$A$3:$C$99,3,FALSE),"")&amp;IF(NOT(ISBLANK(G161))," -&gt; "&amp;CHAR(10)&amp;VLOOKUP(G161,AttackRiskStep!$A$3:$C$99,3,FALSE),"")</f>
        <v>see Description</v>
      </c>
      <c r="P161" s="38" t="e">
        <f>VLOOKUP($N161,Likelihood!$A$3:$B$7,2,FALSE)*VLOOKUP($O161,Impact!$A$4:$B$8,2,FALSE)</f>
        <v>#N/A</v>
      </c>
      <c r="Q161" s="39" t="e">
        <f>VLOOKUP(P161,RPN!$B$6:$C$22,2)</f>
        <v>#N/A</v>
      </c>
      <c r="Z161" s="9" t="e">
        <f ca="1">VLOOKUP($N161,Likelihood!$A$3:$C$7,2,FALSE)+RANDBETWEEN(-20,20)/100</f>
        <v>#N/A</v>
      </c>
      <c r="AA161" s="9" t="e">
        <f ca="1">IF($Q161=AA$2,VLOOKUP($O161,Impact!$A$4:$B$8,2,FALSE)+RANDBETWEEN(-20,20)/100,NA())</f>
        <v>#N/A</v>
      </c>
      <c r="AB161" s="9" t="e">
        <f ca="1">IF($Q161=AB$2,VLOOKUP($O161,Impact!$A$4:$B$8,2,FALSE)+RANDBETWEEN(-20,20)/100,NA())</f>
        <v>#N/A</v>
      </c>
      <c r="AC161" s="9" t="e">
        <f ca="1">IF($Q161=AC$2,VLOOKUP($O161,Impact!$A$4:$B$8,2,FALSE)+RANDBETWEEN(-20,20)/100,NA())</f>
        <v>#N/A</v>
      </c>
    </row>
    <row r="162" spans="1:29" x14ac:dyDescent="0.25">
      <c r="A162" s="17">
        <v>160</v>
      </c>
      <c r="B162" s="3" t="str">
        <f t="shared" si="16"/>
        <v/>
      </c>
      <c r="H162" s="49" t="str">
        <f t="shared" si="15"/>
        <v>s. D.</v>
      </c>
      <c r="I162" s="48" t="str">
        <f t="shared" si="17"/>
        <v/>
      </c>
      <c r="J162" s="49" t="str">
        <f>I162&amp;IF(NOT(ISBLANK(E162)),CHAR(10)&amp;VLOOKUP(E162,AttackRiskStep!$A$3:$C$99,3,FALSE),"see Description")&amp;IF(NOT(ISBLANK(F162))," -&gt; "&amp;CHAR(10)&amp;VLOOKUP(F162,AttackRiskStep!$A$3:$C$99,3,FALSE),"")&amp;IF(NOT(ISBLANK(G162))," -&gt; "&amp;CHAR(10)&amp;VLOOKUP(G162,AttackRiskStep!$A$3:$C$99,3,FALSE),"")</f>
        <v>see Description</v>
      </c>
      <c r="P162" s="38" t="e">
        <f>VLOOKUP($N162,Likelihood!$A$3:$B$7,2,FALSE)*VLOOKUP($O162,Impact!$A$4:$B$8,2,FALSE)</f>
        <v>#N/A</v>
      </c>
      <c r="Q162" s="39" t="e">
        <f>VLOOKUP(P162,RPN!$B$6:$C$22,2)</f>
        <v>#N/A</v>
      </c>
      <c r="Z162" s="9" t="e">
        <f ca="1">VLOOKUP($N162,Likelihood!$A$3:$C$7,2,FALSE)+RANDBETWEEN(-20,20)/100</f>
        <v>#N/A</v>
      </c>
      <c r="AA162" s="9" t="e">
        <f ca="1">IF($Q162=AA$2,VLOOKUP($O162,Impact!$A$4:$B$8,2,FALSE)+RANDBETWEEN(-20,20)/100,NA())</f>
        <v>#N/A</v>
      </c>
      <c r="AB162" s="9" t="e">
        <f ca="1">IF($Q162=AB$2,VLOOKUP($O162,Impact!$A$4:$B$8,2,FALSE)+RANDBETWEEN(-20,20)/100,NA())</f>
        <v>#N/A</v>
      </c>
      <c r="AC162" s="9" t="e">
        <f ca="1">IF($Q162=AC$2,VLOOKUP($O162,Impact!$A$4:$B$8,2,FALSE)+RANDBETWEEN(-20,20)/100,NA())</f>
        <v>#N/A</v>
      </c>
    </row>
    <row r="163" spans="1:29" x14ac:dyDescent="0.25">
      <c r="A163" s="17">
        <v>161</v>
      </c>
      <c r="B163" s="3" t="str">
        <f t="shared" si="16"/>
        <v/>
      </c>
      <c r="H163" s="49" t="str">
        <f t="shared" si="15"/>
        <v>s. D.</v>
      </c>
      <c r="I163" s="48" t="str">
        <f t="shared" si="17"/>
        <v/>
      </c>
      <c r="J163" s="49" t="str">
        <f>I163&amp;IF(NOT(ISBLANK(E163)),CHAR(10)&amp;VLOOKUP(E163,AttackRiskStep!$A$3:$C$99,3,FALSE),"see Description")&amp;IF(NOT(ISBLANK(F163))," -&gt; "&amp;CHAR(10)&amp;VLOOKUP(F163,AttackRiskStep!$A$3:$C$99,3,FALSE),"")&amp;IF(NOT(ISBLANK(G163))," -&gt; "&amp;CHAR(10)&amp;VLOOKUP(G163,AttackRiskStep!$A$3:$C$99,3,FALSE),"")</f>
        <v>see Description</v>
      </c>
      <c r="P163" s="38" t="e">
        <f>VLOOKUP($N163,Likelihood!$A$3:$B$7,2,FALSE)*VLOOKUP($O163,Impact!$A$4:$B$8,2,FALSE)</f>
        <v>#N/A</v>
      </c>
      <c r="Q163" s="39" t="e">
        <f>VLOOKUP(P163,RPN!$B$6:$C$22,2)</f>
        <v>#N/A</v>
      </c>
      <c r="Z163" s="9" t="e">
        <f ca="1">VLOOKUP($N163,Likelihood!$A$3:$C$7,2,FALSE)+RANDBETWEEN(-20,20)/100</f>
        <v>#N/A</v>
      </c>
      <c r="AA163" s="9" t="e">
        <f ca="1">IF($Q163=AA$2,VLOOKUP($O163,Impact!$A$4:$B$8,2,FALSE)+RANDBETWEEN(-20,20)/100,NA())</f>
        <v>#N/A</v>
      </c>
      <c r="AB163" s="9" t="e">
        <f ca="1">IF($Q163=AB$2,VLOOKUP($O163,Impact!$A$4:$B$8,2,FALSE)+RANDBETWEEN(-20,20)/100,NA())</f>
        <v>#N/A</v>
      </c>
      <c r="AC163" s="9" t="e">
        <f ca="1">IF($Q163=AC$2,VLOOKUP($O163,Impact!$A$4:$B$8,2,FALSE)+RANDBETWEEN(-20,20)/100,NA())</f>
        <v>#N/A</v>
      </c>
    </row>
    <row r="164" spans="1:29" x14ac:dyDescent="0.25">
      <c r="A164" s="17">
        <v>162</v>
      </c>
      <c r="B164" s="3" t="str">
        <f t="shared" si="16"/>
        <v/>
      </c>
      <c r="H164" s="49" t="str">
        <f t="shared" si="15"/>
        <v>s. D.</v>
      </c>
      <c r="I164" s="48" t="str">
        <f t="shared" si="17"/>
        <v/>
      </c>
      <c r="J164" s="49" t="str">
        <f>I164&amp;IF(NOT(ISBLANK(E164)),CHAR(10)&amp;VLOOKUP(E164,AttackRiskStep!$A$3:$C$99,3,FALSE),"see Description")&amp;IF(NOT(ISBLANK(F164))," -&gt; "&amp;CHAR(10)&amp;VLOOKUP(F164,AttackRiskStep!$A$3:$C$99,3,FALSE),"")&amp;IF(NOT(ISBLANK(G164))," -&gt; "&amp;CHAR(10)&amp;VLOOKUP(G164,AttackRiskStep!$A$3:$C$99,3,FALSE),"")</f>
        <v>see Description</v>
      </c>
      <c r="P164" s="38" t="e">
        <f>VLOOKUP($N164,Likelihood!$A$3:$B$7,2,FALSE)*VLOOKUP($O164,Impact!$A$4:$B$8,2,FALSE)</f>
        <v>#N/A</v>
      </c>
      <c r="Q164" s="39" t="e">
        <f>VLOOKUP(P164,RPN!$B$6:$C$22,2)</f>
        <v>#N/A</v>
      </c>
      <c r="Z164" s="9" t="e">
        <f ca="1">VLOOKUP($N164,Likelihood!$A$3:$C$7,2,FALSE)+RANDBETWEEN(-20,20)/100</f>
        <v>#N/A</v>
      </c>
      <c r="AA164" s="9" t="e">
        <f ca="1">IF($Q164=AA$2,VLOOKUP($O164,Impact!$A$4:$B$8,2,FALSE)+RANDBETWEEN(-20,20)/100,NA())</f>
        <v>#N/A</v>
      </c>
      <c r="AB164" s="9" t="e">
        <f ca="1">IF($Q164=AB$2,VLOOKUP($O164,Impact!$A$4:$B$8,2,FALSE)+RANDBETWEEN(-20,20)/100,NA())</f>
        <v>#N/A</v>
      </c>
      <c r="AC164" s="9" t="e">
        <f ca="1">IF($Q164=AC$2,VLOOKUP($O164,Impact!$A$4:$B$8,2,FALSE)+RANDBETWEEN(-20,20)/100,NA())</f>
        <v>#N/A</v>
      </c>
    </row>
    <row r="165" spans="1:29" x14ac:dyDescent="0.25">
      <c r="A165" s="17">
        <v>163</v>
      </c>
      <c r="B165" s="3" t="str">
        <f t="shared" si="16"/>
        <v/>
      </c>
      <c r="H165" s="49" t="str">
        <f t="shared" si="15"/>
        <v>s. D.</v>
      </c>
      <c r="I165" s="48" t="str">
        <f t="shared" si="17"/>
        <v/>
      </c>
      <c r="J165" s="49" t="str">
        <f>I165&amp;IF(NOT(ISBLANK(E165)),CHAR(10)&amp;VLOOKUP(E165,AttackRiskStep!$A$3:$C$99,3,FALSE),"see Description")&amp;IF(NOT(ISBLANK(F165))," -&gt; "&amp;CHAR(10)&amp;VLOOKUP(F165,AttackRiskStep!$A$3:$C$99,3,FALSE),"")&amp;IF(NOT(ISBLANK(G165))," -&gt; "&amp;CHAR(10)&amp;VLOOKUP(G165,AttackRiskStep!$A$3:$C$99,3,FALSE),"")</f>
        <v>see Description</v>
      </c>
      <c r="P165" s="38" t="e">
        <f>VLOOKUP($N165,Likelihood!$A$3:$B$7,2,FALSE)*VLOOKUP($O165,Impact!$A$4:$B$8,2,FALSE)</f>
        <v>#N/A</v>
      </c>
      <c r="Q165" s="39" t="e">
        <f>VLOOKUP(P165,RPN!$B$6:$C$22,2)</f>
        <v>#N/A</v>
      </c>
      <c r="Z165" s="9" t="e">
        <f ca="1">VLOOKUP($N165,Likelihood!$A$3:$C$7,2,FALSE)+RANDBETWEEN(-20,20)/100</f>
        <v>#N/A</v>
      </c>
      <c r="AA165" s="9" t="e">
        <f ca="1">IF($Q165=AA$2,VLOOKUP($O165,Impact!$A$4:$B$8,2,FALSE)+RANDBETWEEN(-20,20)/100,NA())</f>
        <v>#N/A</v>
      </c>
      <c r="AB165" s="9" t="e">
        <f ca="1">IF($Q165=AB$2,VLOOKUP($O165,Impact!$A$4:$B$8,2,FALSE)+RANDBETWEEN(-20,20)/100,NA())</f>
        <v>#N/A</v>
      </c>
      <c r="AC165" s="9" t="e">
        <f ca="1">IF($Q165=AC$2,VLOOKUP($O165,Impact!$A$4:$B$8,2,FALSE)+RANDBETWEEN(-20,20)/100,NA())</f>
        <v>#N/A</v>
      </c>
    </row>
    <row r="166" spans="1:29" x14ac:dyDescent="0.25">
      <c r="A166" s="17">
        <v>164</v>
      </c>
      <c r="B166" s="3" t="str">
        <f t="shared" si="16"/>
        <v/>
      </c>
      <c r="H166" s="49" t="str">
        <f t="shared" si="15"/>
        <v>s. D.</v>
      </c>
      <c r="I166" s="48" t="str">
        <f t="shared" si="17"/>
        <v/>
      </c>
      <c r="J166" s="49" t="str">
        <f>I166&amp;IF(NOT(ISBLANK(E166)),CHAR(10)&amp;VLOOKUP(E166,AttackRiskStep!$A$3:$C$99,3,FALSE),"see Description")&amp;IF(NOT(ISBLANK(F166))," -&gt; "&amp;CHAR(10)&amp;VLOOKUP(F166,AttackRiskStep!$A$3:$C$99,3,FALSE),"")&amp;IF(NOT(ISBLANK(G166))," -&gt; "&amp;CHAR(10)&amp;VLOOKUP(G166,AttackRiskStep!$A$3:$C$99,3,FALSE),"")</f>
        <v>see Description</v>
      </c>
      <c r="P166" s="38" t="e">
        <f>VLOOKUP($N166,Likelihood!$A$3:$B$7,2,FALSE)*VLOOKUP($O166,Impact!$A$4:$B$8,2,FALSE)</f>
        <v>#N/A</v>
      </c>
      <c r="Q166" s="39" t="e">
        <f>VLOOKUP(P166,RPN!$B$6:$C$22,2)</f>
        <v>#N/A</v>
      </c>
      <c r="Z166" s="9" t="e">
        <f ca="1">VLOOKUP($N166,Likelihood!$A$3:$C$7,2,FALSE)+RANDBETWEEN(-20,20)/100</f>
        <v>#N/A</v>
      </c>
      <c r="AA166" s="9" t="e">
        <f ca="1">IF($Q166=AA$2,VLOOKUP($O166,Impact!$A$4:$B$8,2,FALSE)+RANDBETWEEN(-20,20)/100,NA())</f>
        <v>#N/A</v>
      </c>
      <c r="AB166" s="9" t="e">
        <f ca="1">IF($Q166=AB$2,VLOOKUP($O166,Impact!$A$4:$B$8,2,FALSE)+RANDBETWEEN(-20,20)/100,NA())</f>
        <v>#N/A</v>
      </c>
      <c r="AC166" s="9" t="e">
        <f ca="1">IF($Q166=AC$2,VLOOKUP($O166,Impact!$A$4:$B$8,2,FALSE)+RANDBETWEEN(-20,20)/100,NA())</f>
        <v>#N/A</v>
      </c>
    </row>
    <row r="167" spans="1:29" x14ac:dyDescent="0.25">
      <c r="A167" s="17">
        <v>165</v>
      </c>
      <c r="B167" s="3" t="str">
        <f t="shared" si="16"/>
        <v/>
      </c>
      <c r="H167" s="49" t="str">
        <f t="shared" si="15"/>
        <v>s. D.</v>
      </c>
      <c r="I167" s="48" t="str">
        <f t="shared" si="17"/>
        <v/>
      </c>
      <c r="J167" s="49" t="str">
        <f>I167&amp;IF(NOT(ISBLANK(E167)),CHAR(10)&amp;VLOOKUP(E167,AttackRiskStep!$A$3:$C$99,3,FALSE),"see Description")&amp;IF(NOT(ISBLANK(F167))," -&gt; "&amp;CHAR(10)&amp;VLOOKUP(F167,AttackRiskStep!$A$3:$C$99,3,FALSE),"")&amp;IF(NOT(ISBLANK(G167))," -&gt; "&amp;CHAR(10)&amp;VLOOKUP(G167,AttackRiskStep!$A$3:$C$99,3,FALSE),"")</f>
        <v>see Description</v>
      </c>
      <c r="P167" s="38" t="e">
        <f>VLOOKUP($N167,Likelihood!$A$3:$B$7,2,FALSE)*VLOOKUP($O167,Impact!$A$4:$B$8,2,FALSE)</f>
        <v>#N/A</v>
      </c>
      <c r="Q167" s="39" t="e">
        <f>VLOOKUP(P167,RPN!$B$6:$C$22,2)</f>
        <v>#N/A</v>
      </c>
      <c r="Z167" s="9" t="e">
        <f ca="1">VLOOKUP($N167,Likelihood!$A$3:$C$7,2,FALSE)+RANDBETWEEN(-20,20)/100</f>
        <v>#N/A</v>
      </c>
      <c r="AA167" s="9" t="e">
        <f ca="1">IF($Q167=AA$2,VLOOKUP($O167,Impact!$A$4:$B$8,2,FALSE)+RANDBETWEEN(-20,20)/100,NA())</f>
        <v>#N/A</v>
      </c>
      <c r="AB167" s="9" t="e">
        <f ca="1">IF($Q167=AB$2,VLOOKUP($O167,Impact!$A$4:$B$8,2,FALSE)+RANDBETWEEN(-20,20)/100,NA())</f>
        <v>#N/A</v>
      </c>
      <c r="AC167" s="9" t="e">
        <f ca="1">IF($Q167=AC$2,VLOOKUP($O167,Impact!$A$4:$B$8,2,FALSE)+RANDBETWEEN(-20,20)/100,NA())</f>
        <v>#N/A</v>
      </c>
    </row>
    <row r="168" spans="1:29" x14ac:dyDescent="0.25">
      <c r="A168" s="17">
        <v>166</v>
      </c>
      <c r="B168" s="3" t="str">
        <f t="shared" si="16"/>
        <v/>
      </c>
      <c r="H168" s="49" t="str">
        <f t="shared" si="15"/>
        <v>s. D.</v>
      </c>
      <c r="I168" s="48" t="str">
        <f t="shared" si="17"/>
        <v/>
      </c>
      <c r="J168" s="49" t="str">
        <f>I168&amp;IF(NOT(ISBLANK(E168)),CHAR(10)&amp;VLOOKUP(E168,AttackRiskStep!$A$3:$C$99,3,FALSE),"see Description")&amp;IF(NOT(ISBLANK(F168))," -&gt; "&amp;CHAR(10)&amp;VLOOKUP(F168,AttackRiskStep!$A$3:$C$99,3,FALSE),"")&amp;IF(NOT(ISBLANK(G168))," -&gt; "&amp;CHAR(10)&amp;VLOOKUP(G168,AttackRiskStep!$A$3:$C$99,3,FALSE),"")</f>
        <v>see Description</v>
      </c>
      <c r="P168" s="38" t="e">
        <f>VLOOKUP($N168,Likelihood!$A$3:$B$7,2,FALSE)*VLOOKUP($O168,Impact!$A$4:$B$8,2,FALSE)</f>
        <v>#N/A</v>
      </c>
      <c r="Q168" s="39" t="e">
        <f>VLOOKUP(P168,RPN!$B$6:$C$22,2)</f>
        <v>#N/A</v>
      </c>
      <c r="Z168" s="9" t="e">
        <f ca="1">VLOOKUP($N168,Likelihood!$A$3:$C$7,2,FALSE)+RANDBETWEEN(-20,20)/100</f>
        <v>#N/A</v>
      </c>
      <c r="AA168" s="9" t="e">
        <f ca="1">IF($Q168=AA$2,VLOOKUP($O168,Impact!$A$4:$B$8,2,FALSE)+RANDBETWEEN(-20,20)/100,NA())</f>
        <v>#N/A</v>
      </c>
      <c r="AB168" s="9" t="e">
        <f ca="1">IF($Q168=AB$2,VLOOKUP($O168,Impact!$A$4:$B$8,2,FALSE)+RANDBETWEEN(-20,20)/100,NA())</f>
        <v>#N/A</v>
      </c>
      <c r="AC168" s="9" t="e">
        <f ca="1">IF($Q168=AC$2,VLOOKUP($O168,Impact!$A$4:$B$8,2,FALSE)+RANDBETWEEN(-20,20)/100,NA())</f>
        <v>#N/A</v>
      </c>
    </row>
    <row r="169" spans="1:29" x14ac:dyDescent="0.25">
      <c r="A169" s="17">
        <v>167</v>
      </c>
      <c r="B169" s="3" t="str">
        <f t="shared" si="16"/>
        <v/>
      </c>
      <c r="H169" s="49" t="str">
        <f t="shared" si="15"/>
        <v>s. D.</v>
      </c>
      <c r="I169" s="48" t="str">
        <f t="shared" si="17"/>
        <v/>
      </c>
      <c r="J169" s="49" t="str">
        <f>I169&amp;IF(NOT(ISBLANK(E169)),CHAR(10)&amp;VLOOKUP(E169,AttackRiskStep!$A$3:$C$99,3,FALSE),"see Description")&amp;IF(NOT(ISBLANK(F169))," -&gt; "&amp;CHAR(10)&amp;VLOOKUP(F169,AttackRiskStep!$A$3:$C$99,3,FALSE),"")&amp;IF(NOT(ISBLANK(G169))," -&gt; "&amp;CHAR(10)&amp;VLOOKUP(G169,AttackRiskStep!$A$3:$C$99,3,FALSE),"")</f>
        <v>see Description</v>
      </c>
      <c r="P169" s="38" t="e">
        <f>VLOOKUP($N169,Likelihood!$A$3:$B$7,2,FALSE)*VLOOKUP($O169,Impact!$A$4:$B$8,2,FALSE)</f>
        <v>#N/A</v>
      </c>
      <c r="Q169" s="39" t="e">
        <f>VLOOKUP(P169,RPN!$B$6:$C$22,2)</f>
        <v>#N/A</v>
      </c>
      <c r="Z169" s="9" t="e">
        <f ca="1">VLOOKUP($N169,Likelihood!$A$3:$C$7,2,FALSE)+RANDBETWEEN(-20,20)/100</f>
        <v>#N/A</v>
      </c>
      <c r="AA169" s="9" t="e">
        <f ca="1">IF($Q169=AA$2,VLOOKUP($O169,Impact!$A$4:$B$8,2,FALSE)+RANDBETWEEN(-20,20)/100,NA())</f>
        <v>#N/A</v>
      </c>
      <c r="AB169" s="9" t="e">
        <f ca="1">IF($Q169=AB$2,VLOOKUP($O169,Impact!$A$4:$B$8,2,FALSE)+RANDBETWEEN(-20,20)/100,NA())</f>
        <v>#N/A</v>
      </c>
      <c r="AC169" s="9" t="e">
        <f ca="1">IF($Q169=AC$2,VLOOKUP($O169,Impact!$A$4:$B$8,2,FALSE)+RANDBETWEEN(-20,20)/100,NA())</f>
        <v>#N/A</v>
      </c>
    </row>
    <row r="170" spans="1:29" x14ac:dyDescent="0.25">
      <c r="A170" s="17">
        <v>168</v>
      </c>
      <c r="B170" s="3" t="str">
        <f t="shared" si="16"/>
        <v/>
      </c>
      <c r="H170" s="49" t="str">
        <f t="shared" si="15"/>
        <v>s. D.</v>
      </c>
      <c r="I170" s="48" t="str">
        <f t="shared" si="17"/>
        <v/>
      </c>
      <c r="J170" s="49" t="str">
        <f>I170&amp;IF(NOT(ISBLANK(E170)),CHAR(10)&amp;VLOOKUP(E170,AttackRiskStep!$A$3:$C$99,3,FALSE),"see Description")&amp;IF(NOT(ISBLANK(F170))," -&gt; "&amp;CHAR(10)&amp;VLOOKUP(F170,AttackRiskStep!$A$3:$C$99,3,FALSE),"")&amp;IF(NOT(ISBLANK(G170))," -&gt; "&amp;CHAR(10)&amp;VLOOKUP(G170,AttackRiskStep!$A$3:$C$99,3,FALSE),"")</f>
        <v>see Description</v>
      </c>
      <c r="P170" s="38" t="e">
        <f>VLOOKUP($N170,Likelihood!$A$3:$B$7,2,FALSE)*VLOOKUP($O170,Impact!$A$4:$B$8,2,FALSE)</f>
        <v>#N/A</v>
      </c>
      <c r="Q170" s="39" t="e">
        <f>VLOOKUP(P170,RPN!$B$6:$C$22,2)</f>
        <v>#N/A</v>
      </c>
      <c r="Z170" s="9" t="e">
        <f ca="1">VLOOKUP($N170,Likelihood!$A$3:$C$7,2,FALSE)+RANDBETWEEN(-20,20)/100</f>
        <v>#N/A</v>
      </c>
      <c r="AA170" s="9" t="e">
        <f ca="1">IF($Q170=AA$2,VLOOKUP($O170,Impact!$A$4:$B$8,2,FALSE)+RANDBETWEEN(-20,20)/100,NA())</f>
        <v>#N/A</v>
      </c>
      <c r="AB170" s="9" t="e">
        <f ca="1">IF($Q170=AB$2,VLOOKUP($O170,Impact!$A$4:$B$8,2,FALSE)+RANDBETWEEN(-20,20)/100,NA())</f>
        <v>#N/A</v>
      </c>
      <c r="AC170" s="9" t="e">
        <f ca="1">IF($Q170=AC$2,VLOOKUP($O170,Impact!$A$4:$B$8,2,FALSE)+RANDBETWEEN(-20,20)/100,NA())</f>
        <v>#N/A</v>
      </c>
    </row>
    <row r="171" spans="1:29" x14ac:dyDescent="0.25">
      <c r="A171" s="17">
        <v>169</v>
      </c>
      <c r="B171" s="3" t="str">
        <f t="shared" si="16"/>
        <v/>
      </c>
      <c r="H171" s="49" t="str">
        <f t="shared" si="15"/>
        <v>s. D.</v>
      </c>
      <c r="I171" s="48" t="str">
        <f t="shared" si="17"/>
        <v/>
      </c>
      <c r="J171" s="49" t="str">
        <f>I171&amp;IF(NOT(ISBLANK(E171)),CHAR(10)&amp;VLOOKUP(E171,AttackRiskStep!$A$3:$C$99,3,FALSE),"see Description")&amp;IF(NOT(ISBLANK(F171))," -&gt; "&amp;CHAR(10)&amp;VLOOKUP(F171,AttackRiskStep!$A$3:$C$99,3,FALSE),"")&amp;IF(NOT(ISBLANK(G171))," -&gt; "&amp;CHAR(10)&amp;VLOOKUP(G171,AttackRiskStep!$A$3:$C$99,3,FALSE),"")</f>
        <v>see Description</v>
      </c>
      <c r="P171" s="38" t="e">
        <f>VLOOKUP($N171,Likelihood!$A$3:$B$7,2,FALSE)*VLOOKUP($O171,Impact!$A$4:$B$8,2,FALSE)</f>
        <v>#N/A</v>
      </c>
      <c r="Q171" s="39" t="e">
        <f>VLOOKUP(P171,RPN!$B$6:$C$22,2)</f>
        <v>#N/A</v>
      </c>
      <c r="Z171" s="9" t="e">
        <f ca="1">VLOOKUP($N171,Likelihood!$A$3:$C$7,2,FALSE)+RANDBETWEEN(-20,20)/100</f>
        <v>#N/A</v>
      </c>
      <c r="AA171" s="9" t="e">
        <f ca="1">IF($Q171=AA$2,VLOOKUP($O171,Impact!$A$4:$B$8,2,FALSE)+RANDBETWEEN(-20,20)/100,NA())</f>
        <v>#N/A</v>
      </c>
      <c r="AB171" s="9" t="e">
        <f ca="1">IF($Q171=AB$2,VLOOKUP($O171,Impact!$A$4:$B$8,2,FALSE)+RANDBETWEEN(-20,20)/100,NA())</f>
        <v>#N/A</v>
      </c>
      <c r="AC171" s="9" t="e">
        <f ca="1">IF($Q171=AC$2,VLOOKUP($O171,Impact!$A$4:$B$8,2,FALSE)+RANDBETWEEN(-20,20)/100,NA())</f>
        <v>#N/A</v>
      </c>
    </row>
    <row r="172" spans="1:29" x14ac:dyDescent="0.25">
      <c r="A172" s="17">
        <v>170</v>
      </c>
      <c r="B172" s="3" t="str">
        <f t="shared" si="16"/>
        <v/>
      </c>
      <c r="H172" s="49" t="str">
        <f t="shared" si="15"/>
        <v>s. D.</v>
      </c>
      <c r="I172" s="48" t="str">
        <f t="shared" si="17"/>
        <v/>
      </c>
      <c r="J172" s="49" t="str">
        <f>I172&amp;IF(NOT(ISBLANK(E172)),CHAR(10)&amp;VLOOKUP(E172,AttackRiskStep!$A$3:$C$99,3,FALSE),"see Description")&amp;IF(NOT(ISBLANK(F172))," -&gt; "&amp;CHAR(10)&amp;VLOOKUP(F172,AttackRiskStep!$A$3:$C$99,3,FALSE),"")&amp;IF(NOT(ISBLANK(G172))," -&gt; "&amp;CHAR(10)&amp;VLOOKUP(G172,AttackRiskStep!$A$3:$C$99,3,FALSE),"")</f>
        <v>see Description</v>
      </c>
      <c r="P172" s="38" t="e">
        <f>VLOOKUP($N172,Likelihood!$A$3:$B$7,2,FALSE)*VLOOKUP($O172,Impact!$A$4:$B$8,2,FALSE)</f>
        <v>#N/A</v>
      </c>
      <c r="Q172" s="39" t="e">
        <f>VLOOKUP(P172,RPN!$B$6:$C$22,2)</f>
        <v>#N/A</v>
      </c>
      <c r="Z172" s="9" t="e">
        <f ca="1">VLOOKUP($N172,Likelihood!$A$3:$C$7,2,FALSE)+RANDBETWEEN(-20,20)/100</f>
        <v>#N/A</v>
      </c>
      <c r="AA172" s="9" t="e">
        <f ca="1">IF($Q172=AA$2,VLOOKUP($O172,Impact!$A$4:$B$8,2,FALSE)+RANDBETWEEN(-20,20)/100,NA())</f>
        <v>#N/A</v>
      </c>
      <c r="AB172" s="9" t="e">
        <f ca="1">IF($Q172=AB$2,VLOOKUP($O172,Impact!$A$4:$B$8,2,FALSE)+RANDBETWEEN(-20,20)/100,NA())</f>
        <v>#N/A</v>
      </c>
      <c r="AC172" s="9" t="e">
        <f ca="1">IF($Q172=AC$2,VLOOKUP($O172,Impact!$A$4:$B$8,2,FALSE)+RANDBETWEEN(-20,20)/100,NA())</f>
        <v>#N/A</v>
      </c>
    </row>
    <row r="173" spans="1:29" x14ac:dyDescent="0.25">
      <c r="A173" s="17">
        <v>171</v>
      </c>
      <c r="B173" s="3" t="str">
        <f t="shared" si="16"/>
        <v/>
      </c>
      <c r="H173" s="49" t="str">
        <f t="shared" si="15"/>
        <v>s. D.</v>
      </c>
      <c r="I173" s="48" t="str">
        <f t="shared" si="17"/>
        <v/>
      </c>
      <c r="J173" s="49" t="str">
        <f>I173&amp;IF(NOT(ISBLANK(E173)),CHAR(10)&amp;VLOOKUP(E173,AttackRiskStep!$A$3:$C$99,3,FALSE),"see Description")&amp;IF(NOT(ISBLANK(F173))," -&gt; "&amp;CHAR(10)&amp;VLOOKUP(F173,AttackRiskStep!$A$3:$C$99,3,FALSE),"")&amp;IF(NOT(ISBLANK(G173))," -&gt; "&amp;CHAR(10)&amp;VLOOKUP(G173,AttackRiskStep!$A$3:$C$99,3,FALSE),"")</f>
        <v>see Description</v>
      </c>
      <c r="P173" s="38" t="e">
        <f>VLOOKUP($N173,Likelihood!$A$3:$B$7,2,FALSE)*VLOOKUP($O173,Impact!$A$4:$B$8,2,FALSE)</f>
        <v>#N/A</v>
      </c>
      <c r="Q173" s="39" t="e">
        <f>VLOOKUP(P173,RPN!$B$6:$C$22,2)</f>
        <v>#N/A</v>
      </c>
      <c r="Z173" s="9" t="e">
        <f ca="1">VLOOKUP($N173,Likelihood!$A$3:$C$7,2,FALSE)+RANDBETWEEN(-20,20)/100</f>
        <v>#N/A</v>
      </c>
      <c r="AA173" s="9" t="e">
        <f ca="1">IF($Q173=AA$2,VLOOKUP($O173,Impact!$A$4:$B$8,2,FALSE)+RANDBETWEEN(-20,20)/100,NA())</f>
        <v>#N/A</v>
      </c>
      <c r="AB173" s="9" t="e">
        <f ca="1">IF($Q173=AB$2,VLOOKUP($O173,Impact!$A$4:$B$8,2,FALSE)+RANDBETWEEN(-20,20)/100,NA())</f>
        <v>#N/A</v>
      </c>
      <c r="AC173" s="9" t="e">
        <f ca="1">IF($Q173=AC$2,VLOOKUP($O173,Impact!$A$4:$B$8,2,FALSE)+RANDBETWEEN(-20,20)/100,NA())</f>
        <v>#N/A</v>
      </c>
    </row>
    <row r="174" spans="1:29" x14ac:dyDescent="0.25">
      <c r="A174" s="17">
        <v>172</v>
      </c>
      <c r="B174" s="3" t="str">
        <f t="shared" si="16"/>
        <v/>
      </c>
      <c r="H174" s="49" t="str">
        <f t="shared" si="15"/>
        <v>s. D.</v>
      </c>
      <c r="I174" s="48" t="str">
        <f t="shared" si="17"/>
        <v/>
      </c>
      <c r="J174" s="49" t="str">
        <f>I174&amp;IF(NOT(ISBLANK(E174)),CHAR(10)&amp;VLOOKUP(E174,AttackRiskStep!$A$3:$C$99,3,FALSE),"see Description")&amp;IF(NOT(ISBLANK(F174))," -&gt; "&amp;CHAR(10)&amp;VLOOKUP(F174,AttackRiskStep!$A$3:$C$99,3,FALSE),"")&amp;IF(NOT(ISBLANK(G174))," -&gt; "&amp;CHAR(10)&amp;VLOOKUP(G174,AttackRiskStep!$A$3:$C$99,3,FALSE),"")</f>
        <v>see Description</v>
      </c>
      <c r="P174" s="38" t="e">
        <f>VLOOKUP($N174,Likelihood!$A$3:$B$7,2,FALSE)*VLOOKUP($O174,Impact!$A$4:$B$8,2,FALSE)</f>
        <v>#N/A</v>
      </c>
      <c r="Q174" s="39" t="e">
        <f>VLOOKUP(P174,RPN!$B$6:$C$22,2)</f>
        <v>#N/A</v>
      </c>
      <c r="Z174" s="9" t="e">
        <f ca="1">VLOOKUP($N174,Likelihood!$A$3:$C$7,2,FALSE)+RANDBETWEEN(-20,20)/100</f>
        <v>#N/A</v>
      </c>
      <c r="AA174" s="9" t="e">
        <f ca="1">IF($Q174=AA$2,VLOOKUP($O174,Impact!$A$4:$B$8,2,FALSE)+RANDBETWEEN(-20,20)/100,NA())</f>
        <v>#N/A</v>
      </c>
      <c r="AB174" s="9" t="e">
        <f ca="1">IF($Q174=AB$2,VLOOKUP($O174,Impact!$A$4:$B$8,2,FALSE)+RANDBETWEEN(-20,20)/100,NA())</f>
        <v>#N/A</v>
      </c>
      <c r="AC174" s="9" t="e">
        <f ca="1">IF($Q174=AC$2,VLOOKUP($O174,Impact!$A$4:$B$8,2,FALSE)+RANDBETWEEN(-20,20)/100,NA())</f>
        <v>#N/A</v>
      </c>
    </row>
    <row r="175" spans="1:29" x14ac:dyDescent="0.25">
      <c r="A175" s="17">
        <v>173</v>
      </c>
      <c r="B175" s="3" t="str">
        <f t="shared" si="16"/>
        <v/>
      </c>
      <c r="H175" s="49" t="str">
        <f t="shared" si="15"/>
        <v>s. D.</v>
      </c>
      <c r="I175" s="48" t="str">
        <f t="shared" si="17"/>
        <v/>
      </c>
      <c r="J175" s="49" t="str">
        <f>I175&amp;IF(NOT(ISBLANK(E175)),CHAR(10)&amp;VLOOKUP(E175,AttackRiskStep!$A$3:$C$99,3,FALSE),"see Description")&amp;IF(NOT(ISBLANK(F175))," -&gt; "&amp;CHAR(10)&amp;VLOOKUP(F175,AttackRiskStep!$A$3:$C$99,3,FALSE),"")&amp;IF(NOT(ISBLANK(G175))," -&gt; "&amp;CHAR(10)&amp;VLOOKUP(G175,AttackRiskStep!$A$3:$C$99,3,FALSE),"")</f>
        <v>see Description</v>
      </c>
      <c r="P175" s="38" t="e">
        <f>VLOOKUP($N175,Likelihood!$A$3:$B$7,2,FALSE)*VLOOKUP($O175,Impact!$A$4:$B$8,2,FALSE)</f>
        <v>#N/A</v>
      </c>
      <c r="Q175" s="39" t="e">
        <f>VLOOKUP(P175,RPN!$B$6:$C$22,2)</f>
        <v>#N/A</v>
      </c>
      <c r="Z175" s="9" t="e">
        <f ca="1">VLOOKUP($N175,Likelihood!$A$3:$C$7,2,FALSE)+RANDBETWEEN(-20,20)/100</f>
        <v>#N/A</v>
      </c>
      <c r="AA175" s="9" t="e">
        <f ca="1">IF($Q175=AA$2,VLOOKUP($O175,Impact!$A$4:$B$8,2,FALSE)+RANDBETWEEN(-20,20)/100,NA())</f>
        <v>#N/A</v>
      </c>
      <c r="AB175" s="9" t="e">
        <f ca="1">IF($Q175=AB$2,VLOOKUP($O175,Impact!$A$4:$B$8,2,FALSE)+RANDBETWEEN(-20,20)/100,NA())</f>
        <v>#N/A</v>
      </c>
      <c r="AC175" s="9" t="e">
        <f ca="1">IF($Q175=AC$2,VLOOKUP($O175,Impact!$A$4:$B$8,2,FALSE)+RANDBETWEEN(-20,20)/100,NA())</f>
        <v>#N/A</v>
      </c>
    </row>
    <row r="176" spans="1:29" x14ac:dyDescent="0.25">
      <c r="A176" s="17">
        <v>174</v>
      </c>
      <c r="B176" s="3" t="str">
        <f t="shared" si="16"/>
        <v/>
      </c>
      <c r="H176" s="49" t="str">
        <f t="shared" si="15"/>
        <v>s. D.</v>
      </c>
      <c r="I176" s="48" t="str">
        <f t="shared" si="17"/>
        <v/>
      </c>
      <c r="J176" s="49" t="str">
        <f>I176&amp;IF(NOT(ISBLANK(E176)),CHAR(10)&amp;VLOOKUP(E176,AttackRiskStep!$A$3:$C$99,3,FALSE),"see Description")&amp;IF(NOT(ISBLANK(F176))," -&gt; "&amp;CHAR(10)&amp;VLOOKUP(F176,AttackRiskStep!$A$3:$C$99,3,FALSE),"")&amp;IF(NOT(ISBLANK(G176))," -&gt; "&amp;CHAR(10)&amp;VLOOKUP(G176,AttackRiskStep!$A$3:$C$99,3,FALSE),"")</f>
        <v>see Description</v>
      </c>
      <c r="P176" s="38" t="e">
        <f>VLOOKUP($N176,Likelihood!$A$3:$B$7,2,FALSE)*VLOOKUP($O176,Impact!$A$4:$B$8,2,FALSE)</f>
        <v>#N/A</v>
      </c>
      <c r="Q176" s="39" t="e">
        <f>VLOOKUP(P176,RPN!$B$6:$C$22,2)</f>
        <v>#N/A</v>
      </c>
      <c r="Z176" s="9" t="e">
        <f ca="1">VLOOKUP($N176,Likelihood!$A$3:$C$7,2,FALSE)+RANDBETWEEN(-20,20)/100</f>
        <v>#N/A</v>
      </c>
      <c r="AA176" s="9" t="e">
        <f ca="1">IF($Q176=AA$2,VLOOKUP($O176,Impact!$A$4:$B$8,2,FALSE)+RANDBETWEEN(-20,20)/100,NA())</f>
        <v>#N/A</v>
      </c>
      <c r="AB176" s="9" t="e">
        <f ca="1">IF($Q176=AB$2,VLOOKUP($O176,Impact!$A$4:$B$8,2,FALSE)+RANDBETWEEN(-20,20)/100,NA())</f>
        <v>#N/A</v>
      </c>
      <c r="AC176" s="9" t="e">
        <f ca="1">IF($Q176=AC$2,VLOOKUP($O176,Impact!$A$4:$B$8,2,FALSE)+RANDBETWEEN(-20,20)/100,NA())</f>
        <v>#N/A</v>
      </c>
    </row>
    <row r="177" spans="1:29" x14ac:dyDescent="0.25">
      <c r="A177" s="17">
        <v>175</v>
      </c>
      <c r="B177" s="3" t="str">
        <f t="shared" si="16"/>
        <v/>
      </c>
      <c r="H177" s="49" t="str">
        <f t="shared" si="15"/>
        <v>s. D.</v>
      </c>
      <c r="I177" s="48" t="str">
        <f t="shared" si="17"/>
        <v/>
      </c>
      <c r="J177" s="49" t="str">
        <f>I177&amp;IF(NOT(ISBLANK(E177)),CHAR(10)&amp;VLOOKUP(E177,AttackRiskStep!$A$3:$C$99,3,FALSE),"see Description")&amp;IF(NOT(ISBLANK(F177))," -&gt; "&amp;CHAR(10)&amp;VLOOKUP(F177,AttackRiskStep!$A$3:$C$99,3,FALSE),"")&amp;IF(NOT(ISBLANK(G177))," -&gt; "&amp;CHAR(10)&amp;VLOOKUP(G177,AttackRiskStep!$A$3:$C$99,3,FALSE),"")</f>
        <v>see Description</v>
      </c>
      <c r="P177" s="38" t="e">
        <f>VLOOKUP($N177,Likelihood!$A$3:$B$7,2,FALSE)*VLOOKUP($O177,Impact!$A$4:$B$8,2,FALSE)</f>
        <v>#N/A</v>
      </c>
      <c r="Q177" s="39" t="e">
        <f>VLOOKUP(P177,RPN!$B$6:$C$22,2)</f>
        <v>#N/A</v>
      </c>
      <c r="Z177" s="9" t="e">
        <f ca="1">VLOOKUP($N177,Likelihood!$A$3:$C$7,2,FALSE)+RANDBETWEEN(-20,20)/100</f>
        <v>#N/A</v>
      </c>
      <c r="AA177" s="9" t="e">
        <f ca="1">IF($Q177=AA$2,VLOOKUP($O177,Impact!$A$4:$B$8,2,FALSE)+RANDBETWEEN(-20,20)/100,NA())</f>
        <v>#N/A</v>
      </c>
      <c r="AB177" s="9" t="e">
        <f ca="1">IF($Q177=AB$2,VLOOKUP($O177,Impact!$A$4:$B$8,2,FALSE)+RANDBETWEEN(-20,20)/100,NA())</f>
        <v>#N/A</v>
      </c>
      <c r="AC177" s="9" t="e">
        <f ca="1">IF($Q177=AC$2,VLOOKUP($O177,Impact!$A$4:$B$8,2,FALSE)+RANDBETWEEN(-20,20)/100,NA())</f>
        <v>#N/A</v>
      </c>
    </row>
    <row r="178" spans="1:29" x14ac:dyDescent="0.25">
      <c r="A178" s="17">
        <v>176</v>
      </c>
      <c r="B178" s="3" t="str">
        <f t="shared" si="16"/>
        <v/>
      </c>
      <c r="H178" s="49" t="str">
        <f t="shared" si="15"/>
        <v>s. D.</v>
      </c>
      <c r="I178" s="48" t="str">
        <f t="shared" si="17"/>
        <v/>
      </c>
      <c r="J178" s="49" t="str">
        <f>I178&amp;IF(NOT(ISBLANK(E178)),CHAR(10)&amp;VLOOKUP(E178,AttackRiskStep!$A$3:$C$99,3,FALSE),"see Description")&amp;IF(NOT(ISBLANK(F178))," -&gt; "&amp;CHAR(10)&amp;VLOOKUP(F178,AttackRiskStep!$A$3:$C$99,3,FALSE),"")&amp;IF(NOT(ISBLANK(G178))," -&gt; "&amp;CHAR(10)&amp;VLOOKUP(G178,AttackRiskStep!$A$3:$C$99,3,FALSE),"")</f>
        <v>see Description</v>
      </c>
      <c r="P178" s="38" t="e">
        <f>VLOOKUP($N178,Likelihood!$A$3:$B$7,2,FALSE)*VLOOKUP($O178,Impact!$A$4:$B$8,2,FALSE)</f>
        <v>#N/A</v>
      </c>
      <c r="Q178" s="39" t="e">
        <f>VLOOKUP(P178,RPN!$B$6:$C$22,2)</f>
        <v>#N/A</v>
      </c>
      <c r="Z178" s="9" t="e">
        <f ca="1">VLOOKUP($N178,Likelihood!$A$3:$C$7,2,FALSE)+RANDBETWEEN(-20,20)/100</f>
        <v>#N/A</v>
      </c>
      <c r="AA178" s="9" t="e">
        <f ca="1">IF($Q178=AA$2,VLOOKUP($O178,Impact!$A$4:$B$8,2,FALSE)+RANDBETWEEN(-20,20)/100,NA())</f>
        <v>#N/A</v>
      </c>
      <c r="AB178" s="9" t="e">
        <f ca="1">IF($Q178=AB$2,VLOOKUP($O178,Impact!$A$4:$B$8,2,FALSE)+RANDBETWEEN(-20,20)/100,NA())</f>
        <v>#N/A</v>
      </c>
      <c r="AC178" s="9" t="e">
        <f ca="1">IF($Q178=AC$2,VLOOKUP($O178,Impact!$A$4:$B$8,2,FALSE)+RANDBETWEEN(-20,20)/100,NA())</f>
        <v>#N/A</v>
      </c>
    </row>
    <row r="179" spans="1:29" x14ac:dyDescent="0.25">
      <c r="A179" s="17">
        <v>177</v>
      </c>
      <c r="B179" s="3" t="str">
        <f t="shared" si="16"/>
        <v/>
      </c>
      <c r="H179" s="49" t="str">
        <f t="shared" si="15"/>
        <v>s. D.</v>
      </c>
      <c r="I179" s="48" t="str">
        <f t="shared" si="17"/>
        <v/>
      </c>
      <c r="J179" s="49" t="str">
        <f>I179&amp;IF(NOT(ISBLANK(E179)),CHAR(10)&amp;VLOOKUP(E179,AttackRiskStep!$A$3:$C$99,3,FALSE),"see Description")&amp;IF(NOT(ISBLANK(F179))," -&gt; "&amp;CHAR(10)&amp;VLOOKUP(F179,AttackRiskStep!$A$3:$C$99,3,FALSE),"")&amp;IF(NOT(ISBLANK(G179))," -&gt; "&amp;CHAR(10)&amp;VLOOKUP(G179,AttackRiskStep!$A$3:$C$99,3,FALSE),"")</f>
        <v>see Description</v>
      </c>
      <c r="P179" s="38" t="e">
        <f>VLOOKUP($N179,Likelihood!$A$3:$B$7,2,FALSE)*VLOOKUP($O179,Impact!$A$4:$B$8,2,FALSE)</f>
        <v>#N/A</v>
      </c>
      <c r="Q179" s="39" t="e">
        <f>VLOOKUP(P179,RPN!$B$6:$C$22,2)</f>
        <v>#N/A</v>
      </c>
      <c r="Z179" s="9" t="e">
        <f ca="1">VLOOKUP($N179,Likelihood!$A$3:$C$7,2,FALSE)+RANDBETWEEN(-20,20)/100</f>
        <v>#N/A</v>
      </c>
      <c r="AA179" s="9" t="e">
        <f ca="1">IF($Q179=AA$2,VLOOKUP($O179,Impact!$A$4:$B$8,2,FALSE)+RANDBETWEEN(-20,20)/100,NA())</f>
        <v>#N/A</v>
      </c>
      <c r="AB179" s="9" t="e">
        <f ca="1">IF($Q179=AB$2,VLOOKUP($O179,Impact!$A$4:$B$8,2,FALSE)+RANDBETWEEN(-20,20)/100,NA())</f>
        <v>#N/A</v>
      </c>
      <c r="AC179" s="9" t="e">
        <f ca="1">IF($Q179=AC$2,VLOOKUP($O179,Impact!$A$4:$B$8,2,FALSE)+RANDBETWEEN(-20,20)/100,NA())</f>
        <v>#N/A</v>
      </c>
    </row>
    <row r="180" spans="1:29" x14ac:dyDescent="0.25">
      <c r="A180" s="17">
        <v>178</v>
      </c>
      <c r="B180" s="3" t="str">
        <f t="shared" si="16"/>
        <v/>
      </c>
      <c r="H180" s="49" t="str">
        <f t="shared" si="15"/>
        <v>s. D.</v>
      </c>
      <c r="I180" s="48" t="str">
        <f t="shared" si="17"/>
        <v/>
      </c>
      <c r="J180" s="49" t="str">
        <f>I180&amp;IF(NOT(ISBLANK(E180)),CHAR(10)&amp;VLOOKUP(E180,AttackRiskStep!$A$3:$C$99,3,FALSE),"see Description")&amp;IF(NOT(ISBLANK(F180))," -&gt; "&amp;CHAR(10)&amp;VLOOKUP(F180,AttackRiskStep!$A$3:$C$99,3,FALSE),"")&amp;IF(NOT(ISBLANK(G180))," -&gt; "&amp;CHAR(10)&amp;VLOOKUP(G180,AttackRiskStep!$A$3:$C$99,3,FALSE),"")</f>
        <v>see Description</v>
      </c>
      <c r="P180" s="38" t="e">
        <f>VLOOKUP($N180,Likelihood!$A$3:$B$7,2,FALSE)*VLOOKUP($O180,Impact!$A$4:$B$8,2,FALSE)</f>
        <v>#N/A</v>
      </c>
      <c r="Q180" s="39" t="e">
        <f>VLOOKUP(P180,RPN!$B$6:$C$22,2)</f>
        <v>#N/A</v>
      </c>
      <c r="Z180" s="9" t="e">
        <f ca="1">VLOOKUP($N180,Likelihood!$A$3:$C$7,2,FALSE)+RANDBETWEEN(-20,20)/100</f>
        <v>#N/A</v>
      </c>
      <c r="AA180" s="9" t="e">
        <f ca="1">IF($Q180=AA$2,VLOOKUP($O180,Impact!$A$4:$B$8,2,FALSE)+RANDBETWEEN(-20,20)/100,NA())</f>
        <v>#N/A</v>
      </c>
      <c r="AB180" s="9" t="e">
        <f ca="1">IF($Q180=AB$2,VLOOKUP($O180,Impact!$A$4:$B$8,2,FALSE)+RANDBETWEEN(-20,20)/100,NA())</f>
        <v>#N/A</v>
      </c>
      <c r="AC180" s="9" t="e">
        <f ca="1">IF($Q180=AC$2,VLOOKUP($O180,Impact!$A$4:$B$8,2,FALSE)+RANDBETWEEN(-20,20)/100,NA())</f>
        <v>#N/A</v>
      </c>
    </row>
    <row r="181" spans="1:29" x14ac:dyDescent="0.25">
      <c r="A181" s="17">
        <v>179</v>
      </c>
      <c r="B181" s="3" t="str">
        <f t="shared" si="16"/>
        <v/>
      </c>
      <c r="H181" s="49" t="str">
        <f t="shared" si="15"/>
        <v>s. D.</v>
      </c>
      <c r="I181" s="48" t="str">
        <f t="shared" si="17"/>
        <v/>
      </c>
      <c r="J181" s="49" t="str">
        <f>I181&amp;IF(NOT(ISBLANK(E181)),CHAR(10)&amp;VLOOKUP(E181,AttackRiskStep!$A$3:$C$99,3,FALSE),"see Description")&amp;IF(NOT(ISBLANK(F181))," -&gt; "&amp;CHAR(10)&amp;VLOOKUP(F181,AttackRiskStep!$A$3:$C$99,3,FALSE),"")&amp;IF(NOT(ISBLANK(G181))," -&gt; "&amp;CHAR(10)&amp;VLOOKUP(G181,AttackRiskStep!$A$3:$C$99,3,FALSE),"")</f>
        <v>see Description</v>
      </c>
      <c r="P181" s="38" t="e">
        <f>VLOOKUP($N181,Likelihood!$A$3:$B$7,2,FALSE)*VLOOKUP($O181,Impact!$A$4:$B$8,2,FALSE)</f>
        <v>#N/A</v>
      </c>
      <c r="Q181" s="39" t="e">
        <f>VLOOKUP(P181,RPN!$B$6:$C$22,2)</f>
        <v>#N/A</v>
      </c>
      <c r="Z181" s="9" t="e">
        <f ca="1">VLOOKUP($N181,Likelihood!$A$3:$C$7,2,FALSE)+RANDBETWEEN(-20,20)/100</f>
        <v>#N/A</v>
      </c>
      <c r="AA181" s="9" t="e">
        <f ca="1">IF($Q181=AA$2,VLOOKUP($O181,Impact!$A$4:$B$8,2,FALSE)+RANDBETWEEN(-20,20)/100,NA())</f>
        <v>#N/A</v>
      </c>
      <c r="AB181" s="9" t="e">
        <f ca="1">IF($Q181=AB$2,VLOOKUP($O181,Impact!$A$4:$B$8,2,FALSE)+RANDBETWEEN(-20,20)/100,NA())</f>
        <v>#N/A</v>
      </c>
      <c r="AC181" s="9" t="e">
        <f ca="1">IF($Q181=AC$2,VLOOKUP($O181,Impact!$A$4:$B$8,2,FALSE)+RANDBETWEEN(-20,20)/100,NA())</f>
        <v>#N/A</v>
      </c>
    </row>
    <row r="182" spans="1:29" x14ac:dyDescent="0.25">
      <c r="A182" s="17">
        <v>180</v>
      </c>
      <c r="B182" s="3" t="str">
        <f t="shared" si="16"/>
        <v/>
      </c>
      <c r="H182" s="49" t="str">
        <f t="shared" si="15"/>
        <v>s. D.</v>
      </c>
      <c r="I182" s="48" t="str">
        <f t="shared" si="17"/>
        <v/>
      </c>
      <c r="J182" s="49" t="str">
        <f>I182&amp;IF(NOT(ISBLANK(E182)),CHAR(10)&amp;VLOOKUP(E182,AttackRiskStep!$A$3:$C$99,3,FALSE),"see Description")&amp;IF(NOT(ISBLANK(F182))," -&gt; "&amp;CHAR(10)&amp;VLOOKUP(F182,AttackRiskStep!$A$3:$C$99,3,FALSE),"")&amp;IF(NOT(ISBLANK(G182))," -&gt; "&amp;CHAR(10)&amp;VLOOKUP(G182,AttackRiskStep!$A$3:$C$99,3,FALSE),"")</f>
        <v>see Description</v>
      </c>
      <c r="P182" s="38" t="e">
        <f>VLOOKUP($N182,Likelihood!$A$3:$B$7,2,FALSE)*VLOOKUP($O182,Impact!$A$4:$B$8,2,FALSE)</f>
        <v>#N/A</v>
      </c>
      <c r="Q182" s="39" t="e">
        <f>VLOOKUP(P182,RPN!$B$6:$C$22,2)</f>
        <v>#N/A</v>
      </c>
      <c r="Z182" s="9" t="e">
        <f ca="1">VLOOKUP($N182,Likelihood!$A$3:$C$7,2,FALSE)+RANDBETWEEN(-20,20)/100</f>
        <v>#N/A</v>
      </c>
      <c r="AA182" s="9" t="e">
        <f ca="1">IF($Q182=AA$2,VLOOKUP($O182,Impact!$A$4:$B$8,2,FALSE)+RANDBETWEEN(-20,20)/100,NA())</f>
        <v>#N/A</v>
      </c>
      <c r="AB182" s="9" t="e">
        <f ca="1">IF($Q182=AB$2,VLOOKUP($O182,Impact!$A$4:$B$8,2,FALSE)+RANDBETWEEN(-20,20)/100,NA())</f>
        <v>#N/A</v>
      </c>
      <c r="AC182" s="9" t="e">
        <f ca="1">IF($Q182=AC$2,VLOOKUP($O182,Impact!$A$4:$B$8,2,FALSE)+RANDBETWEEN(-20,20)/100,NA())</f>
        <v>#N/A</v>
      </c>
    </row>
    <row r="183" spans="1:29" x14ac:dyDescent="0.25">
      <c r="A183" s="17">
        <v>181</v>
      </c>
      <c r="B183" s="3" t="str">
        <f t="shared" si="16"/>
        <v/>
      </c>
      <c r="H183" s="49" t="str">
        <f t="shared" si="15"/>
        <v>s. D.</v>
      </c>
      <c r="I183" s="48" t="str">
        <f t="shared" si="17"/>
        <v/>
      </c>
      <c r="J183" s="49" t="str">
        <f>I183&amp;IF(NOT(ISBLANK(E183)),CHAR(10)&amp;VLOOKUP(E183,AttackRiskStep!$A$3:$C$99,3,FALSE),"see Description")&amp;IF(NOT(ISBLANK(F183))," -&gt; "&amp;CHAR(10)&amp;VLOOKUP(F183,AttackRiskStep!$A$3:$C$99,3,FALSE),"")&amp;IF(NOT(ISBLANK(G183))," -&gt; "&amp;CHAR(10)&amp;VLOOKUP(G183,AttackRiskStep!$A$3:$C$99,3,FALSE),"")</f>
        <v>see Description</v>
      </c>
      <c r="P183" s="38" t="e">
        <f>VLOOKUP($N183,Likelihood!$A$3:$B$7,2,FALSE)*VLOOKUP($O183,Impact!$A$4:$B$8,2,FALSE)</f>
        <v>#N/A</v>
      </c>
      <c r="Q183" s="39" t="e">
        <f>VLOOKUP(P183,RPN!$B$6:$C$22,2)</f>
        <v>#N/A</v>
      </c>
      <c r="Z183" s="9" t="e">
        <f ca="1">VLOOKUP($N183,Likelihood!$A$3:$C$7,2,FALSE)+RANDBETWEEN(-20,20)/100</f>
        <v>#N/A</v>
      </c>
      <c r="AA183" s="9" t="e">
        <f ca="1">IF($Q183=AA$2,VLOOKUP($O183,Impact!$A$4:$B$8,2,FALSE)+RANDBETWEEN(-20,20)/100,NA())</f>
        <v>#N/A</v>
      </c>
      <c r="AB183" s="9" t="e">
        <f ca="1">IF($Q183=AB$2,VLOOKUP($O183,Impact!$A$4:$B$8,2,FALSE)+RANDBETWEEN(-20,20)/100,NA())</f>
        <v>#N/A</v>
      </c>
      <c r="AC183" s="9" t="e">
        <f ca="1">IF($Q183=AC$2,VLOOKUP($O183,Impact!$A$4:$B$8,2,FALSE)+RANDBETWEEN(-20,20)/100,NA())</f>
        <v>#N/A</v>
      </c>
    </row>
    <row r="184" spans="1:29" x14ac:dyDescent="0.25">
      <c r="A184" s="17">
        <v>182</v>
      </c>
      <c r="B184" s="3" t="str">
        <f t="shared" si="16"/>
        <v/>
      </c>
      <c r="H184" s="49" t="str">
        <f t="shared" si="15"/>
        <v>s. D.</v>
      </c>
      <c r="I184" s="48" t="str">
        <f t="shared" si="17"/>
        <v/>
      </c>
      <c r="J184" s="49" t="str">
        <f>I184&amp;IF(NOT(ISBLANK(E184)),CHAR(10)&amp;VLOOKUP(E184,AttackRiskStep!$A$3:$C$99,3,FALSE),"see Description")&amp;IF(NOT(ISBLANK(F184))," -&gt; "&amp;CHAR(10)&amp;VLOOKUP(F184,AttackRiskStep!$A$3:$C$99,3,FALSE),"")&amp;IF(NOT(ISBLANK(G184))," -&gt; "&amp;CHAR(10)&amp;VLOOKUP(G184,AttackRiskStep!$A$3:$C$99,3,FALSE),"")</f>
        <v>see Description</v>
      </c>
      <c r="P184" s="38" t="e">
        <f>VLOOKUP($N184,Likelihood!$A$3:$B$7,2,FALSE)*VLOOKUP($O184,Impact!$A$4:$B$8,2,FALSE)</f>
        <v>#N/A</v>
      </c>
      <c r="Q184" s="39" t="e">
        <f>VLOOKUP(P184,RPN!$B$6:$C$22,2)</f>
        <v>#N/A</v>
      </c>
      <c r="Z184" s="9" t="e">
        <f ca="1">VLOOKUP($N184,Likelihood!$A$3:$C$7,2,FALSE)+RANDBETWEEN(-20,20)/100</f>
        <v>#N/A</v>
      </c>
      <c r="AA184" s="9" t="e">
        <f ca="1">IF($Q184=AA$2,VLOOKUP($O184,Impact!$A$4:$B$8,2,FALSE)+RANDBETWEEN(-20,20)/100,NA())</f>
        <v>#N/A</v>
      </c>
      <c r="AB184" s="9" t="e">
        <f ca="1">IF($Q184=AB$2,VLOOKUP($O184,Impact!$A$4:$B$8,2,FALSE)+RANDBETWEEN(-20,20)/100,NA())</f>
        <v>#N/A</v>
      </c>
      <c r="AC184" s="9" t="e">
        <f ca="1">IF($Q184=AC$2,VLOOKUP($O184,Impact!$A$4:$B$8,2,FALSE)+RANDBETWEEN(-20,20)/100,NA())</f>
        <v>#N/A</v>
      </c>
    </row>
    <row r="185" spans="1:29" x14ac:dyDescent="0.25">
      <c r="A185" s="17">
        <v>183</v>
      </c>
      <c r="B185" s="3" t="str">
        <f t="shared" si="16"/>
        <v/>
      </c>
      <c r="H185" s="49" t="str">
        <f t="shared" si="15"/>
        <v>s. D.</v>
      </c>
      <c r="I185" s="48" t="str">
        <f t="shared" si="17"/>
        <v/>
      </c>
      <c r="J185" s="49" t="str">
        <f>I185&amp;IF(NOT(ISBLANK(E185)),CHAR(10)&amp;VLOOKUP(E185,AttackRiskStep!$A$3:$C$99,3,FALSE),"see Description")&amp;IF(NOT(ISBLANK(F185))," -&gt; "&amp;CHAR(10)&amp;VLOOKUP(F185,AttackRiskStep!$A$3:$C$99,3,FALSE),"")&amp;IF(NOT(ISBLANK(G185))," -&gt; "&amp;CHAR(10)&amp;VLOOKUP(G185,AttackRiskStep!$A$3:$C$99,3,FALSE),"")</f>
        <v>see Description</v>
      </c>
      <c r="P185" s="38" t="e">
        <f>VLOOKUP($N185,Likelihood!$A$3:$B$7,2,FALSE)*VLOOKUP($O185,Impact!$A$4:$B$8,2,FALSE)</f>
        <v>#N/A</v>
      </c>
      <c r="Q185" s="39" t="e">
        <f>VLOOKUP(P185,RPN!$B$6:$C$22,2)</f>
        <v>#N/A</v>
      </c>
      <c r="Z185" s="9" t="e">
        <f ca="1">VLOOKUP($N185,Likelihood!$A$3:$C$7,2,FALSE)+RANDBETWEEN(-20,20)/100</f>
        <v>#N/A</v>
      </c>
      <c r="AA185" s="9" t="e">
        <f ca="1">IF($Q185=AA$2,VLOOKUP($O185,Impact!$A$4:$B$8,2,FALSE)+RANDBETWEEN(-20,20)/100,NA())</f>
        <v>#N/A</v>
      </c>
      <c r="AB185" s="9" t="e">
        <f ca="1">IF($Q185=AB$2,VLOOKUP($O185,Impact!$A$4:$B$8,2,FALSE)+RANDBETWEEN(-20,20)/100,NA())</f>
        <v>#N/A</v>
      </c>
      <c r="AC185" s="9" t="e">
        <f ca="1">IF($Q185=AC$2,VLOOKUP($O185,Impact!$A$4:$B$8,2,FALSE)+RANDBETWEEN(-20,20)/100,NA())</f>
        <v>#N/A</v>
      </c>
    </row>
    <row r="186" spans="1:29" x14ac:dyDescent="0.25">
      <c r="A186" s="17">
        <v>184</v>
      </c>
      <c r="B186" s="3" t="str">
        <f t="shared" si="16"/>
        <v/>
      </c>
      <c r="H186" s="49" t="str">
        <f t="shared" si="15"/>
        <v>s. D.</v>
      </c>
      <c r="I186" s="48" t="str">
        <f t="shared" si="17"/>
        <v/>
      </c>
      <c r="J186" s="49" t="str">
        <f>I186&amp;IF(NOT(ISBLANK(E186)),CHAR(10)&amp;VLOOKUP(E186,AttackRiskStep!$A$3:$C$99,3,FALSE),"see Description")&amp;IF(NOT(ISBLANK(F186))," -&gt; "&amp;CHAR(10)&amp;VLOOKUP(F186,AttackRiskStep!$A$3:$C$99,3,FALSE),"")&amp;IF(NOT(ISBLANK(G186))," -&gt; "&amp;CHAR(10)&amp;VLOOKUP(G186,AttackRiskStep!$A$3:$C$99,3,FALSE),"")</f>
        <v>see Description</v>
      </c>
      <c r="P186" s="38" t="e">
        <f>VLOOKUP($N186,Likelihood!$A$3:$B$7,2,FALSE)*VLOOKUP($O186,Impact!$A$4:$B$8,2,FALSE)</f>
        <v>#N/A</v>
      </c>
      <c r="Q186" s="39" t="e">
        <f>VLOOKUP(P186,RPN!$B$6:$C$22,2)</f>
        <v>#N/A</v>
      </c>
      <c r="Z186" s="9" t="e">
        <f ca="1">VLOOKUP($N186,Likelihood!$A$3:$C$7,2,FALSE)+RANDBETWEEN(-20,20)/100</f>
        <v>#N/A</v>
      </c>
      <c r="AA186" s="9" t="e">
        <f ca="1">IF($Q186=AA$2,VLOOKUP($O186,Impact!$A$4:$B$8,2,FALSE)+RANDBETWEEN(-20,20)/100,NA())</f>
        <v>#N/A</v>
      </c>
      <c r="AB186" s="9" t="e">
        <f ca="1">IF($Q186=AB$2,VLOOKUP($O186,Impact!$A$4:$B$8,2,FALSE)+RANDBETWEEN(-20,20)/100,NA())</f>
        <v>#N/A</v>
      </c>
      <c r="AC186" s="9" t="e">
        <f ca="1">IF($Q186=AC$2,VLOOKUP($O186,Impact!$A$4:$B$8,2,FALSE)+RANDBETWEEN(-20,20)/100,NA())</f>
        <v>#N/A</v>
      </c>
    </row>
    <row r="187" spans="1:29" x14ac:dyDescent="0.25">
      <c r="A187" s="17">
        <v>185</v>
      </c>
      <c r="B187" s="3" t="str">
        <f t="shared" si="16"/>
        <v/>
      </c>
      <c r="H187" s="49" t="str">
        <f t="shared" si="15"/>
        <v>s. D.</v>
      </c>
      <c r="I187" s="48" t="str">
        <f t="shared" si="17"/>
        <v/>
      </c>
      <c r="J187" s="49" t="str">
        <f>I187&amp;IF(NOT(ISBLANK(E187)),CHAR(10)&amp;VLOOKUP(E187,AttackRiskStep!$A$3:$C$99,3,FALSE),"see Description")&amp;IF(NOT(ISBLANK(F187))," -&gt; "&amp;CHAR(10)&amp;VLOOKUP(F187,AttackRiskStep!$A$3:$C$99,3,FALSE),"")&amp;IF(NOT(ISBLANK(G187))," -&gt; "&amp;CHAR(10)&amp;VLOOKUP(G187,AttackRiskStep!$A$3:$C$99,3,FALSE),"")</f>
        <v>see Description</v>
      </c>
      <c r="P187" s="38" t="e">
        <f>VLOOKUP($N187,Likelihood!$A$3:$B$7,2,FALSE)*VLOOKUP($O187,Impact!$A$4:$B$8,2,FALSE)</f>
        <v>#N/A</v>
      </c>
      <c r="Q187" s="39" t="e">
        <f>VLOOKUP(P187,RPN!$B$6:$C$22,2)</f>
        <v>#N/A</v>
      </c>
      <c r="Z187" s="9" t="e">
        <f ca="1">VLOOKUP($N187,Likelihood!$A$3:$C$7,2,FALSE)+RANDBETWEEN(-20,20)/100</f>
        <v>#N/A</v>
      </c>
      <c r="AA187" s="9" t="e">
        <f ca="1">IF($Q187=AA$2,VLOOKUP($O187,Impact!$A$4:$B$8,2,FALSE)+RANDBETWEEN(-20,20)/100,NA())</f>
        <v>#N/A</v>
      </c>
      <c r="AB187" s="9" t="e">
        <f ca="1">IF($Q187=AB$2,VLOOKUP($O187,Impact!$A$4:$B$8,2,FALSE)+RANDBETWEEN(-20,20)/100,NA())</f>
        <v>#N/A</v>
      </c>
      <c r="AC187" s="9" t="e">
        <f ca="1">IF($Q187=AC$2,VLOOKUP($O187,Impact!$A$4:$B$8,2,FALSE)+RANDBETWEEN(-20,20)/100,NA())</f>
        <v>#N/A</v>
      </c>
    </row>
    <row r="188" spans="1:29" x14ac:dyDescent="0.25">
      <c r="A188" s="17">
        <v>186</v>
      </c>
      <c r="B188" s="3" t="str">
        <f t="shared" si="16"/>
        <v/>
      </c>
      <c r="H188" s="49" t="str">
        <f t="shared" si="15"/>
        <v>s. D.</v>
      </c>
      <c r="I188" s="48" t="str">
        <f t="shared" si="17"/>
        <v/>
      </c>
      <c r="J188" s="49" t="str">
        <f>I188&amp;IF(NOT(ISBLANK(E188)),CHAR(10)&amp;VLOOKUP(E188,AttackRiskStep!$A$3:$C$99,3,FALSE),"see Description")&amp;IF(NOT(ISBLANK(F188))," -&gt; "&amp;CHAR(10)&amp;VLOOKUP(F188,AttackRiskStep!$A$3:$C$99,3,FALSE),"")&amp;IF(NOT(ISBLANK(G188))," -&gt; "&amp;CHAR(10)&amp;VLOOKUP(G188,AttackRiskStep!$A$3:$C$99,3,FALSE),"")</f>
        <v>see Description</v>
      </c>
      <c r="P188" s="38" t="e">
        <f>VLOOKUP($N188,Likelihood!$A$3:$B$7,2,FALSE)*VLOOKUP($O188,Impact!$A$4:$B$8,2,FALSE)</f>
        <v>#N/A</v>
      </c>
      <c r="Q188" s="39" t="e">
        <f>VLOOKUP(P188,RPN!$B$6:$C$22,2)</f>
        <v>#N/A</v>
      </c>
      <c r="Z188" s="9" t="e">
        <f ca="1">VLOOKUP($N188,Likelihood!$A$3:$C$7,2,FALSE)+RANDBETWEEN(-20,20)/100</f>
        <v>#N/A</v>
      </c>
      <c r="AA188" s="9" t="e">
        <f ca="1">IF($Q188=AA$2,VLOOKUP($O188,Impact!$A$4:$B$8,2,FALSE)+RANDBETWEEN(-20,20)/100,NA())</f>
        <v>#N/A</v>
      </c>
      <c r="AB188" s="9" t="e">
        <f ca="1">IF($Q188=AB$2,VLOOKUP($O188,Impact!$A$4:$B$8,2,FALSE)+RANDBETWEEN(-20,20)/100,NA())</f>
        <v>#N/A</v>
      </c>
      <c r="AC188" s="9" t="e">
        <f ca="1">IF($Q188=AC$2,VLOOKUP($O188,Impact!$A$4:$B$8,2,FALSE)+RANDBETWEEN(-20,20)/100,NA())</f>
        <v>#N/A</v>
      </c>
    </row>
    <row r="189" spans="1:29" x14ac:dyDescent="0.25">
      <c r="A189" s="17">
        <v>187</v>
      </c>
      <c r="B189" s="3" t="str">
        <f t="shared" si="16"/>
        <v/>
      </c>
      <c r="H189" s="49" t="str">
        <f t="shared" si="15"/>
        <v>s. D.</v>
      </c>
      <c r="I189" s="48" t="str">
        <f t="shared" si="17"/>
        <v/>
      </c>
      <c r="J189" s="49" t="str">
        <f>I189&amp;IF(NOT(ISBLANK(E189)),CHAR(10)&amp;VLOOKUP(E189,AttackRiskStep!$A$3:$C$99,3,FALSE),"see Description")&amp;IF(NOT(ISBLANK(F189))," -&gt; "&amp;CHAR(10)&amp;VLOOKUP(F189,AttackRiskStep!$A$3:$C$99,3,FALSE),"")&amp;IF(NOT(ISBLANK(G189))," -&gt; "&amp;CHAR(10)&amp;VLOOKUP(G189,AttackRiskStep!$A$3:$C$99,3,FALSE),"")</f>
        <v>see Description</v>
      </c>
      <c r="P189" s="38" t="e">
        <f>VLOOKUP($N189,Likelihood!$A$3:$B$7,2,FALSE)*VLOOKUP($O189,Impact!$A$4:$B$8,2,FALSE)</f>
        <v>#N/A</v>
      </c>
      <c r="Q189" s="39" t="e">
        <f>VLOOKUP(P189,RPN!$B$6:$C$22,2)</f>
        <v>#N/A</v>
      </c>
      <c r="Z189" s="9" t="e">
        <f ca="1">VLOOKUP($N189,Likelihood!$A$3:$C$7,2,FALSE)+RANDBETWEEN(-20,20)/100</f>
        <v>#N/A</v>
      </c>
      <c r="AA189" s="9" t="e">
        <f ca="1">IF($Q189=AA$2,VLOOKUP($O189,Impact!$A$4:$B$8,2,FALSE)+RANDBETWEEN(-20,20)/100,NA())</f>
        <v>#N/A</v>
      </c>
      <c r="AB189" s="9" t="e">
        <f ca="1">IF($Q189=AB$2,VLOOKUP($O189,Impact!$A$4:$B$8,2,FALSE)+RANDBETWEEN(-20,20)/100,NA())</f>
        <v>#N/A</v>
      </c>
      <c r="AC189" s="9" t="e">
        <f ca="1">IF($Q189=AC$2,VLOOKUP($O189,Impact!$A$4:$B$8,2,FALSE)+RANDBETWEEN(-20,20)/100,NA())</f>
        <v>#N/A</v>
      </c>
    </row>
    <row r="190" spans="1:29" x14ac:dyDescent="0.25">
      <c r="A190" s="17">
        <v>188</v>
      </c>
      <c r="B190" s="3" t="str">
        <f t="shared" si="16"/>
        <v/>
      </c>
      <c r="H190" s="49" t="str">
        <f t="shared" si="15"/>
        <v>s. D.</v>
      </c>
      <c r="I190" s="48" t="str">
        <f t="shared" si="17"/>
        <v/>
      </c>
      <c r="J190" s="49" t="str">
        <f>I190&amp;IF(NOT(ISBLANK(E190)),CHAR(10)&amp;VLOOKUP(E190,AttackRiskStep!$A$3:$C$99,3,FALSE),"see Description")&amp;IF(NOT(ISBLANK(F190))," -&gt; "&amp;CHAR(10)&amp;VLOOKUP(F190,AttackRiskStep!$A$3:$C$99,3,FALSE),"")&amp;IF(NOT(ISBLANK(G190))," -&gt; "&amp;CHAR(10)&amp;VLOOKUP(G190,AttackRiskStep!$A$3:$C$99,3,FALSE),"")</f>
        <v>see Description</v>
      </c>
      <c r="P190" s="38" t="e">
        <f>VLOOKUP($N190,Likelihood!$A$3:$B$7,2,FALSE)*VLOOKUP($O190,Impact!$A$4:$B$8,2,FALSE)</f>
        <v>#N/A</v>
      </c>
      <c r="Q190" s="39" t="e">
        <f>VLOOKUP(P190,RPN!$B$6:$C$22,2)</f>
        <v>#N/A</v>
      </c>
      <c r="Z190" s="9" t="e">
        <f ca="1">VLOOKUP($N190,Likelihood!$A$3:$C$7,2,FALSE)+RANDBETWEEN(-20,20)/100</f>
        <v>#N/A</v>
      </c>
      <c r="AA190" s="9" t="e">
        <f ca="1">IF($Q190=AA$2,VLOOKUP($O190,Impact!$A$4:$B$8,2,FALSE)+RANDBETWEEN(-20,20)/100,NA())</f>
        <v>#N/A</v>
      </c>
      <c r="AB190" s="9" t="e">
        <f ca="1">IF($Q190=AB$2,VLOOKUP($O190,Impact!$A$4:$B$8,2,FALSE)+RANDBETWEEN(-20,20)/100,NA())</f>
        <v>#N/A</v>
      </c>
      <c r="AC190" s="9" t="e">
        <f ca="1">IF($Q190=AC$2,VLOOKUP($O190,Impact!$A$4:$B$8,2,FALSE)+RANDBETWEEN(-20,20)/100,NA())</f>
        <v>#N/A</v>
      </c>
    </row>
    <row r="191" spans="1:29" x14ac:dyDescent="0.25">
      <c r="A191" s="17">
        <v>189</v>
      </c>
      <c r="B191" s="3" t="str">
        <f t="shared" si="16"/>
        <v/>
      </c>
      <c r="H191" s="49" t="str">
        <f t="shared" si="15"/>
        <v>s. D.</v>
      </c>
      <c r="I191" s="48" t="str">
        <f t="shared" si="17"/>
        <v/>
      </c>
      <c r="J191" s="49" t="str">
        <f>I191&amp;IF(NOT(ISBLANK(E191)),CHAR(10)&amp;VLOOKUP(E191,AttackRiskStep!$A$3:$C$99,3,FALSE),"see Description")&amp;IF(NOT(ISBLANK(F191))," -&gt; "&amp;CHAR(10)&amp;VLOOKUP(F191,AttackRiskStep!$A$3:$C$99,3,FALSE),"")&amp;IF(NOT(ISBLANK(G191))," -&gt; "&amp;CHAR(10)&amp;VLOOKUP(G191,AttackRiskStep!$A$3:$C$99,3,FALSE),"")</f>
        <v>see Description</v>
      </c>
      <c r="P191" s="38" t="e">
        <f>VLOOKUP($N191,Likelihood!$A$3:$B$7,2,FALSE)*VLOOKUP($O191,Impact!$A$4:$B$8,2,FALSE)</f>
        <v>#N/A</v>
      </c>
      <c r="Q191" s="39" t="e">
        <f>VLOOKUP(P191,RPN!$B$6:$C$22,2)</f>
        <v>#N/A</v>
      </c>
      <c r="Z191" s="9" t="e">
        <f ca="1">VLOOKUP($N191,Likelihood!$A$3:$C$7,2,FALSE)+RANDBETWEEN(-20,20)/100</f>
        <v>#N/A</v>
      </c>
      <c r="AA191" s="9" t="e">
        <f ca="1">IF($Q191=AA$2,VLOOKUP($O191,Impact!$A$4:$B$8,2,FALSE)+RANDBETWEEN(-20,20)/100,NA())</f>
        <v>#N/A</v>
      </c>
      <c r="AB191" s="9" t="e">
        <f ca="1">IF($Q191=AB$2,VLOOKUP($O191,Impact!$A$4:$B$8,2,FALSE)+RANDBETWEEN(-20,20)/100,NA())</f>
        <v>#N/A</v>
      </c>
      <c r="AC191" s="9" t="e">
        <f ca="1">IF($Q191=AC$2,VLOOKUP($O191,Impact!$A$4:$B$8,2,FALSE)+RANDBETWEEN(-20,20)/100,NA())</f>
        <v>#N/A</v>
      </c>
    </row>
    <row r="192" spans="1:29" x14ac:dyDescent="0.25">
      <c r="A192" s="17">
        <v>190</v>
      </c>
      <c r="B192" s="3" t="str">
        <f t="shared" si="16"/>
        <v/>
      </c>
      <c r="H192" s="49" t="str">
        <f t="shared" si="15"/>
        <v>s. D.</v>
      </c>
      <c r="I192" s="48" t="str">
        <f t="shared" si="17"/>
        <v/>
      </c>
      <c r="J192" s="49" t="str">
        <f>I192&amp;IF(NOT(ISBLANK(E192)),CHAR(10)&amp;VLOOKUP(E192,AttackRiskStep!$A$3:$C$99,3,FALSE),"see Description")&amp;IF(NOT(ISBLANK(F192))," -&gt; "&amp;CHAR(10)&amp;VLOOKUP(F192,AttackRiskStep!$A$3:$C$99,3,FALSE),"")&amp;IF(NOT(ISBLANK(G192))," -&gt; "&amp;CHAR(10)&amp;VLOOKUP(G192,AttackRiskStep!$A$3:$C$99,3,FALSE),"")</f>
        <v>see Description</v>
      </c>
      <c r="P192" s="38" t="e">
        <f>VLOOKUP($N192,Likelihood!$A$3:$B$7,2,FALSE)*VLOOKUP($O192,Impact!$A$4:$B$8,2,FALSE)</f>
        <v>#N/A</v>
      </c>
      <c r="Q192" s="39" t="e">
        <f>VLOOKUP(P192,RPN!$B$6:$C$22,2)</f>
        <v>#N/A</v>
      </c>
      <c r="Z192" s="9" t="e">
        <f ca="1">VLOOKUP($N192,Likelihood!$A$3:$C$7,2,FALSE)+RANDBETWEEN(-20,20)/100</f>
        <v>#N/A</v>
      </c>
      <c r="AA192" s="9" t="e">
        <f ca="1">IF($Q192=AA$2,VLOOKUP($O192,Impact!$A$4:$B$8,2,FALSE)+RANDBETWEEN(-20,20)/100,NA())</f>
        <v>#N/A</v>
      </c>
      <c r="AB192" s="9" t="e">
        <f ca="1">IF($Q192=AB$2,VLOOKUP($O192,Impact!$A$4:$B$8,2,FALSE)+RANDBETWEEN(-20,20)/100,NA())</f>
        <v>#N/A</v>
      </c>
      <c r="AC192" s="9" t="e">
        <f ca="1">IF($Q192=AC$2,VLOOKUP($O192,Impact!$A$4:$B$8,2,FALSE)+RANDBETWEEN(-20,20)/100,NA())</f>
        <v>#N/A</v>
      </c>
    </row>
    <row r="193" spans="1:29" x14ac:dyDescent="0.25">
      <c r="A193" s="17">
        <v>191</v>
      </c>
      <c r="B193" s="3" t="str">
        <f t="shared" si="16"/>
        <v/>
      </c>
      <c r="H193" s="49" t="str">
        <f t="shared" ref="H193:H256" si="18">IF(ISBLANK(E193),"s. D.",IF(ISBLANK(F193),E193,IF(ISBLANK(G193),F193,G193)))</f>
        <v>s. D.</v>
      </c>
      <c r="I193" s="48" t="str">
        <f t="shared" si="17"/>
        <v/>
      </c>
      <c r="J193" s="49" t="str">
        <f>I193&amp;IF(NOT(ISBLANK(E193)),CHAR(10)&amp;VLOOKUP(E193,AttackRiskStep!$A$3:$C$99,3,FALSE),"see Description")&amp;IF(NOT(ISBLANK(F193))," -&gt; "&amp;CHAR(10)&amp;VLOOKUP(F193,AttackRiskStep!$A$3:$C$99,3,FALSE),"")&amp;IF(NOT(ISBLANK(G193))," -&gt; "&amp;CHAR(10)&amp;VLOOKUP(G193,AttackRiskStep!$A$3:$C$99,3,FALSE),"")</f>
        <v>see Description</v>
      </c>
      <c r="P193" s="38" t="e">
        <f>VLOOKUP($N193,Likelihood!$A$3:$B$7,2,FALSE)*VLOOKUP($O193,Impact!$A$4:$B$8,2,FALSE)</f>
        <v>#N/A</v>
      </c>
      <c r="Q193" s="39" t="e">
        <f>VLOOKUP(P193,RPN!$B$6:$C$22,2)</f>
        <v>#N/A</v>
      </c>
      <c r="Z193" s="9" t="e">
        <f ca="1">VLOOKUP($N193,Likelihood!$A$3:$C$7,2,FALSE)+RANDBETWEEN(-20,20)/100</f>
        <v>#N/A</v>
      </c>
      <c r="AA193" s="9" t="e">
        <f ca="1">IF($Q193=AA$2,VLOOKUP($O193,Impact!$A$4:$B$8,2,FALSE)+RANDBETWEEN(-20,20)/100,NA())</f>
        <v>#N/A</v>
      </c>
      <c r="AB193" s="9" t="e">
        <f ca="1">IF($Q193=AB$2,VLOOKUP($O193,Impact!$A$4:$B$8,2,FALSE)+RANDBETWEEN(-20,20)/100,NA())</f>
        <v>#N/A</v>
      </c>
      <c r="AC193" s="9" t="e">
        <f ca="1">IF($Q193=AC$2,VLOOKUP($O193,Impact!$A$4:$B$8,2,FALSE)+RANDBETWEEN(-20,20)/100,NA())</f>
        <v>#N/A</v>
      </c>
    </row>
    <row r="194" spans="1:29" x14ac:dyDescent="0.25">
      <c r="A194" s="17">
        <v>192</v>
      </c>
      <c r="B194" s="3" t="str">
        <f t="shared" si="16"/>
        <v/>
      </c>
      <c r="H194" s="49" t="str">
        <f t="shared" si="18"/>
        <v>s. D.</v>
      </c>
      <c r="I194" s="48" t="str">
        <f t="shared" si="17"/>
        <v/>
      </c>
      <c r="J194" s="49" t="str">
        <f>I194&amp;IF(NOT(ISBLANK(E194)),CHAR(10)&amp;VLOOKUP(E194,AttackRiskStep!$A$3:$C$99,3,FALSE),"see Description")&amp;IF(NOT(ISBLANK(F194))," -&gt; "&amp;CHAR(10)&amp;VLOOKUP(F194,AttackRiskStep!$A$3:$C$99,3,FALSE),"")&amp;IF(NOT(ISBLANK(G194))," -&gt; "&amp;CHAR(10)&amp;VLOOKUP(G194,AttackRiskStep!$A$3:$C$99,3,FALSE),"")</f>
        <v>see Description</v>
      </c>
      <c r="P194" s="38" t="e">
        <f>VLOOKUP($N194,Likelihood!$A$3:$B$7,2,FALSE)*VLOOKUP($O194,Impact!$A$4:$B$8,2,FALSE)</f>
        <v>#N/A</v>
      </c>
      <c r="Q194" s="39" t="e">
        <f>VLOOKUP(P194,RPN!$B$6:$C$22,2)</f>
        <v>#N/A</v>
      </c>
      <c r="Z194" s="9" t="e">
        <f ca="1">VLOOKUP($N194,Likelihood!$A$3:$C$7,2,FALSE)+RANDBETWEEN(-20,20)/100</f>
        <v>#N/A</v>
      </c>
      <c r="AA194" s="9" t="e">
        <f ca="1">IF($Q194=AA$2,VLOOKUP($O194,Impact!$A$4:$B$8,2,FALSE)+RANDBETWEEN(-20,20)/100,NA())</f>
        <v>#N/A</v>
      </c>
      <c r="AB194" s="9" t="e">
        <f ca="1">IF($Q194=AB$2,VLOOKUP($O194,Impact!$A$4:$B$8,2,FALSE)+RANDBETWEEN(-20,20)/100,NA())</f>
        <v>#N/A</v>
      </c>
      <c r="AC194" s="9" t="e">
        <f ca="1">IF($Q194=AC$2,VLOOKUP($O194,Impact!$A$4:$B$8,2,FALSE)+RANDBETWEEN(-20,20)/100,NA())</f>
        <v>#N/A</v>
      </c>
    </row>
    <row r="195" spans="1:29" x14ac:dyDescent="0.25">
      <c r="A195" s="17">
        <v>193</v>
      </c>
      <c r="B195" s="3" t="str">
        <f t="shared" ref="B195:B258" si="19">I195</f>
        <v/>
      </c>
      <c r="H195" s="49" t="str">
        <f t="shared" si="18"/>
        <v>s. D.</v>
      </c>
      <c r="I195" s="48" t="str">
        <f t="shared" ref="I195:I258" si="20">IF(NOT(ISBLANK(E195)),E195,"")&amp;IF(NOT(ISBLANK(F195))," -&gt; "&amp;F195,"")&amp;IF(NOT(ISBLANK(G195))," -&gt; "&amp;G195,"")</f>
        <v/>
      </c>
      <c r="J195" s="49" t="str">
        <f>I195&amp;IF(NOT(ISBLANK(E195)),CHAR(10)&amp;VLOOKUP(E195,AttackRiskStep!$A$3:$C$99,3,FALSE),"see Description")&amp;IF(NOT(ISBLANK(F195))," -&gt; "&amp;CHAR(10)&amp;VLOOKUP(F195,AttackRiskStep!$A$3:$C$99,3,FALSE),"")&amp;IF(NOT(ISBLANK(G195))," -&gt; "&amp;CHAR(10)&amp;VLOOKUP(G195,AttackRiskStep!$A$3:$C$99,3,FALSE),"")</f>
        <v>see Description</v>
      </c>
      <c r="P195" s="38" t="e">
        <f>VLOOKUP($N195,Likelihood!$A$3:$B$7,2,FALSE)*VLOOKUP($O195,Impact!$A$4:$B$8,2,FALSE)</f>
        <v>#N/A</v>
      </c>
      <c r="Q195" s="39" t="e">
        <f>VLOOKUP(P195,RPN!$B$6:$C$22,2)</f>
        <v>#N/A</v>
      </c>
      <c r="Z195" s="9" t="e">
        <f ca="1">VLOOKUP($N195,Likelihood!$A$3:$C$7,2,FALSE)+RANDBETWEEN(-20,20)/100</f>
        <v>#N/A</v>
      </c>
      <c r="AA195" s="9" t="e">
        <f ca="1">IF($Q195=AA$2,VLOOKUP($O195,Impact!$A$4:$B$8,2,FALSE)+RANDBETWEEN(-20,20)/100,NA())</f>
        <v>#N/A</v>
      </c>
      <c r="AB195" s="9" t="e">
        <f ca="1">IF($Q195=AB$2,VLOOKUP($O195,Impact!$A$4:$B$8,2,FALSE)+RANDBETWEEN(-20,20)/100,NA())</f>
        <v>#N/A</v>
      </c>
      <c r="AC195" s="9" t="e">
        <f ca="1">IF($Q195=AC$2,VLOOKUP($O195,Impact!$A$4:$B$8,2,FALSE)+RANDBETWEEN(-20,20)/100,NA())</f>
        <v>#N/A</v>
      </c>
    </row>
    <row r="196" spans="1:29" x14ac:dyDescent="0.25">
      <c r="A196" s="17">
        <v>194</v>
      </c>
      <c r="B196" s="3" t="str">
        <f t="shared" si="19"/>
        <v/>
      </c>
      <c r="H196" s="49" t="str">
        <f t="shared" si="18"/>
        <v>s. D.</v>
      </c>
      <c r="I196" s="48" t="str">
        <f t="shared" si="20"/>
        <v/>
      </c>
      <c r="J196" s="49" t="str">
        <f>I196&amp;IF(NOT(ISBLANK(E196)),CHAR(10)&amp;VLOOKUP(E196,AttackRiskStep!$A$3:$C$99,3,FALSE),"see Description")&amp;IF(NOT(ISBLANK(F196))," -&gt; "&amp;CHAR(10)&amp;VLOOKUP(F196,AttackRiskStep!$A$3:$C$99,3,FALSE),"")&amp;IF(NOT(ISBLANK(G196))," -&gt; "&amp;CHAR(10)&amp;VLOOKUP(G196,AttackRiskStep!$A$3:$C$99,3,FALSE),"")</f>
        <v>see Description</v>
      </c>
      <c r="P196" s="38" t="e">
        <f>VLOOKUP($N196,Likelihood!$A$3:$B$7,2,FALSE)*VLOOKUP($O196,Impact!$A$4:$B$8,2,FALSE)</f>
        <v>#N/A</v>
      </c>
      <c r="Q196" s="39" t="e">
        <f>VLOOKUP(P196,RPN!$B$6:$C$22,2)</f>
        <v>#N/A</v>
      </c>
      <c r="Z196" s="9" t="e">
        <f ca="1">VLOOKUP($N196,Likelihood!$A$3:$C$7,2,FALSE)+RANDBETWEEN(-20,20)/100</f>
        <v>#N/A</v>
      </c>
      <c r="AA196" s="9" t="e">
        <f ca="1">IF($Q196=AA$2,VLOOKUP($O196,Impact!$A$4:$B$8,2,FALSE)+RANDBETWEEN(-20,20)/100,NA())</f>
        <v>#N/A</v>
      </c>
      <c r="AB196" s="9" t="e">
        <f ca="1">IF($Q196=AB$2,VLOOKUP($O196,Impact!$A$4:$B$8,2,FALSE)+RANDBETWEEN(-20,20)/100,NA())</f>
        <v>#N/A</v>
      </c>
      <c r="AC196" s="9" t="e">
        <f ca="1">IF($Q196=AC$2,VLOOKUP($O196,Impact!$A$4:$B$8,2,FALSE)+RANDBETWEEN(-20,20)/100,NA())</f>
        <v>#N/A</v>
      </c>
    </row>
    <row r="197" spans="1:29" x14ac:dyDescent="0.25">
      <c r="A197" s="17">
        <v>195</v>
      </c>
      <c r="B197" s="3" t="str">
        <f t="shared" si="19"/>
        <v/>
      </c>
      <c r="H197" s="49" t="str">
        <f t="shared" si="18"/>
        <v>s. D.</v>
      </c>
      <c r="I197" s="48" t="str">
        <f t="shared" si="20"/>
        <v/>
      </c>
      <c r="J197" s="49" t="str">
        <f>I197&amp;IF(NOT(ISBLANK(E197)),CHAR(10)&amp;VLOOKUP(E197,AttackRiskStep!$A$3:$C$99,3,FALSE),"see Description")&amp;IF(NOT(ISBLANK(F197))," -&gt; "&amp;CHAR(10)&amp;VLOOKUP(F197,AttackRiskStep!$A$3:$C$99,3,FALSE),"")&amp;IF(NOT(ISBLANK(G197))," -&gt; "&amp;CHAR(10)&amp;VLOOKUP(G197,AttackRiskStep!$A$3:$C$99,3,FALSE),"")</f>
        <v>see Description</v>
      </c>
      <c r="P197" s="38" t="e">
        <f>VLOOKUP($N197,Likelihood!$A$3:$B$7,2,FALSE)*VLOOKUP($O197,Impact!$A$4:$B$8,2,FALSE)</f>
        <v>#N/A</v>
      </c>
      <c r="Q197" s="39" t="e">
        <f>VLOOKUP(P197,RPN!$B$6:$C$22,2)</f>
        <v>#N/A</v>
      </c>
      <c r="Z197" s="9" t="e">
        <f ca="1">VLOOKUP($N197,Likelihood!$A$3:$C$7,2,FALSE)+RANDBETWEEN(-20,20)/100</f>
        <v>#N/A</v>
      </c>
      <c r="AA197" s="9" t="e">
        <f ca="1">IF($Q197=AA$2,VLOOKUP($O197,Impact!$A$4:$B$8,2,FALSE)+RANDBETWEEN(-20,20)/100,NA())</f>
        <v>#N/A</v>
      </c>
      <c r="AB197" s="9" t="e">
        <f ca="1">IF($Q197=AB$2,VLOOKUP($O197,Impact!$A$4:$B$8,2,FALSE)+RANDBETWEEN(-20,20)/100,NA())</f>
        <v>#N/A</v>
      </c>
      <c r="AC197" s="9" t="e">
        <f ca="1">IF($Q197=AC$2,VLOOKUP($O197,Impact!$A$4:$B$8,2,FALSE)+RANDBETWEEN(-20,20)/100,NA())</f>
        <v>#N/A</v>
      </c>
    </row>
    <row r="198" spans="1:29" x14ac:dyDescent="0.25">
      <c r="A198" s="17">
        <v>196</v>
      </c>
      <c r="B198" s="3" t="str">
        <f t="shared" si="19"/>
        <v/>
      </c>
      <c r="H198" s="49" t="str">
        <f t="shared" si="18"/>
        <v>s. D.</v>
      </c>
      <c r="I198" s="48" t="str">
        <f t="shared" si="20"/>
        <v/>
      </c>
      <c r="J198" s="49" t="str">
        <f>I198&amp;IF(NOT(ISBLANK(E198)),CHAR(10)&amp;VLOOKUP(E198,AttackRiskStep!$A$3:$C$99,3,FALSE),"see Description")&amp;IF(NOT(ISBLANK(F198))," -&gt; "&amp;CHAR(10)&amp;VLOOKUP(F198,AttackRiskStep!$A$3:$C$99,3,FALSE),"")&amp;IF(NOT(ISBLANK(G198))," -&gt; "&amp;CHAR(10)&amp;VLOOKUP(G198,AttackRiskStep!$A$3:$C$99,3,FALSE),"")</f>
        <v>see Description</v>
      </c>
      <c r="P198" s="38" t="e">
        <f>VLOOKUP($N198,Likelihood!$A$3:$B$7,2,FALSE)*VLOOKUP($O198,Impact!$A$4:$B$8,2,FALSE)</f>
        <v>#N/A</v>
      </c>
      <c r="Q198" s="39" t="e">
        <f>VLOOKUP(P198,RPN!$B$6:$C$22,2)</f>
        <v>#N/A</v>
      </c>
      <c r="Z198" s="9" t="e">
        <f ca="1">VLOOKUP($N198,Likelihood!$A$3:$C$7,2,FALSE)+RANDBETWEEN(-20,20)/100</f>
        <v>#N/A</v>
      </c>
      <c r="AA198" s="9" t="e">
        <f ca="1">IF($Q198=AA$2,VLOOKUP($O198,Impact!$A$4:$B$8,2,FALSE)+RANDBETWEEN(-20,20)/100,NA())</f>
        <v>#N/A</v>
      </c>
      <c r="AB198" s="9" t="e">
        <f ca="1">IF($Q198=AB$2,VLOOKUP($O198,Impact!$A$4:$B$8,2,FALSE)+RANDBETWEEN(-20,20)/100,NA())</f>
        <v>#N/A</v>
      </c>
      <c r="AC198" s="9" t="e">
        <f ca="1">IF($Q198=AC$2,VLOOKUP($O198,Impact!$A$4:$B$8,2,FALSE)+RANDBETWEEN(-20,20)/100,NA())</f>
        <v>#N/A</v>
      </c>
    </row>
    <row r="199" spans="1:29" x14ac:dyDescent="0.25">
      <c r="A199" s="17">
        <v>197</v>
      </c>
      <c r="B199" s="3" t="str">
        <f t="shared" si="19"/>
        <v/>
      </c>
      <c r="H199" s="49" t="str">
        <f t="shared" si="18"/>
        <v>s. D.</v>
      </c>
      <c r="I199" s="48" t="str">
        <f t="shared" si="20"/>
        <v/>
      </c>
      <c r="J199" s="49" t="str">
        <f>I199&amp;IF(NOT(ISBLANK(E199)),CHAR(10)&amp;VLOOKUP(E199,AttackRiskStep!$A$3:$C$99,3,FALSE),"see Description")&amp;IF(NOT(ISBLANK(F199))," -&gt; "&amp;CHAR(10)&amp;VLOOKUP(F199,AttackRiskStep!$A$3:$C$99,3,FALSE),"")&amp;IF(NOT(ISBLANK(G199))," -&gt; "&amp;CHAR(10)&amp;VLOOKUP(G199,AttackRiskStep!$A$3:$C$99,3,FALSE),"")</f>
        <v>see Description</v>
      </c>
      <c r="P199" s="38" t="e">
        <f>VLOOKUP($N199,Likelihood!$A$3:$B$7,2,FALSE)*VLOOKUP($O199,Impact!$A$4:$B$8,2,FALSE)</f>
        <v>#N/A</v>
      </c>
      <c r="Q199" s="39" t="e">
        <f>VLOOKUP(P199,RPN!$B$6:$C$22,2)</f>
        <v>#N/A</v>
      </c>
      <c r="Z199" s="9" t="e">
        <f ca="1">VLOOKUP($N199,Likelihood!$A$3:$C$7,2,FALSE)+RANDBETWEEN(-20,20)/100</f>
        <v>#N/A</v>
      </c>
      <c r="AA199" s="9" t="e">
        <f ca="1">IF($Q199=AA$2,VLOOKUP($O199,Impact!$A$4:$B$8,2,FALSE)+RANDBETWEEN(-20,20)/100,NA())</f>
        <v>#N/A</v>
      </c>
      <c r="AB199" s="9" t="e">
        <f ca="1">IF($Q199=AB$2,VLOOKUP($O199,Impact!$A$4:$B$8,2,FALSE)+RANDBETWEEN(-20,20)/100,NA())</f>
        <v>#N/A</v>
      </c>
      <c r="AC199" s="9" t="e">
        <f ca="1">IF($Q199=AC$2,VLOOKUP($O199,Impact!$A$4:$B$8,2,FALSE)+RANDBETWEEN(-20,20)/100,NA())</f>
        <v>#N/A</v>
      </c>
    </row>
    <row r="200" spans="1:29" x14ac:dyDescent="0.25">
      <c r="A200" s="17">
        <v>198</v>
      </c>
      <c r="B200" s="3" t="str">
        <f t="shared" si="19"/>
        <v/>
      </c>
      <c r="H200" s="49" t="str">
        <f t="shared" si="18"/>
        <v>s. D.</v>
      </c>
      <c r="I200" s="48" t="str">
        <f t="shared" si="20"/>
        <v/>
      </c>
      <c r="J200" s="49" t="str">
        <f>I200&amp;IF(NOT(ISBLANK(E200)),CHAR(10)&amp;VLOOKUP(E200,AttackRiskStep!$A$3:$C$99,3,FALSE),"see Description")&amp;IF(NOT(ISBLANK(F200))," -&gt; "&amp;CHAR(10)&amp;VLOOKUP(F200,AttackRiskStep!$A$3:$C$99,3,FALSE),"")&amp;IF(NOT(ISBLANK(G200))," -&gt; "&amp;CHAR(10)&amp;VLOOKUP(G200,AttackRiskStep!$A$3:$C$99,3,FALSE),"")</f>
        <v>see Description</v>
      </c>
      <c r="P200" s="38" t="e">
        <f>VLOOKUP($N200,Likelihood!$A$3:$B$7,2,FALSE)*VLOOKUP($O200,Impact!$A$4:$B$8,2,FALSE)</f>
        <v>#N/A</v>
      </c>
      <c r="Q200" s="39" t="e">
        <f>VLOOKUP(P200,RPN!$B$6:$C$22,2)</f>
        <v>#N/A</v>
      </c>
      <c r="Z200" s="9" t="e">
        <f ca="1">VLOOKUP($N200,Likelihood!$A$3:$C$7,2,FALSE)+RANDBETWEEN(-20,20)/100</f>
        <v>#N/A</v>
      </c>
      <c r="AA200" s="9" t="e">
        <f ca="1">IF($Q200=AA$2,VLOOKUP($O200,Impact!$A$4:$B$8,2,FALSE)+RANDBETWEEN(-20,20)/100,NA())</f>
        <v>#N/A</v>
      </c>
      <c r="AB200" s="9" t="e">
        <f ca="1">IF($Q200=AB$2,VLOOKUP($O200,Impact!$A$4:$B$8,2,FALSE)+RANDBETWEEN(-20,20)/100,NA())</f>
        <v>#N/A</v>
      </c>
      <c r="AC200" s="9" t="e">
        <f ca="1">IF($Q200=AC$2,VLOOKUP($O200,Impact!$A$4:$B$8,2,FALSE)+RANDBETWEEN(-20,20)/100,NA())</f>
        <v>#N/A</v>
      </c>
    </row>
    <row r="201" spans="1:29" x14ac:dyDescent="0.25">
      <c r="A201" s="17">
        <v>199</v>
      </c>
      <c r="B201" s="3" t="str">
        <f t="shared" si="19"/>
        <v/>
      </c>
      <c r="H201" s="49" t="str">
        <f t="shared" si="18"/>
        <v>s. D.</v>
      </c>
      <c r="I201" s="48" t="str">
        <f t="shared" si="20"/>
        <v/>
      </c>
      <c r="J201" s="49" t="str">
        <f>I201&amp;IF(NOT(ISBLANK(E201)),CHAR(10)&amp;VLOOKUP(E201,AttackRiskStep!$A$3:$C$99,3,FALSE),"see Description")&amp;IF(NOT(ISBLANK(F201))," -&gt; "&amp;CHAR(10)&amp;VLOOKUP(F201,AttackRiskStep!$A$3:$C$99,3,FALSE),"")&amp;IF(NOT(ISBLANK(G201))," -&gt; "&amp;CHAR(10)&amp;VLOOKUP(G201,AttackRiskStep!$A$3:$C$99,3,FALSE),"")</f>
        <v>see Description</v>
      </c>
      <c r="P201" s="38" t="e">
        <f>VLOOKUP($N201,Likelihood!$A$3:$B$7,2,FALSE)*VLOOKUP($O201,Impact!$A$4:$B$8,2,FALSE)</f>
        <v>#N/A</v>
      </c>
      <c r="Q201" s="39" t="e">
        <f>VLOOKUP(P201,RPN!$B$6:$C$22,2)</f>
        <v>#N/A</v>
      </c>
      <c r="Z201" s="9" t="e">
        <f ca="1">VLOOKUP($N201,Likelihood!$A$3:$C$7,2,FALSE)+RANDBETWEEN(-20,20)/100</f>
        <v>#N/A</v>
      </c>
      <c r="AA201" s="9" t="e">
        <f ca="1">IF($Q201=AA$2,VLOOKUP($O201,Impact!$A$4:$B$8,2,FALSE)+RANDBETWEEN(-20,20)/100,NA())</f>
        <v>#N/A</v>
      </c>
      <c r="AB201" s="9" t="e">
        <f ca="1">IF($Q201=AB$2,VLOOKUP($O201,Impact!$A$4:$B$8,2,FALSE)+RANDBETWEEN(-20,20)/100,NA())</f>
        <v>#N/A</v>
      </c>
      <c r="AC201" s="9" t="e">
        <f ca="1">IF($Q201=AC$2,VLOOKUP($O201,Impact!$A$4:$B$8,2,FALSE)+RANDBETWEEN(-20,20)/100,NA())</f>
        <v>#N/A</v>
      </c>
    </row>
    <row r="202" spans="1:29" x14ac:dyDescent="0.25">
      <c r="A202" s="17">
        <v>200</v>
      </c>
      <c r="B202" s="3" t="str">
        <f t="shared" si="19"/>
        <v/>
      </c>
      <c r="H202" s="49" t="str">
        <f t="shared" si="18"/>
        <v>s. D.</v>
      </c>
      <c r="I202" s="48" t="str">
        <f t="shared" si="20"/>
        <v/>
      </c>
      <c r="J202" s="49" t="str">
        <f>I202&amp;IF(NOT(ISBLANK(E202)),CHAR(10)&amp;VLOOKUP(E202,AttackRiskStep!$A$3:$C$99,3,FALSE),"see Description")&amp;IF(NOT(ISBLANK(F202))," -&gt; "&amp;CHAR(10)&amp;VLOOKUP(F202,AttackRiskStep!$A$3:$C$99,3,FALSE),"")&amp;IF(NOT(ISBLANK(G202))," -&gt; "&amp;CHAR(10)&amp;VLOOKUP(G202,AttackRiskStep!$A$3:$C$99,3,FALSE),"")</f>
        <v>see Description</v>
      </c>
      <c r="P202" s="38" t="e">
        <f>VLOOKUP($N202,Likelihood!$A$3:$B$7,2,FALSE)*VLOOKUP($O202,Impact!$A$4:$B$8,2,FALSE)</f>
        <v>#N/A</v>
      </c>
      <c r="Q202" s="39" t="e">
        <f>VLOOKUP(P202,RPN!$B$6:$C$22,2)</f>
        <v>#N/A</v>
      </c>
      <c r="Z202" s="9" t="e">
        <f ca="1">VLOOKUP($N202,Likelihood!$A$3:$C$7,2,FALSE)+RANDBETWEEN(-20,20)/100</f>
        <v>#N/A</v>
      </c>
      <c r="AA202" s="9" t="e">
        <f ca="1">IF($Q202=AA$2,VLOOKUP($O202,Impact!$A$4:$B$8,2,FALSE)+RANDBETWEEN(-20,20)/100,NA())</f>
        <v>#N/A</v>
      </c>
      <c r="AB202" s="9" t="e">
        <f ca="1">IF($Q202=AB$2,VLOOKUP($O202,Impact!$A$4:$B$8,2,FALSE)+RANDBETWEEN(-20,20)/100,NA())</f>
        <v>#N/A</v>
      </c>
      <c r="AC202" s="9" t="e">
        <f ca="1">IF($Q202=AC$2,VLOOKUP($O202,Impact!$A$4:$B$8,2,FALSE)+RANDBETWEEN(-20,20)/100,NA())</f>
        <v>#N/A</v>
      </c>
    </row>
    <row r="203" spans="1:29" x14ac:dyDescent="0.25">
      <c r="A203" s="17">
        <v>201</v>
      </c>
      <c r="B203" s="3" t="str">
        <f t="shared" si="19"/>
        <v/>
      </c>
      <c r="H203" s="49" t="str">
        <f t="shared" si="18"/>
        <v>s. D.</v>
      </c>
      <c r="I203" s="48" t="str">
        <f t="shared" si="20"/>
        <v/>
      </c>
      <c r="J203" s="49" t="str">
        <f>I203&amp;IF(NOT(ISBLANK(E203)),CHAR(10)&amp;VLOOKUP(E203,AttackRiskStep!$A$3:$C$99,3,FALSE),"see Description")&amp;IF(NOT(ISBLANK(F203))," -&gt; "&amp;CHAR(10)&amp;VLOOKUP(F203,AttackRiskStep!$A$3:$C$99,3,FALSE),"")&amp;IF(NOT(ISBLANK(G203))," -&gt; "&amp;CHAR(10)&amp;VLOOKUP(G203,AttackRiskStep!$A$3:$C$99,3,FALSE),"")</f>
        <v>see Description</v>
      </c>
      <c r="P203" s="38" t="e">
        <f>VLOOKUP($N203,Likelihood!$A$3:$B$7,2,FALSE)*VLOOKUP($O203,Impact!$A$4:$B$8,2,FALSE)</f>
        <v>#N/A</v>
      </c>
      <c r="Q203" s="39" t="e">
        <f>VLOOKUP(P203,RPN!$B$6:$C$22,2)</f>
        <v>#N/A</v>
      </c>
      <c r="Z203" s="9" t="e">
        <f ca="1">VLOOKUP($N203,Likelihood!$A$3:$C$7,2,FALSE)+RANDBETWEEN(-20,20)/100</f>
        <v>#N/A</v>
      </c>
      <c r="AA203" s="9" t="e">
        <f ca="1">IF($Q203=AA$2,VLOOKUP($O203,Impact!$A$4:$B$8,2,FALSE)+RANDBETWEEN(-20,20)/100,NA())</f>
        <v>#N/A</v>
      </c>
      <c r="AB203" s="9" t="e">
        <f ca="1">IF($Q203=AB$2,VLOOKUP($O203,Impact!$A$4:$B$8,2,FALSE)+RANDBETWEEN(-20,20)/100,NA())</f>
        <v>#N/A</v>
      </c>
      <c r="AC203" s="9" t="e">
        <f ca="1">IF($Q203=AC$2,VLOOKUP($O203,Impact!$A$4:$B$8,2,FALSE)+RANDBETWEEN(-20,20)/100,NA())</f>
        <v>#N/A</v>
      </c>
    </row>
    <row r="204" spans="1:29" x14ac:dyDescent="0.25">
      <c r="A204" s="17">
        <v>202</v>
      </c>
      <c r="B204" s="3" t="str">
        <f t="shared" si="19"/>
        <v/>
      </c>
      <c r="H204" s="49" t="str">
        <f t="shared" si="18"/>
        <v>s. D.</v>
      </c>
      <c r="I204" s="48" t="str">
        <f t="shared" si="20"/>
        <v/>
      </c>
      <c r="J204" s="49" t="str">
        <f>I204&amp;IF(NOT(ISBLANK(E204)),CHAR(10)&amp;VLOOKUP(E204,AttackRiskStep!$A$3:$C$99,3,FALSE),"see Description")&amp;IF(NOT(ISBLANK(F204))," -&gt; "&amp;CHAR(10)&amp;VLOOKUP(F204,AttackRiskStep!$A$3:$C$99,3,FALSE),"")&amp;IF(NOT(ISBLANK(G204))," -&gt; "&amp;CHAR(10)&amp;VLOOKUP(G204,AttackRiskStep!$A$3:$C$99,3,FALSE),"")</f>
        <v>see Description</v>
      </c>
      <c r="P204" s="38" t="e">
        <f>VLOOKUP($N204,Likelihood!$A$3:$B$7,2,FALSE)*VLOOKUP($O204,Impact!$A$4:$B$8,2,FALSE)</f>
        <v>#N/A</v>
      </c>
      <c r="Q204" s="39" t="e">
        <f>VLOOKUP(P204,RPN!$B$6:$C$22,2)</f>
        <v>#N/A</v>
      </c>
      <c r="Z204" s="9" t="e">
        <f ca="1">VLOOKUP($N204,Likelihood!$A$3:$C$7,2,FALSE)+RANDBETWEEN(-20,20)/100</f>
        <v>#N/A</v>
      </c>
      <c r="AA204" s="9" t="e">
        <f ca="1">IF($Q204=AA$2,VLOOKUP($O204,Impact!$A$4:$B$8,2,FALSE)+RANDBETWEEN(-20,20)/100,NA())</f>
        <v>#N/A</v>
      </c>
      <c r="AB204" s="9" t="e">
        <f ca="1">IF($Q204=AB$2,VLOOKUP($O204,Impact!$A$4:$B$8,2,FALSE)+RANDBETWEEN(-20,20)/100,NA())</f>
        <v>#N/A</v>
      </c>
      <c r="AC204" s="9" t="e">
        <f ca="1">IF($Q204=AC$2,VLOOKUP($O204,Impact!$A$4:$B$8,2,FALSE)+RANDBETWEEN(-20,20)/100,NA())</f>
        <v>#N/A</v>
      </c>
    </row>
    <row r="205" spans="1:29" x14ac:dyDescent="0.25">
      <c r="A205" s="17">
        <v>203</v>
      </c>
      <c r="B205" s="3" t="str">
        <f t="shared" si="19"/>
        <v/>
      </c>
      <c r="H205" s="49" t="str">
        <f t="shared" si="18"/>
        <v>s. D.</v>
      </c>
      <c r="I205" s="48" t="str">
        <f t="shared" si="20"/>
        <v/>
      </c>
      <c r="J205" s="49" t="str">
        <f>I205&amp;IF(NOT(ISBLANK(E205)),CHAR(10)&amp;VLOOKUP(E205,AttackRiskStep!$A$3:$C$99,3,FALSE),"see Description")&amp;IF(NOT(ISBLANK(F205))," -&gt; "&amp;CHAR(10)&amp;VLOOKUP(F205,AttackRiskStep!$A$3:$C$99,3,FALSE),"")&amp;IF(NOT(ISBLANK(G205))," -&gt; "&amp;CHAR(10)&amp;VLOOKUP(G205,AttackRiskStep!$A$3:$C$99,3,FALSE),"")</f>
        <v>see Description</v>
      </c>
      <c r="P205" s="38" t="e">
        <f>VLOOKUP($N205,Likelihood!$A$3:$B$7,2,FALSE)*VLOOKUP($O205,Impact!$A$4:$B$8,2,FALSE)</f>
        <v>#N/A</v>
      </c>
      <c r="Q205" s="39" t="e">
        <f>VLOOKUP(P205,RPN!$B$6:$C$22,2)</f>
        <v>#N/A</v>
      </c>
      <c r="Z205" s="9" t="e">
        <f ca="1">VLOOKUP($N205,Likelihood!$A$3:$C$7,2,FALSE)+RANDBETWEEN(-20,20)/100</f>
        <v>#N/A</v>
      </c>
      <c r="AA205" s="9" t="e">
        <f ca="1">IF($Q205=AA$2,VLOOKUP($O205,Impact!$A$4:$B$8,2,FALSE)+RANDBETWEEN(-20,20)/100,NA())</f>
        <v>#N/A</v>
      </c>
      <c r="AB205" s="9" t="e">
        <f ca="1">IF($Q205=AB$2,VLOOKUP($O205,Impact!$A$4:$B$8,2,FALSE)+RANDBETWEEN(-20,20)/100,NA())</f>
        <v>#N/A</v>
      </c>
      <c r="AC205" s="9" t="e">
        <f ca="1">IF($Q205=AC$2,VLOOKUP($O205,Impact!$A$4:$B$8,2,FALSE)+RANDBETWEEN(-20,20)/100,NA())</f>
        <v>#N/A</v>
      </c>
    </row>
    <row r="206" spans="1:29" x14ac:dyDescent="0.25">
      <c r="A206" s="17">
        <v>204</v>
      </c>
      <c r="B206" s="3" t="str">
        <f t="shared" si="19"/>
        <v/>
      </c>
      <c r="H206" s="49" t="str">
        <f t="shared" si="18"/>
        <v>s. D.</v>
      </c>
      <c r="I206" s="48" t="str">
        <f t="shared" si="20"/>
        <v/>
      </c>
      <c r="J206" s="49" t="str">
        <f>I206&amp;IF(NOT(ISBLANK(E206)),CHAR(10)&amp;VLOOKUP(E206,AttackRiskStep!$A$3:$C$99,3,FALSE),"see Description")&amp;IF(NOT(ISBLANK(F206))," -&gt; "&amp;CHAR(10)&amp;VLOOKUP(F206,AttackRiskStep!$A$3:$C$99,3,FALSE),"")&amp;IF(NOT(ISBLANK(G206))," -&gt; "&amp;CHAR(10)&amp;VLOOKUP(G206,AttackRiskStep!$A$3:$C$99,3,FALSE),"")</f>
        <v>see Description</v>
      </c>
      <c r="P206" s="38" t="e">
        <f>VLOOKUP($N206,Likelihood!$A$3:$B$7,2,FALSE)*VLOOKUP($O206,Impact!$A$4:$B$8,2,FALSE)</f>
        <v>#N/A</v>
      </c>
      <c r="Q206" s="39" t="e">
        <f>VLOOKUP(P206,RPN!$B$6:$C$22,2)</f>
        <v>#N/A</v>
      </c>
      <c r="Z206" s="9" t="e">
        <f ca="1">VLOOKUP($N206,Likelihood!$A$3:$C$7,2,FALSE)+RANDBETWEEN(-20,20)/100</f>
        <v>#N/A</v>
      </c>
      <c r="AA206" s="9" t="e">
        <f ca="1">IF($Q206=AA$2,VLOOKUP($O206,Impact!$A$4:$B$8,2,FALSE)+RANDBETWEEN(-20,20)/100,NA())</f>
        <v>#N/A</v>
      </c>
      <c r="AB206" s="9" t="e">
        <f ca="1">IF($Q206=AB$2,VLOOKUP($O206,Impact!$A$4:$B$8,2,FALSE)+RANDBETWEEN(-20,20)/100,NA())</f>
        <v>#N/A</v>
      </c>
      <c r="AC206" s="9" t="e">
        <f ca="1">IF($Q206=AC$2,VLOOKUP($O206,Impact!$A$4:$B$8,2,FALSE)+RANDBETWEEN(-20,20)/100,NA())</f>
        <v>#N/A</v>
      </c>
    </row>
    <row r="207" spans="1:29" x14ac:dyDescent="0.25">
      <c r="A207" s="17">
        <v>205</v>
      </c>
      <c r="B207" s="3" t="str">
        <f t="shared" si="19"/>
        <v/>
      </c>
      <c r="H207" s="49" t="str">
        <f t="shared" si="18"/>
        <v>s. D.</v>
      </c>
      <c r="I207" s="48" t="str">
        <f t="shared" si="20"/>
        <v/>
      </c>
      <c r="J207" s="49" t="str">
        <f>I207&amp;IF(NOT(ISBLANK(E207)),CHAR(10)&amp;VLOOKUP(E207,AttackRiskStep!$A$3:$C$99,3,FALSE),"see Description")&amp;IF(NOT(ISBLANK(F207))," -&gt; "&amp;CHAR(10)&amp;VLOOKUP(F207,AttackRiskStep!$A$3:$C$99,3,FALSE),"")&amp;IF(NOT(ISBLANK(G207))," -&gt; "&amp;CHAR(10)&amp;VLOOKUP(G207,AttackRiskStep!$A$3:$C$99,3,FALSE),"")</f>
        <v>see Description</v>
      </c>
      <c r="P207" s="38" t="e">
        <f>VLOOKUP($N207,Likelihood!$A$3:$B$7,2,FALSE)*VLOOKUP($O207,Impact!$A$4:$B$8,2,FALSE)</f>
        <v>#N/A</v>
      </c>
      <c r="Q207" s="39" t="e">
        <f>VLOOKUP(P207,RPN!$B$6:$C$22,2)</f>
        <v>#N/A</v>
      </c>
      <c r="Z207" s="9" t="e">
        <f ca="1">VLOOKUP($N207,Likelihood!$A$3:$C$7,2,FALSE)+RANDBETWEEN(-20,20)/100</f>
        <v>#N/A</v>
      </c>
      <c r="AA207" s="9" t="e">
        <f ca="1">IF($Q207=AA$2,VLOOKUP($O207,Impact!$A$4:$B$8,2,FALSE)+RANDBETWEEN(-20,20)/100,NA())</f>
        <v>#N/A</v>
      </c>
      <c r="AB207" s="9" t="e">
        <f ca="1">IF($Q207=AB$2,VLOOKUP($O207,Impact!$A$4:$B$8,2,FALSE)+RANDBETWEEN(-20,20)/100,NA())</f>
        <v>#N/A</v>
      </c>
      <c r="AC207" s="9" t="e">
        <f ca="1">IF($Q207=AC$2,VLOOKUP($O207,Impact!$A$4:$B$8,2,FALSE)+RANDBETWEEN(-20,20)/100,NA())</f>
        <v>#N/A</v>
      </c>
    </row>
    <row r="208" spans="1:29" x14ac:dyDescent="0.25">
      <c r="A208" s="17">
        <v>206</v>
      </c>
      <c r="B208" s="3" t="str">
        <f t="shared" si="19"/>
        <v/>
      </c>
      <c r="H208" s="49" t="str">
        <f t="shared" si="18"/>
        <v>s. D.</v>
      </c>
      <c r="I208" s="48" t="str">
        <f t="shared" si="20"/>
        <v/>
      </c>
      <c r="J208" s="49" t="str">
        <f>I208&amp;IF(NOT(ISBLANK(E208)),CHAR(10)&amp;VLOOKUP(E208,AttackRiskStep!$A$3:$C$99,3,FALSE),"see Description")&amp;IF(NOT(ISBLANK(F208))," -&gt; "&amp;CHAR(10)&amp;VLOOKUP(F208,AttackRiskStep!$A$3:$C$99,3,FALSE),"")&amp;IF(NOT(ISBLANK(G208))," -&gt; "&amp;CHAR(10)&amp;VLOOKUP(G208,AttackRiskStep!$A$3:$C$99,3,FALSE),"")</f>
        <v>see Description</v>
      </c>
      <c r="P208" s="38" t="e">
        <f>VLOOKUP($N208,Likelihood!$A$3:$B$7,2,FALSE)*VLOOKUP($O208,Impact!$A$4:$B$8,2,FALSE)</f>
        <v>#N/A</v>
      </c>
      <c r="Q208" s="39" t="e">
        <f>VLOOKUP(P208,RPN!$B$6:$C$22,2)</f>
        <v>#N/A</v>
      </c>
      <c r="Z208" s="9" t="e">
        <f ca="1">VLOOKUP($N208,Likelihood!$A$3:$C$7,2,FALSE)+RANDBETWEEN(-20,20)/100</f>
        <v>#N/A</v>
      </c>
      <c r="AA208" s="9" t="e">
        <f ca="1">IF($Q208=AA$2,VLOOKUP($O208,Impact!$A$4:$B$8,2,FALSE)+RANDBETWEEN(-20,20)/100,NA())</f>
        <v>#N/A</v>
      </c>
      <c r="AB208" s="9" t="e">
        <f ca="1">IF($Q208=AB$2,VLOOKUP($O208,Impact!$A$4:$B$8,2,FALSE)+RANDBETWEEN(-20,20)/100,NA())</f>
        <v>#N/A</v>
      </c>
      <c r="AC208" s="9" t="e">
        <f ca="1">IF($Q208=AC$2,VLOOKUP($O208,Impact!$A$4:$B$8,2,FALSE)+RANDBETWEEN(-20,20)/100,NA())</f>
        <v>#N/A</v>
      </c>
    </row>
    <row r="209" spans="1:29" x14ac:dyDescent="0.25">
      <c r="A209" s="17">
        <v>207</v>
      </c>
      <c r="B209" s="3" t="str">
        <f t="shared" si="19"/>
        <v/>
      </c>
      <c r="H209" s="49" t="str">
        <f t="shared" si="18"/>
        <v>s. D.</v>
      </c>
      <c r="I209" s="48" t="str">
        <f t="shared" si="20"/>
        <v/>
      </c>
      <c r="J209" s="49" t="str">
        <f>I209&amp;IF(NOT(ISBLANK(E209)),CHAR(10)&amp;VLOOKUP(E209,AttackRiskStep!$A$3:$C$99,3,FALSE),"see Description")&amp;IF(NOT(ISBLANK(F209))," -&gt; "&amp;CHAR(10)&amp;VLOOKUP(F209,AttackRiskStep!$A$3:$C$99,3,FALSE),"")&amp;IF(NOT(ISBLANK(G209))," -&gt; "&amp;CHAR(10)&amp;VLOOKUP(G209,AttackRiskStep!$A$3:$C$99,3,FALSE),"")</f>
        <v>see Description</v>
      </c>
      <c r="P209" s="38" t="e">
        <f>VLOOKUP($N209,Likelihood!$A$3:$B$7,2,FALSE)*VLOOKUP($O209,Impact!$A$4:$B$8,2,FALSE)</f>
        <v>#N/A</v>
      </c>
      <c r="Q209" s="39" t="e">
        <f>VLOOKUP(P209,RPN!$B$6:$C$22,2)</f>
        <v>#N/A</v>
      </c>
      <c r="Z209" s="9" t="e">
        <f ca="1">VLOOKUP($N209,Likelihood!$A$3:$C$7,2,FALSE)+RANDBETWEEN(-20,20)/100</f>
        <v>#N/A</v>
      </c>
      <c r="AA209" s="9" t="e">
        <f ca="1">IF($Q209=AA$2,VLOOKUP($O209,Impact!$A$4:$B$8,2,FALSE)+RANDBETWEEN(-20,20)/100,NA())</f>
        <v>#N/A</v>
      </c>
      <c r="AB209" s="9" t="e">
        <f ca="1">IF($Q209=AB$2,VLOOKUP($O209,Impact!$A$4:$B$8,2,FALSE)+RANDBETWEEN(-20,20)/100,NA())</f>
        <v>#N/A</v>
      </c>
      <c r="AC209" s="9" t="e">
        <f ca="1">IF($Q209=AC$2,VLOOKUP($O209,Impact!$A$4:$B$8,2,FALSE)+RANDBETWEEN(-20,20)/100,NA())</f>
        <v>#N/A</v>
      </c>
    </row>
    <row r="210" spans="1:29" x14ac:dyDescent="0.25">
      <c r="A210" s="17">
        <v>208</v>
      </c>
      <c r="B210" s="3" t="str">
        <f t="shared" si="19"/>
        <v/>
      </c>
      <c r="H210" s="49" t="str">
        <f t="shared" si="18"/>
        <v>s. D.</v>
      </c>
      <c r="I210" s="48" t="str">
        <f t="shared" si="20"/>
        <v/>
      </c>
      <c r="J210" s="49" t="str">
        <f>I210&amp;IF(NOT(ISBLANK(E210)),CHAR(10)&amp;VLOOKUP(E210,AttackRiskStep!$A$3:$C$99,3,FALSE),"see Description")&amp;IF(NOT(ISBLANK(F210))," -&gt; "&amp;CHAR(10)&amp;VLOOKUP(F210,AttackRiskStep!$A$3:$C$99,3,FALSE),"")&amp;IF(NOT(ISBLANK(G210))," -&gt; "&amp;CHAR(10)&amp;VLOOKUP(G210,AttackRiskStep!$A$3:$C$99,3,FALSE),"")</f>
        <v>see Description</v>
      </c>
      <c r="P210" s="38" t="e">
        <f>VLOOKUP($N210,Likelihood!$A$3:$B$7,2,FALSE)*VLOOKUP($O210,Impact!$A$4:$B$8,2,FALSE)</f>
        <v>#N/A</v>
      </c>
      <c r="Q210" s="39" t="e">
        <f>VLOOKUP(P210,RPN!$B$6:$C$22,2)</f>
        <v>#N/A</v>
      </c>
      <c r="Z210" s="9" t="e">
        <f ca="1">VLOOKUP($N210,Likelihood!$A$3:$C$7,2,FALSE)+RANDBETWEEN(-20,20)/100</f>
        <v>#N/A</v>
      </c>
      <c r="AA210" s="9" t="e">
        <f ca="1">IF($Q210=AA$2,VLOOKUP($O210,Impact!$A$4:$B$8,2,FALSE)+RANDBETWEEN(-20,20)/100,NA())</f>
        <v>#N/A</v>
      </c>
      <c r="AB210" s="9" t="e">
        <f ca="1">IF($Q210=AB$2,VLOOKUP($O210,Impact!$A$4:$B$8,2,FALSE)+RANDBETWEEN(-20,20)/100,NA())</f>
        <v>#N/A</v>
      </c>
      <c r="AC210" s="9" t="e">
        <f ca="1">IF($Q210=AC$2,VLOOKUP($O210,Impact!$A$4:$B$8,2,FALSE)+RANDBETWEEN(-20,20)/100,NA())</f>
        <v>#N/A</v>
      </c>
    </row>
    <row r="211" spans="1:29" x14ac:dyDescent="0.25">
      <c r="A211" s="17">
        <v>209</v>
      </c>
      <c r="B211" s="3" t="str">
        <f t="shared" si="19"/>
        <v/>
      </c>
      <c r="H211" s="49" t="str">
        <f t="shared" si="18"/>
        <v>s. D.</v>
      </c>
      <c r="I211" s="48" t="str">
        <f t="shared" si="20"/>
        <v/>
      </c>
      <c r="J211" s="49" t="str">
        <f>I211&amp;IF(NOT(ISBLANK(E211)),CHAR(10)&amp;VLOOKUP(E211,AttackRiskStep!$A$3:$C$99,3,FALSE),"see Description")&amp;IF(NOT(ISBLANK(F211))," -&gt; "&amp;CHAR(10)&amp;VLOOKUP(F211,AttackRiskStep!$A$3:$C$99,3,FALSE),"")&amp;IF(NOT(ISBLANK(G211))," -&gt; "&amp;CHAR(10)&amp;VLOOKUP(G211,AttackRiskStep!$A$3:$C$99,3,FALSE),"")</f>
        <v>see Description</v>
      </c>
      <c r="P211" s="38" t="e">
        <f>VLOOKUP($N211,Likelihood!$A$3:$B$7,2,FALSE)*VLOOKUP($O211,Impact!$A$4:$B$8,2,FALSE)</f>
        <v>#N/A</v>
      </c>
      <c r="Q211" s="39" t="e">
        <f>VLOOKUP(P211,RPN!$B$6:$C$22,2)</f>
        <v>#N/A</v>
      </c>
      <c r="Z211" s="9" t="e">
        <f ca="1">VLOOKUP($N211,Likelihood!$A$3:$C$7,2,FALSE)+RANDBETWEEN(-20,20)/100</f>
        <v>#N/A</v>
      </c>
      <c r="AA211" s="9" t="e">
        <f ca="1">IF($Q211=AA$2,VLOOKUP($O211,Impact!$A$4:$B$8,2,FALSE)+RANDBETWEEN(-20,20)/100,NA())</f>
        <v>#N/A</v>
      </c>
      <c r="AB211" s="9" t="e">
        <f ca="1">IF($Q211=AB$2,VLOOKUP($O211,Impact!$A$4:$B$8,2,FALSE)+RANDBETWEEN(-20,20)/100,NA())</f>
        <v>#N/A</v>
      </c>
      <c r="AC211" s="9" t="e">
        <f ca="1">IF($Q211=AC$2,VLOOKUP($O211,Impact!$A$4:$B$8,2,FALSE)+RANDBETWEEN(-20,20)/100,NA())</f>
        <v>#N/A</v>
      </c>
    </row>
    <row r="212" spans="1:29" x14ac:dyDescent="0.25">
      <c r="A212" s="17">
        <v>210</v>
      </c>
      <c r="B212" s="3" t="str">
        <f t="shared" si="19"/>
        <v/>
      </c>
      <c r="H212" s="49" t="str">
        <f t="shared" si="18"/>
        <v>s. D.</v>
      </c>
      <c r="I212" s="48" t="str">
        <f t="shared" si="20"/>
        <v/>
      </c>
      <c r="J212" s="49" t="str">
        <f>I212&amp;IF(NOT(ISBLANK(E212)),CHAR(10)&amp;VLOOKUP(E212,AttackRiskStep!$A$3:$C$99,3,FALSE),"see Description")&amp;IF(NOT(ISBLANK(F212))," -&gt; "&amp;CHAR(10)&amp;VLOOKUP(F212,AttackRiskStep!$A$3:$C$99,3,FALSE),"")&amp;IF(NOT(ISBLANK(G212))," -&gt; "&amp;CHAR(10)&amp;VLOOKUP(G212,AttackRiskStep!$A$3:$C$99,3,FALSE),"")</f>
        <v>see Description</v>
      </c>
      <c r="P212" s="38" t="e">
        <f>VLOOKUP($N212,Likelihood!$A$3:$B$7,2,FALSE)*VLOOKUP($O212,Impact!$A$4:$B$8,2,FALSE)</f>
        <v>#N/A</v>
      </c>
      <c r="Q212" s="39" t="e">
        <f>VLOOKUP(P212,RPN!$B$6:$C$22,2)</f>
        <v>#N/A</v>
      </c>
      <c r="Z212" s="9" t="e">
        <f ca="1">VLOOKUP($N212,Likelihood!$A$3:$C$7,2,FALSE)+RANDBETWEEN(-20,20)/100</f>
        <v>#N/A</v>
      </c>
      <c r="AA212" s="9" t="e">
        <f ca="1">IF($Q212=AA$2,VLOOKUP($O212,Impact!$A$4:$B$8,2,FALSE)+RANDBETWEEN(-20,20)/100,NA())</f>
        <v>#N/A</v>
      </c>
      <c r="AB212" s="9" t="e">
        <f ca="1">IF($Q212=AB$2,VLOOKUP($O212,Impact!$A$4:$B$8,2,FALSE)+RANDBETWEEN(-20,20)/100,NA())</f>
        <v>#N/A</v>
      </c>
      <c r="AC212" s="9" t="e">
        <f ca="1">IF($Q212=AC$2,VLOOKUP($O212,Impact!$A$4:$B$8,2,FALSE)+RANDBETWEEN(-20,20)/100,NA())</f>
        <v>#N/A</v>
      </c>
    </row>
    <row r="213" spans="1:29" x14ac:dyDescent="0.25">
      <c r="A213" s="17">
        <v>211</v>
      </c>
      <c r="B213" s="3" t="str">
        <f t="shared" si="19"/>
        <v/>
      </c>
      <c r="H213" s="49" t="str">
        <f t="shared" si="18"/>
        <v>s. D.</v>
      </c>
      <c r="I213" s="48" t="str">
        <f t="shared" si="20"/>
        <v/>
      </c>
      <c r="J213" s="49" t="str">
        <f>I213&amp;IF(NOT(ISBLANK(E213)),CHAR(10)&amp;VLOOKUP(E213,AttackRiskStep!$A$3:$C$99,3,FALSE),"see Description")&amp;IF(NOT(ISBLANK(F213))," -&gt; "&amp;CHAR(10)&amp;VLOOKUP(F213,AttackRiskStep!$A$3:$C$99,3,FALSE),"")&amp;IF(NOT(ISBLANK(G213))," -&gt; "&amp;CHAR(10)&amp;VLOOKUP(G213,AttackRiskStep!$A$3:$C$99,3,FALSE),"")</f>
        <v>see Description</v>
      </c>
      <c r="P213" s="38" t="e">
        <f>VLOOKUP($N213,Likelihood!$A$3:$B$7,2,FALSE)*VLOOKUP($O213,Impact!$A$4:$B$8,2,FALSE)</f>
        <v>#N/A</v>
      </c>
      <c r="Q213" s="39" t="e">
        <f>VLOOKUP(P213,RPN!$B$6:$C$22,2)</f>
        <v>#N/A</v>
      </c>
      <c r="Z213" s="9" t="e">
        <f ca="1">VLOOKUP($N213,Likelihood!$A$3:$C$7,2,FALSE)+RANDBETWEEN(-20,20)/100</f>
        <v>#N/A</v>
      </c>
      <c r="AA213" s="9" t="e">
        <f ca="1">IF($Q213=AA$2,VLOOKUP($O213,Impact!$A$4:$B$8,2,FALSE)+RANDBETWEEN(-20,20)/100,NA())</f>
        <v>#N/A</v>
      </c>
      <c r="AB213" s="9" t="e">
        <f ca="1">IF($Q213=AB$2,VLOOKUP($O213,Impact!$A$4:$B$8,2,FALSE)+RANDBETWEEN(-20,20)/100,NA())</f>
        <v>#N/A</v>
      </c>
      <c r="AC213" s="9" t="e">
        <f ca="1">IF($Q213=AC$2,VLOOKUP($O213,Impact!$A$4:$B$8,2,FALSE)+RANDBETWEEN(-20,20)/100,NA())</f>
        <v>#N/A</v>
      </c>
    </row>
    <row r="214" spans="1:29" x14ac:dyDescent="0.25">
      <c r="A214" s="17">
        <v>212</v>
      </c>
      <c r="B214" s="3" t="str">
        <f t="shared" si="19"/>
        <v/>
      </c>
      <c r="H214" s="49" t="str">
        <f t="shared" si="18"/>
        <v>s. D.</v>
      </c>
      <c r="I214" s="48" t="str">
        <f t="shared" si="20"/>
        <v/>
      </c>
      <c r="J214" s="49" t="str">
        <f>I214&amp;IF(NOT(ISBLANK(E214)),CHAR(10)&amp;VLOOKUP(E214,AttackRiskStep!$A$3:$C$99,3,FALSE),"see Description")&amp;IF(NOT(ISBLANK(F214))," -&gt; "&amp;CHAR(10)&amp;VLOOKUP(F214,AttackRiskStep!$A$3:$C$99,3,FALSE),"")&amp;IF(NOT(ISBLANK(G214))," -&gt; "&amp;CHAR(10)&amp;VLOOKUP(G214,AttackRiskStep!$A$3:$C$99,3,FALSE),"")</f>
        <v>see Description</v>
      </c>
      <c r="P214" s="38" t="e">
        <f>VLOOKUP($N214,Likelihood!$A$3:$B$7,2,FALSE)*VLOOKUP($O214,Impact!$A$4:$B$8,2,FALSE)</f>
        <v>#N/A</v>
      </c>
      <c r="Q214" s="39" t="e">
        <f>VLOOKUP(P214,RPN!$B$6:$C$22,2)</f>
        <v>#N/A</v>
      </c>
      <c r="Z214" s="9" t="e">
        <f ca="1">VLOOKUP($N214,Likelihood!$A$3:$C$7,2,FALSE)+RANDBETWEEN(-20,20)/100</f>
        <v>#N/A</v>
      </c>
      <c r="AA214" s="9" t="e">
        <f ca="1">IF($Q214=AA$2,VLOOKUP($O214,Impact!$A$4:$B$8,2,FALSE)+RANDBETWEEN(-20,20)/100,NA())</f>
        <v>#N/A</v>
      </c>
      <c r="AB214" s="9" t="e">
        <f ca="1">IF($Q214=AB$2,VLOOKUP($O214,Impact!$A$4:$B$8,2,FALSE)+RANDBETWEEN(-20,20)/100,NA())</f>
        <v>#N/A</v>
      </c>
      <c r="AC214" s="9" t="e">
        <f ca="1">IF($Q214=AC$2,VLOOKUP($O214,Impact!$A$4:$B$8,2,FALSE)+RANDBETWEEN(-20,20)/100,NA())</f>
        <v>#N/A</v>
      </c>
    </row>
    <row r="215" spans="1:29" x14ac:dyDescent="0.25">
      <c r="A215" s="17">
        <v>213</v>
      </c>
      <c r="B215" s="3" t="str">
        <f t="shared" si="19"/>
        <v/>
      </c>
      <c r="H215" s="49" t="str">
        <f t="shared" si="18"/>
        <v>s. D.</v>
      </c>
      <c r="I215" s="48" t="str">
        <f t="shared" si="20"/>
        <v/>
      </c>
      <c r="J215" s="49" t="str">
        <f>I215&amp;IF(NOT(ISBLANK(E215)),CHAR(10)&amp;VLOOKUP(E215,AttackRiskStep!$A$3:$C$99,3,FALSE),"see Description")&amp;IF(NOT(ISBLANK(F215))," -&gt; "&amp;CHAR(10)&amp;VLOOKUP(F215,AttackRiskStep!$A$3:$C$99,3,FALSE),"")&amp;IF(NOT(ISBLANK(G215))," -&gt; "&amp;CHAR(10)&amp;VLOOKUP(G215,AttackRiskStep!$A$3:$C$99,3,FALSE),"")</f>
        <v>see Description</v>
      </c>
      <c r="P215" s="38" t="e">
        <f>VLOOKUP($N215,Likelihood!$A$3:$B$7,2,FALSE)*VLOOKUP($O215,Impact!$A$4:$B$8,2,FALSE)</f>
        <v>#N/A</v>
      </c>
      <c r="Q215" s="39" t="e">
        <f>VLOOKUP(P215,RPN!$B$6:$C$22,2)</f>
        <v>#N/A</v>
      </c>
      <c r="Z215" s="9" t="e">
        <f ca="1">VLOOKUP($N215,Likelihood!$A$3:$C$7,2,FALSE)+RANDBETWEEN(-20,20)/100</f>
        <v>#N/A</v>
      </c>
      <c r="AA215" s="9" t="e">
        <f ca="1">IF($Q215=AA$2,VLOOKUP($O215,Impact!$A$4:$B$8,2,FALSE)+RANDBETWEEN(-20,20)/100,NA())</f>
        <v>#N/A</v>
      </c>
      <c r="AB215" s="9" t="e">
        <f ca="1">IF($Q215=AB$2,VLOOKUP($O215,Impact!$A$4:$B$8,2,FALSE)+RANDBETWEEN(-20,20)/100,NA())</f>
        <v>#N/A</v>
      </c>
      <c r="AC215" s="9" t="e">
        <f ca="1">IF($Q215=AC$2,VLOOKUP($O215,Impact!$A$4:$B$8,2,FALSE)+RANDBETWEEN(-20,20)/100,NA())</f>
        <v>#N/A</v>
      </c>
    </row>
    <row r="216" spans="1:29" x14ac:dyDescent="0.25">
      <c r="A216" s="17">
        <v>214</v>
      </c>
      <c r="B216" s="3" t="str">
        <f t="shared" si="19"/>
        <v/>
      </c>
      <c r="H216" s="49" t="str">
        <f t="shared" si="18"/>
        <v>s. D.</v>
      </c>
      <c r="I216" s="48" t="str">
        <f t="shared" si="20"/>
        <v/>
      </c>
      <c r="J216" s="49" t="str">
        <f>I216&amp;IF(NOT(ISBLANK(E216)),CHAR(10)&amp;VLOOKUP(E216,AttackRiskStep!$A$3:$C$99,3,FALSE),"see Description")&amp;IF(NOT(ISBLANK(F216))," -&gt; "&amp;CHAR(10)&amp;VLOOKUP(F216,AttackRiskStep!$A$3:$C$99,3,FALSE),"")&amp;IF(NOT(ISBLANK(G216))," -&gt; "&amp;CHAR(10)&amp;VLOOKUP(G216,AttackRiskStep!$A$3:$C$99,3,FALSE),"")</f>
        <v>see Description</v>
      </c>
      <c r="P216" s="38" t="e">
        <f>VLOOKUP($N216,Likelihood!$A$3:$B$7,2,FALSE)*VLOOKUP($O216,Impact!$A$4:$B$8,2,FALSE)</f>
        <v>#N/A</v>
      </c>
      <c r="Q216" s="39" t="e">
        <f>VLOOKUP(P216,RPN!$B$6:$C$22,2)</f>
        <v>#N/A</v>
      </c>
      <c r="Z216" s="9" t="e">
        <f ca="1">VLOOKUP($N216,Likelihood!$A$3:$C$7,2,FALSE)+RANDBETWEEN(-20,20)/100</f>
        <v>#N/A</v>
      </c>
      <c r="AA216" s="9" t="e">
        <f ca="1">IF($Q216=AA$2,VLOOKUP($O216,Impact!$A$4:$B$8,2,FALSE)+RANDBETWEEN(-20,20)/100,NA())</f>
        <v>#N/A</v>
      </c>
      <c r="AB216" s="9" t="e">
        <f ca="1">IF($Q216=AB$2,VLOOKUP($O216,Impact!$A$4:$B$8,2,FALSE)+RANDBETWEEN(-20,20)/100,NA())</f>
        <v>#N/A</v>
      </c>
      <c r="AC216" s="9" t="e">
        <f ca="1">IF($Q216=AC$2,VLOOKUP($O216,Impact!$A$4:$B$8,2,FALSE)+RANDBETWEEN(-20,20)/100,NA())</f>
        <v>#N/A</v>
      </c>
    </row>
    <row r="217" spans="1:29" x14ac:dyDescent="0.25">
      <c r="A217" s="17">
        <v>215</v>
      </c>
      <c r="B217" s="3" t="str">
        <f t="shared" si="19"/>
        <v/>
      </c>
      <c r="H217" s="49" t="str">
        <f t="shared" si="18"/>
        <v>s. D.</v>
      </c>
      <c r="I217" s="48" t="str">
        <f t="shared" si="20"/>
        <v/>
      </c>
      <c r="J217" s="49" t="str">
        <f>I217&amp;IF(NOT(ISBLANK(E217)),CHAR(10)&amp;VLOOKUP(E217,AttackRiskStep!$A$3:$C$99,3,FALSE),"see Description")&amp;IF(NOT(ISBLANK(F217))," -&gt; "&amp;CHAR(10)&amp;VLOOKUP(F217,AttackRiskStep!$A$3:$C$99,3,FALSE),"")&amp;IF(NOT(ISBLANK(G217))," -&gt; "&amp;CHAR(10)&amp;VLOOKUP(G217,AttackRiskStep!$A$3:$C$99,3,FALSE),"")</f>
        <v>see Description</v>
      </c>
      <c r="P217" s="38" t="e">
        <f>VLOOKUP($N217,Likelihood!$A$3:$B$7,2,FALSE)*VLOOKUP($O217,Impact!$A$4:$B$8,2,FALSE)</f>
        <v>#N/A</v>
      </c>
      <c r="Q217" s="39" t="e">
        <f>VLOOKUP(P217,RPN!$B$6:$C$22,2)</f>
        <v>#N/A</v>
      </c>
      <c r="Z217" s="9" t="e">
        <f ca="1">VLOOKUP($N217,Likelihood!$A$3:$C$7,2,FALSE)+RANDBETWEEN(-20,20)/100</f>
        <v>#N/A</v>
      </c>
      <c r="AA217" s="9" t="e">
        <f ca="1">IF($Q217=AA$2,VLOOKUP($O217,Impact!$A$4:$B$8,2,FALSE)+RANDBETWEEN(-20,20)/100,NA())</f>
        <v>#N/A</v>
      </c>
      <c r="AB217" s="9" t="e">
        <f ca="1">IF($Q217=AB$2,VLOOKUP($O217,Impact!$A$4:$B$8,2,FALSE)+RANDBETWEEN(-20,20)/100,NA())</f>
        <v>#N/A</v>
      </c>
      <c r="AC217" s="9" t="e">
        <f ca="1">IF($Q217=AC$2,VLOOKUP($O217,Impact!$A$4:$B$8,2,FALSE)+RANDBETWEEN(-20,20)/100,NA())</f>
        <v>#N/A</v>
      </c>
    </row>
    <row r="218" spans="1:29" x14ac:dyDescent="0.25">
      <c r="A218" s="17">
        <v>216</v>
      </c>
      <c r="B218" s="3" t="str">
        <f t="shared" si="19"/>
        <v/>
      </c>
      <c r="H218" s="49" t="str">
        <f t="shared" si="18"/>
        <v>s. D.</v>
      </c>
      <c r="I218" s="48" t="str">
        <f t="shared" si="20"/>
        <v/>
      </c>
      <c r="J218" s="49" t="str">
        <f>I218&amp;IF(NOT(ISBLANK(E218)),CHAR(10)&amp;VLOOKUP(E218,AttackRiskStep!$A$3:$C$99,3,FALSE),"see Description")&amp;IF(NOT(ISBLANK(F218))," -&gt; "&amp;CHAR(10)&amp;VLOOKUP(F218,AttackRiskStep!$A$3:$C$99,3,FALSE),"")&amp;IF(NOT(ISBLANK(G218))," -&gt; "&amp;CHAR(10)&amp;VLOOKUP(G218,AttackRiskStep!$A$3:$C$99,3,FALSE),"")</f>
        <v>see Description</v>
      </c>
      <c r="P218" s="38" t="e">
        <f>VLOOKUP($N218,Likelihood!$A$3:$B$7,2,FALSE)*VLOOKUP($O218,Impact!$A$4:$B$8,2,FALSE)</f>
        <v>#N/A</v>
      </c>
      <c r="Q218" s="39" t="e">
        <f>VLOOKUP(P218,RPN!$B$6:$C$22,2)</f>
        <v>#N/A</v>
      </c>
      <c r="Z218" s="9" t="e">
        <f ca="1">VLOOKUP($N218,Likelihood!$A$3:$C$7,2,FALSE)+RANDBETWEEN(-20,20)/100</f>
        <v>#N/A</v>
      </c>
      <c r="AA218" s="9" t="e">
        <f ca="1">IF($Q218=AA$2,VLOOKUP($O218,Impact!$A$4:$B$8,2,FALSE)+RANDBETWEEN(-20,20)/100,NA())</f>
        <v>#N/A</v>
      </c>
      <c r="AB218" s="9" t="e">
        <f ca="1">IF($Q218=AB$2,VLOOKUP($O218,Impact!$A$4:$B$8,2,FALSE)+RANDBETWEEN(-20,20)/100,NA())</f>
        <v>#N/A</v>
      </c>
      <c r="AC218" s="9" t="e">
        <f ca="1">IF($Q218=AC$2,VLOOKUP($O218,Impact!$A$4:$B$8,2,FALSE)+RANDBETWEEN(-20,20)/100,NA())</f>
        <v>#N/A</v>
      </c>
    </row>
    <row r="219" spans="1:29" x14ac:dyDescent="0.25">
      <c r="A219" s="17">
        <v>217</v>
      </c>
      <c r="B219" s="3" t="str">
        <f t="shared" si="19"/>
        <v/>
      </c>
      <c r="H219" s="49" t="str">
        <f t="shared" si="18"/>
        <v>s. D.</v>
      </c>
      <c r="I219" s="48" t="str">
        <f t="shared" si="20"/>
        <v/>
      </c>
      <c r="J219" s="49" t="str">
        <f>I219&amp;IF(NOT(ISBLANK(E219)),CHAR(10)&amp;VLOOKUP(E219,AttackRiskStep!$A$3:$C$99,3,FALSE),"see Description")&amp;IF(NOT(ISBLANK(F219))," -&gt; "&amp;CHAR(10)&amp;VLOOKUP(F219,AttackRiskStep!$A$3:$C$99,3,FALSE),"")&amp;IF(NOT(ISBLANK(G219))," -&gt; "&amp;CHAR(10)&amp;VLOOKUP(G219,AttackRiskStep!$A$3:$C$99,3,FALSE),"")</f>
        <v>see Description</v>
      </c>
      <c r="P219" s="38" t="e">
        <f>VLOOKUP($N219,Likelihood!$A$3:$B$7,2,FALSE)*VLOOKUP($O219,Impact!$A$4:$B$8,2,FALSE)</f>
        <v>#N/A</v>
      </c>
      <c r="Q219" s="39" t="e">
        <f>VLOOKUP(P219,RPN!$B$6:$C$22,2)</f>
        <v>#N/A</v>
      </c>
      <c r="Z219" s="9" t="e">
        <f ca="1">VLOOKUP($N219,Likelihood!$A$3:$C$7,2,FALSE)+RANDBETWEEN(-20,20)/100</f>
        <v>#N/A</v>
      </c>
      <c r="AA219" s="9" t="e">
        <f ca="1">IF($Q219=AA$2,VLOOKUP($O219,Impact!$A$4:$B$8,2,FALSE)+RANDBETWEEN(-20,20)/100,NA())</f>
        <v>#N/A</v>
      </c>
      <c r="AB219" s="9" t="e">
        <f ca="1">IF($Q219=AB$2,VLOOKUP($O219,Impact!$A$4:$B$8,2,FALSE)+RANDBETWEEN(-20,20)/100,NA())</f>
        <v>#N/A</v>
      </c>
      <c r="AC219" s="9" t="e">
        <f ca="1">IF($Q219=AC$2,VLOOKUP($O219,Impact!$A$4:$B$8,2,FALSE)+RANDBETWEEN(-20,20)/100,NA())</f>
        <v>#N/A</v>
      </c>
    </row>
    <row r="220" spans="1:29" x14ac:dyDescent="0.25">
      <c r="A220" s="17">
        <v>218</v>
      </c>
      <c r="B220" s="3" t="str">
        <f t="shared" si="19"/>
        <v/>
      </c>
      <c r="H220" s="49" t="str">
        <f t="shared" si="18"/>
        <v>s. D.</v>
      </c>
      <c r="I220" s="48" t="str">
        <f t="shared" si="20"/>
        <v/>
      </c>
      <c r="J220" s="49" t="str">
        <f>I220&amp;IF(NOT(ISBLANK(E220)),CHAR(10)&amp;VLOOKUP(E220,AttackRiskStep!$A$3:$C$99,3,FALSE),"see Description")&amp;IF(NOT(ISBLANK(F220))," -&gt; "&amp;CHAR(10)&amp;VLOOKUP(F220,AttackRiskStep!$A$3:$C$99,3,FALSE),"")&amp;IF(NOT(ISBLANK(G220))," -&gt; "&amp;CHAR(10)&amp;VLOOKUP(G220,AttackRiskStep!$A$3:$C$99,3,FALSE),"")</f>
        <v>see Description</v>
      </c>
      <c r="P220" s="38" t="e">
        <f>VLOOKUP($N220,Likelihood!$A$3:$B$7,2,FALSE)*VLOOKUP($O220,Impact!$A$4:$B$8,2,FALSE)</f>
        <v>#N/A</v>
      </c>
      <c r="Q220" s="39" t="e">
        <f>VLOOKUP(P220,RPN!$B$6:$C$22,2)</f>
        <v>#N/A</v>
      </c>
      <c r="Z220" s="9" t="e">
        <f ca="1">VLOOKUP($N220,Likelihood!$A$3:$C$7,2,FALSE)+RANDBETWEEN(-20,20)/100</f>
        <v>#N/A</v>
      </c>
      <c r="AA220" s="9" t="e">
        <f ca="1">IF($Q220=AA$2,VLOOKUP($O220,Impact!$A$4:$B$8,2,FALSE)+RANDBETWEEN(-20,20)/100,NA())</f>
        <v>#N/A</v>
      </c>
      <c r="AB220" s="9" t="e">
        <f ca="1">IF($Q220=AB$2,VLOOKUP($O220,Impact!$A$4:$B$8,2,FALSE)+RANDBETWEEN(-20,20)/100,NA())</f>
        <v>#N/A</v>
      </c>
      <c r="AC220" s="9" t="e">
        <f ca="1">IF($Q220=AC$2,VLOOKUP($O220,Impact!$A$4:$B$8,2,FALSE)+RANDBETWEEN(-20,20)/100,NA())</f>
        <v>#N/A</v>
      </c>
    </row>
    <row r="221" spans="1:29" x14ac:dyDescent="0.25">
      <c r="A221" s="17">
        <v>219</v>
      </c>
      <c r="B221" s="3" t="str">
        <f t="shared" si="19"/>
        <v/>
      </c>
      <c r="H221" s="49" t="str">
        <f t="shared" si="18"/>
        <v>s. D.</v>
      </c>
      <c r="I221" s="48" t="str">
        <f t="shared" si="20"/>
        <v/>
      </c>
      <c r="J221" s="49" t="str">
        <f>I221&amp;IF(NOT(ISBLANK(E221)),CHAR(10)&amp;VLOOKUP(E221,AttackRiskStep!$A$3:$C$99,3,FALSE),"see Description")&amp;IF(NOT(ISBLANK(F221))," -&gt; "&amp;CHAR(10)&amp;VLOOKUP(F221,AttackRiskStep!$A$3:$C$99,3,FALSE),"")&amp;IF(NOT(ISBLANK(G221))," -&gt; "&amp;CHAR(10)&amp;VLOOKUP(G221,AttackRiskStep!$A$3:$C$99,3,FALSE),"")</f>
        <v>see Description</v>
      </c>
      <c r="P221" s="38" t="e">
        <f>VLOOKUP($N221,Likelihood!$A$3:$B$7,2,FALSE)*VLOOKUP($O221,Impact!$A$4:$B$8,2,FALSE)</f>
        <v>#N/A</v>
      </c>
      <c r="Q221" s="39" t="e">
        <f>VLOOKUP(P221,RPN!$B$6:$C$22,2)</f>
        <v>#N/A</v>
      </c>
      <c r="Z221" s="9" t="e">
        <f ca="1">VLOOKUP($N221,Likelihood!$A$3:$C$7,2,FALSE)+RANDBETWEEN(-20,20)/100</f>
        <v>#N/A</v>
      </c>
      <c r="AA221" s="9" t="e">
        <f ca="1">IF($Q221=AA$2,VLOOKUP($O221,Impact!$A$4:$B$8,2,FALSE)+RANDBETWEEN(-20,20)/100,NA())</f>
        <v>#N/A</v>
      </c>
      <c r="AB221" s="9" t="e">
        <f ca="1">IF($Q221=AB$2,VLOOKUP($O221,Impact!$A$4:$B$8,2,FALSE)+RANDBETWEEN(-20,20)/100,NA())</f>
        <v>#N/A</v>
      </c>
      <c r="AC221" s="9" t="e">
        <f ca="1">IF($Q221=AC$2,VLOOKUP($O221,Impact!$A$4:$B$8,2,FALSE)+RANDBETWEEN(-20,20)/100,NA())</f>
        <v>#N/A</v>
      </c>
    </row>
    <row r="222" spans="1:29" x14ac:dyDescent="0.25">
      <c r="A222" s="17">
        <v>220</v>
      </c>
      <c r="B222" s="3" t="str">
        <f t="shared" si="19"/>
        <v/>
      </c>
      <c r="H222" s="49" t="str">
        <f t="shared" si="18"/>
        <v>s. D.</v>
      </c>
      <c r="I222" s="48" t="str">
        <f t="shared" si="20"/>
        <v/>
      </c>
      <c r="J222" s="49" t="str">
        <f>I222&amp;IF(NOT(ISBLANK(E222)),CHAR(10)&amp;VLOOKUP(E222,AttackRiskStep!$A$3:$C$99,3,FALSE),"see Description")&amp;IF(NOT(ISBLANK(F222))," -&gt; "&amp;CHAR(10)&amp;VLOOKUP(F222,AttackRiskStep!$A$3:$C$99,3,FALSE),"")&amp;IF(NOT(ISBLANK(G222))," -&gt; "&amp;CHAR(10)&amp;VLOOKUP(G222,AttackRiskStep!$A$3:$C$99,3,FALSE),"")</f>
        <v>see Description</v>
      </c>
      <c r="P222" s="38" t="e">
        <f>VLOOKUP($N222,Likelihood!$A$3:$B$7,2,FALSE)*VLOOKUP($O222,Impact!$A$4:$B$8,2,FALSE)</f>
        <v>#N/A</v>
      </c>
      <c r="Q222" s="39" t="e">
        <f>VLOOKUP(P222,RPN!$B$6:$C$22,2)</f>
        <v>#N/A</v>
      </c>
      <c r="Z222" s="9" t="e">
        <f ca="1">VLOOKUP($N222,Likelihood!$A$3:$C$7,2,FALSE)+RANDBETWEEN(-20,20)/100</f>
        <v>#N/A</v>
      </c>
      <c r="AA222" s="9" t="e">
        <f ca="1">IF($Q222=AA$2,VLOOKUP($O222,Impact!$A$4:$B$8,2,FALSE)+RANDBETWEEN(-20,20)/100,NA())</f>
        <v>#N/A</v>
      </c>
      <c r="AB222" s="9" t="e">
        <f ca="1">IF($Q222=AB$2,VLOOKUP($O222,Impact!$A$4:$B$8,2,FALSE)+RANDBETWEEN(-20,20)/100,NA())</f>
        <v>#N/A</v>
      </c>
      <c r="AC222" s="9" t="e">
        <f ca="1">IF($Q222=AC$2,VLOOKUP($O222,Impact!$A$4:$B$8,2,FALSE)+RANDBETWEEN(-20,20)/100,NA())</f>
        <v>#N/A</v>
      </c>
    </row>
    <row r="223" spans="1:29" x14ac:dyDescent="0.25">
      <c r="A223" s="17">
        <v>221</v>
      </c>
      <c r="B223" s="3" t="str">
        <f t="shared" si="19"/>
        <v/>
      </c>
      <c r="H223" s="49" t="str">
        <f t="shared" si="18"/>
        <v>s. D.</v>
      </c>
      <c r="I223" s="48" t="str">
        <f t="shared" si="20"/>
        <v/>
      </c>
      <c r="J223" s="49" t="str">
        <f>I223&amp;IF(NOT(ISBLANK(E223)),CHAR(10)&amp;VLOOKUP(E223,AttackRiskStep!$A$3:$C$99,3,FALSE),"see Description")&amp;IF(NOT(ISBLANK(F223))," -&gt; "&amp;CHAR(10)&amp;VLOOKUP(F223,AttackRiskStep!$A$3:$C$99,3,FALSE),"")&amp;IF(NOT(ISBLANK(G223))," -&gt; "&amp;CHAR(10)&amp;VLOOKUP(G223,AttackRiskStep!$A$3:$C$99,3,FALSE),"")</f>
        <v>see Description</v>
      </c>
      <c r="P223" s="38" t="e">
        <f>VLOOKUP($N223,Likelihood!$A$3:$B$7,2,FALSE)*VLOOKUP($O223,Impact!$A$4:$B$8,2,FALSE)</f>
        <v>#N/A</v>
      </c>
      <c r="Q223" s="39" t="e">
        <f>VLOOKUP(P223,RPN!$B$6:$C$22,2)</f>
        <v>#N/A</v>
      </c>
      <c r="Z223" s="9" t="e">
        <f ca="1">VLOOKUP($N223,Likelihood!$A$3:$C$7,2,FALSE)+RANDBETWEEN(-20,20)/100</f>
        <v>#N/A</v>
      </c>
      <c r="AA223" s="9" t="e">
        <f ca="1">IF($Q223=AA$2,VLOOKUP($O223,Impact!$A$4:$B$8,2,FALSE)+RANDBETWEEN(-20,20)/100,NA())</f>
        <v>#N/A</v>
      </c>
      <c r="AB223" s="9" t="e">
        <f ca="1">IF($Q223=AB$2,VLOOKUP($O223,Impact!$A$4:$B$8,2,FALSE)+RANDBETWEEN(-20,20)/100,NA())</f>
        <v>#N/A</v>
      </c>
      <c r="AC223" s="9" t="e">
        <f ca="1">IF($Q223=AC$2,VLOOKUP($O223,Impact!$A$4:$B$8,2,FALSE)+RANDBETWEEN(-20,20)/100,NA())</f>
        <v>#N/A</v>
      </c>
    </row>
    <row r="224" spans="1:29" x14ac:dyDescent="0.25">
      <c r="A224" s="17">
        <v>222</v>
      </c>
      <c r="B224" s="3" t="str">
        <f t="shared" si="19"/>
        <v/>
      </c>
      <c r="H224" s="49" t="str">
        <f t="shared" si="18"/>
        <v>s. D.</v>
      </c>
      <c r="I224" s="48" t="str">
        <f t="shared" si="20"/>
        <v/>
      </c>
      <c r="J224" s="49" t="str">
        <f>I224&amp;IF(NOT(ISBLANK(E224)),CHAR(10)&amp;VLOOKUP(E224,AttackRiskStep!$A$3:$C$99,3,FALSE),"see Description")&amp;IF(NOT(ISBLANK(F224))," -&gt; "&amp;CHAR(10)&amp;VLOOKUP(F224,AttackRiskStep!$A$3:$C$99,3,FALSE),"")&amp;IF(NOT(ISBLANK(G224))," -&gt; "&amp;CHAR(10)&amp;VLOOKUP(G224,AttackRiskStep!$A$3:$C$99,3,FALSE),"")</f>
        <v>see Description</v>
      </c>
      <c r="P224" s="38" t="e">
        <f>VLOOKUP($N224,Likelihood!$A$3:$B$7,2,FALSE)*VLOOKUP($O224,Impact!$A$4:$B$8,2,FALSE)</f>
        <v>#N/A</v>
      </c>
      <c r="Q224" s="39" t="e">
        <f>VLOOKUP(P224,RPN!$B$6:$C$22,2)</f>
        <v>#N/A</v>
      </c>
      <c r="Z224" s="9" t="e">
        <f ca="1">VLOOKUP($N224,Likelihood!$A$3:$C$7,2,FALSE)+RANDBETWEEN(-20,20)/100</f>
        <v>#N/A</v>
      </c>
      <c r="AA224" s="9" t="e">
        <f ca="1">IF($Q224=AA$2,VLOOKUP($O224,Impact!$A$4:$B$8,2,FALSE)+RANDBETWEEN(-20,20)/100,NA())</f>
        <v>#N/A</v>
      </c>
      <c r="AB224" s="9" t="e">
        <f ca="1">IF($Q224=AB$2,VLOOKUP($O224,Impact!$A$4:$B$8,2,FALSE)+RANDBETWEEN(-20,20)/100,NA())</f>
        <v>#N/A</v>
      </c>
      <c r="AC224" s="9" t="e">
        <f ca="1">IF($Q224=AC$2,VLOOKUP($O224,Impact!$A$4:$B$8,2,FALSE)+RANDBETWEEN(-20,20)/100,NA())</f>
        <v>#N/A</v>
      </c>
    </row>
    <row r="225" spans="1:29" x14ac:dyDescent="0.25">
      <c r="A225" s="17">
        <v>223</v>
      </c>
      <c r="B225" s="3" t="str">
        <f t="shared" si="19"/>
        <v/>
      </c>
      <c r="H225" s="49" t="str">
        <f t="shared" si="18"/>
        <v>s. D.</v>
      </c>
      <c r="I225" s="48" t="str">
        <f t="shared" si="20"/>
        <v/>
      </c>
      <c r="J225" s="49" t="str">
        <f>I225&amp;IF(NOT(ISBLANK(E225)),CHAR(10)&amp;VLOOKUP(E225,AttackRiskStep!$A$3:$C$99,3,FALSE),"see Description")&amp;IF(NOT(ISBLANK(F225))," -&gt; "&amp;CHAR(10)&amp;VLOOKUP(F225,AttackRiskStep!$A$3:$C$99,3,FALSE),"")&amp;IF(NOT(ISBLANK(G225))," -&gt; "&amp;CHAR(10)&amp;VLOOKUP(G225,AttackRiskStep!$A$3:$C$99,3,FALSE),"")</f>
        <v>see Description</v>
      </c>
      <c r="P225" s="38" t="e">
        <f>VLOOKUP($N225,Likelihood!$A$3:$B$7,2,FALSE)*VLOOKUP($O225,Impact!$A$4:$B$8,2,FALSE)</f>
        <v>#N/A</v>
      </c>
      <c r="Q225" s="39" t="e">
        <f>VLOOKUP(P225,RPN!$B$6:$C$22,2)</f>
        <v>#N/A</v>
      </c>
      <c r="Z225" s="9" t="e">
        <f ca="1">VLOOKUP($N225,Likelihood!$A$3:$C$7,2,FALSE)+RANDBETWEEN(-20,20)/100</f>
        <v>#N/A</v>
      </c>
      <c r="AA225" s="9" t="e">
        <f ca="1">IF($Q225=AA$2,VLOOKUP($O225,Impact!$A$4:$B$8,2,FALSE)+RANDBETWEEN(-20,20)/100,NA())</f>
        <v>#N/A</v>
      </c>
      <c r="AB225" s="9" t="e">
        <f ca="1">IF($Q225=AB$2,VLOOKUP($O225,Impact!$A$4:$B$8,2,FALSE)+RANDBETWEEN(-20,20)/100,NA())</f>
        <v>#N/A</v>
      </c>
      <c r="AC225" s="9" t="e">
        <f ca="1">IF($Q225=AC$2,VLOOKUP($O225,Impact!$A$4:$B$8,2,FALSE)+RANDBETWEEN(-20,20)/100,NA())</f>
        <v>#N/A</v>
      </c>
    </row>
    <row r="226" spans="1:29" x14ac:dyDescent="0.25">
      <c r="A226" s="17">
        <v>224</v>
      </c>
      <c r="B226" s="3" t="str">
        <f t="shared" si="19"/>
        <v/>
      </c>
      <c r="H226" s="49" t="str">
        <f t="shared" si="18"/>
        <v>s. D.</v>
      </c>
      <c r="I226" s="48" t="str">
        <f t="shared" si="20"/>
        <v/>
      </c>
      <c r="J226" s="49" t="str">
        <f>I226&amp;IF(NOT(ISBLANK(E226)),CHAR(10)&amp;VLOOKUP(E226,AttackRiskStep!$A$3:$C$99,3,FALSE),"see Description")&amp;IF(NOT(ISBLANK(F226))," -&gt; "&amp;CHAR(10)&amp;VLOOKUP(F226,AttackRiskStep!$A$3:$C$99,3,FALSE),"")&amp;IF(NOT(ISBLANK(G226))," -&gt; "&amp;CHAR(10)&amp;VLOOKUP(G226,AttackRiskStep!$A$3:$C$99,3,FALSE),"")</f>
        <v>see Description</v>
      </c>
      <c r="P226" s="38" t="e">
        <f>VLOOKUP($N226,Likelihood!$A$3:$B$7,2,FALSE)*VLOOKUP($O226,Impact!$A$4:$B$8,2,FALSE)</f>
        <v>#N/A</v>
      </c>
      <c r="Q226" s="39" t="e">
        <f>VLOOKUP(P226,RPN!$B$6:$C$22,2)</f>
        <v>#N/A</v>
      </c>
      <c r="Z226" s="9" t="e">
        <f ca="1">VLOOKUP($N226,Likelihood!$A$3:$C$7,2,FALSE)+RANDBETWEEN(-20,20)/100</f>
        <v>#N/A</v>
      </c>
      <c r="AA226" s="9" t="e">
        <f ca="1">IF($Q226=AA$2,VLOOKUP($O226,Impact!$A$4:$B$8,2,FALSE)+RANDBETWEEN(-20,20)/100,NA())</f>
        <v>#N/A</v>
      </c>
      <c r="AB226" s="9" t="e">
        <f ca="1">IF($Q226=AB$2,VLOOKUP($O226,Impact!$A$4:$B$8,2,FALSE)+RANDBETWEEN(-20,20)/100,NA())</f>
        <v>#N/A</v>
      </c>
      <c r="AC226" s="9" t="e">
        <f ca="1">IF($Q226=AC$2,VLOOKUP($O226,Impact!$A$4:$B$8,2,FALSE)+RANDBETWEEN(-20,20)/100,NA())</f>
        <v>#N/A</v>
      </c>
    </row>
    <row r="227" spans="1:29" x14ac:dyDescent="0.25">
      <c r="A227" s="17">
        <v>225</v>
      </c>
      <c r="B227" s="3" t="str">
        <f t="shared" si="19"/>
        <v/>
      </c>
      <c r="H227" s="49" t="str">
        <f t="shared" si="18"/>
        <v>s. D.</v>
      </c>
      <c r="I227" s="48" t="str">
        <f t="shared" si="20"/>
        <v/>
      </c>
      <c r="J227" s="49" t="str">
        <f>I227&amp;IF(NOT(ISBLANK(E227)),CHAR(10)&amp;VLOOKUP(E227,AttackRiskStep!$A$3:$C$99,3,FALSE),"see Description")&amp;IF(NOT(ISBLANK(F227))," -&gt; "&amp;CHAR(10)&amp;VLOOKUP(F227,AttackRiskStep!$A$3:$C$99,3,FALSE),"")&amp;IF(NOT(ISBLANK(G227))," -&gt; "&amp;CHAR(10)&amp;VLOOKUP(G227,AttackRiskStep!$A$3:$C$99,3,FALSE),"")</f>
        <v>see Description</v>
      </c>
      <c r="P227" s="38" t="e">
        <f>VLOOKUP($N227,Likelihood!$A$3:$B$7,2,FALSE)*VLOOKUP($O227,Impact!$A$4:$B$8,2,FALSE)</f>
        <v>#N/A</v>
      </c>
      <c r="Q227" s="39" t="e">
        <f>VLOOKUP(P227,RPN!$B$6:$C$22,2)</f>
        <v>#N/A</v>
      </c>
      <c r="Z227" s="9" t="e">
        <f ca="1">VLOOKUP($N227,Likelihood!$A$3:$C$7,2,FALSE)+RANDBETWEEN(-20,20)/100</f>
        <v>#N/A</v>
      </c>
      <c r="AA227" s="9" t="e">
        <f ca="1">IF($Q227=AA$2,VLOOKUP($O227,Impact!$A$4:$B$8,2,FALSE)+RANDBETWEEN(-20,20)/100,NA())</f>
        <v>#N/A</v>
      </c>
      <c r="AB227" s="9" t="e">
        <f ca="1">IF($Q227=AB$2,VLOOKUP($O227,Impact!$A$4:$B$8,2,FALSE)+RANDBETWEEN(-20,20)/100,NA())</f>
        <v>#N/A</v>
      </c>
      <c r="AC227" s="9" t="e">
        <f ca="1">IF($Q227=AC$2,VLOOKUP($O227,Impact!$A$4:$B$8,2,FALSE)+RANDBETWEEN(-20,20)/100,NA())</f>
        <v>#N/A</v>
      </c>
    </row>
    <row r="228" spans="1:29" x14ac:dyDescent="0.25">
      <c r="A228" s="17">
        <v>226</v>
      </c>
      <c r="B228" s="3" t="str">
        <f t="shared" si="19"/>
        <v/>
      </c>
      <c r="H228" s="49" t="str">
        <f t="shared" si="18"/>
        <v>s. D.</v>
      </c>
      <c r="I228" s="48" t="str">
        <f t="shared" si="20"/>
        <v/>
      </c>
      <c r="J228" s="49" t="str">
        <f>I228&amp;IF(NOT(ISBLANK(E228)),CHAR(10)&amp;VLOOKUP(E228,AttackRiskStep!$A$3:$C$99,3,FALSE),"see Description")&amp;IF(NOT(ISBLANK(F228))," -&gt; "&amp;CHAR(10)&amp;VLOOKUP(F228,AttackRiskStep!$A$3:$C$99,3,FALSE),"")&amp;IF(NOT(ISBLANK(G228))," -&gt; "&amp;CHAR(10)&amp;VLOOKUP(G228,AttackRiskStep!$A$3:$C$99,3,FALSE),"")</f>
        <v>see Description</v>
      </c>
      <c r="P228" s="38" t="e">
        <f>VLOOKUP($N228,Likelihood!$A$3:$B$7,2,FALSE)*VLOOKUP($O228,Impact!$A$4:$B$8,2,FALSE)</f>
        <v>#N/A</v>
      </c>
      <c r="Q228" s="39" t="e">
        <f>VLOOKUP(P228,RPN!$B$6:$C$22,2)</f>
        <v>#N/A</v>
      </c>
      <c r="Z228" s="9" t="e">
        <f ca="1">VLOOKUP($N228,Likelihood!$A$3:$C$7,2,FALSE)+RANDBETWEEN(-20,20)/100</f>
        <v>#N/A</v>
      </c>
      <c r="AA228" s="9" t="e">
        <f ca="1">IF($Q228=AA$2,VLOOKUP($O228,Impact!$A$4:$B$8,2,FALSE)+RANDBETWEEN(-20,20)/100,NA())</f>
        <v>#N/A</v>
      </c>
      <c r="AB228" s="9" t="e">
        <f ca="1">IF($Q228=AB$2,VLOOKUP($O228,Impact!$A$4:$B$8,2,FALSE)+RANDBETWEEN(-20,20)/100,NA())</f>
        <v>#N/A</v>
      </c>
      <c r="AC228" s="9" t="e">
        <f ca="1">IF($Q228=AC$2,VLOOKUP($O228,Impact!$A$4:$B$8,2,FALSE)+RANDBETWEEN(-20,20)/100,NA())</f>
        <v>#N/A</v>
      </c>
    </row>
    <row r="229" spans="1:29" x14ac:dyDescent="0.25">
      <c r="A229" s="17">
        <v>227</v>
      </c>
      <c r="B229" s="3" t="str">
        <f t="shared" si="19"/>
        <v/>
      </c>
      <c r="H229" s="49" t="str">
        <f t="shared" si="18"/>
        <v>s. D.</v>
      </c>
      <c r="I229" s="48" t="str">
        <f t="shared" si="20"/>
        <v/>
      </c>
      <c r="J229" s="49" t="str">
        <f>I229&amp;IF(NOT(ISBLANK(E229)),CHAR(10)&amp;VLOOKUP(E229,AttackRiskStep!$A$3:$C$99,3,FALSE),"see Description")&amp;IF(NOT(ISBLANK(F229))," -&gt; "&amp;CHAR(10)&amp;VLOOKUP(F229,AttackRiskStep!$A$3:$C$99,3,FALSE),"")&amp;IF(NOT(ISBLANK(G229))," -&gt; "&amp;CHAR(10)&amp;VLOOKUP(G229,AttackRiskStep!$A$3:$C$99,3,FALSE),"")</f>
        <v>see Description</v>
      </c>
      <c r="P229" s="38" t="e">
        <f>VLOOKUP($N229,Likelihood!$A$3:$B$7,2,FALSE)*VLOOKUP($O229,Impact!$A$4:$B$8,2,FALSE)</f>
        <v>#N/A</v>
      </c>
      <c r="Q229" s="39" t="e">
        <f>VLOOKUP(P229,RPN!$B$6:$C$22,2)</f>
        <v>#N/A</v>
      </c>
      <c r="Z229" s="9" t="e">
        <f ca="1">VLOOKUP($N229,Likelihood!$A$3:$C$7,2,FALSE)+RANDBETWEEN(-20,20)/100</f>
        <v>#N/A</v>
      </c>
      <c r="AA229" s="9" t="e">
        <f ca="1">IF($Q229=AA$2,VLOOKUP($O229,Impact!$A$4:$B$8,2,FALSE)+RANDBETWEEN(-20,20)/100,NA())</f>
        <v>#N/A</v>
      </c>
      <c r="AB229" s="9" t="e">
        <f ca="1">IF($Q229=AB$2,VLOOKUP($O229,Impact!$A$4:$B$8,2,FALSE)+RANDBETWEEN(-20,20)/100,NA())</f>
        <v>#N/A</v>
      </c>
      <c r="AC229" s="9" t="e">
        <f ca="1">IF($Q229=AC$2,VLOOKUP($O229,Impact!$A$4:$B$8,2,FALSE)+RANDBETWEEN(-20,20)/100,NA())</f>
        <v>#N/A</v>
      </c>
    </row>
    <row r="230" spans="1:29" x14ac:dyDescent="0.25">
      <c r="A230" s="17">
        <v>228</v>
      </c>
      <c r="B230" s="3" t="str">
        <f t="shared" si="19"/>
        <v/>
      </c>
      <c r="H230" s="49" t="str">
        <f t="shared" si="18"/>
        <v>s. D.</v>
      </c>
      <c r="I230" s="48" t="str">
        <f t="shared" si="20"/>
        <v/>
      </c>
      <c r="J230" s="49" t="str">
        <f>I230&amp;IF(NOT(ISBLANK(E230)),CHAR(10)&amp;VLOOKUP(E230,AttackRiskStep!$A$3:$C$99,3,FALSE),"see Description")&amp;IF(NOT(ISBLANK(F230))," -&gt; "&amp;CHAR(10)&amp;VLOOKUP(F230,AttackRiskStep!$A$3:$C$99,3,FALSE),"")&amp;IF(NOT(ISBLANK(G230))," -&gt; "&amp;CHAR(10)&amp;VLOOKUP(G230,AttackRiskStep!$A$3:$C$99,3,FALSE),"")</f>
        <v>see Description</v>
      </c>
      <c r="P230" s="38" t="e">
        <f>VLOOKUP($N230,Likelihood!$A$3:$B$7,2,FALSE)*VLOOKUP($O230,Impact!$A$4:$B$8,2,FALSE)</f>
        <v>#N/A</v>
      </c>
      <c r="Q230" s="39" t="e">
        <f>VLOOKUP(P230,RPN!$B$6:$C$22,2)</f>
        <v>#N/A</v>
      </c>
      <c r="Z230" s="9" t="e">
        <f ca="1">VLOOKUP($N230,Likelihood!$A$3:$C$7,2,FALSE)+RANDBETWEEN(-20,20)/100</f>
        <v>#N/A</v>
      </c>
      <c r="AA230" s="9" t="e">
        <f ca="1">IF($Q230=AA$2,VLOOKUP($O230,Impact!$A$4:$B$8,2,FALSE)+RANDBETWEEN(-20,20)/100,NA())</f>
        <v>#N/A</v>
      </c>
      <c r="AB230" s="9" t="e">
        <f ca="1">IF($Q230=AB$2,VLOOKUP($O230,Impact!$A$4:$B$8,2,FALSE)+RANDBETWEEN(-20,20)/100,NA())</f>
        <v>#N/A</v>
      </c>
      <c r="AC230" s="9" t="e">
        <f ca="1">IF($Q230=AC$2,VLOOKUP($O230,Impact!$A$4:$B$8,2,FALSE)+RANDBETWEEN(-20,20)/100,NA())</f>
        <v>#N/A</v>
      </c>
    </row>
    <row r="231" spans="1:29" x14ac:dyDescent="0.25">
      <c r="A231" s="17">
        <v>229</v>
      </c>
      <c r="B231" s="3" t="str">
        <f t="shared" si="19"/>
        <v/>
      </c>
      <c r="H231" s="49" t="str">
        <f t="shared" si="18"/>
        <v>s. D.</v>
      </c>
      <c r="I231" s="48" t="str">
        <f t="shared" si="20"/>
        <v/>
      </c>
      <c r="J231" s="49" t="str">
        <f>I231&amp;IF(NOT(ISBLANK(E231)),CHAR(10)&amp;VLOOKUP(E231,AttackRiskStep!$A$3:$C$99,3,FALSE),"see Description")&amp;IF(NOT(ISBLANK(F231))," -&gt; "&amp;CHAR(10)&amp;VLOOKUP(F231,AttackRiskStep!$A$3:$C$99,3,FALSE),"")&amp;IF(NOT(ISBLANK(G231))," -&gt; "&amp;CHAR(10)&amp;VLOOKUP(G231,AttackRiskStep!$A$3:$C$99,3,FALSE),"")</f>
        <v>see Description</v>
      </c>
      <c r="P231" s="38" t="e">
        <f>VLOOKUP($N231,Likelihood!$A$3:$B$7,2,FALSE)*VLOOKUP($O231,Impact!$A$4:$B$8,2,FALSE)</f>
        <v>#N/A</v>
      </c>
      <c r="Q231" s="39" t="e">
        <f>VLOOKUP(P231,RPN!$B$6:$C$22,2)</f>
        <v>#N/A</v>
      </c>
      <c r="Z231" s="9" t="e">
        <f ca="1">VLOOKUP($N231,Likelihood!$A$3:$C$7,2,FALSE)+RANDBETWEEN(-20,20)/100</f>
        <v>#N/A</v>
      </c>
      <c r="AA231" s="9" t="e">
        <f ca="1">IF($Q231=AA$2,VLOOKUP($O231,Impact!$A$4:$B$8,2,FALSE)+RANDBETWEEN(-20,20)/100,NA())</f>
        <v>#N/A</v>
      </c>
      <c r="AB231" s="9" t="e">
        <f ca="1">IF($Q231=AB$2,VLOOKUP($O231,Impact!$A$4:$B$8,2,FALSE)+RANDBETWEEN(-20,20)/100,NA())</f>
        <v>#N/A</v>
      </c>
      <c r="AC231" s="9" t="e">
        <f ca="1">IF($Q231=AC$2,VLOOKUP($O231,Impact!$A$4:$B$8,2,FALSE)+RANDBETWEEN(-20,20)/100,NA())</f>
        <v>#N/A</v>
      </c>
    </row>
    <row r="232" spans="1:29" x14ac:dyDescent="0.25">
      <c r="A232" s="17">
        <v>230</v>
      </c>
      <c r="B232" s="3" t="str">
        <f t="shared" si="19"/>
        <v/>
      </c>
      <c r="H232" s="49" t="str">
        <f t="shared" si="18"/>
        <v>s. D.</v>
      </c>
      <c r="I232" s="48" t="str">
        <f t="shared" si="20"/>
        <v/>
      </c>
      <c r="J232" s="49" t="str">
        <f>I232&amp;IF(NOT(ISBLANK(E232)),CHAR(10)&amp;VLOOKUP(E232,AttackRiskStep!$A$3:$C$99,3,FALSE),"see Description")&amp;IF(NOT(ISBLANK(F232))," -&gt; "&amp;CHAR(10)&amp;VLOOKUP(F232,AttackRiskStep!$A$3:$C$99,3,FALSE),"")&amp;IF(NOT(ISBLANK(G232))," -&gt; "&amp;CHAR(10)&amp;VLOOKUP(G232,AttackRiskStep!$A$3:$C$99,3,FALSE),"")</f>
        <v>see Description</v>
      </c>
      <c r="P232" s="38" t="e">
        <f>VLOOKUP($N232,Likelihood!$A$3:$B$7,2,FALSE)*VLOOKUP($O232,Impact!$A$4:$B$8,2,FALSE)</f>
        <v>#N/A</v>
      </c>
      <c r="Q232" s="39" t="e">
        <f>VLOOKUP(P232,RPN!$B$6:$C$22,2)</f>
        <v>#N/A</v>
      </c>
      <c r="Z232" s="9" t="e">
        <f ca="1">VLOOKUP($N232,Likelihood!$A$3:$C$7,2,FALSE)+RANDBETWEEN(-20,20)/100</f>
        <v>#N/A</v>
      </c>
      <c r="AA232" s="9" t="e">
        <f ca="1">IF($Q232=AA$2,VLOOKUP($O232,Impact!$A$4:$B$8,2,FALSE)+RANDBETWEEN(-20,20)/100,NA())</f>
        <v>#N/A</v>
      </c>
      <c r="AB232" s="9" t="e">
        <f ca="1">IF($Q232=AB$2,VLOOKUP($O232,Impact!$A$4:$B$8,2,FALSE)+RANDBETWEEN(-20,20)/100,NA())</f>
        <v>#N/A</v>
      </c>
      <c r="AC232" s="9" t="e">
        <f ca="1">IF($Q232=AC$2,VLOOKUP($O232,Impact!$A$4:$B$8,2,FALSE)+RANDBETWEEN(-20,20)/100,NA())</f>
        <v>#N/A</v>
      </c>
    </row>
    <row r="233" spans="1:29" x14ac:dyDescent="0.25">
      <c r="A233" s="17">
        <v>231</v>
      </c>
      <c r="B233" s="3" t="str">
        <f t="shared" si="19"/>
        <v/>
      </c>
      <c r="H233" s="49" t="str">
        <f t="shared" si="18"/>
        <v>s. D.</v>
      </c>
      <c r="I233" s="48" t="str">
        <f t="shared" si="20"/>
        <v/>
      </c>
      <c r="J233" s="49" t="str">
        <f>I233&amp;IF(NOT(ISBLANK(E233)),CHAR(10)&amp;VLOOKUP(E233,AttackRiskStep!$A$3:$C$99,3,FALSE),"see Description")&amp;IF(NOT(ISBLANK(F233))," -&gt; "&amp;CHAR(10)&amp;VLOOKUP(F233,AttackRiskStep!$A$3:$C$99,3,FALSE),"")&amp;IF(NOT(ISBLANK(G233))," -&gt; "&amp;CHAR(10)&amp;VLOOKUP(G233,AttackRiskStep!$A$3:$C$99,3,FALSE),"")</f>
        <v>see Description</v>
      </c>
      <c r="P233" s="38" t="e">
        <f>VLOOKUP($N233,Likelihood!$A$3:$B$7,2,FALSE)*VLOOKUP($O233,Impact!$A$4:$B$8,2,FALSE)</f>
        <v>#N/A</v>
      </c>
      <c r="Q233" s="39" t="e">
        <f>VLOOKUP(P233,RPN!$B$6:$C$22,2)</f>
        <v>#N/A</v>
      </c>
      <c r="Z233" s="9" t="e">
        <f ca="1">VLOOKUP($N233,Likelihood!$A$3:$C$7,2,FALSE)+RANDBETWEEN(-20,20)/100</f>
        <v>#N/A</v>
      </c>
      <c r="AA233" s="9" t="e">
        <f ca="1">IF($Q233=AA$2,VLOOKUP($O233,Impact!$A$4:$B$8,2,FALSE)+RANDBETWEEN(-20,20)/100,NA())</f>
        <v>#N/A</v>
      </c>
      <c r="AB233" s="9" t="e">
        <f ca="1">IF($Q233=AB$2,VLOOKUP($O233,Impact!$A$4:$B$8,2,FALSE)+RANDBETWEEN(-20,20)/100,NA())</f>
        <v>#N/A</v>
      </c>
      <c r="AC233" s="9" t="e">
        <f ca="1">IF($Q233=AC$2,VLOOKUP($O233,Impact!$A$4:$B$8,2,FALSE)+RANDBETWEEN(-20,20)/100,NA())</f>
        <v>#N/A</v>
      </c>
    </row>
    <row r="234" spans="1:29" x14ac:dyDescent="0.25">
      <c r="A234" s="17">
        <v>232</v>
      </c>
      <c r="B234" s="3" t="str">
        <f t="shared" si="19"/>
        <v/>
      </c>
      <c r="H234" s="49" t="str">
        <f t="shared" si="18"/>
        <v>s. D.</v>
      </c>
      <c r="I234" s="48" t="str">
        <f t="shared" si="20"/>
        <v/>
      </c>
      <c r="J234" s="49" t="str">
        <f>I234&amp;IF(NOT(ISBLANK(E234)),CHAR(10)&amp;VLOOKUP(E234,AttackRiskStep!$A$3:$C$99,3,FALSE),"see Description")&amp;IF(NOT(ISBLANK(F234))," -&gt; "&amp;CHAR(10)&amp;VLOOKUP(F234,AttackRiskStep!$A$3:$C$99,3,FALSE),"")&amp;IF(NOT(ISBLANK(G234))," -&gt; "&amp;CHAR(10)&amp;VLOOKUP(G234,AttackRiskStep!$A$3:$C$99,3,FALSE),"")</f>
        <v>see Description</v>
      </c>
      <c r="P234" s="38" t="e">
        <f>VLOOKUP($N234,Likelihood!$A$3:$B$7,2,FALSE)*VLOOKUP($O234,Impact!$A$4:$B$8,2,FALSE)</f>
        <v>#N/A</v>
      </c>
      <c r="Q234" s="39" t="e">
        <f>VLOOKUP(P234,RPN!$B$6:$C$22,2)</f>
        <v>#N/A</v>
      </c>
      <c r="Z234" s="9" t="e">
        <f ca="1">VLOOKUP($N234,Likelihood!$A$3:$C$7,2,FALSE)+RANDBETWEEN(-20,20)/100</f>
        <v>#N/A</v>
      </c>
      <c r="AA234" s="9" t="e">
        <f ca="1">IF($Q234=AA$2,VLOOKUP($O234,Impact!$A$4:$B$8,2,FALSE)+RANDBETWEEN(-20,20)/100,NA())</f>
        <v>#N/A</v>
      </c>
      <c r="AB234" s="9" t="e">
        <f ca="1">IF($Q234=AB$2,VLOOKUP($O234,Impact!$A$4:$B$8,2,FALSE)+RANDBETWEEN(-20,20)/100,NA())</f>
        <v>#N/A</v>
      </c>
      <c r="AC234" s="9" t="e">
        <f ca="1">IF($Q234=AC$2,VLOOKUP($O234,Impact!$A$4:$B$8,2,FALSE)+RANDBETWEEN(-20,20)/100,NA())</f>
        <v>#N/A</v>
      </c>
    </row>
    <row r="235" spans="1:29" x14ac:dyDescent="0.25">
      <c r="A235" s="17">
        <v>233</v>
      </c>
      <c r="B235" s="3" t="str">
        <f t="shared" si="19"/>
        <v/>
      </c>
      <c r="H235" s="49" t="str">
        <f t="shared" si="18"/>
        <v>s. D.</v>
      </c>
      <c r="I235" s="48" t="str">
        <f t="shared" si="20"/>
        <v/>
      </c>
      <c r="J235" s="49" t="str">
        <f>I235&amp;IF(NOT(ISBLANK(E235)),CHAR(10)&amp;VLOOKUP(E235,AttackRiskStep!$A$3:$C$99,3,FALSE),"see Description")&amp;IF(NOT(ISBLANK(F235))," -&gt; "&amp;CHAR(10)&amp;VLOOKUP(F235,AttackRiskStep!$A$3:$C$99,3,FALSE),"")&amp;IF(NOT(ISBLANK(G235))," -&gt; "&amp;CHAR(10)&amp;VLOOKUP(G235,AttackRiskStep!$A$3:$C$99,3,FALSE),"")</f>
        <v>see Description</v>
      </c>
      <c r="P235" s="38" t="e">
        <f>VLOOKUP($N235,Likelihood!$A$3:$B$7,2,FALSE)*VLOOKUP($O235,Impact!$A$4:$B$8,2,FALSE)</f>
        <v>#N/A</v>
      </c>
      <c r="Q235" s="39" t="e">
        <f>VLOOKUP(P235,RPN!$B$6:$C$22,2)</f>
        <v>#N/A</v>
      </c>
      <c r="Z235" s="9" t="e">
        <f ca="1">VLOOKUP($N235,Likelihood!$A$3:$C$7,2,FALSE)+RANDBETWEEN(-20,20)/100</f>
        <v>#N/A</v>
      </c>
      <c r="AA235" s="9" t="e">
        <f ca="1">IF($Q235=AA$2,VLOOKUP($O235,Impact!$A$4:$B$8,2,FALSE)+RANDBETWEEN(-20,20)/100,NA())</f>
        <v>#N/A</v>
      </c>
      <c r="AB235" s="9" t="e">
        <f ca="1">IF($Q235=AB$2,VLOOKUP($O235,Impact!$A$4:$B$8,2,FALSE)+RANDBETWEEN(-20,20)/100,NA())</f>
        <v>#N/A</v>
      </c>
      <c r="AC235" s="9" t="e">
        <f ca="1">IF($Q235=AC$2,VLOOKUP($O235,Impact!$A$4:$B$8,2,FALSE)+RANDBETWEEN(-20,20)/100,NA())</f>
        <v>#N/A</v>
      </c>
    </row>
    <row r="236" spans="1:29" x14ac:dyDescent="0.25">
      <c r="A236" s="17">
        <v>234</v>
      </c>
      <c r="B236" s="3" t="str">
        <f t="shared" si="19"/>
        <v/>
      </c>
      <c r="H236" s="49" t="str">
        <f t="shared" si="18"/>
        <v>s. D.</v>
      </c>
      <c r="I236" s="48" t="str">
        <f t="shared" si="20"/>
        <v/>
      </c>
      <c r="J236" s="49" t="str">
        <f>I236&amp;IF(NOT(ISBLANK(E236)),CHAR(10)&amp;VLOOKUP(E236,AttackRiskStep!$A$3:$C$99,3,FALSE),"see Description")&amp;IF(NOT(ISBLANK(F236))," -&gt; "&amp;CHAR(10)&amp;VLOOKUP(F236,AttackRiskStep!$A$3:$C$99,3,FALSE),"")&amp;IF(NOT(ISBLANK(G236))," -&gt; "&amp;CHAR(10)&amp;VLOOKUP(G236,AttackRiskStep!$A$3:$C$99,3,FALSE),"")</f>
        <v>see Description</v>
      </c>
      <c r="P236" s="38" t="e">
        <f>VLOOKUP($N236,Likelihood!$A$3:$B$7,2,FALSE)*VLOOKUP($O236,Impact!$A$4:$B$8,2,FALSE)</f>
        <v>#N/A</v>
      </c>
      <c r="Q236" s="39" t="e">
        <f>VLOOKUP(P236,RPN!$B$6:$C$22,2)</f>
        <v>#N/A</v>
      </c>
      <c r="Z236" s="9" t="e">
        <f ca="1">VLOOKUP($N236,Likelihood!$A$3:$C$7,2,FALSE)+RANDBETWEEN(-20,20)/100</f>
        <v>#N/A</v>
      </c>
      <c r="AA236" s="9" t="e">
        <f ca="1">IF($Q236=AA$2,VLOOKUP($O236,Impact!$A$4:$B$8,2,FALSE)+RANDBETWEEN(-20,20)/100,NA())</f>
        <v>#N/A</v>
      </c>
      <c r="AB236" s="9" t="e">
        <f ca="1">IF($Q236=AB$2,VLOOKUP($O236,Impact!$A$4:$B$8,2,FALSE)+RANDBETWEEN(-20,20)/100,NA())</f>
        <v>#N/A</v>
      </c>
      <c r="AC236" s="9" t="e">
        <f ca="1">IF($Q236=AC$2,VLOOKUP($O236,Impact!$A$4:$B$8,2,FALSE)+RANDBETWEEN(-20,20)/100,NA())</f>
        <v>#N/A</v>
      </c>
    </row>
    <row r="237" spans="1:29" x14ac:dyDescent="0.25">
      <c r="A237" s="17">
        <v>235</v>
      </c>
      <c r="B237" s="3" t="str">
        <f t="shared" si="19"/>
        <v/>
      </c>
      <c r="H237" s="49" t="str">
        <f t="shared" si="18"/>
        <v>s. D.</v>
      </c>
      <c r="I237" s="48" t="str">
        <f t="shared" si="20"/>
        <v/>
      </c>
      <c r="J237" s="49" t="str">
        <f>I237&amp;IF(NOT(ISBLANK(E237)),CHAR(10)&amp;VLOOKUP(E237,AttackRiskStep!$A$3:$C$99,3,FALSE),"see Description")&amp;IF(NOT(ISBLANK(F237))," -&gt; "&amp;CHAR(10)&amp;VLOOKUP(F237,AttackRiskStep!$A$3:$C$99,3,FALSE),"")&amp;IF(NOT(ISBLANK(G237))," -&gt; "&amp;CHAR(10)&amp;VLOOKUP(G237,AttackRiskStep!$A$3:$C$99,3,FALSE),"")</f>
        <v>see Description</v>
      </c>
      <c r="P237" s="38" t="e">
        <f>VLOOKUP($N237,Likelihood!$A$3:$B$7,2,FALSE)*VLOOKUP($O237,Impact!$A$4:$B$8,2,FALSE)</f>
        <v>#N/A</v>
      </c>
      <c r="Q237" s="39" t="e">
        <f>VLOOKUP(P237,RPN!$B$6:$C$22,2)</f>
        <v>#N/A</v>
      </c>
      <c r="Z237" s="9" t="e">
        <f ca="1">VLOOKUP($N237,Likelihood!$A$3:$C$7,2,FALSE)+RANDBETWEEN(-20,20)/100</f>
        <v>#N/A</v>
      </c>
      <c r="AA237" s="9" t="e">
        <f ca="1">IF($Q237=AA$2,VLOOKUP($O237,Impact!$A$4:$B$8,2,FALSE)+RANDBETWEEN(-20,20)/100,NA())</f>
        <v>#N/A</v>
      </c>
      <c r="AB237" s="9" t="e">
        <f ca="1">IF($Q237=AB$2,VLOOKUP($O237,Impact!$A$4:$B$8,2,FALSE)+RANDBETWEEN(-20,20)/100,NA())</f>
        <v>#N/A</v>
      </c>
      <c r="AC237" s="9" t="e">
        <f ca="1">IF($Q237=AC$2,VLOOKUP($O237,Impact!$A$4:$B$8,2,FALSE)+RANDBETWEEN(-20,20)/100,NA())</f>
        <v>#N/A</v>
      </c>
    </row>
    <row r="238" spans="1:29" x14ac:dyDescent="0.25">
      <c r="A238" s="17">
        <v>236</v>
      </c>
      <c r="B238" s="3" t="str">
        <f t="shared" si="19"/>
        <v/>
      </c>
      <c r="H238" s="49" t="str">
        <f t="shared" si="18"/>
        <v>s. D.</v>
      </c>
      <c r="I238" s="48" t="str">
        <f t="shared" si="20"/>
        <v/>
      </c>
      <c r="J238" s="49" t="str">
        <f>I238&amp;IF(NOT(ISBLANK(E238)),CHAR(10)&amp;VLOOKUP(E238,AttackRiskStep!$A$3:$C$99,3,FALSE),"see Description")&amp;IF(NOT(ISBLANK(F238))," -&gt; "&amp;CHAR(10)&amp;VLOOKUP(F238,AttackRiskStep!$A$3:$C$99,3,FALSE),"")&amp;IF(NOT(ISBLANK(G238))," -&gt; "&amp;CHAR(10)&amp;VLOOKUP(G238,AttackRiskStep!$A$3:$C$99,3,FALSE),"")</f>
        <v>see Description</v>
      </c>
      <c r="P238" s="38" t="e">
        <f>VLOOKUP($N238,Likelihood!$A$3:$B$7,2,FALSE)*VLOOKUP($O238,Impact!$A$4:$B$8,2,FALSE)</f>
        <v>#N/A</v>
      </c>
      <c r="Q238" s="39" t="e">
        <f>VLOOKUP(P238,RPN!$B$6:$C$22,2)</f>
        <v>#N/A</v>
      </c>
      <c r="Z238" s="9" t="e">
        <f ca="1">VLOOKUP($N238,Likelihood!$A$3:$C$7,2,FALSE)+RANDBETWEEN(-20,20)/100</f>
        <v>#N/A</v>
      </c>
      <c r="AA238" s="9" t="e">
        <f ca="1">IF($Q238=AA$2,VLOOKUP($O238,Impact!$A$4:$B$8,2,FALSE)+RANDBETWEEN(-20,20)/100,NA())</f>
        <v>#N/A</v>
      </c>
      <c r="AB238" s="9" t="e">
        <f ca="1">IF($Q238=AB$2,VLOOKUP($O238,Impact!$A$4:$B$8,2,FALSE)+RANDBETWEEN(-20,20)/100,NA())</f>
        <v>#N/A</v>
      </c>
      <c r="AC238" s="9" t="e">
        <f ca="1">IF($Q238=AC$2,VLOOKUP($O238,Impact!$A$4:$B$8,2,FALSE)+RANDBETWEEN(-20,20)/100,NA())</f>
        <v>#N/A</v>
      </c>
    </row>
    <row r="239" spans="1:29" x14ac:dyDescent="0.25">
      <c r="A239" s="17">
        <v>237</v>
      </c>
      <c r="B239" s="3" t="str">
        <f t="shared" si="19"/>
        <v/>
      </c>
      <c r="H239" s="49" t="str">
        <f t="shared" si="18"/>
        <v>s. D.</v>
      </c>
      <c r="I239" s="48" t="str">
        <f t="shared" si="20"/>
        <v/>
      </c>
      <c r="J239" s="49" t="str">
        <f>I239&amp;IF(NOT(ISBLANK(E239)),CHAR(10)&amp;VLOOKUP(E239,AttackRiskStep!$A$3:$C$99,3,FALSE),"see Description")&amp;IF(NOT(ISBLANK(F239))," -&gt; "&amp;CHAR(10)&amp;VLOOKUP(F239,AttackRiskStep!$A$3:$C$99,3,FALSE),"")&amp;IF(NOT(ISBLANK(G239))," -&gt; "&amp;CHAR(10)&amp;VLOOKUP(G239,AttackRiskStep!$A$3:$C$99,3,FALSE),"")</f>
        <v>see Description</v>
      </c>
      <c r="P239" s="38" t="e">
        <f>VLOOKUP($N239,Likelihood!$A$3:$B$7,2,FALSE)*VLOOKUP($O239,Impact!$A$4:$B$8,2,FALSE)</f>
        <v>#N/A</v>
      </c>
      <c r="Q239" s="39" t="e">
        <f>VLOOKUP(P239,RPN!$B$6:$C$22,2)</f>
        <v>#N/A</v>
      </c>
      <c r="Z239" s="9" t="e">
        <f ca="1">VLOOKUP($N239,Likelihood!$A$3:$C$7,2,FALSE)+RANDBETWEEN(-20,20)/100</f>
        <v>#N/A</v>
      </c>
      <c r="AA239" s="9" t="e">
        <f ca="1">IF($Q239=AA$2,VLOOKUP($O239,Impact!$A$4:$B$8,2,FALSE)+RANDBETWEEN(-20,20)/100,NA())</f>
        <v>#N/A</v>
      </c>
      <c r="AB239" s="9" t="e">
        <f ca="1">IF($Q239=AB$2,VLOOKUP($O239,Impact!$A$4:$B$8,2,FALSE)+RANDBETWEEN(-20,20)/100,NA())</f>
        <v>#N/A</v>
      </c>
      <c r="AC239" s="9" t="e">
        <f ca="1">IF($Q239=AC$2,VLOOKUP($O239,Impact!$A$4:$B$8,2,FALSE)+RANDBETWEEN(-20,20)/100,NA())</f>
        <v>#N/A</v>
      </c>
    </row>
    <row r="240" spans="1:29" x14ac:dyDescent="0.25">
      <c r="A240" s="17">
        <v>238</v>
      </c>
      <c r="B240" s="3" t="str">
        <f t="shared" si="19"/>
        <v/>
      </c>
      <c r="H240" s="49" t="str">
        <f t="shared" si="18"/>
        <v>s. D.</v>
      </c>
      <c r="I240" s="48" t="str">
        <f t="shared" si="20"/>
        <v/>
      </c>
      <c r="J240" s="49" t="str">
        <f>I240&amp;IF(NOT(ISBLANK(E240)),CHAR(10)&amp;VLOOKUP(E240,AttackRiskStep!$A$3:$C$99,3,FALSE),"see Description")&amp;IF(NOT(ISBLANK(F240))," -&gt; "&amp;CHAR(10)&amp;VLOOKUP(F240,AttackRiskStep!$A$3:$C$99,3,FALSE),"")&amp;IF(NOT(ISBLANK(G240))," -&gt; "&amp;CHAR(10)&amp;VLOOKUP(G240,AttackRiskStep!$A$3:$C$99,3,FALSE),"")</f>
        <v>see Description</v>
      </c>
      <c r="P240" s="38" t="e">
        <f>VLOOKUP($N240,Likelihood!$A$3:$B$7,2,FALSE)*VLOOKUP($O240,Impact!$A$4:$B$8,2,FALSE)</f>
        <v>#N/A</v>
      </c>
      <c r="Q240" s="39" t="e">
        <f>VLOOKUP(P240,RPN!$B$6:$C$22,2)</f>
        <v>#N/A</v>
      </c>
      <c r="Z240" s="9" t="e">
        <f ca="1">VLOOKUP($N240,Likelihood!$A$3:$C$7,2,FALSE)+RANDBETWEEN(-20,20)/100</f>
        <v>#N/A</v>
      </c>
      <c r="AA240" s="9" t="e">
        <f ca="1">IF($Q240=AA$2,VLOOKUP($O240,Impact!$A$4:$B$8,2,FALSE)+RANDBETWEEN(-20,20)/100,NA())</f>
        <v>#N/A</v>
      </c>
      <c r="AB240" s="9" t="e">
        <f ca="1">IF($Q240=AB$2,VLOOKUP($O240,Impact!$A$4:$B$8,2,FALSE)+RANDBETWEEN(-20,20)/100,NA())</f>
        <v>#N/A</v>
      </c>
      <c r="AC240" s="9" t="e">
        <f ca="1">IF($Q240=AC$2,VLOOKUP($O240,Impact!$A$4:$B$8,2,FALSE)+RANDBETWEEN(-20,20)/100,NA())</f>
        <v>#N/A</v>
      </c>
    </row>
    <row r="241" spans="1:29" x14ac:dyDescent="0.25">
      <c r="A241" s="17">
        <v>239</v>
      </c>
      <c r="B241" s="3" t="str">
        <f t="shared" si="19"/>
        <v/>
      </c>
      <c r="H241" s="49" t="str">
        <f t="shared" si="18"/>
        <v>s. D.</v>
      </c>
      <c r="I241" s="48" t="str">
        <f t="shared" si="20"/>
        <v/>
      </c>
      <c r="J241" s="49" t="str">
        <f>I241&amp;IF(NOT(ISBLANK(E241)),CHAR(10)&amp;VLOOKUP(E241,AttackRiskStep!$A$3:$C$99,3,FALSE),"see Description")&amp;IF(NOT(ISBLANK(F241))," -&gt; "&amp;CHAR(10)&amp;VLOOKUP(F241,AttackRiskStep!$A$3:$C$99,3,FALSE),"")&amp;IF(NOT(ISBLANK(G241))," -&gt; "&amp;CHAR(10)&amp;VLOOKUP(G241,AttackRiskStep!$A$3:$C$99,3,FALSE),"")</f>
        <v>see Description</v>
      </c>
      <c r="P241" s="38" t="e">
        <f>VLOOKUP($N241,Likelihood!$A$3:$B$7,2,FALSE)*VLOOKUP($O241,Impact!$A$4:$B$8,2,FALSE)</f>
        <v>#N/A</v>
      </c>
      <c r="Q241" s="39" t="e">
        <f>VLOOKUP(P241,RPN!$B$6:$C$22,2)</f>
        <v>#N/A</v>
      </c>
      <c r="Z241" s="9" t="e">
        <f ca="1">VLOOKUP($N241,Likelihood!$A$3:$C$7,2,FALSE)+RANDBETWEEN(-20,20)/100</f>
        <v>#N/A</v>
      </c>
      <c r="AA241" s="9" t="e">
        <f ca="1">IF($Q241=AA$2,VLOOKUP($O241,Impact!$A$4:$B$8,2,FALSE)+RANDBETWEEN(-20,20)/100,NA())</f>
        <v>#N/A</v>
      </c>
      <c r="AB241" s="9" t="e">
        <f ca="1">IF($Q241=AB$2,VLOOKUP($O241,Impact!$A$4:$B$8,2,FALSE)+RANDBETWEEN(-20,20)/100,NA())</f>
        <v>#N/A</v>
      </c>
      <c r="AC241" s="9" t="e">
        <f ca="1">IF($Q241=AC$2,VLOOKUP($O241,Impact!$A$4:$B$8,2,FALSE)+RANDBETWEEN(-20,20)/100,NA())</f>
        <v>#N/A</v>
      </c>
    </row>
    <row r="242" spans="1:29" x14ac:dyDescent="0.25">
      <c r="A242" s="17">
        <v>240</v>
      </c>
      <c r="B242" s="3" t="str">
        <f t="shared" si="19"/>
        <v/>
      </c>
      <c r="H242" s="49" t="str">
        <f t="shared" si="18"/>
        <v>s. D.</v>
      </c>
      <c r="I242" s="48" t="str">
        <f t="shared" si="20"/>
        <v/>
      </c>
      <c r="J242" s="49" t="str">
        <f>I242&amp;IF(NOT(ISBLANK(E242)),CHAR(10)&amp;VLOOKUP(E242,AttackRiskStep!$A$3:$C$99,3,FALSE),"see Description")&amp;IF(NOT(ISBLANK(F242))," -&gt; "&amp;CHAR(10)&amp;VLOOKUP(F242,AttackRiskStep!$A$3:$C$99,3,FALSE),"")&amp;IF(NOT(ISBLANK(G242))," -&gt; "&amp;CHAR(10)&amp;VLOOKUP(G242,AttackRiskStep!$A$3:$C$99,3,FALSE),"")</f>
        <v>see Description</v>
      </c>
      <c r="P242" s="38" t="e">
        <f>VLOOKUP($N242,Likelihood!$A$3:$B$7,2,FALSE)*VLOOKUP($O242,Impact!$A$4:$B$8,2,FALSE)</f>
        <v>#N/A</v>
      </c>
      <c r="Q242" s="39" t="e">
        <f>VLOOKUP(P242,RPN!$B$6:$C$22,2)</f>
        <v>#N/A</v>
      </c>
      <c r="Z242" s="9" t="e">
        <f ca="1">VLOOKUP($N242,Likelihood!$A$3:$C$7,2,FALSE)+RANDBETWEEN(-20,20)/100</f>
        <v>#N/A</v>
      </c>
      <c r="AA242" s="9" t="e">
        <f ca="1">IF($Q242=AA$2,VLOOKUP($O242,Impact!$A$4:$B$8,2,FALSE)+RANDBETWEEN(-20,20)/100,NA())</f>
        <v>#N/A</v>
      </c>
      <c r="AB242" s="9" t="e">
        <f ca="1">IF($Q242=AB$2,VLOOKUP($O242,Impact!$A$4:$B$8,2,FALSE)+RANDBETWEEN(-20,20)/100,NA())</f>
        <v>#N/A</v>
      </c>
      <c r="AC242" s="9" t="e">
        <f ca="1">IF($Q242=AC$2,VLOOKUP($O242,Impact!$A$4:$B$8,2,FALSE)+RANDBETWEEN(-20,20)/100,NA())</f>
        <v>#N/A</v>
      </c>
    </row>
    <row r="243" spans="1:29" x14ac:dyDescent="0.25">
      <c r="A243" s="17">
        <v>241</v>
      </c>
      <c r="B243" s="3" t="str">
        <f t="shared" si="19"/>
        <v/>
      </c>
      <c r="H243" s="49" t="str">
        <f t="shared" si="18"/>
        <v>s. D.</v>
      </c>
      <c r="I243" s="48" t="str">
        <f t="shared" si="20"/>
        <v/>
      </c>
      <c r="J243" s="49" t="str">
        <f>I243&amp;IF(NOT(ISBLANK(E243)),CHAR(10)&amp;VLOOKUP(E243,AttackRiskStep!$A$3:$C$99,3,FALSE),"see Description")&amp;IF(NOT(ISBLANK(F243))," -&gt; "&amp;CHAR(10)&amp;VLOOKUP(F243,AttackRiskStep!$A$3:$C$99,3,FALSE),"")&amp;IF(NOT(ISBLANK(G243))," -&gt; "&amp;CHAR(10)&amp;VLOOKUP(G243,AttackRiskStep!$A$3:$C$99,3,FALSE),"")</f>
        <v>see Description</v>
      </c>
      <c r="P243" s="38" t="e">
        <f>VLOOKUP($N243,Likelihood!$A$3:$B$7,2,FALSE)*VLOOKUP($O243,Impact!$A$4:$B$8,2,FALSE)</f>
        <v>#N/A</v>
      </c>
      <c r="Q243" s="39" t="e">
        <f>VLOOKUP(P243,RPN!$B$6:$C$22,2)</f>
        <v>#N/A</v>
      </c>
      <c r="Z243" s="9" t="e">
        <f ca="1">VLOOKUP($N243,Likelihood!$A$3:$C$7,2,FALSE)+RANDBETWEEN(-20,20)/100</f>
        <v>#N/A</v>
      </c>
      <c r="AA243" s="9" t="e">
        <f ca="1">IF($Q243=AA$2,VLOOKUP($O243,Impact!$A$4:$B$8,2,FALSE)+RANDBETWEEN(-20,20)/100,NA())</f>
        <v>#N/A</v>
      </c>
      <c r="AB243" s="9" t="e">
        <f ca="1">IF($Q243=AB$2,VLOOKUP($O243,Impact!$A$4:$B$8,2,FALSE)+RANDBETWEEN(-20,20)/100,NA())</f>
        <v>#N/A</v>
      </c>
      <c r="AC243" s="9" t="e">
        <f ca="1">IF($Q243=AC$2,VLOOKUP($O243,Impact!$A$4:$B$8,2,FALSE)+RANDBETWEEN(-20,20)/100,NA())</f>
        <v>#N/A</v>
      </c>
    </row>
    <row r="244" spans="1:29" x14ac:dyDescent="0.25">
      <c r="A244" s="17">
        <v>242</v>
      </c>
      <c r="B244" s="3" t="str">
        <f t="shared" si="19"/>
        <v/>
      </c>
      <c r="H244" s="49" t="str">
        <f t="shared" si="18"/>
        <v>s. D.</v>
      </c>
      <c r="I244" s="48" t="str">
        <f t="shared" si="20"/>
        <v/>
      </c>
      <c r="J244" s="49" t="str">
        <f>I244&amp;IF(NOT(ISBLANK(E244)),CHAR(10)&amp;VLOOKUP(E244,AttackRiskStep!$A$3:$C$99,3,FALSE),"see Description")&amp;IF(NOT(ISBLANK(F244))," -&gt; "&amp;CHAR(10)&amp;VLOOKUP(F244,AttackRiskStep!$A$3:$C$99,3,FALSE),"")&amp;IF(NOT(ISBLANK(G244))," -&gt; "&amp;CHAR(10)&amp;VLOOKUP(G244,AttackRiskStep!$A$3:$C$99,3,FALSE),"")</f>
        <v>see Description</v>
      </c>
      <c r="P244" s="38" t="e">
        <f>VLOOKUP($N244,Likelihood!$A$3:$B$7,2,FALSE)*VLOOKUP($O244,Impact!$A$4:$B$8,2,FALSE)</f>
        <v>#N/A</v>
      </c>
      <c r="Q244" s="39" t="e">
        <f>VLOOKUP(P244,RPN!$B$6:$C$22,2)</f>
        <v>#N/A</v>
      </c>
      <c r="Z244" s="9" t="e">
        <f ca="1">VLOOKUP($N244,Likelihood!$A$3:$C$7,2,FALSE)+RANDBETWEEN(-20,20)/100</f>
        <v>#N/A</v>
      </c>
      <c r="AA244" s="9" t="e">
        <f ca="1">IF($Q244=AA$2,VLOOKUP($O244,Impact!$A$4:$B$8,2,FALSE)+RANDBETWEEN(-20,20)/100,NA())</f>
        <v>#N/A</v>
      </c>
      <c r="AB244" s="9" t="e">
        <f ca="1">IF($Q244=AB$2,VLOOKUP($O244,Impact!$A$4:$B$8,2,FALSE)+RANDBETWEEN(-20,20)/100,NA())</f>
        <v>#N/A</v>
      </c>
      <c r="AC244" s="9" t="e">
        <f ca="1">IF($Q244=AC$2,VLOOKUP($O244,Impact!$A$4:$B$8,2,FALSE)+RANDBETWEEN(-20,20)/100,NA())</f>
        <v>#N/A</v>
      </c>
    </row>
    <row r="245" spans="1:29" x14ac:dyDescent="0.25">
      <c r="A245" s="17">
        <v>243</v>
      </c>
      <c r="B245" s="3" t="str">
        <f t="shared" si="19"/>
        <v/>
      </c>
      <c r="H245" s="49" t="str">
        <f t="shared" si="18"/>
        <v>s. D.</v>
      </c>
      <c r="I245" s="48" t="str">
        <f t="shared" si="20"/>
        <v/>
      </c>
      <c r="J245" s="49" t="str">
        <f>I245&amp;IF(NOT(ISBLANK(E245)),CHAR(10)&amp;VLOOKUP(E245,AttackRiskStep!$A$3:$C$99,3,FALSE),"see Description")&amp;IF(NOT(ISBLANK(F245))," -&gt; "&amp;CHAR(10)&amp;VLOOKUP(F245,AttackRiskStep!$A$3:$C$99,3,FALSE),"")&amp;IF(NOT(ISBLANK(G245))," -&gt; "&amp;CHAR(10)&amp;VLOOKUP(G245,AttackRiskStep!$A$3:$C$99,3,FALSE),"")</f>
        <v>see Description</v>
      </c>
      <c r="P245" s="38" t="e">
        <f>VLOOKUP($N245,Likelihood!$A$3:$B$7,2,FALSE)*VLOOKUP($O245,Impact!$A$4:$B$8,2,FALSE)</f>
        <v>#N/A</v>
      </c>
      <c r="Q245" s="39" t="e">
        <f>VLOOKUP(P245,RPN!$B$6:$C$22,2)</f>
        <v>#N/A</v>
      </c>
      <c r="Z245" s="9" t="e">
        <f ca="1">VLOOKUP($N245,Likelihood!$A$3:$C$7,2,FALSE)+RANDBETWEEN(-20,20)/100</f>
        <v>#N/A</v>
      </c>
      <c r="AA245" s="9" t="e">
        <f ca="1">IF($Q245=AA$2,VLOOKUP($O245,Impact!$A$4:$B$8,2,FALSE)+RANDBETWEEN(-20,20)/100,NA())</f>
        <v>#N/A</v>
      </c>
      <c r="AB245" s="9" t="e">
        <f ca="1">IF($Q245=AB$2,VLOOKUP($O245,Impact!$A$4:$B$8,2,FALSE)+RANDBETWEEN(-20,20)/100,NA())</f>
        <v>#N/A</v>
      </c>
      <c r="AC245" s="9" t="e">
        <f ca="1">IF($Q245=AC$2,VLOOKUP($O245,Impact!$A$4:$B$8,2,FALSE)+RANDBETWEEN(-20,20)/100,NA())</f>
        <v>#N/A</v>
      </c>
    </row>
    <row r="246" spans="1:29" x14ac:dyDescent="0.25">
      <c r="A246" s="17">
        <v>244</v>
      </c>
      <c r="B246" s="3" t="str">
        <f t="shared" si="19"/>
        <v/>
      </c>
      <c r="H246" s="49" t="str">
        <f t="shared" si="18"/>
        <v>s. D.</v>
      </c>
      <c r="I246" s="48" t="str">
        <f t="shared" si="20"/>
        <v/>
      </c>
      <c r="J246" s="49" t="str">
        <f>I246&amp;IF(NOT(ISBLANK(E246)),CHAR(10)&amp;VLOOKUP(E246,AttackRiskStep!$A$3:$C$99,3,FALSE),"see Description")&amp;IF(NOT(ISBLANK(F246))," -&gt; "&amp;CHAR(10)&amp;VLOOKUP(F246,AttackRiskStep!$A$3:$C$99,3,FALSE),"")&amp;IF(NOT(ISBLANK(G246))," -&gt; "&amp;CHAR(10)&amp;VLOOKUP(G246,AttackRiskStep!$A$3:$C$99,3,FALSE),"")</f>
        <v>see Description</v>
      </c>
      <c r="P246" s="38" t="e">
        <f>VLOOKUP($N246,Likelihood!$A$3:$B$7,2,FALSE)*VLOOKUP($O246,Impact!$A$4:$B$8,2,FALSE)</f>
        <v>#N/A</v>
      </c>
      <c r="Q246" s="39" t="e">
        <f>VLOOKUP(P246,RPN!$B$6:$C$22,2)</f>
        <v>#N/A</v>
      </c>
      <c r="Z246" s="9" t="e">
        <f ca="1">VLOOKUP($N246,Likelihood!$A$3:$C$7,2,FALSE)+RANDBETWEEN(-20,20)/100</f>
        <v>#N/A</v>
      </c>
      <c r="AA246" s="9" t="e">
        <f ca="1">IF($Q246=AA$2,VLOOKUP($O246,Impact!$A$4:$B$8,2,FALSE)+RANDBETWEEN(-20,20)/100,NA())</f>
        <v>#N/A</v>
      </c>
      <c r="AB246" s="9" t="e">
        <f ca="1">IF($Q246=AB$2,VLOOKUP($O246,Impact!$A$4:$B$8,2,FALSE)+RANDBETWEEN(-20,20)/100,NA())</f>
        <v>#N/A</v>
      </c>
      <c r="AC246" s="9" t="e">
        <f ca="1">IF($Q246=AC$2,VLOOKUP($O246,Impact!$A$4:$B$8,2,FALSE)+RANDBETWEEN(-20,20)/100,NA())</f>
        <v>#N/A</v>
      </c>
    </row>
    <row r="247" spans="1:29" x14ac:dyDescent="0.25">
      <c r="A247" s="17">
        <v>245</v>
      </c>
      <c r="B247" s="3" t="str">
        <f t="shared" si="19"/>
        <v/>
      </c>
      <c r="H247" s="49" t="str">
        <f t="shared" si="18"/>
        <v>s. D.</v>
      </c>
      <c r="I247" s="48" t="str">
        <f t="shared" si="20"/>
        <v/>
      </c>
      <c r="J247" s="49" t="str">
        <f>I247&amp;IF(NOT(ISBLANK(E247)),CHAR(10)&amp;VLOOKUP(E247,AttackRiskStep!$A$3:$C$99,3,FALSE),"see Description")&amp;IF(NOT(ISBLANK(F247))," -&gt; "&amp;CHAR(10)&amp;VLOOKUP(F247,AttackRiskStep!$A$3:$C$99,3,FALSE),"")&amp;IF(NOT(ISBLANK(G247))," -&gt; "&amp;CHAR(10)&amp;VLOOKUP(G247,AttackRiskStep!$A$3:$C$99,3,FALSE),"")</f>
        <v>see Description</v>
      </c>
      <c r="P247" s="38" t="e">
        <f>VLOOKUP($N247,Likelihood!$A$3:$B$7,2,FALSE)*VLOOKUP($O247,Impact!$A$4:$B$8,2,FALSE)</f>
        <v>#N/A</v>
      </c>
      <c r="Q247" s="39" t="e">
        <f>VLOOKUP(P247,RPN!$B$6:$C$22,2)</f>
        <v>#N/A</v>
      </c>
      <c r="Z247" s="9" t="e">
        <f ca="1">VLOOKUP($N247,Likelihood!$A$3:$C$7,2,FALSE)+RANDBETWEEN(-20,20)/100</f>
        <v>#N/A</v>
      </c>
      <c r="AA247" s="9" t="e">
        <f ca="1">IF($Q247=AA$2,VLOOKUP($O247,Impact!$A$4:$B$8,2,FALSE)+RANDBETWEEN(-20,20)/100,NA())</f>
        <v>#N/A</v>
      </c>
      <c r="AB247" s="9" t="e">
        <f ca="1">IF($Q247=AB$2,VLOOKUP($O247,Impact!$A$4:$B$8,2,FALSE)+RANDBETWEEN(-20,20)/100,NA())</f>
        <v>#N/A</v>
      </c>
      <c r="AC247" s="9" t="e">
        <f ca="1">IF($Q247=AC$2,VLOOKUP($O247,Impact!$A$4:$B$8,2,FALSE)+RANDBETWEEN(-20,20)/100,NA())</f>
        <v>#N/A</v>
      </c>
    </row>
    <row r="248" spans="1:29" x14ac:dyDescent="0.25">
      <c r="A248" s="17">
        <v>246</v>
      </c>
      <c r="B248" s="3" t="str">
        <f t="shared" si="19"/>
        <v/>
      </c>
      <c r="H248" s="49" t="str">
        <f t="shared" si="18"/>
        <v>s. D.</v>
      </c>
      <c r="I248" s="48" t="str">
        <f t="shared" si="20"/>
        <v/>
      </c>
      <c r="J248" s="49" t="str">
        <f>I248&amp;IF(NOT(ISBLANK(E248)),CHAR(10)&amp;VLOOKUP(E248,AttackRiskStep!$A$3:$C$99,3,FALSE),"see Description")&amp;IF(NOT(ISBLANK(F248))," -&gt; "&amp;CHAR(10)&amp;VLOOKUP(F248,AttackRiskStep!$A$3:$C$99,3,FALSE),"")&amp;IF(NOT(ISBLANK(G248))," -&gt; "&amp;CHAR(10)&amp;VLOOKUP(G248,AttackRiskStep!$A$3:$C$99,3,FALSE),"")</f>
        <v>see Description</v>
      </c>
      <c r="P248" s="38" t="e">
        <f>VLOOKUP($N248,Likelihood!$A$3:$B$7,2,FALSE)*VLOOKUP($O248,Impact!$A$4:$B$8,2,FALSE)</f>
        <v>#N/A</v>
      </c>
      <c r="Q248" s="39" t="e">
        <f>VLOOKUP(P248,RPN!$B$6:$C$22,2)</f>
        <v>#N/A</v>
      </c>
      <c r="Z248" s="9" t="e">
        <f ca="1">VLOOKUP($N248,Likelihood!$A$3:$C$7,2,FALSE)+RANDBETWEEN(-20,20)/100</f>
        <v>#N/A</v>
      </c>
      <c r="AA248" s="9" t="e">
        <f ca="1">IF($Q248=AA$2,VLOOKUP($O248,Impact!$A$4:$B$8,2,FALSE)+RANDBETWEEN(-20,20)/100,NA())</f>
        <v>#N/A</v>
      </c>
      <c r="AB248" s="9" t="e">
        <f ca="1">IF($Q248=AB$2,VLOOKUP($O248,Impact!$A$4:$B$8,2,FALSE)+RANDBETWEEN(-20,20)/100,NA())</f>
        <v>#N/A</v>
      </c>
      <c r="AC248" s="9" t="e">
        <f ca="1">IF($Q248=AC$2,VLOOKUP($O248,Impact!$A$4:$B$8,2,FALSE)+RANDBETWEEN(-20,20)/100,NA())</f>
        <v>#N/A</v>
      </c>
    </row>
    <row r="249" spans="1:29" x14ac:dyDescent="0.25">
      <c r="A249" s="17">
        <v>247</v>
      </c>
      <c r="B249" s="3" t="str">
        <f t="shared" si="19"/>
        <v/>
      </c>
      <c r="H249" s="49" t="str">
        <f t="shared" si="18"/>
        <v>s. D.</v>
      </c>
      <c r="I249" s="48" t="str">
        <f t="shared" si="20"/>
        <v/>
      </c>
      <c r="J249" s="49" t="str">
        <f>I249&amp;IF(NOT(ISBLANK(E249)),CHAR(10)&amp;VLOOKUP(E249,AttackRiskStep!$A$3:$C$99,3,FALSE),"see Description")&amp;IF(NOT(ISBLANK(F249))," -&gt; "&amp;CHAR(10)&amp;VLOOKUP(F249,AttackRiskStep!$A$3:$C$99,3,FALSE),"")&amp;IF(NOT(ISBLANK(G249))," -&gt; "&amp;CHAR(10)&amp;VLOOKUP(G249,AttackRiskStep!$A$3:$C$99,3,FALSE),"")</f>
        <v>see Description</v>
      </c>
      <c r="P249" s="38" t="e">
        <f>VLOOKUP($N249,Likelihood!$A$3:$B$7,2,FALSE)*VLOOKUP($O249,Impact!$A$4:$B$8,2,FALSE)</f>
        <v>#N/A</v>
      </c>
      <c r="Q249" s="39" t="e">
        <f>VLOOKUP(P249,RPN!$B$6:$C$22,2)</f>
        <v>#N/A</v>
      </c>
      <c r="Z249" s="9" t="e">
        <f ca="1">VLOOKUP($N249,Likelihood!$A$3:$C$7,2,FALSE)+RANDBETWEEN(-20,20)/100</f>
        <v>#N/A</v>
      </c>
      <c r="AA249" s="9" t="e">
        <f ca="1">IF($Q249=AA$2,VLOOKUP($O249,Impact!$A$4:$B$8,2,FALSE)+RANDBETWEEN(-20,20)/100,NA())</f>
        <v>#N/A</v>
      </c>
      <c r="AB249" s="9" t="e">
        <f ca="1">IF($Q249=AB$2,VLOOKUP($O249,Impact!$A$4:$B$8,2,FALSE)+RANDBETWEEN(-20,20)/100,NA())</f>
        <v>#N/A</v>
      </c>
      <c r="AC249" s="9" t="e">
        <f ca="1">IF($Q249=AC$2,VLOOKUP($O249,Impact!$A$4:$B$8,2,FALSE)+RANDBETWEEN(-20,20)/100,NA())</f>
        <v>#N/A</v>
      </c>
    </row>
    <row r="250" spans="1:29" x14ac:dyDescent="0.25">
      <c r="A250" s="17">
        <v>248</v>
      </c>
      <c r="B250" s="3" t="str">
        <f t="shared" si="19"/>
        <v/>
      </c>
      <c r="H250" s="49" t="str">
        <f t="shared" si="18"/>
        <v>s. D.</v>
      </c>
      <c r="I250" s="48" t="str">
        <f t="shared" si="20"/>
        <v/>
      </c>
      <c r="J250" s="49" t="str">
        <f>I250&amp;IF(NOT(ISBLANK(E250)),CHAR(10)&amp;VLOOKUP(E250,AttackRiskStep!$A$3:$C$99,3,FALSE),"see Description")&amp;IF(NOT(ISBLANK(F250))," -&gt; "&amp;CHAR(10)&amp;VLOOKUP(F250,AttackRiskStep!$A$3:$C$99,3,FALSE),"")&amp;IF(NOT(ISBLANK(G250))," -&gt; "&amp;CHAR(10)&amp;VLOOKUP(G250,AttackRiskStep!$A$3:$C$99,3,FALSE),"")</f>
        <v>see Description</v>
      </c>
      <c r="P250" s="38" t="e">
        <f>VLOOKUP($N250,Likelihood!$A$3:$B$7,2,FALSE)*VLOOKUP($O250,Impact!$A$4:$B$8,2,FALSE)</f>
        <v>#N/A</v>
      </c>
      <c r="Q250" s="39" t="e">
        <f>VLOOKUP(P250,RPN!$B$6:$C$22,2)</f>
        <v>#N/A</v>
      </c>
      <c r="Z250" s="9" t="e">
        <f ca="1">VLOOKUP($N250,Likelihood!$A$3:$C$7,2,FALSE)+RANDBETWEEN(-20,20)/100</f>
        <v>#N/A</v>
      </c>
      <c r="AA250" s="9" t="e">
        <f ca="1">IF($Q250=AA$2,VLOOKUP($O250,Impact!$A$4:$B$8,2,FALSE)+RANDBETWEEN(-20,20)/100,NA())</f>
        <v>#N/A</v>
      </c>
      <c r="AB250" s="9" t="e">
        <f ca="1">IF($Q250=AB$2,VLOOKUP($O250,Impact!$A$4:$B$8,2,FALSE)+RANDBETWEEN(-20,20)/100,NA())</f>
        <v>#N/A</v>
      </c>
      <c r="AC250" s="9" t="e">
        <f ca="1">IF($Q250=AC$2,VLOOKUP($O250,Impact!$A$4:$B$8,2,FALSE)+RANDBETWEEN(-20,20)/100,NA())</f>
        <v>#N/A</v>
      </c>
    </row>
    <row r="251" spans="1:29" x14ac:dyDescent="0.25">
      <c r="A251" s="17">
        <v>249</v>
      </c>
      <c r="B251" s="3" t="str">
        <f t="shared" si="19"/>
        <v/>
      </c>
      <c r="H251" s="49" t="str">
        <f t="shared" si="18"/>
        <v>s. D.</v>
      </c>
      <c r="I251" s="48" t="str">
        <f t="shared" si="20"/>
        <v/>
      </c>
      <c r="J251" s="49" t="str">
        <f>I251&amp;IF(NOT(ISBLANK(E251)),CHAR(10)&amp;VLOOKUP(E251,AttackRiskStep!$A$3:$C$99,3,FALSE),"see Description")&amp;IF(NOT(ISBLANK(F251))," -&gt; "&amp;CHAR(10)&amp;VLOOKUP(F251,AttackRiskStep!$A$3:$C$99,3,FALSE),"")&amp;IF(NOT(ISBLANK(G251))," -&gt; "&amp;CHAR(10)&amp;VLOOKUP(G251,AttackRiskStep!$A$3:$C$99,3,FALSE),"")</f>
        <v>see Description</v>
      </c>
      <c r="P251" s="38" t="e">
        <f>VLOOKUP($N251,Likelihood!$A$3:$B$7,2,FALSE)*VLOOKUP($O251,Impact!$A$4:$B$8,2,FALSE)</f>
        <v>#N/A</v>
      </c>
      <c r="Q251" s="39" t="e">
        <f>VLOOKUP(P251,RPN!$B$6:$C$22,2)</f>
        <v>#N/A</v>
      </c>
      <c r="Z251" s="9" t="e">
        <f ca="1">VLOOKUP($N251,Likelihood!$A$3:$C$7,2,FALSE)+RANDBETWEEN(-20,20)/100</f>
        <v>#N/A</v>
      </c>
      <c r="AA251" s="9" t="e">
        <f ca="1">IF($Q251=AA$2,VLOOKUP($O251,Impact!$A$4:$B$8,2,FALSE)+RANDBETWEEN(-20,20)/100,NA())</f>
        <v>#N/A</v>
      </c>
      <c r="AB251" s="9" t="e">
        <f ca="1">IF($Q251=AB$2,VLOOKUP($O251,Impact!$A$4:$B$8,2,FALSE)+RANDBETWEEN(-20,20)/100,NA())</f>
        <v>#N/A</v>
      </c>
      <c r="AC251" s="9" t="e">
        <f ca="1">IF($Q251=AC$2,VLOOKUP($O251,Impact!$A$4:$B$8,2,FALSE)+RANDBETWEEN(-20,20)/100,NA())</f>
        <v>#N/A</v>
      </c>
    </row>
    <row r="252" spans="1:29" x14ac:dyDescent="0.25">
      <c r="A252" s="17">
        <v>250</v>
      </c>
      <c r="B252" s="3" t="str">
        <f t="shared" si="19"/>
        <v/>
      </c>
      <c r="H252" s="49" t="str">
        <f t="shared" si="18"/>
        <v>s. D.</v>
      </c>
      <c r="I252" s="48" t="str">
        <f t="shared" si="20"/>
        <v/>
      </c>
      <c r="J252" s="49" t="str">
        <f>I252&amp;IF(NOT(ISBLANK(E252)),CHAR(10)&amp;VLOOKUP(E252,AttackRiskStep!$A$3:$C$99,3,FALSE),"see Description")&amp;IF(NOT(ISBLANK(F252))," -&gt; "&amp;CHAR(10)&amp;VLOOKUP(F252,AttackRiskStep!$A$3:$C$99,3,FALSE),"")&amp;IF(NOT(ISBLANK(G252))," -&gt; "&amp;CHAR(10)&amp;VLOOKUP(G252,AttackRiskStep!$A$3:$C$99,3,FALSE),"")</f>
        <v>see Description</v>
      </c>
      <c r="P252" s="38" t="e">
        <f>VLOOKUP($N252,Likelihood!$A$3:$B$7,2,FALSE)*VLOOKUP($O252,Impact!$A$4:$B$8,2,FALSE)</f>
        <v>#N/A</v>
      </c>
      <c r="Q252" s="39" t="e">
        <f>VLOOKUP(P252,RPN!$B$6:$C$22,2)</f>
        <v>#N/A</v>
      </c>
      <c r="Z252" s="9" t="e">
        <f ca="1">VLOOKUP($N252,Likelihood!$A$3:$C$7,2,FALSE)+RANDBETWEEN(-20,20)/100</f>
        <v>#N/A</v>
      </c>
      <c r="AA252" s="9" t="e">
        <f ca="1">IF($Q252=AA$2,VLOOKUP($O252,Impact!$A$4:$B$8,2,FALSE)+RANDBETWEEN(-20,20)/100,NA())</f>
        <v>#N/A</v>
      </c>
      <c r="AB252" s="9" t="e">
        <f ca="1">IF($Q252=AB$2,VLOOKUP($O252,Impact!$A$4:$B$8,2,FALSE)+RANDBETWEEN(-20,20)/100,NA())</f>
        <v>#N/A</v>
      </c>
      <c r="AC252" s="9" t="e">
        <f ca="1">IF($Q252=AC$2,VLOOKUP($O252,Impact!$A$4:$B$8,2,FALSE)+RANDBETWEEN(-20,20)/100,NA())</f>
        <v>#N/A</v>
      </c>
    </row>
    <row r="253" spans="1:29" x14ac:dyDescent="0.25">
      <c r="A253" s="17">
        <v>251</v>
      </c>
      <c r="B253" s="3" t="str">
        <f t="shared" si="19"/>
        <v/>
      </c>
      <c r="H253" s="49" t="str">
        <f t="shared" si="18"/>
        <v>s. D.</v>
      </c>
      <c r="I253" s="48" t="str">
        <f t="shared" si="20"/>
        <v/>
      </c>
      <c r="J253" s="49" t="str">
        <f>I253&amp;IF(NOT(ISBLANK(E253)),CHAR(10)&amp;VLOOKUP(E253,AttackRiskStep!$A$3:$C$99,3,FALSE),"see Description")&amp;IF(NOT(ISBLANK(F253))," -&gt; "&amp;CHAR(10)&amp;VLOOKUP(F253,AttackRiskStep!$A$3:$C$99,3,FALSE),"")&amp;IF(NOT(ISBLANK(G253))," -&gt; "&amp;CHAR(10)&amp;VLOOKUP(G253,AttackRiskStep!$A$3:$C$99,3,FALSE),"")</f>
        <v>see Description</v>
      </c>
      <c r="P253" s="38" t="e">
        <f>VLOOKUP($N253,Likelihood!$A$3:$B$7,2,FALSE)*VLOOKUP($O253,Impact!$A$4:$B$8,2,FALSE)</f>
        <v>#N/A</v>
      </c>
      <c r="Q253" s="39" t="e">
        <f>VLOOKUP(P253,RPN!$B$6:$C$22,2)</f>
        <v>#N/A</v>
      </c>
      <c r="Z253" s="9" t="e">
        <f ca="1">VLOOKUP($N253,Likelihood!$A$3:$C$7,2,FALSE)+RANDBETWEEN(-20,20)/100</f>
        <v>#N/A</v>
      </c>
      <c r="AA253" s="9" t="e">
        <f ca="1">IF($Q253=AA$2,VLOOKUP($O253,Impact!$A$4:$B$8,2,FALSE)+RANDBETWEEN(-20,20)/100,NA())</f>
        <v>#N/A</v>
      </c>
      <c r="AB253" s="9" t="e">
        <f ca="1">IF($Q253=AB$2,VLOOKUP($O253,Impact!$A$4:$B$8,2,FALSE)+RANDBETWEEN(-20,20)/100,NA())</f>
        <v>#N/A</v>
      </c>
      <c r="AC253" s="9" t="e">
        <f ca="1">IF($Q253=AC$2,VLOOKUP($O253,Impact!$A$4:$B$8,2,FALSE)+RANDBETWEEN(-20,20)/100,NA())</f>
        <v>#N/A</v>
      </c>
    </row>
    <row r="254" spans="1:29" x14ac:dyDescent="0.25">
      <c r="A254" s="17">
        <v>252</v>
      </c>
      <c r="B254" s="3" t="str">
        <f t="shared" si="19"/>
        <v/>
      </c>
      <c r="H254" s="49" t="str">
        <f t="shared" si="18"/>
        <v>s. D.</v>
      </c>
      <c r="I254" s="48" t="str">
        <f t="shared" si="20"/>
        <v/>
      </c>
      <c r="J254" s="49" t="str">
        <f>I254&amp;IF(NOT(ISBLANK(E254)),CHAR(10)&amp;VLOOKUP(E254,AttackRiskStep!$A$3:$C$99,3,FALSE),"see Description")&amp;IF(NOT(ISBLANK(F254))," -&gt; "&amp;CHAR(10)&amp;VLOOKUP(F254,AttackRiskStep!$A$3:$C$99,3,FALSE),"")&amp;IF(NOT(ISBLANK(G254))," -&gt; "&amp;CHAR(10)&amp;VLOOKUP(G254,AttackRiskStep!$A$3:$C$99,3,FALSE),"")</f>
        <v>see Description</v>
      </c>
      <c r="P254" s="38" t="e">
        <f>VLOOKUP($N254,Likelihood!$A$3:$B$7,2,FALSE)*VLOOKUP($O254,Impact!$A$4:$B$8,2,FALSE)</f>
        <v>#N/A</v>
      </c>
      <c r="Q254" s="39" t="e">
        <f>VLOOKUP(P254,RPN!$B$6:$C$22,2)</f>
        <v>#N/A</v>
      </c>
      <c r="Z254" s="9" t="e">
        <f ca="1">VLOOKUP($N254,Likelihood!$A$3:$C$7,2,FALSE)+RANDBETWEEN(-20,20)/100</f>
        <v>#N/A</v>
      </c>
      <c r="AA254" s="9" t="e">
        <f ca="1">IF($Q254=AA$2,VLOOKUP($O254,Impact!$A$4:$B$8,2,FALSE)+RANDBETWEEN(-20,20)/100,NA())</f>
        <v>#N/A</v>
      </c>
      <c r="AB254" s="9" t="e">
        <f ca="1">IF($Q254=AB$2,VLOOKUP($O254,Impact!$A$4:$B$8,2,FALSE)+RANDBETWEEN(-20,20)/100,NA())</f>
        <v>#N/A</v>
      </c>
      <c r="AC254" s="9" t="e">
        <f ca="1">IF($Q254=AC$2,VLOOKUP($O254,Impact!$A$4:$B$8,2,FALSE)+RANDBETWEEN(-20,20)/100,NA())</f>
        <v>#N/A</v>
      </c>
    </row>
    <row r="255" spans="1:29" x14ac:dyDescent="0.25">
      <c r="A255" s="17">
        <v>253</v>
      </c>
      <c r="B255" s="3" t="str">
        <f t="shared" si="19"/>
        <v/>
      </c>
      <c r="H255" s="49" t="str">
        <f t="shared" si="18"/>
        <v>s. D.</v>
      </c>
      <c r="I255" s="48" t="str">
        <f t="shared" si="20"/>
        <v/>
      </c>
      <c r="J255" s="49" t="str">
        <f>I255&amp;IF(NOT(ISBLANK(E255)),CHAR(10)&amp;VLOOKUP(E255,AttackRiskStep!$A$3:$C$99,3,FALSE),"see Description")&amp;IF(NOT(ISBLANK(F255))," -&gt; "&amp;CHAR(10)&amp;VLOOKUP(F255,AttackRiskStep!$A$3:$C$99,3,FALSE),"")&amp;IF(NOT(ISBLANK(G255))," -&gt; "&amp;CHAR(10)&amp;VLOOKUP(G255,AttackRiskStep!$A$3:$C$99,3,FALSE),"")</f>
        <v>see Description</v>
      </c>
      <c r="P255" s="38" t="e">
        <f>VLOOKUP($N255,Likelihood!$A$3:$B$7,2,FALSE)*VLOOKUP($O255,Impact!$A$4:$B$8,2,FALSE)</f>
        <v>#N/A</v>
      </c>
      <c r="Q255" s="39" t="e">
        <f>VLOOKUP(P255,RPN!$B$6:$C$22,2)</f>
        <v>#N/A</v>
      </c>
      <c r="Z255" s="9" t="e">
        <f ca="1">VLOOKUP($N255,Likelihood!$A$3:$C$7,2,FALSE)+RANDBETWEEN(-20,20)/100</f>
        <v>#N/A</v>
      </c>
      <c r="AA255" s="9" t="e">
        <f ca="1">IF($Q255=AA$2,VLOOKUP($O255,Impact!$A$4:$B$8,2,FALSE)+RANDBETWEEN(-20,20)/100,NA())</f>
        <v>#N/A</v>
      </c>
      <c r="AB255" s="9" t="e">
        <f ca="1">IF($Q255=AB$2,VLOOKUP($O255,Impact!$A$4:$B$8,2,FALSE)+RANDBETWEEN(-20,20)/100,NA())</f>
        <v>#N/A</v>
      </c>
      <c r="AC255" s="9" t="e">
        <f ca="1">IF($Q255=AC$2,VLOOKUP($O255,Impact!$A$4:$B$8,2,FALSE)+RANDBETWEEN(-20,20)/100,NA())</f>
        <v>#N/A</v>
      </c>
    </row>
    <row r="256" spans="1:29" x14ac:dyDescent="0.25">
      <c r="A256" s="17">
        <v>254</v>
      </c>
      <c r="B256" s="3" t="str">
        <f t="shared" si="19"/>
        <v/>
      </c>
      <c r="H256" s="49" t="str">
        <f t="shared" si="18"/>
        <v>s. D.</v>
      </c>
      <c r="I256" s="48" t="str">
        <f t="shared" si="20"/>
        <v/>
      </c>
      <c r="J256" s="49" t="str">
        <f>I256&amp;IF(NOT(ISBLANK(E256)),CHAR(10)&amp;VLOOKUP(E256,AttackRiskStep!$A$3:$C$99,3,FALSE),"see Description")&amp;IF(NOT(ISBLANK(F256))," -&gt; "&amp;CHAR(10)&amp;VLOOKUP(F256,AttackRiskStep!$A$3:$C$99,3,FALSE),"")&amp;IF(NOT(ISBLANK(G256))," -&gt; "&amp;CHAR(10)&amp;VLOOKUP(G256,AttackRiskStep!$A$3:$C$99,3,FALSE),"")</f>
        <v>see Description</v>
      </c>
      <c r="P256" s="38" t="e">
        <f>VLOOKUP($N256,Likelihood!$A$3:$B$7,2,FALSE)*VLOOKUP($O256,Impact!$A$4:$B$8,2,FALSE)</f>
        <v>#N/A</v>
      </c>
      <c r="Q256" s="39" t="e">
        <f>VLOOKUP(P256,RPN!$B$6:$C$22,2)</f>
        <v>#N/A</v>
      </c>
      <c r="Z256" s="9" t="e">
        <f ca="1">VLOOKUP($N256,Likelihood!$A$3:$C$7,2,FALSE)+RANDBETWEEN(-20,20)/100</f>
        <v>#N/A</v>
      </c>
      <c r="AA256" s="9" t="e">
        <f ca="1">IF($Q256=AA$2,VLOOKUP($O256,Impact!$A$4:$B$8,2,FALSE)+RANDBETWEEN(-20,20)/100,NA())</f>
        <v>#N/A</v>
      </c>
      <c r="AB256" s="9" t="e">
        <f ca="1">IF($Q256=AB$2,VLOOKUP($O256,Impact!$A$4:$B$8,2,FALSE)+RANDBETWEEN(-20,20)/100,NA())</f>
        <v>#N/A</v>
      </c>
      <c r="AC256" s="9" t="e">
        <f ca="1">IF($Q256=AC$2,VLOOKUP($O256,Impact!$A$4:$B$8,2,FALSE)+RANDBETWEEN(-20,20)/100,NA())</f>
        <v>#N/A</v>
      </c>
    </row>
    <row r="257" spans="1:29" x14ac:dyDescent="0.25">
      <c r="A257" s="17">
        <v>255</v>
      </c>
      <c r="B257" s="3" t="str">
        <f t="shared" si="19"/>
        <v/>
      </c>
      <c r="H257" s="49" t="str">
        <f t="shared" ref="H257:H320" si="21">IF(ISBLANK(E257),"s. D.",IF(ISBLANK(F257),E257,IF(ISBLANK(G257),F257,G257)))</f>
        <v>s. D.</v>
      </c>
      <c r="I257" s="48" t="str">
        <f t="shared" si="20"/>
        <v/>
      </c>
      <c r="J257" s="49" t="str">
        <f>I257&amp;IF(NOT(ISBLANK(E257)),CHAR(10)&amp;VLOOKUP(E257,AttackRiskStep!$A$3:$C$99,3,FALSE),"see Description")&amp;IF(NOT(ISBLANK(F257))," -&gt; "&amp;CHAR(10)&amp;VLOOKUP(F257,AttackRiskStep!$A$3:$C$99,3,FALSE),"")&amp;IF(NOT(ISBLANK(G257))," -&gt; "&amp;CHAR(10)&amp;VLOOKUP(G257,AttackRiskStep!$A$3:$C$99,3,FALSE),"")</f>
        <v>see Description</v>
      </c>
      <c r="P257" s="38" t="e">
        <f>VLOOKUP($N257,Likelihood!$A$3:$B$7,2,FALSE)*VLOOKUP($O257,Impact!$A$4:$B$8,2,FALSE)</f>
        <v>#N/A</v>
      </c>
      <c r="Q257" s="39" t="e">
        <f>VLOOKUP(P257,RPN!$B$6:$C$22,2)</f>
        <v>#N/A</v>
      </c>
      <c r="Z257" s="9" t="e">
        <f ca="1">VLOOKUP($N257,Likelihood!$A$3:$C$7,2,FALSE)+RANDBETWEEN(-20,20)/100</f>
        <v>#N/A</v>
      </c>
      <c r="AA257" s="9" t="e">
        <f ca="1">IF($Q257=AA$2,VLOOKUP($O257,Impact!$A$4:$B$8,2,FALSE)+RANDBETWEEN(-20,20)/100,NA())</f>
        <v>#N/A</v>
      </c>
      <c r="AB257" s="9" t="e">
        <f ca="1">IF($Q257=AB$2,VLOOKUP($O257,Impact!$A$4:$B$8,2,FALSE)+RANDBETWEEN(-20,20)/100,NA())</f>
        <v>#N/A</v>
      </c>
      <c r="AC257" s="9" t="e">
        <f ca="1">IF($Q257=AC$2,VLOOKUP($O257,Impact!$A$4:$B$8,2,FALSE)+RANDBETWEEN(-20,20)/100,NA())</f>
        <v>#N/A</v>
      </c>
    </row>
    <row r="258" spans="1:29" x14ac:dyDescent="0.25">
      <c r="A258" s="17">
        <v>256</v>
      </c>
      <c r="B258" s="3" t="str">
        <f t="shared" si="19"/>
        <v/>
      </c>
      <c r="H258" s="49" t="str">
        <f t="shared" si="21"/>
        <v>s. D.</v>
      </c>
      <c r="I258" s="48" t="str">
        <f t="shared" si="20"/>
        <v/>
      </c>
      <c r="J258" s="49" t="str">
        <f>I258&amp;IF(NOT(ISBLANK(E258)),CHAR(10)&amp;VLOOKUP(E258,AttackRiskStep!$A$3:$C$99,3,FALSE),"see Description")&amp;IF(NOT(ISBLANK(F258))," -&gt; "&amp;CHAR(10)&amp;VLOOKUP(F258,AttackRiskStep!$A$3:$C$99,3,FALSE),"")&amp;IF(NOT(ISBLANK(G258))," -&gt; "&amp;CHAR(10)&amp;VLOOKUP(G258,AttackRiskStep!$A$3:$C$99,3,FALSE),"")</f>
        <v>see Description</v>
      </c>
      <c r="P258" s="38" t="e">
        <f>VLOOKUP($N258,Likelihood!$A$3:$B$7,2,FALSE)*VLOOKUP($O258,Impact!$A$4:$B$8,2,FALSE)</f>
        <v>#N/A</v>
      </c>
      <c r="Q258" s="39" t="e">
        <f>VLOOKUP(P258,RPN!$B$6:$C$22,2)</f>
        <v>#N/A</v>
      </c>
      <c r="Z258" s="9" t="e">
        <f ca="1">VLOOKUP($N258,Likelihood!$A$3:$C$7,2,FALSE)+RANDBETWEEN(-20,20)/100</f>
        <v>#N/A</v>
      </c>
      <c r="AA258" s="9" t="e">
        <f ca="1">IF($Q258=AA$2,VLOOKUP($O258,Impact!$A$4:$B$8,2,FALSE)+RANDBETWEEN(-20,20)/100,NA())</f>
        <v>#N/A</v>
      </c>
      <c r="AB258" s="9" t="e">
        <f ca="1">IF($Q258=AB$2,VLOOKUP($O258,Impact!$A$4:$B$8,2,FALSE)+RANDBETWEEN(-20,20)/100,NA())</f>
        <v>#N/A</v>
      </c>
      <c r="AC258" s="9" t="e">
        <f ca="1">IF($Q258=AC$2,VLOOKUP($O258,Impact!$A$4:$B$8,2,FALSE)+RANDBETWEEN(-20,20)/100,NA())</f>
        <v>#N/A</v>
      </c>
    </row>
    <row r="259" spans="1:29" x14ac:dyDescent="0.25">
      <c r="A259" s="17">
        <v>257</v>
      </c>
      <c r="B259" s="3" t="str">
        <f t="shared" ref="B259:B322" si="22">I259</f>
        <v/>
      </c>
      <c r="H259" s="49" t="str">
        <f t="shared" si="21"/>
        <v>s. D.</v>
      </c>
      <c r="I259" s="48" t="str">
        <f t="shared" ref="I259:I322" si="23">IF(NOT(ISBLANK(E259)),E259,"")&amp;IF(NOT(ISBLANK(F259))," -&gt; "&amp;F259,"")&amp;IF(NOT(ISBLANK(G259))," -&gt; "&amp;G259,"")</f>
        <v/>
      </c>
      <c r="J259" s="49" t="str">
        <f>I259&amp;IF(NOT(ISBLANK(E259)),CHAR(10)&amp;VLOOKUP(E259,AttackRiskStep!$A$3:$C$99,3,FALSE),"see Description")&amp;IF(NOT(ISBLANK(F259))," -&gt; "&amp;CHAR(10)&amp;VLOOKUP(F259,AttackRiskStep!$A$3:$C$99,3,FALSE),"")&amp;IF(NOT(ISBLANK(G259))," -&gt; "&amp;CHAR(10)&amp;VLOOKUP(G259,AttackRiskStep!$A$3:$C$99,3,FALSE),"")</f>
        <v>see Description</v>
      </c>
      <c r="P259" s="38" t="e">
        <f>VLOOKUP($N259,Likelihood!$A$3:$B$7,2,FALSE)*VLOOKUP($O259,Impact!$A$4:$B$8,2,FALSE)</f>
        <v>#N/A</v>
      </c>
      <c r="Q259" s="39" t="e">
        <f>VLOOKUP(P259,RPN!$B$6:$C$22,2)</f>
        <v>#N/A</v>
      </c>
      <c r="Z259" s="9" t="e">
        <f ca="1">VLOOKUP($N259,Likelihood!$A$3:$C$7,2,FALSE)+RANDBETWEEN(-20,20)/100</f>
        <v>#N/A</v>
      </c>
      <c r="AA259" s="9" t="e">
        <f ca="1">IF($Q259=AA$2,VLOOKUP($O259,Impact!$A$4:$B$8,2,FALSE)+RANDBETWEEN(-20,20)/100,NA())</f>
        <v>#N/A</v>
      </c>
      <c r="AB259" s="9" t="e">
        <f ca="1">IF($Q259=AB$2,VLOOKUP($O259,Impact!$A$4:$B$8,2,FALSE)+RANDBETWEEN(-20,20)/100,NA())</f>
        <v>#N/A</v>
      </c>
      <c r="AC259" s="9" t="e">
        <f ca="1">IF($Q259=AC$2,VLOOKUP($O259,Impact!$A$4:$B$8,2,FALSE)+RANDBETWEEN(-20,20)/100,NA())</f>
        <v>#N/A</v>
      </c>
    </row>
    <row r="260" spans="1:29" x14ac:dyDescent="0.25">
      <c r="A260" s="17">
        <v>258</v>
      </c>
      <c r="B260" s="3" t="str">
        <f t="shared" si="22"/>
        <v/>
      </c>
      <c r="H260" s="49" t="str">
        <f t="shared" si="21"/>
        <v>s. D.</v>
      </c>
      <c r="I260" s="48" t="str">
        <f t="shared" si="23"/>
        <v/>
      </c>
      <c r="J260" s="49" t="str">
        <f>I260&amp;IF(NOT(ISBLANK(E260)),CHAR(10)&amp;VLOOKUP(E260,AttackRiskStep!$A$3:$C$99,3,FALSE),"see Description")&amp;IF(NOT(ISBLANK(F260))," -&gt; "&amp;CHAR(10)&amp;VLOOKUP(F260,AttackRiskStep!$A$3:$C$99,3,FALSE),"")&amp;IF(NOT(ISBLANK(G260))," -&gt; "&amp;CHAR(10)&amp;VLOOKUP(G260,AttackRiskStep!$A$3:$C$99,3,FALSE),"")</f>
        <v>see Description</v>
      </c>
      <c r="P260" s="38" t="e">
        <f>VLOOKUP($N260,Likelihood!$A$3:$B$7,2,FALSE)*VLOOKUP($O260,Impact!$A$4:$B$8,2,FALSE)</f>
        <v>#N/A</v>
      </c>
      <c r="Q260" s="39" t="e">
        <f>VLOOKUP(P260,RPN!$B$6:$C$22,2)</f>
        <v>#N/A</v>
      </c>
      <c r="Z260" s="9" t="e">
        <f ca="1">VLOOKUP($N260,Likelihood!$A$3:$C$7,2,FALSE)+RANDBETWEEN(-20,20)/100</f>
        <v>#N/A</v>
      </c>
      <c r="AA260" s="9" t="e">
        <f ca="1">IF($Q260=AA$2,VLOOKUP($O260,Impact!$A$4:$B$8,2,FALSE)+RANDBETWEEN(-20,20)/100,NA())</f>
        <v>#N/A</v>
      </c>
      <c r="AB260" s="9" t="e">
        <f ca="1">IF($Q260=AB$2,VLOOKUP($O260,Impact!$A$4:$B$8,2,FALSE)+RANDBETWEEN(-20,20)/100,NA())</f>
        <v>#N/A</v>
      </c>
      <c r="AC260" s="9" t="e">
        <f ca="1">IF($Q260=AC$2,VLOOKUP($O260,Impact!$A$4:$B$8,2,FALSE)+RANDBETWEEN(-20,20)/100,NA())</f>
        <v>#N/A</v>
      </c>
    </row>
    <row r="261" spans="1:29" x14ac:dyDescent="0.25">
      <c r="A261" s="17">
        <v>259</v>
      </c>
      <c r="B261" s="3" t="str">
        <f t="shared" si="22"/>
        <v/>
      </c>
      <c r="H261" s="49" t="str">
        <f t="shared" si="21"/>
        <v>s. D.</v>
      </c>
      <c r="I261" s="48" t="str">
        <f t="shared" si="23"/>
        <v/>
      </c>
      <c r="J261" s="49" t="str">
        <f>I261&amp;IF(NOT(ISBLANK(E261)),CHAR(10)&amp;VLOOKUP(E261,AttackRiskStep!$A$3:$C$99,3,FALSE),"see Description")&amp;IF(NOT(ISBLANK(F261))," -&gt; "&amp;CHAR(10)&amp;VLOOKUP(F261,AttackRiskStep!$A$3:$C$99,3,FALSE),"")&amp;IF(NOT(ISBLANK(G261))," -&gt; "&amp;CHAR(10)&amp;VLOOKUP(G261,AttackRiskStep!$A$3:$C$99,3,FALSE),"")</f>
        <v>see Description</v>
      </c>
      <c r="P261" s="38" t="e">
        <f>VLOOKUP($N261,Likelihood!$A$3:$B$7,2,FALSE)*VLOOKUP($O261,Impact!$A$4:$B$8,2,FALSE)</f>
        <v>#N/A</v>
      </c>
      <c r="Q261" s="39" t="e">
        <f>VLOOKUP(P261,RPN!$B$6:$C$22,2)</f>
        <v>#N/A</v>
      </c>
      <c r="Z261" s="9" t="e">
        <f ca="1">VLOOKUP($N261,Likelihood!$A$3:$C$7,2,FALSE)+RANDBETWEEN(-20,20)/100</f>
        <v>#N/A</v>
      </c>
      <c r="AA261" s="9" t="e">
        <f ca="1">IF($Q261=AA$2,VLOOKUP($O261,Impact!$A$4:$B$8,2,FALSE)+RANDBETWEEN(-20,20)/100,NA())</f>
        <v>#N/A</v>
      </c>
      <c r="AB261" s="9" t="e">
        <f ca="1">IF($Q261=AB$2,VLOOKUP($O261,Impact!$A$4:$B$8,2,FALSE)+RANDBETWEEN(-20,20)/100,NA())</f>
        <v>#N/A</v>
      </c>
      <c r="AC261" s="9" t="e">
        <f ca="1">IF($Q261=AC$2,VLOOKUP($O261,Impact!$A$4:$B$8,2,FALSE)+RANDBETWEEN(-20,20)/100,NA())</f>
        <v>#N/A</v>
      </c>
    </row>
    <row r="262" spans="1:29" x14ac:dyDescent="0.25">
      <c r="A262" s="17">
        <v>260</v>
      </c>
      <c r="B262" s="3" t="str">
        <f t="shared" si="22"/>
        <v/>
      </c>
      <c r="H262" s="49" t="str">
        <f t="shared" si="21"/>
        <v>s. D.</v>
      </c>
      <c r="I262" s="48" t="str">
        <f t="shared" si="23"/>
        <v/>
      </c>
      <c r="J262" s="49" t="str">
        <f>I262&amp;IF(NOT(ISBLANK(E262)),CHAR(10)&amp;VLOOKUP(E262,AttackRiskStep!$A$3:$C$99,3,FALSE),"see Description")&amp;IF(NOT(ISBLANK(F262))," -&gt; "&amp;CHAR(10)&amp;VLOOKUP(F262,AttackRiskStep!$A$3:$C$99,3,FALSE),"")&amp;IF(NOT(ISBLANK(G262))," -&gt; "&amp;CHAR(10)&amp;VLOOKUP(G262,AttackRiskStep!$A$3:$C$99,3,FALSE),"")</f>
        <v>see Description</v>
      </c>
      <c r="P262" s="38" t="e">
        <f>VLOOKUP($N262,Likelihood!$A$3:$B$7,2,FALSE)*VLOOKUP($O262,Impact!$A$4:$B$8,2,FALSE)</f>
        <v>#N/A</v>
      </c>
      <c r="Q262" s="39" t="e">
        <f>VLOOKUP(P262,RPN!$B$6:$C$22,2)</f>
        <v>#N/A</v>
      </c>
      <c r="Z262" s="9" t="e">
        <f ca="1">VLOOKUP($N262,Likelihood!$A$3:$C$7,2,FALSE)+RANDBETWEEN(-20,20)/100</f>
        <v>#N/A</v>
      </c>
      <c r="AA262" s="9" t="e">
        <f ca="1">IF($Q262=AA$2,VLOOKUP($O262,Impact!$A$4:$B$8,2,FALSE)+RANDBETWEEN(-20,20)/100,NA())</f>
        <v>#N/A</v>
      </c>
      <c r="AB262" s="9" t="e">
        <f ca="1">IF($Q262=AB$2,VLOOKUP($O262,Impact!$A$4:$B$8,2,FALSE)+RANDBETWEEN(-20,20)/100,NA())</f>
        <v>#N/A</v>
      </c>
      <c r="AC262" s="9" t="e">
        <f ca="1">IF($Q262=AC$2,VLOOKUP($O262,Impact!$A$4:$B$8,2,FALSE)+RANDBETWEEN(-20,20)/100,NA())</f>
        <v>#N/A</v>
      </c>
    </row>
    <row r="263" spans="1:29" x14ac:dyDescent="0.25">
      <c r="A263" s="17">
        <v>261</v>
      </c>
      <c r="B263" s="3" t="str">
        <f t="shared" si="22"/>
        <v/>
      </c>
      <c r="H263" s="49" t="str">
        <f t="shared" si="21"/>
        <v>s. D.</v>
      </c>
      <c r="I263" s="48" t="str">
        <f t="shared" si="23"/>
        <v/>
      </c>
      <c r="J263" s="49" t="str">
        <f>I263&amp;IF(NOT(ISBLANK(E263)),CHAR(10)&amp;VLOOKUP(E263,AttackRiskStep!$A$3:$C$99,3,FALSE),"see Description")&amp;IF(NOT(ISBLANK(F263))," -&gt; "&amp;CHAR(10)&amp;VLOOKUP(F263,AttackRiskStep!$A$3:$C$99,3,FALSE),"")&amp;IF(NOT(ISBLANK(G263))," -&gt; "&amp;CHAR(10)&amp;VLOOKUP(G263,AttackRiskStep!$A$3:$C$99,3,FALSE),"")</f>
        <v>see Description</v>
      </c>
      <c r="P263" s="38" t="e">
        <f>VLOOKUP($N263,Likelihood!$A$3:$B$7,2,FALSE)*VLOOKUP($O263,Impact!$A$4:$B$8,2,FALSE)</f>
        <v>#N/A</v>
      </c>
      <c r="Q263" s="39" t="e">
        <f>VLOOKUP(P263,RPN!$B$6:$C$22,2)</f>
        <v>#N/A</v>
      </c>
      <c r="Z263" s="9" t="e">
        <f ca="1">VLOOKUP($N263,Likelihood!$A$3:$C$7,2,FALSE)+RANDBETWEEN(-20,20)/100</f>
        <v>#N/A</v>
      </c>
      <c r="AA263" s="9" t="e">
        <f ca="1">IF($Q263=AA$2,VLOOKUP($O263,Impact!$A$4:$B$8,2,FALSE)+RANDBETWEEN(-20,20)/100,NA())</f>
        <v>#N/A</v>
      </c>
      <c r="AB263" s="9" t="e">
        <f ca="1">IF($Q263=AB$2,VLOOKUP($O263,Impact!$A$4:$B$8,2,FALSE)+RANDBETWEEN(-20,20)/100,NA())</f>
        <v>#N/A</v>
      </c>
      <c r="AC263" s="9" t="e">
        <f ca="1">IF($Q263=AC$2,VLOOKUP($O263,Impact!$A$4:$B$8,2,FALSE)+RANDBETWEEN(-20,20)/100,NA())</f>
        <v>#N/A</v>
      </c>
    </row>
    <row r="264" spans="1:29" x14ac:dyDescent="0.25">
      <c r="A264" s="17">
        <v>262</v>
      </c>
      <c r="B264" s="3" t="str">
        <f t="shared" si="22"/>
        <v/>
      </c>
      <c r="H264" s="49" t="str">
        <f t="shared" si="21"/>
        <v>s. D.</v>
      </c>
      <c r="I264" s="48" t="str">
        <f t="shared" si="23"/>
        <v/>
      </c>
      <c r="J264" s="49" t="str">
        <f>I264&amp;IF(NOT(ISBLANK(E264)),CHAR(10)&amp;VLOOKUP(E264,AttackRiskStep!$A$3:$C$99,3,FALSE),"see Description")&amp;IF(NOT(ISBLANK(F264))," -&gt; "&amp;CHAR(10)&amp;VLOOKUP(F264,AttackRiskStep!$A$3:$C$99,3,FALSE),"")&amp;IF(NOT(ISBLANK(G264))," -&gt; "&amp;CHAR(10)&amp;VLOOKUP(G264,AttackRiskStep!$A$3:$C$99,3,FALSE),"")</f>
        <v>see Description</v>
      </c>
      <c r="P264" s="38" t="e">
        <f>VLOOKUP($N264,Likelihood!$A$3:$B$7,2,FALSE)*VLOOKUP($O264,Impact!$A$4:$B$8,2,FALSE)</f>
        <v>#N/A</v>
      </c>
      <c r="Q264" s="39" t="e">
        <f>VLOOKUP(P264,RPN!$B$6:$C$22,2)</f>
        <v>#N/A</v>
      </c>
      <c r="Z264" s="9" t="e">
        <f ca="1">VLOOKUP($N264,Likelihood!$A$3:$C$7,2,FALSE)+RANDBETWEEN(-20,20)/100</f>
        <v>#N/A</v>
      </c>
      <c r="AA264" s="9" t="e">
        <f ca="1">IF($Q264=AA$2,VLOOKUP($O264,Impact!$A$4:$B$8,2,FALSE)+RANDBETWEEN(-20,20)/100,NA())</f>
        <v>#N/A</v>
      </c>
      <c r="AB264" s="9" t="e">
        <f ca="1">IF($Q264=AB$2,VLOOKUP($O264,Impact!$A$4:$B$8,2,FALSE)+RANDBETWEEN(-20,20)/100,NA())</f>
        <v>#N/A</v>
      </c>
      <c r="AC264" s="9" t="e">
        <f ca="1">IF($Q264=AC$2,VLOOKUP($O264,Impact!$A$4:$B$8,2,FALSE)+RANDBETWEEN(-20,20)/100,NA())</f>
        <v>#N/A</v>
      </c>
    </row>
    <row r="265" spans="1:29" x14ac:dyDescent="0.25">
      <c r="A265" s="17">
        <v>263</v>
      </c>
      <c r="B265" s="3" t="str">
        <f t="shared" si="22"/>
        <v/>
      </c>
      <c r="H265" s="49" t="str">
        <f t="shared" si="21"/>
        <v>s. D.</v>
      </c>
      <c r="I265" s="48" t="str">
        <f t="shared" si="23"/>
        <v/>
      </c>
      <c r="J265" s="49" t="str">
        <f>I265&amp;IF(NOT(ISBLANK(E265)),CHAR(10)&amp;VLOOKUP(E265,AttackRiskStep!$A$3:$C$99,3,FALSE),"see Description")&amp;IF(NOT(ISBLANK(F265))," -&gt; "&amp;CHAR(10)&amp;VLOOKUP(F265,AttackRiskStep!$A$3:$C$99,3,FALSE),"")&amp;IF(NOT(ISBLANK(G265))," -&gt; "&amp;CHAR(10)&amp;VLOOKUP(G265,AttackRiskStep!$A$3:$C$99,3,FALSE),"")</f>
        <v>see Description</v>
      </c>
      <c r="P265" s="38" t="e">
        <f>VLOOKUP($N265,Likelihood!$A$3:$B$7,2,FALSE)*VLOOKUP($O265,Impact!$A$4:$B$8,2,FALSE)</f>
        <v>#N/A</v>
      </c>
      <c r="Q265" s="39" t="e">
        <f>VLOOKUP(P265,RPN!$B$6:$C$22,2)</f>
        <v>#N/A</v>
      </c>
      <c r="Z265" s="9" t="e">
        <f ca="1">VLOOKUP($N265,Likelihood!$A$3:$C$7,2,FALSE)+RANDBETWEEN(-20,20)/100</f>
        <v>#N/A</v>
      </c>
      <c r="AA265" s="9" t="e">
        <f ca="1">IF($Q265=AA$2,VLOOKUP($O265,Impact!$A$4:$B$8,2,FALSE)+RANDBETWEEN(-20,20)/100,NA())</f>
        <v>#N/A</v>
      </c>
      <c r="AB265" s="9" t="e">
        <f ca="1">IF($Q265=AB$2,VLOOKUP($O265,Impact!$A$4:$B$8,2,FALSE)+RANDBETWEEN(-20,20)/100,NA())</f>
        <v>#N/A</v>
      </c>
      <c r="AC265" s="9" t="e">
        <f ca="1">IF($Q265=AC$2,VLOOKUP($O265,Impact!$A$4:$B$8,2,FALSE)+RANDBETWEEN(-20,20)/100,NA())</f>
        <v>#N/A</v>
      </c>
    </row>
    <row r="266" spans="1:29" x14ac:dyDescent="0.25">
      <c r="A266" s="17">
        <v>264</v>
      </c>
      <c r="B266" s="3" t="str">
        <f t="shared" si="22"/>
        <v/>
      </c>
      <c r="H266" s="49" t="str">
        <f t="shared" si="21"/>
        <v>s. D.</v>
      </c>
      <c r="I266" s="48" t="str">
        <f t="shared" si="23"/>
        <v/>
      </c>
      <c r="J266" s="49" t="str">
        <f>I266&amp;IF(NOT(ISBLANK(E266)),CHAR(10)&amp;VLOOKUP(E266,AttackRiskStep!$A$3:$C$99,3,FALSE),"see Description")&amp;IF(NOT(ISBLANK(F266))," -&gt; "&amp;CHAR(10)&amp;VLOOKUP(F266,AttackRiskStep!$A$3:$C$99,3,FALSE),"")&amp;IF(NOT(ISBLANK(G266))," -&gt; "&amp;CHAR(10)&amp;VLOOKUP(G266,AttackRiskStep!$A$3:$C$99,3,FALSE),"")</f>
        <v>see Description</v>
      </c>
      <c r="P266" s="38" t="e">
        <f>VLOOKUP($N266,Likelihood!$A$3:$B$7,2,FALSE)*VLOOKUP($O266,Impact!$A$4:$B$8,2,FALSE)</f>
        <v>#N/A</v>
      </c>
      <c r="Q266" s="39" t="e">
        <f>VLOOKUP(P266,RPN!$B$6:$C$22,2)</f>
        <v>#N/A</v>
      </c>
      <c r="Z266" s="9" t="e">
        <f ca="1">VLOOKUP($N266,Likelihood!$A$3:$C$7,2,FALSE)+RANDBETWEEN(-20,20)/100</f>
        <v>#N/A</v>
      </c>
      <c r="AA266" s="9" t="e">
        <f ca="1">IF($Q266=AA$2,VLOOKUP($O266,Impact!$A$4:$B$8,2,FALSE)+RANDBETWEEN(-20,20)/100,NA())</f>
        <v>#N/A</v>
      </c>
      <c r="AB266" s="9" t="e">
        <f ca="1">IF($Q266=AB$2,VLOOKUP($O266,Impact!$A$4:$B$8,2,FALSE)+RANDBETWEEN(-20,20)/100,NA())</f>
        <v>#N/A</v>
      </c>
      <c r="AC266" s="9" t="e">
        <f ca="1">IF($Q266=AC$2,VLOOKUP($O266,Impact!$A$4:$B$8,2,FALSE)+RANDBETWEEN(-20,20)/100,NA())</f>
        <v>#N/A</v>
      </c>
    </row>
    <row r="267" spans="1:29" x14ac:dyDescent="0.25">
      <c r="A267" s="17">
        <v>265</v>
      </c>
      <c r="B267" s="3" t="str">
        <f t="shared" si="22"/>
        <v/>
      </c>
      <c r="H267" s="49" t="str">
        <f t="shared" si="21"/>
        <v>s. D.</v>
      </c>
      <c r="I267" s="48" t="str">
        <f t="shared" si="23"/>
        <v/>
      </c>
      <c r="J267" s="49" t="str">
        <f>I267&amp;IF(NOT(ISBLANK(E267)),CHAR(10)&amp;VLOOKUP(E267,AttackRiskStep!$A$3:$C$99,3,FALSE),"see Description")&amp;IF(NOT(ISBLANK(F267))," -&gt; "&amp;CHAR(10)&amp;VLOOKUP(F267,AttackRiskStep!$A$3:$C$99,3,FALSE),"")&amp;IF(NOT(ISBLANK(G267))," -&gt; "&amp;CHAR(10)&amp;VLOOKUP(G267,AttackRiskStep!$A$3:$C$99,3,FALSE),"")</f>
        <v>see Description</v>
      </c>
      <c r="P267" s="38" t="e">
        <f>VLOOKUP($N267,Likelihood!$A$3:$B$7,2,FALSE)*VLOOKUP($O267,Impact!$A$4:$B$8,2,FALSE)</f>
        <v>#N/A</v>
      </c>
      <c r="Q267" s="39" t="e">
        <f>VLOOKUP(P267,RPN!$B$6:$C$22,2)</f>
        <v>#N/A</v>
      </c>
      <c r="Z267" s="9" t="e">
        <f ca="1">VLOOKUP($N267,Likelihood!$A$3:$C$7,2,FALSE)+RANDBETWEEN(-20,20)/100</f>
        <v>#N/A</v>
      </c>
      <c r="AA267" s="9" t="e">
        <f ca="1">IF($Q267=AA$2,VLOOKUP($O267,Impact!$A$4:$B$8,2,FALSE)+RANDBETWEEN(-20,20)/100,NA())</f>
        <v>#N/A</v>
      </c>
      <c r="AB267" s="9" t="e">
        <f ca="1">IF($Q267=AB$2,VLOOKUP($O267,Impact!$A$4:$B$8,2,FALSE)+RANDBETWEEN(-20,20)/100,NA())</f>
        <v>#N/A</v>
      </c>
      <c r="AC267" s="9" t="e">
        <f ca="1">IF($Q267=AC$2,VLOOKUP($O267,Impact!$A$4:$B$8,2,FALSE)+RANDBETWEEN(-20,20)/100,NA())</f>
        <v>#N/A</v>
      </c>
    </row>
    <row r="268" spans="1:29" x14ac:dyDescent="0.25">
      <c r="A268" s="17">
        <v>266</v>
      </c>
      <c r="B268" s="3" t="str">
        <f t="shared" si="22"/>
        <v/>
      </c>
      <c r="H268" s="49" t="str">
        <f t="shared" si="21"/>
        <v>s. D.</v>
      </c>
      <c r="I268" s="48" t="str">
        <f t="shared" si="23"/>
        <v/>
      </c>
      <c r="J268" s="49" t="str">
        <f>I268&amp;IF(NOT(ISBLANK(E268)),CHAR(10)&amp;VLOOKUP(E268,AttackRiskStep!$A$3:$C$99,3,FALSE),"see Description")&amp;IF(NOT(ISBLANK(F268))," -&gt; "&amp;CHAR(10)&amp;VLOOKUP(F268,AttackRiskStep!$A$3:$C$99,3,FALSE),"")&amp;IF(NOT(ISBLANK(G268))," -&gt; "&amp;CHAR(10)&amp;VLOOKUP(G268,AttackRiskStep!$A$3:$C$99,3,FALSE),"")</f>
        <v>see Description</v>
      </c>
      <c r="P268" s="38" t="e">
        <f>VLOOKUP($N268,Likelihood!$A$3:$B$7,2,FALSE)*VLOOKUP($O268,Impact!$A$4:$B$8,2,FALSE)</f>
        <v>#N/A</v>
      </c>
      <c r="Q268" s="39" t="e">
        <f>VLOOKUP(P268,RPN!$B$6:$C$22,2)</f>
        <v>#N/A</v>
      </c>
      <c r="Z268" s="9" t="e">
        <f ca="1">VLOOKUP($N268,Likelihood!$A$3:$C$7,2,FALSE)+RANDBETWEEN(-20,20)/100</f>
        <v>#N/A</v>
      </c>
      <c r="AA268" s="9" t="e">
        <f ca="1">IF($Q268=AA$2,VLOOKUP($O268,Impact!$A$4:$B$8,2,FALSE)+RANDBETWEEN(-20,20)/100,NA())</f>
        <v>#N/A</v>
      </c>
      <c r="AB268" s="9" t="e">
        <f ca="1">IF($Q268=AB$2,VLOOKUP($O268,Impact!$A$4:$B$8,2,FALSE)+RANDBETWEEN(-20,20)/100,NA())</f>
        <v>#N/A</v>
      </c>
      <c r="AC268" s="9" t="e">
        <f ca="1">IF($Q268=AC$2,VLOOKUP($O268,Impact!$A$4:$B$8,2,FALSE)+RANDBETWEEN(-20,20)/100,NA())</f>
        <v>#N/A</v>
      </c>
    </row>
    <row r="269" spans="1:29" x14ac:dyDescent="0.25">
      <c r="A269" s="17">
        <v>267</v>
      </c>
      <c r="B269" s="3" t="str">
        <f t="shared" si="22"/>
        <v/>
      </c>
      <c r="H269" s="49" t="str">
        <f t="shared" si="21"/>
        <v>s. D.</v>
      </c>
      <c r="I269" s="48" t="str">
        <f t="shared" si="23"/>
        <v/>
      </c>
      <c r="J269" s="49" t="str">
        <f>I269&amp;IF(NOT(ISBLANK(E269)),CHAR(10)&amp;VLOOKUP(E269,AttackRiskStep!$A$3:$C$99,3,FALSE),"see Description")&amp;IF(NOT(ISBLANK(F269))," -&gt; "&amp;CHAR(10)&amp;VLOOKUP(F269,AttackRiskStep!$A$3:$C$99,3,FALSE),"")&amp;IF(NOT(ISBLANK(G269))," -&gt; "&amp;CHAR(10)&amp;VLOOKUP(G269,AttackRiskStep!$A$3:$C$99,3,FALSE),"")</f>
        <v>see Description</v>
      </c>
      <c r="P269" s="38" t="e">
        <f>VLOOKUP($N269,Likelihood!$A$3:$B$7,2,FALSE)*VLOOKUP($O269,Impact!$A$4:$B$8,2,FALSE)</f>
        <v>#N/A</v>
      </c>
      <c r="Q269" s="39" t="e">
        <f>VLOOKUP(P269,RPN!$B$6:$C$22,2)</f>
        <v>#N/A</v>
      </c>
      <c r="Z269" s="9" t="e">
        <f ca="1">VLOOKUP($N269,Likelihood!$A$3:$C$7,2,FALSE)+RANDBETWEEN(-20,20)/100</f>
        <v>#N/A</v>
      </c>
      <c r="AA269" s="9" t="e">
        <f ca="1">IF($Q269=AA$2,VLOOKUP($O269,Impact!$A$4:$B$8,2,FALSE)+RANDBETWEEN(-20,20)/100,NA())</f>
        <v>#N/A</v>
      </c>
      <c r="AB269" s="9" t="e">
        <f ca="1">IF($Q269=AB$2,VLOOKUP($O269,Impact!$A$4:$B$8,2,FALSE)+RANDBETWEEN(-20,20)/100,NA())</f>
        <v>#N/A</v>
      </c>
      <c r="AC269" s="9" t="e">
        <f ca="1">IF($Q269=AC$2,VLOOKUP($O269,Impact!$A$4:$B$8,2,FALSE)+RANDBETWEEN(-20,20)/100,NA())</f>
        <v>#N/A</v>
      </c>
    </row>
    <row r="270" spans="1:29" x14ac:dyDescent="0.25">
      <c r="A270" s="17">
        <v>268</v>
      </c>
      <c r="B270" s="3" t="str">
        <f t="shared" si="22"/>
        <v/>
      </c>
      <c r="H270" s="49" t="str">
        <f t="shared" si="21"/>
        <v>s. D.</v>
      </c>
      <c r="I270" s="48" t="str">
        <f t="shared" si="23"/>
        <v/>
      </c>
      <c r="J270" s="49" t="str">
        <f>I270&amp;IF(NOT(ISBLANK(E270)),CHAR(10)&amp;VLOOKUP(E270,AttackRiskStep!$A$3:$C$99,3,FALSE),"see Description")&amp;IF(NOT(ISBLANK(F270))," -&gt; "&amp;CHAR(10)&amp;VLOOKUP(F270,AttackRiskStep!$A$3:$C$99,3,FALSE),"")&amp;IF(NOT(ISBLANK(G270))," -&gt; "&amp;CHAR(10)&amp;VLOOKUP(G270,AttackRiskStep!$A$3:$C$99,3,FALSE),"")</f>
        <v>see Description</v>
      </c>
      <c r="P270" s="38" t="e">
        <f>VLOOKUP($N270,Likelihood!$A$3:$B$7,2,FALSE)*VLOOKUP($O270,Impact!$A$4:$B$8,2,FALSE)</f>
        <v>#N/A</v>
      </c>
      <c r="Q270" s="39" t="e">
        <f>VLOOKUP(P270,RPN!$B$6:$C$22,2)</f>
        <v>#N/A</v>
      </c>
      <c r="Z270" s="9" t="e">
        <f ca="1">VLOOKUP($N270,Likelihood!$A$3:$C$7,2,FALSE)+RANDBETWEEN(-20,20)/100</f>
        <v>#N/A</v>
      </c>
      <c r="AA270" s="9" t="e">
        <f ca="1">IF($Q270=AA$2,VLOOKUP($O270,Impact!$A$4:$B$8,2,FALSE)+RANDBETWEEN(-20,20)/100,NA())</f>
        <v>#N/A</v>
      </c>
      <c r="AB270" s="9" t="e">
        <f ca="1">IF($Q270=AB$2,VLOOKUP($O270,Impact!$A$4:$B$8,2,FALSE)+RANDBETWEEN(-20,20)/100,NA())</f>
        <v>#N/A</v>
      </c>
      <c r="AC270" s="9" t="e">
        <f ca="1">IF($Q270=AC$2,VLOOKUP($O270,Impact!$A$4:$B$8,2,FALSE)+RANDBETWEEN(-20,20)/100,NA())</f>
        <v>#N/A</v>
      </c>
    </row>
    <row r="271" spans="1:29" x14ac:dyDescent="0.25">
      <c r="A271" s="17">
        <v>269</v>
      </c>
      <c r="B271" s="3" t="str">
        <f t="shared" si="22"/>
        <v/>
      </c>
      <c r="H271" s="49" t="str">
        <f t="shared" si="21"/>
        <v>s. D.</v>
      </c>
      <c r="I271" s="48" t="str">
        <f t="shared" si="23"/>
        <v/>
      </c>
      <c r="J271" s="49" t="str">
        <f>I271&amp;IF(NOT(ISBLANK(E271)),CHAR(10)&amp;VLOOKUP(E271,AttackRiskStep!$A$3:$C$99,3,FALSE),"see Description")&amp;IF(NOT(ISBLANK(F271))," -&gt; "&amp;CHAR(10)&amp;VLOOKUP(F271,AttackRiskStep!$A$3:$C$99,3,FALSE),"")&amp;IF(NOT(ISBLANK(G271))," -&gt; "&amp;CHAR(10)&amp;VLOOKUP(G271,AttackRiskStep!$A$3:$C$99,3,FALSE),"")</f>
        <v>see Description</v>
      </c>
      <c r="P271" s="38" t="e">
        <f>VLOOKUP($N271,Likelihood!$A$3:$B$7,2,FALSE)*VLOOKUP($O271,Impact!$A$4:$B$8,2,FALSE)</f>
        <v>#N/A</v>
      </c>
      <c r="Q271" s="39" t="e">
        <f>VLOOKUP(P271,RPN!$B$6:$C$22,2)</f>
        <v>#N/A</v>
      </c>
      <c r="Z271" s="9" t="e">
        <f ca="1">VLOOKUP($N271,Likelihood!$A$3:$C$7,2,FALSE)+RANDBETWEEN(-20,20)/100</f>
        <v>#N/A</v>
      </c>
      <c r="AA271" s="9" t="e">
        <f ca="1">IF($Q271=AA$2,VLOOKUP($O271,Impact!$A$4:$B$8,2,FALSE)+RANDBETWEEN(-20,20)/100,NA())</f>
        <v>#N/A</v>
      </c>
      <c r="AB271" s="9" t="e">
        <f ca="1">IF($Q271=AB$2,VLOOKUP($O271,Impact!$A$4:$B$8,2,FALSE)+RANDBETWEEN(-20,20)/100,NA())</f>
        <v>#N/A</v>
      </c>
      <c r="AC271" s="9" t="e">
        <f ca="1">IF($Q271=AC$2,VLOOKUP($O271,Impact!$A$4:$B$8,2,FALSE)+RANDBETWEEN(-20,20)/100,NA())</f>
        <v>#N/A</v>
      </c>
    </row>
    <row r="272" spans="1:29" x14ac:dyDescent="0.25">
      <c r="A272" s="17">
        <v>270</v>
      </c>
      <c r="B272" s="3" t="str">
        <f t="shared" si="22"/>
        <v/>
      </c>
      <c r="H272" s="49" t="str">
        <f t="shared" si="21"/>
        <v>s. D.</v>
      </c>
      <c r="I272" s="48" t="str">
        <f t="shared" si="23"/>
        <v/>
      </c>
      <c r="J272" s="49" t="str">
        <f>I272&amp;IF(NOT(ISBLANK(E272)),CHAR(10)&amp;VLOOKUP(E272,AttackRiskStep!$A$3:$C$99,3,FALSE),"see Description")&amp;IF(NOT(ISBLANK(F272))," -&gt; "&amp;CHAR(10)&amp;VLOOKUP(F272,AttackRiskStep!$A$3:$C$99,3,FALSE),"")&amp;IF(NOT(ISBLANK(G272))," -&gt; "&amp;CHAR(10)&amp;VLOOKUP(G272,AttackRiskStep!$A$3:$C$99,3,FALSE),"")</f>
        <v>see Description</v>
      </c>
      <c r="P272" s="38" t="e">
        <f>VLOOKUP($N272,Likelihood!$A$3:$B$7,2,FALSE)*VLOOKUP($O272,Impact!$A$4:$B$8,2,FALSE)</f>
        <v>#N/A</v>
      </c>
      <c r="Q272" s="39" t="e">
        <f>VLOOKUP(P272,RPN!$B$6:$C$22,2)</f>
        <v>#N/A</v>
      </c>
      <c r="Z272" s="9" t="e">
        <f ca="1">VLOOKUP($N272,Likelihood!$A$3:$C$7,2,FALSE)+RANDBETWEEN(-20,20)/100</f>
        <v>#N/A</v>
      </c>
      <c r="AA272" s="9" t="e">
        <f ca="1">IF($Q272=AA$2,VLOOKUP($O272,Impact!$A$4:$B$8,2,FALSE)+RANDBETWEEN(-20,20)/100,NA())</f>
        <v>#N/A</v>
      </c>
      <c r="AB272" s="9" t="e">
        <f ca="1">IF($Q272=AB$2,VLOOKUP($O272,Impact!$A$4:$B$8,2,FALSE)+RANDBETWEEN(-20,20)/100,NA())</f>
        <v>#N/A</v>
      </c>
      <c r="AC272" s="9" t="e">
        <f ca="1">IF($Q272=AC$2,VLOOKUP($O272,Impact!$A$4:$B$8,2,FALSE)+RANDBETWEEN(-20,20)/100,NA())</f>
        <v>#N/A</v>
      </c>
    </row>
    <row r="273" spans="1:29" x14ac:dyDescent="0.25">
      <c r="A273" s="17">
        <v>271</v>
      </c>
      <c r="B273" s="3" t="str">
        <f t="shared" si="22"/>
        <v/>
      </c>
      <c r="H273" s="49" t="str">
        <f t="shared" si="21"/>
        <v>s. D.</v>
      </c>
      <c r="I273" s="48" t="str">
        <f t="shared" si="23"/>
        <v/>
      </c>
      <c r="J273" s="49" t="str">
        <f>I273&amp;IF(NOT(ISBLANK(E273)),CHAR(10)&amp;VLOOKUP(E273,AttackRiskStep!$A$3:$C$99,3,FALSE),"see Description")&amp;IF(NOT(ISBLANK(F273))," -&gt; "&amp;CHAR(10)&amp;VLOOKUP(F273,AttackRiskStep!$A$3:$C$99,3,FALSE),"")&amp;IF(NOT(ISBLANK(G273))," -&gt; "&amp;CHAR(10)&amp;VLOOKUP(G273,AttackRiskStep!$A$3:$C$99,3,FALSE),"")</f>
        <v>see Description</v>
      </c>
      <c r="P273" s="38" t="e">
        <f>VLOOKUP($N273,Likelihood!$A$3:$B$7,2,FALSE)*VLOOKUP($O273,Impact!$A$4:$B$8,2,FALSE)</f>
        <v>#N/A</v>
      </c>
      <c r="Q273" s="39" t="e">
        <f>VLOOKUP(P273,RPN!$B$6:$C$22,2)</f>
        <v>#N/A</v>
      </c>
      <c r="Z273" s="9" t="e">
        <f ca="1">VLOOKUP($N273,Likelihood!$A$3:$C$7,2,FALSE)+RANDBETWEEN(-20,20)/100</f>
        <v>#N/A</v>
      </c>
      <c r="AA273" s="9" t="e">
        <f ca="1">IF($Q273=AA$2,VLOOKUP($O273,Impact!$A$4:$B$8,2,FALSE)+RANDBETWEEN(-20,20)/100,NA())</f>
        <v>#N/A</v>
      </c>
      <c r="AB273" s="9" t="e">
        <f ca="1">IF($Q273=AB$2,VLOOKUP($O273,Impact!$A$4:$B$8,2,FALSE)+RANDBETWEEN(-20,20)/100,NA())</f>
        <v>#N/A</v>
      </c>
      <c r="AC273" s="9" t="e">
        <f ca="1">IF($Q273=AC$2,VLOOKUP($O273,Impact!$A$4:$B$8,2,FALSE)+RANDBETWEEN(-20,20)/100,NA())</f>
        <v>#N/A</v>
      </c>
    </row>
    <row r="274" spans="1:29" x14ac:dyDescent="0.25">
      <c r="A274" s="17">
        <v>272</v>
      </c>
      <c r="B274" s="3" t="str">
        <f t="shared" si="22"/>
        <v/>
      </c>
      <c r="H274" s="49" t="str">
        <f t="shared" si="21"/>
        <v>s. D.</v>
      </c>
      <c r="I274" s="48" t="str">
        <f t="shared" si="23"/>
        <v/>
      </c>
      <c r="J274" s="49" t="str">
        <f>I274&amp;IF(NOT(ISBLANK(E274)),CHAR(10)&amp;VLOOKUP(E274,AttackRiskStep!$A$3:$C$99,3,FALSE),"see Description")&amp;IF(NOT(ISBLANK(F274))," -&gt; "&amp;CHAR(10)&amp;VLOOKUP(F274,AttackRiskStep!$A$3:$C$99,3,FALSE),"")&amp;IF(NOT(ISBLANK(G274))," -&gt; "&amp;CHAR(10)&amp;VLOOKUP(G274,AttackRiskStep!$A$3:$C$99,3,FALSE),"")</f>
        <v>see Description</v>
      </c>
      <c r="P274" s="38" t="e">
        <f>VLOOKUP($N274,Likelihood!$A$3:$B$7,2,FALSE)*VLOOKUP($O274,Impact!$A$4:$B$8,2,FALSE)</f>
        <v>#N/A</v>
      </c>
      <c r="Q274" s="39" t="e">
        <f>VLOOKUP(P274,RPN!$B$6:$C$22,2)</f>
        <v>#N/A</v>
      </c>
      <c r="Z274" s="9" t="e">
        <f ca="1">VLOOKUP($N274,Likelihood!$A$3:$C$7,2,FALSE)+RANDBETWEEN(-20,20)/100</f>
        <v>#N/A</v>
      </c>
      <c r="AA274" s="9" t="e">
        <f ca="1">IF($Q274=AA$2,VLOOKUP($O274,Impact!$A$4:$B$8,2,FALSE)+RANDBETWEEN(-20,20)/100,NA())</f>
        <v>#N/A</v>
      </c>
      <c r="AB274" s="9" t="e">
        <f ca="1">IF($Q274=AB$2,VLOOKUP($O274,Impact!$A$4:$B$8,2,FALSE)+RANDBETWEEN(-20,20)/100,NA())</f>
        <v>#N/A</v>
      </c>
      <c r="AC274" s="9" t="e">
        <f ca="1">IF($Q274=AC$2,VLOOKUP($O274,Impact!$A$4:$B$8,2,FALSE)+RANDBETWEEN(-20,20)/100,NA())</f>
        <v>#N/A</v>
      </c>
    </row>
    <row r="275" spans="1:29" x14ac:dyDescent="0.25">
      <c r="A275" s="17">
        <v>273</v>
      </c>
      <c r="B275" s="3" t="str">
        <f t="shared" si="22"/>
        <v/>
      </c>
      <c r="H275" s="49" t="str">
        <f t="shared" si="21"/>
        <v>s. D.</v>
      </c>
      <c r="I275" s="48" t="str">
        <f t="shared" si="23"/>
        <v/>
      </c>
      <c r="J275" s="49" t="str">
        <f>I275&amp;IF(NOT(ISBLANK(E275)),CHAR(10)&amp;VLOOKUP(E275,AttackRiskStep!$A$3:$C$99,3,FALSE),"see Description")&amp;IF(NOT(ISBLANK(F275))," -&gt; "&amp;CHAR(10)&amp;VLOOKUP(F275,AttackRiskStep!$A$3:$C$99,3,FALSE),"")&amp;IF(NOT(ISBLANK(G275))," -&gt; "&amp;CHAR(10)&amp;VLOOKUP(G275,AttackRiskStep!$A$3:$C$99,3,FALSE),"")</f>
        <v>see Description</v>
      </c>
      <c r="P275" s="38" t="e">
        <f>VLOOKUP($N275,Likelihood!$A$3:$B$7,2,FALSE)*VLOOKUP($O275,Impact!$A$4:$B$8,2,FALSE)</f>
        <v>#N/A</v>
      </c>
      <c r="Q275" s="39" t="e">
        <f>VLOOKUP(P275,RPN!$B$6:$C$22,2)</f>
        <v>#N/A</v>
      </c>
      <c r="Z275" s="9" t="e">
        <f ca="1">VLOOKUP($N275,Likelihood!$A$3:$C$7,2,FALSE)+RANDBETWEEN(-20,20)/100</f>
        <v>#N/A</v>
      </c>
      <c r="AA275" s="9" t="e">
        <f ca="1">IF($Q275=AA$2,VLOOKUP($O275,Impact!$A$4:$B$8,2,FALSE)+RANDBETWEEN(-20,20)/100,NA())</f>
        <v>#N/A</v>
      </c>
      <c r="AB275" s="9" t="e">
        <f ca="1">IF($Q275=AB$2,VLOOKUP($O275,Impact!$A$4:$B$8,2,FALSE)+RANDBETWEEN(-20,20)/100,NA())</f>
        <v>#N/A</v>
      </c>
      <c r="AC275" s="9" t="e">
        <f ca="1">IF($Q275=AC$2,VLOOKUP($O275,Impact!$A$4:$B$8,2,FALSE)+RANDBETWEEN(-20,20)/100,NA())</f>
        <v>#N/A</v>
      </c>
    </row>
    <row r="276" spans="1:29" x14ac:dyDescent="0.25">
      <c r="A276" s="17">
        <v>274</v>
      </c>
      <c r="B276" s="3" t="str">
        <f t="shared" si="22"/>
        <v/>
      </c>
      <c r="H276" s="49" t="str">
        <f t="shared" si="21"/>
        <v>s. D.</v>
      </c>
      <c r="I276" s="48" t="str">
        <f t="shared" si="23"/>
        <v/>
      </c>
      <c r="J276" s="49" t="str">
        <f>I276&amp;IF(NOT(ISBLANK(E276)),CHAR(10)&amp;VLOOKUP(E276,AttackRiskStep!$A$3:$C$99,3,FALSE),"see Description")&amp;IF(NOT(ISBLANK(F276))," -&gt; "&amp;CHAR(10)&amp;VLOOKUP(F276,AttackRiskStep!$A$3:$C$99,3,FALSE),"")&amp;IF(NOT(ISBLANK(G276))," -&gt; "&amp;CHAR(10)&amp;VLOOKUP(G276,AttackRiskStep!$A$3:$C$99,3,FALSE),"")</f>
        <v>see Description</v>
      </c>
      <c r="P276" s="38" t="e">
        <f>VLOOKUP($N276,Likelihood!$A$3:$B$7,2,FALSE)*VLOOKUP($O276,Impact!$A$4:$B$8,2,FALSE)</f>
        <v>#N/A</v>
      </c>
      <c r="Q276" s="39" t="e">
        <f>VLOOKUP(P276,RPN!$B$6:$C$22,2)</f>
        <v>#N/A</v>
      </c>
      <c r="Z276" s="9" t="e">
        <f ca="1">VLOOKUP($N276,Likelihood!$A$3:$C$7,2,FALSE)+RANDBETWEEN(-20,20)/100</f>
        <v>#N/A</v>
      </c>
      <c r="AA276" s="9" t="e">
        <f ca="1">IF($Q276=AA$2,VLOOKUP($O276,Impact!$A$4:$B$8,2,FALSE)+RANDBETWEEN(-20,20)/100,NA())</f>
        <v>#N/A</v>
      </c>
      <c r="AB276" s="9" t="e">
        <f ca="1">IF($Q276=AB$2,VLOOKUP($O276,Impact!$A$4:$B$8,2,FALSE)+RANDBETWEEN(-20,20)/100,NA())</f>
        <v>#N/A</v>
      </c>
      <c r="AC276" s="9" t="e">
        <f ca="1">IF($Q276=AC$2,VLOOKUP($O276,Impact!$A$4:$B$8,2,FALSE)+RANDBETWEEN(-20,20)/100,NA())</f>
        <v>#N/A</v>
      </c>
    </row>
    <row r="277" spans="1:29" x14ac:dyDescent="0.25">
      <c r="A277" s="17">
        <v>275</v>
      </c>
      <c r="B277" s="3" t="str">
        <f t="shared" si="22"/>
        <v/>
      </c>
      <c r="H277" s="49" t="str">
        <f t="shared" si="21"/>
        <v>s. D.</v>
      </c>
      <c r="I277" s="48" t="str">
        <f t="shared" si="23"/>
        <v/>
      </c>
      <c r="J277" s="49" t="str">
        <f>I277&amp;IF(NOT(ISBLANK(E277)),CHAR(10)&amp;VLOOKUP(E277,AttackRiskStep!$A$3:$C$99,3,FALSE),"see Description")&amp;IF(NOT(ISBLANK(F277))," -&gt; "&amp;CHAR(10)&amp;VLOOKUP(F277,AttackRiskStep!$A$3:$C$99,3,FALSE),"")&amp;IF(NOT(ISBLANK(G277))," -&gt; "&amp;CHAR(10)&amp;VLOOKUP(G277,AttackRiskStep!$A$3:$C$99,3,FALSE),"")</f>
        <v>see Description</v>
      </c>
      <c r="P277" s="38" t="e">
        <f>VLOOKUP($N277,Likelihood!$A$3:$B$7,2,FALSE)*VLOOKUP($O277,Impact!$A$4:$B$8,2,FALSE)</f>
        <v>#N/A</v>
      </c>
      <c r="Q277" s="39" t="e">
        <f>VLOOKUP(P277,RPN!$B$6:$C$22,2)</f>
        <v>#N/A</v>
      </c>
      <c r="Z277" s="9" t="e">
        <f ca="1">VLOOKUP($N277,Likelihood!$A$3:$C$7,2,FALSE)+RANDBETWEEN(-20,20)/100</f>
        <v>#N/A</v>
      </c>
      <c r="AA277" s="9" t="e">
        <f ca="1">IF($Q277=AA$2,VLOOKUP($O277,Impact!$A$4:$B$8,2,FALSE)+RANDBETWEEN(-20,20)/100,NA())</f>
        <v>#N/A</v>
      </c>
      <c r="AB277" s="9" t="e">
        <f ca="1">IF($Q277=AB$2,VLOOKUP($O277,Impact!$A$4:$B$8,2,FALSE)+RANDBETWEEN(-20,20)/100,NA())</f>
        <v>#N/A</v>
      </c>
      <c r="AC277" s="9" t="e">
        <f ca="1">IF($Q277=AC$2,VLOOKUP($O277,Impact!$A$4:$B$8,2,FALSE)+RANDBETWEEN(-20,20)/100,NA())</f>
        <v>#N/A</v>
      </c>
    </row>
    <row r="278" spans="1:29" x14ac:dyDescent="0.25">
      <c r="A278" s="17">
        <v>276</v>
      </c>
      <c r="B278" s="3" t="str">
        <f t="shared" si="22"/>
        <v/>
      </c>
      <c r="H278" s="49" t="str">
        <f t="shared" si="21"/>
        <v>s. D.</v>
      </c>
      <c r="I278" s="48" t="str">
        <f t="shared" si="23"/>
        <v/>
      </c>
      <c r="J278" s="49" t="str">
        <f>I278&amp;IF(NOT(ISBLANK(E278)),CHAR(10)&amp;VLOOKUP(E278,AttackRiskStep!$A$3:$C$99,3,FALSE),"see Description")&amp;IF(NOT(ISBLANK(F278))," -&gt; "&amp;CHAR(10)&amp;VLOOKUP(F278,AttackRiskStep!$A$3:$C$99,3,FALSE),"")&amp;IF(NOT(ISBLANK(G278))," -&gt; "&amp;CHAR(10)&amp;VLOOKUP(G278,AttackRiskStep!$A$3:$C$99,3,FALSE),"")</f>
        <v>see Description</v>
      </c>
      <c r="P278" s="38" t="e">
        <f>VLOOKUP($N278,Likelihood!$A$3:$B$7,2,FALSE)*VLOOKUP($O278,Impact!$A$4:$B$8,2,FALSE)</f>
        <v>#N/A</v>
      </c>
      <c r="Q278" s="39" t="e">
        <f>VLOOKUP(P278,RPN!$B$6:$C$22,2)</f>
        <v>#N/A</v>
      </c>
      <c r="Z278" s="9" t="e">
        <f ca="1">VLOOKUP($N278,Likelihood!$A$3:$C$7,2,FALSE)+RANDBETWEEN(-20,20)/100</f>
        <v>#N/A</v>
      </c>
      <c r="AA278" s="9" t="e">
        <f ca="1">IF($Q278=AA$2,VLOOKUP($O278,Impact!$A$4:$B$8,2,FALSE)+RANDBETWEEN(-20,20)/100,NA())</f>
        <v>#N/A</v>
      </c>
      <c r="AB278" s="9" t="e">
        <f ca="1">IF($Q278=AB$2,VLOOKUP($O278,Impact!$A$4:$B$8,2,FALSE)+RANDBETWEEN(-20,20)/100,NA())</f>
        <v>#N/A</v>
      </c>
      <c r="AC278" s="9" t="e">
        <f ca="1">IF($Q278=AC$2,VLOOKUP($O278,Impact!$A$4:$B$8,2,FALSE)+RANDBETWEEN(-20,20)/100,NA())</f>
        <v>#N/A</v>
      </c>
    </row>
    <row r="279" spans="1:29" x14ac:dyDescent="0.25">
      <c r="A279" s="17">
        <v>277</v>
      </c>
      <c r="B279" s="3" t="str">
        <f t="shared" si="22"/>
        <v/>
      </c>
      <c r="H279" s="49" t="str">
        <f t="shared" si="21"/>
        <v>s. D.</v>
      </c>
      <c r="I279" s="48" t="str">
        <f t="shared" si="23"/>
        <v/>
      </c>
      <c r="J279" s="49" t="str">
        <f>I279&amp;IF(NOT(ISBLANK(E279)),CHAR(10)&amp;VLOOKUP(E279,AttackRiskStep!$A$3:$C$99,3,FALSE),"see Description")&amp;IF(NOT(ISBLANK(F279))," -&gt; "&amp;CHAR(10)&amp;VLOOKUP(F279,AttackRiskStep!$A$3:$C$99,3,FALSE),"")&amp;IF(NOT(ISBLANK(G279))," -&gt; "&amp;CHAR(10)&amp;VLOOKUP(G279,AttackRiskStep!$A$3:$C$99,3,FALSE),"")</f>
        <v>see Description</v>
      </c>
      <c r="P279" s="38" t="e">
        <f>VLOOKUP($N279,Likelihood!$A$3:$B$7,2,FALSE)*VLOOKUP($O279,Impact!$A$4:$B$8,2,FALSE)</f>
        <v>#N/A</v>
      </c>
      <c r="Q279" s="39" t="e">
        <f>VLOOKUP(P279,RPN!$B$6:$C$22,2)</f>
        <v>#N/A</v>
      </c>
      <c r="Z279" s="9" t="e">
        <f ca="1">VLOOKUP($N279,Likelihood!$A$3:$C$7,2,FALSE)+RANDBETWEEN(-20,20)/100</f>
        <v>#N/A</v>
      </c>
      <c r="AA279" s="9" t="e">
        <f ca="1">IF($Q279=AA$2,VLOOKUP($O279,Impact!$A$4:$B$8,2,FALSE)+RANDBETWEEN(-20,20)/100,NA())</f>
        <v>#N/A</v>
      </c>
      <c r="AB279" s="9" t="e">
        <f ca="1">IF($Q279=AB$2,VLOOKUP($O279,Impact!$A$4:$B$8,2,FALSE)+RANDBETWEEN(-20,20)/100,NA())</f>
        <v>#N/A</v>
      </c>
      <c r="AC279" s="9" t="e">
        <f ca="1">IF($Q279=AC$2,VLOOKUP($O279,Impact!$A$4:$B$8,2,FALSE)+RANDBETWEEN(-20,20)/100,NA())</f>
        <v>#N/A</v>
      </c>
    </row>
    <row r="280" spans="1:29" x14ac:dyDescent="0.25">
      <c r="A280" s="17">
        <v>278</v>
      </c>
      <c r="B280" s="3" t="str">
        <f t="shared" si="22"/>
        <v/>
      </c>
      <c r="H280" s="49" t="str">
        <f t="shared" si="21"/>
        <v>s. D.</v>
      </c>
      <c r="I280" s="48" t="str">
        <f t="shared" si="23"/>
        <v/>
      </c>
      <c r="J280" s="49" t="str">
        <f>I280&amp;IF(NOT(ISBLANK(E280)),CHAR(10)&amp;VLOOKUP(E280,AttackRiskStep!$A$3:$C$99,3,FALSE),"see Description")&amp;IF(NOT(ISBLANK(F280))," -&gt; "&amp;CHAR(10)&amp;VLOOKUP(F280,AttackRiskStep!$A$3:$C$99,3,FALSE),"")&amp;IF(NOT(ISBLANK(G280))," -&gt; "&amp;CHAR(10)&amp;VLOOKUP(G280,AttackRiskStep!$A$3:$C$99,3,FALSE),"")</f>
        <v>see Description</v>
      </c>
      <c r="P280" s="38" t="e">
        <f>VLOOKUP($N280,Likelihood!$A$3:$B$7,2,FALSE)*VLOOKUP($O280,Impact!$A$4:$B$8,2,FALSE)</f>
        <v>#N/A</v>
      </c>
      <c r="Q280" s="39" t="e">
        <f>VLOOKUP(P280,RPN!$B$6:$C$22,2)</f>
        <v>#N/A</v>
      </c>
      <c r="Z280" s="9" t="e">
        <f ca="1">VLOOKUP($N280,Likelihood!$A$3:$C$7,2,FALSE)+RANDBETWEEN(-20,20)/100</f>
        <v>#N/A</v>
      </c>
      <c r="AA280" s="9" t="e">
        <f ca="1">IF($Q280=AA$2,VLOOKUP($O280,Impact!$A$4:$B$8,2,FALSE)+RANDBETWEEN(-20,20)/100,NA())</f>
        <v>#N/A</v>
      </c>
      <c r="AB280" s="9" t="e">
        <f ca="1">IF($Q280=AB$2,VLOOKUP($O280,Impact!$A$4:$B$8,2,FALSE)+RANDBETWEEN(-20,20)/100,NA())</f>
        <v>#N/A</v>
      </c>
      <c r="AC280" s="9" t="e">
        <f ca="1">IF($Q280=AC$2,VLOOKUP($O280,Impact!$A$4:$B$8,2,FALSE)+RANDBETWEEN(-20,20)/100,NA())</f>
        <v>#N/A</v>
      </c>
    </row>
    <row r="281" spans="1:29" x14ac:dyDescent="0.25">
      <c r="A281" s="17">
        <v>279</v>
      </c>
      <c r="B281" s="3" t="str">
        <f t="shared" si="22"/>
        <v/>
      </c>
      <c r="H281" s="49" t="str">
        <f t="shared" si="21"/>
        <v>s. D.</v>
      </c>
      <c r="I281" s="48" t="str">
        <f t="shared" si="23"/>
        <v/>
      </c>
      <c r="J281" s="49" t="str">
        <f>I281&amp;IF(NOT(ISBLANK(E281)),CHAR(10)&amp;VLOOKUP(E281,AttackRiskStep!$A$3:$C$99,3,FALSE),"see Description")&amp;IF(NOT(ISBLANK(F281))," -&gt; "&amp;CHAR(10)&amp;VLOOKUP(F281,AttackRiskStep!$A$3:$C$99,3,FALSE),"")&amp;IF(NOT(ISBLANK(G281))," -&gt; "&amp;CHAR(10)&amp;VLOOKUP(G281,AttackRiskStep!$A$3:$C$99,3,FALSE),"")</f>
        <v>see Description</v>
      </c>
      <c r="P281" s="38" t="e">
        <f>VLOOKUP($N281,Likelihood!$A$3:$B$7,2,FALSE)*VLOOKUP($O281,Impact!$A$4:$B$8,2,FALSE)</f>
        <v>#N/A</v>
      </c>
      <c r="Q281" s="39" t="e">
        <f>VLOOKUP(P281,RPN!$B$6:$C$22,2)</f>
        <v>#N/A</v>
      </c>
      <c r="Z281" s="9" t="e">
        <f ca="1">VLOOKUP($N281,Likelihood!$A$3:$C$7,2,FALSE)+RANDBETWEEN(-20,20)/100</f>
        <v>#N/A</v>
      </c>
      <c r="AA281" s="9" t="e">
        <f ca="1">IF($Q281=AA$2,VLOOKUP($O281,Impact!$A$4:$B$8,2,FALSE)+RANDBETWEEN(-20,20)/100,NA())</f>
        <v>#N/A</v>
      </c>
      <c r="AB281" s="9" t="e">
        <f ca="1">IF($Q281=AB$2,VLOOKUP($O281,Impact!$A$4:$B$8,2,FALSE)+RANDBETWEEN(-20,20)/100,NA())</f>
        <v>#N/A</v>
      </c>
      <c r="AC281" s="9" t="e">
        <f ca="1">IF($Q281=AC$2,VLOOKUP($O281,Impact!$A$4:$B$8,2,FALSE)+RANDBETWEEN(-20,20)/100,NA())</f>
        <v>#N/A</v>
      </c>
    </row>
    <row r="282" spans="1:29" x14ac:dyDescent="0.25">
      <c r="A282" s="17">
        <v>280</v>
      </c>
      <c r="B282" s="3" t="str">
        <f t="shared" si="22"/>
        <v/>
      </c>
      <c r="H282" s="49" t="str">
        <f t="shared" si="21"/>
        <v>s. D.</v>
      </c>
      <c r="I282" s="48" t="str">
        <f t="shared" si="23"/>
        <v/>
      </c>
      <c r="J282" s="49" t="str">
        <f>I282&amp;IF(NOT(ISBLANK(E282)),CHAR(10)&amp;VLOOKUP(E282,AttackRiskStep!$A$3:$C$99,3,FALSE),"see Description")&amp;IF(NOT(ISBLANK(F282))," -&gt; "&amp;CHAR(10)&amp;VLOOKUP(F282,AttackRiskStep!$A$3:$C$99,3,FALSE),"")&amp;IF(NOT(ISBLANK(G282))," -&gt; "&amp;CHAR(10)&amp;VLOOKUP(G282,AttackRiskStep!$A$3:$C$99,3,FALSE),"")</f>
        <v>see Description</v>
      </c>
      <c r="P282" s="38" t="e">
        <f>VLOOKUP($N282,Likelihood!$A$3:$B$7,2,FALSE)*VLOOKUP($O282,Impact!$A$4:$B$8,2,FALSE)</f>
        <v>#N/A</v>
      </c>
      <c r="Q282" s="39" t="e">
        <f>VLOOKUP(P282,RPN!$B$6:$C$22,2)</f>
        <v>#N/A</v>
      </c>
      <c r="Z282" s="9" t="e">
        <f ca="1">VLOOKUP($N282,Likelihood!$A$3:$C$7,2,FALSE)+RANDBETWEEN(-20,20)/100</f>
        <v>#N/A</v>
      </c>
      <c r="AA282" s="9" t="e">
        <f ca="1">IF($Q282=AA$2,VLOOKUP($O282,Impact!$A$4:$B$8,2,FALSE)+RANDBETWEEN(-20,20)/100,NA())</f>
        <v>#N/A</v>
      </c>
      <c r="AB282" s="9" t="e">
        <f ca="1">IF($Q282=AB$2,VLOOKUP($O282,Impact!$A$4:$B$8,2,FALSE)+RANDBETWEEN(-20,20)/100,NA())</f>
        <v>#N/A</v>
      </c>
      <c r="AC282" s="9" t="e">
        <f ca="1">IF($Q282=AC$2,VLOOKUP($O282,Impact!$A$4:$B$8,2,FALSE)+RANDBETWEEN(-20,20)/100,NA())</f>
        <v>#N/A</v>
      </c>
    </row>
    <row r="283" spans="1:29" x14ac:dyDescent="0.25">
      <c r="A283" s="17">
        <v>281</v>
      </c>
      <c r="B283" s="3" t="str">
        <f t="shared" si="22"/>
        <v/>
      </c>
      <c r="H283" s="49" t="str">
        <f t="shared" si="21"/>
        <v>s. D.</v>
      </c>
      <c r="I283" s="48" t="str">
        <f t="shared" si="23"/>
        <v/>
      </c>
      <c r="J283" s="49" t="str">
        <f>I283&amp;IF(NOT(ISBLANK(E283)),CHAR(10)&amp;VLOOKUP(E283,AttackRiskStep!$A$3:$C$99,3,FALSE),"see Description")&amp;IF(NOT(ISBLANK(F283))," -&gt; "&amp;CHAR(10)&amp;VLOOKUP(F283,AttackRiskStep!$A$3:$C$99,3,FALSE),"")&amp;IF(NOT(ISBLANK(G283))," -&gt; "&amp;CHAR(10)&amp;VLOOKUP(G283,AttackRiskStep!$A$3:$C$99,3,FALSE),"")</f>
        <v>see Description</v>
      </c>
      <c r="P283" s="38" t="e">
        <f>VLOOKUP($N283,Likelihood!$A$3:$B$7,2,FALSE)*VLOOKUP($O283,Impact!$A$4:$B$8,2,FALSE)</f>
        <v>#N/A</v>
      </c>
      <c r="Q283" s="39" t="e">
        <f>VLOOKUP(P283,RPN!$B$6:$C$22,2)</f>
        <v>#N/A</v>
      </c>
      <c r="Z283" s="9" t="e">
        <f ca="1">VLOOKUP($N283,Likelihood!$A$3:$C$7,2,FALSE)+RANDBETWEEN(-20,20)/100</f>
        <v>#N/A</v>
      </c>
      <c r="AA283" s="9" t="e">
        <f ca="1">IF($Q283=AA$2,VLOOKUP($O283,Impact!$A$4:$B$8,2,FALSE)+RANDBETWEEN(-20,20)/100,NA())</f>
        <v>#N/A</v>
      </c>
      <c r="AB283" s="9" t="e">
        <f ca="1">IF($Q283=AB$2,VLOOKUP($O283,Impact!$A$4:$B$8,2,FALSE)+RANDBETWEEN(-20,20)/100,NA())</f>
        <v>#N/A</v>
      </c>
      <c r="AC283" s="9" t="e">
        <f ca="1">IF($Q283=AC$2,VLOOKUP($O283,Impact!$A$4:$B$8,2,FALSE)+RANDBETWEEN(-20,20)/100,NA())</f>
        <v>#N/A</v>
      </c>
    </row>
    <row r="284" spans="1:29" x14ac:dyDescent="0.25">
      <c r="A284" s="17">
        <v>282</v>
      </c>
      <c r="B284" s="3" t="str">
        <f t="shared" si="22"/>
        <v/>
      </c>
      <c r="H284" s="49" t="str">
        <f t="shared" si="21"/>
        <v>s. D.</v>
      </c>
      <c r="I284" s="48" t="str">
        <f t="shared" si="23"/>
        <v/>
      </c>
      <c r="J284" s="49" t="str">
        <f>I284&amp;IF(NOT(ISBLANK(E284)),CHAR(10)&amp;VLOOKUP(E284,AttackRiskStep!$A$3:$C$99,3,FALSE),"see Description")&amp;IF(NOT(ISBLANK(F284))," -&gt; "&amp;CHAR(10)&amp;VLOOKUP(F284,AttackRiskStep!$A$3:$C$99,3,FALSE),"")&amp;IF(NOT(ISBLANK(G284))," -&gt; "&amp;CHAR(10)&amp;VLOOKUP(G284,AttackRiskStep!$A$3:$C$99,3,FALSE),"")</f>
        <v>see Description</v>
      </c>
      <c r="P284" s="38" t="e">
        <f>VLOOKUP($N284,Likelihood!$A$3:$B$7,2,FALSE)*VLOOKUP($O284,Impact!$A$4:$B$8,2,FALSE)</f>
        <v>#N/A</v>
      </c>
      <c r="Q284" s="39" t="e">
        <f>VLOOKUP(P284,RPN!$B$6:$C$22,2)</f>
        <v>#N/A</v>
      </c>
      <c r="Z284" s="9" t="e">
        <f ca="1">VLOOKUP($N284,Likelihood!$A$3:$C$7,2,FALSE)+RANDBETWEEN(-20,20)/100</f>
        <v>#N/A</v>
      </c>
      <c r="AA284" s="9" t="e">
        <f ca="1">IF($Q284=AA$2,VLOOKUP($O284,Impact!$A$4:$B$8,2,FALSE)+RANDBETWEEN(-20,20)/100,NA())</f>
        <v>#N/A</v>
      </c>
      <c r="AB284" s="9" t="e">
        <f ca="1">IF($Q284=AB$2,VLOOKUP($O284,Impact!$A$4:$B$8,2,FALSE)+RANDBETWEEN(-20,20)/100,NA())</f>
        <v>#N/A</v>
      </c>
      <c r="AC284" s="9" t="e">
        <f ca="1">IF($Q284=AC$2,VLOOKUP($O284,Impact!$A$4:$B$8,2,FALSE)+RANDBETWEEN(-20,20)/100,NA())</f>
        <v>#N/A</v>
      </c>
    </row>
    <row r="285" spans="1:29" x14ac:dyDescent="0.25">
      <c r="A285" s="17">
        <v>283</v>
      </c>
      <c r="B285" s="3" t="str">
        <f t="shared" si="22"/>
        <v/>
      </c>
      <c r="H285" s="49" t="str">
        <f t="shared" si="21"/>
        <v>s. D.</v>
      </c>
      <c r="I285" s="48" t="str">
        <f t="shared" si="23"/>
        <v/>
      </c>
      <c r="J285" s="49" t="str">
        <f>I285&amp;IF(NOT(ISBLANK(E285)),CHAR(10)&amp;VLOOKUP(E285,AttackRiskStep!$A$3:$C$99,3,FALSE),"see Description")&amp;IF(NOT(ISBLANK(F285))," -&gt; "&amp;CHAR(10)&amp;VLOOKUP(F285,AttackRiskStep!$A$3:$C$99,3,FALSE),"")&amp;IF(NOT(ISBLANK(G285))," -&gt; "&amp;CHAR(10)&amp;VLOOKUP(G285,AttackRiskStep!$A$3:$C$99,3,FALSE),"")</f>
        <v>see Description</v>
      </c>
      <c r="P285" s="38" t="e">
        <f>VLOOKUP($N285,Likelihood!$A$3:$B$7,2,FALSE)*VLOOKUP($O285,Impact!$A$4:$B$8,2,FALSE)</f>
        <v>#N/A</v>
      </c>
      <c r="Q285" s="39" t="e">
        <f>VLOOKUP(P285,RPN!$B$6:$C$22,2)</f>
        <v>#N/A</v>
      </c>
      <c r="Z285" s="9" t="e">
        <f ca="1">VLOOKUP($N285,Likelihood!$A$3:$C$7,2,FALSE)+RANDBETWEEN(-20,20)/100</f>
        <v>#N/A</v>
      </c>
      <c r="AA285" s="9" t="e">
        <f ca="1">IF($Q285=AA$2,VLOOKUP($O285,Impact!$A$4:$B$8,2,FALSE)+RANDBETWEEN(-20,20)/100,NA())</f>
        <v>#N/A</v>
      </c>
      <c r="AB285" s="9" t="e">
        <f ca="1">IF($Q285=AB$2,VLOOKUP($O285,Impact!$A$4:$B$8,2,FALSE)+RANDBETWEEN(-20,20)/100,NA())</f>
        <v>#N/A</v>
      </c>
      <c r="AC285" s="9" t="e">
        <f ca="1">IF($Q285=AC$2,VLOOKUP($O285,Impact!$A$4:$B$8,2,FALSE)+RANDBETWEEN(-20,20)/100,NA())</f>
        <v>#N/A</v>
      </c>
    </row>
    <row r="286" spans="1:29" x14ac:dyDescent="0.25">
      <c r="A286" s="17">
        <v>284</v>
      </c>
      <c r="B286" s="3" t="str">
        <f t="shared" si="22"/>
        <v/>
      </c>
      <c r="H286" s="49" t="str">
        <f t="shared" si="21"/>
        <v>s. D.</v>
      </c>
      <c r="I286" s="48" t="str">
        <f t="shared" si="23"/>
        <v/>
      </c>
      <c r="J286" s="49" t="str">
        <f>I286&amp;IF(NOT(ISBLANK(E286)),CHAR(10)&amp;VLOOKUP(E286,AttackRiskStep!$A$3:$C$99,3,FALSE),"see Description")&amp;IF(NOT(ISBLANK(F286))," -&gt; "&amp;CHAR(10)&amp;VLOOKUP(F286,AttackRiskStep!$A$3:$C$99,3,FALSE),"")&amp;IF(NOT(ISBLANK(G286))," -&gt; "&amp;CHAR(10)&amp;VLOOKUP(G286,AttackRiskStep!$A$3:$C$99,3,FALSE),"")</f>
        <v>see Description</v>
      </c>
      <c r="P286" s="38" t="e">
        <f>VLOOKUP($N286,Likelihood!$A$3:$B$7,2,FALSE)*VLOOKUP($O286,Impact!$A$4:$B$8,2,FALSE)</f>
        <v>#N/A</v>
      </c>
      <c r="Q286" s="39" t="e">
        <f>VLOOKUP(P286,RPN!$B$6:$C$22,2)</f>
        <v>#N/A</v>
      </c>
      <c r="Z286" s="9" t="e">
        <f ca="1">VLOOKUP($N286,Likelihood!$A$3:$C$7,2,FALSE)+RANDBETWEEN(-20,20)/100</f>
        <v>#N/A</v>
      </c>
      <c r="AA286" s="9" t="e">
        <f ca="1">IF($Q286=AA$2,VLOOKUP($O286,Impact!$A$4:$B$8,2,FALSE)+RANDBETWEEN(-20,20)/100,NA())</f>
        <v>#N/A</v>
      </c>
      <c r="AB286" s="9" t="e">
        <f ca="1">IF($Q286=AB$2,VLOOKUP($O286,Impact!$A$4:$B$8,2,FALSE)+RANDBETWEEN(-20,20)/100,NA())</f>
        <v>#N/A</v>
      </c>
      <c r="AC286" s="9" t="e">
        <f ca="1">IF($Q286=AC$2,VLOOKUP($O286,Impact!$A$4:$B$8,2,FALSE)+RANDBETWEEN(-20,20)/100,NA())</f>
        <v>#N/A</v>
      </c>
    </row>
    <row r="287" spans="1:29" x14ac:dyDescent="0.25">
      <c r="A287" s="17">
        <v>285</v>
      </c>
      <c r="B287" s="3" t="str">
        <f t="shared" si="22"/>
        <v/>
      </c>
      <c r="H287" s="49" t="str">
        <f t="shared" si="21"/>
        <v>s. D.</v>
      </c>
      <c r="I287" s="48" t="str">
        <f t="shared" si="23"/>
        <v/>
      </c>
      <c r="J287" s="49" t="str">
        <f>I287&amp;IF(NOT(ISBLANK(E287)),CHAR(10)&amp;VLOOKUP(E287,AttackRiskStep!$A$3:$C$99,3,FALSE),"see Description")&amp;IF(NOT(ISBLANK(F287))," -&gt; "&amp;CHAR(10)&amp;VLOOKUP(F287,AttackRiskStep!$A$3:$C$99,3,FALSE),"")&amp;IF(NOT(ISBLANK(G287))," -&gt; "&amp;CHAR(10)&amp;VLOOKUP(G287,AttackRiskStep!$A$3:$C$99,3,FALSE),"")</f>
        <v>see Description</v>
      </c>
      <c r="P287" s="38" t="e">
        <f>VLOOKUP($N287,Likelihood!$A$3:$B$7,2,FALSE)*VLOOKUP($O287,Impact!$A$4:$B$8,2,FALSE)</f>
        <v>#N/A</v>
      </c>
      <c r="Q287" s="39" t="e">
        <f>VLOOKUP(P287,RPN!$B$6:$C$22,2)</f>
        <v>#N/A</v>
      </c>
      <c r="Z287" s="9" t="e">
        <f ca="1">VLOOKUP($N287,Likelihood!$A$3:$C$7,2,FALSE)+RANDBETWEEN(-20,20)/100</f>
        <v>#N/A</v>
      </c>
      <c r="AA287" s="9" t="e">
        <f ca="1">IF($Q287=AA$2,VLOOKUP($O287,Impact!$A$4:$B$8,2,FALSE)+RANDBETWEEN(-20,20)/100,NA())</f>
        <v>#N/A</v>
      </c>
      <c r="AB287" s="9" t="e">
        <f ca="1">IF($Q287=AB$2,VLOOKUP($O287,Impact!$A$4:$B$8,2,FALSE)+RANDBETWEEN(-20,20)/100,NA())</f>
        <v>#N/A</v>
      </c>
      <c r="AC287" s="9" t="e">
        <f ca="1">IF($Q287=AC$2,VLOOKUP($O287,Impact!$A$4:$B$8,2,FALSE)+RANDBETWEEN(-20,20)/100,NA())</f>
        <v>#N/A</v>
      </c>
    </row>
    <row r="288" spans="1:29" x14ac:dyDescent="0.25">
      <c r="A288" s="17">
        <v>286</v>
      </c>
      <c r="B288" s="3" t="str">
        <f t="shared" si="22"/>
        <v/>
      </c>
      <c r="H288" s="49" t="str">
        <f t="shared" si="21"/>
        <v>s. D.</v>
      </c>
      <c r="I288" s="48" t="str">
        <f t="shared" si="23"/>
        <v/>
      </c>
      <c r="J288" s="49" t="str">
        <f>I288&amp;IF(NOT(ISBLANK(E288)),CHAR(10)&amp;VLOOKUP(E288,AttackRiskStep!$A$3:$C$99,3,FALSE),"see Description")&amp;IF(NOT(ISBLANK(F288))," -&gt; "&amp;CHAR(10)&amp;VLOOKUP(F288,AttackRiskStep!$A$3:$C$99,3,FALSE),"")&amp;IF(NOT(ISBLANK(G288))," -&gt; "&amp;CHAR(10)&amp;VLOOKUP(G288,AttackRiskStep!$A$3:$C$99,3,FALSE),"")</f>
        <v>see Description</v>
      </c>
      <c r="P288" s="38" t="e">
        <f>VLOOKUP($N288,Likelihood!$A$3:$B$7,2,FALSE)*VLOOKUP($O288,Impact!$A$4:$B$8,2,FALSE)</f>
        <v>#N/A</v>
      </c>
      <c r="Q288" s="39" t="e">
        <f>VLOOKUP(P288,RPN!$B$6:$C$22,2)</f>
        <v>#N/A</v>
      </c>
      <c r="Z288" s="9" t="e">
        <f ca="1">VLOOKUP($N288,Likelihood!$A$3:$C$7,2,FALSE)+RANDBETWEEN(-20,20)/100</f>
        <v>#N/A</v>
      </c>
      <c r="AA288" s="9" t="e">
        <f ca="1">IF($Q288=AA$2,VLOOKUP($O288,Impact!$A$4:$B$8,2,FALSE)+RANDBETWEEN(-20,20)/100,NA())</f>
        <v>#N/A</v>
      </c>
      <c r="AB288" s="9" t="e">
        <f ca="1">IF($Q288=AB$2,VLOOKUP($O288,Impact!$A$4:$B$8,2,FALSE)+RANDBETWEEN(-20,20)/100,NA())</f>
        <v>#N/A</v>
      </c>
      <c r="AC288" s="9" t="e">
        <f ca="1">IF($Q288=AC$2,VLOOKUP($O288,Impact!$A$4:$B$8,2,FALSE)+RANDBETWEEN(-20,20)/100,NA())</f>
        <v>#N/A</v>
      </c>
    </row>
    <row r="289" spans="1:29" x14ac:dyDescent="0.25">
      <c r="A289" s="17">
        <v>287</v>
      </c>
      <c r="B289" s="3" t="str">
        <f t="shared" si="22"/>
        <v/>
      </c>
      <c r="H289" s="49" t="str">
        <f t="shared" si="21"/>
        <v>s. D.</v>
      </c>
      <c r="I289" s="48" t="str">
        <f t="shared" si="23"/>
        <v/>
      </c>
      <c r="J289" s="49" t="str">
        <f>I289&amp;IF(NOT(ISBLANK(E289)),CHAR(10)&amp;VLOOKUP(E289,AttackRiskStep!$A$3:$C$99,3,FALSE),"see Description")&amp;IF(NOT(ISBLANK(F289))," -&gt; "&amp;CHAR(10)&amp;VLOOKUP(F289,AttackRiskStep!$A$3:$C$99,3,FALSE),"")&amp;IF(NOT(ISBLANK(G289))," -&gt; "&amp;CHAR(10)&amp;VLOOKUP(G289,AttackRiskStep!$A$3:$C$99,3,FALSE),"")</f>
        <v>see Description</v>
      </c>
      <c r="P289" s="38" t="e">
        <f>VLOOKUP($N289,Likelihood!$A$3:$B$7,2,FALSE)*VLOOKUP($O289,Impact!$A$4:$B$8,2,FALSE)</f>
        <v>#N/A</v>
      </c>
      <c r="Q289" s="39" t="e">
        <f>VLOOKUP(P289,RPN!$B$6:$C$22,2)</f>
        <v>#N/A</v>
      </c>
      <c r="Z289" s="9" t="e">
        <f ca="1">VLOOKUP($N289,Likelihood!$A$3:$C$7,2,FALSE)+RANDBETWEEN(-20,20)/100</f>
        <v>#N/A</v>
      </c>
      <c r="AA289" s="9" t="e">
        <f ca="1">IF($Q289=AA$2,VLOOKUP($O289,Impact!$A$4:$B$8,2,FALSE)+RANDBETWEEN(-20,20)/100,NA())</f>
        <v>#N/A</v>
      </c>
      <c r="AB289" s="9" t="e">
        <f ca="1">IF($Q289=AB$2,VLOOKUP($O289,Impact!$A$4:$B$8,2,FALSE)+RANDBETWEEN(-20,20)/100,NA())</f>
        <v>#N/A</v>
      </c>
      <c r="AC289" s="9" t="e">
        <f ca="1">IF($Q289=AC$2,VLOOKUP($O289,Impact!$A$4:$B$8,2,FALSE)+RANDBETWEEN(-20,20)/100,NA())</f>
        <v>#N/A</v>
      </c>
    </row>
    <row r="290" spans="1:29" x14ac:dyDescent="0.25">
      <c r="A290" s="17">
        <v>288</v>
      </c>
      <c r="B290" s="3" t="str">
        <f t="shared" si="22"/>
        <v/>
      </c>
      <c r="H290" s="49" t="str">
        <f t="shared" si="21"/>
        <v>s. D.</v>
      </c>
      <c r="I290" s="48" t="str">
        <f t="shared" si="23"/>
        <v/>
      </c>
      <c r="J290" s="49" t="str">
        <f>I290&amp;IF(NOT(ISBLANK(E290)),CHAR(10)&amp;VLOOKUP(E290,AttackRiskStep!$A$3:$C$99,3,FALSE),"see Description")&amp;IF(NOT(ISBLANK(F290))," -&gt; "&amp;CHAR(10)&amp;VLOOKUP(F290,AttackRiskStep!$A$3:$C$99,3,FALSE),"")&amp;IF(NOT(ISBLANK(G290))," -&gt; "&amp;CHAR(10)&amp;VLOOKUP(G290,AttackRiskStep!$A$3:$C$99,3,FALSE),"")</f>
        <v>see Description</v>
      </c>
      <c r="P290" s="38" t="e">
        <f>VLOOKUP($N290,Likelihood!$A$3:$B$7,2,FALSE)*VLOOKUP($O290,Impact!$A$4:$B$8,2,FALSE)</f>
        <v>#N/A</v>
      </c>
      <c r="Q290" s="39" t="e">
        <f>VLOOKUP(P290,RPN!$B$6:$C$22,2)</f>
        <v>#N/A</v>
      </c>
      <c r="Z290" s="9" t="e">
        <f ca="1">VLOOKUP($N290,Likelihood!$A$3:$C$7,2,FALSE)+RANDBETWEEN(-20,20)/100</f>
        <v>#N/A</v>
      </c>
      <c r="AA290" s="9" t="e">
        <f ca="1">IF($Q290=AA$2,VLOOKUP($O290,Impact!$A$4:$B$8,2,FALSE)+RANDBETWEEN(-20,20)/100,NA())</f>
        <v>#N/A</v>
      </c>
      <c r="AB290" s="9" t="e">
        <f ca="1">IF($Q290=AB$2,VLOOKUP($O290,Impact!$A$4:$B$8,2,FALSE)+RANDBETWEEN(-20,20)/100,NA())</f>
        <v>#N/A</v>
      </c>
      <c r="AC290" s="9" t="e">
        <f ca="1">IF($Q290=AC$2,VLOOKUP($O290,Impact!$A$4:$B$8,2,FALSE)+RANDBETWEEN(-20,20)/100,NA())</f>
        <v>#N/A</v>
      </c>
    </row>
    <row r="291" spans="1:29" x14ac:dyDescent="0.25">
      <c r="A291" s="17">
        <v>289</v>
      </c>
      <c r="B291" s="3" t="str">
        <f t="shared" si="22"/>
        <v/>
      </c>
      <c r="H291" s="49" t="str">
        <f t="shared" si="21"/>
        <v>s. D.</v>
      </c>
      <c r="I291" s="48" t="str">
        <f t="shared" si="23"/>
        <v/>
      </c>
      <c r="J291" s="49" t="str">
        <f>I291&amp;IF(NOT(ISBLANK(E291)),CHAR(10)&amp;VLOOKUP(E291,AttackRiskStep!$A$3:$C$99,3,FALSE),"see Description")&amp;IF(NOT(ISBLANK(F291))," -&gt; "&amp;CHAR(10)&amp;VLOOKUP(F291,AttackRiskStep!$A$3:$C$99,3,FALSE),"")&amp;IF(NOT(ISBLANK(G291))," -&gt; "&amp;CHAR(10)&amp;VLOOKUP(G291,AttackRiskStep!$A$3:$C$99,3,FALSE),"")</f>
        <v>see Description</v>
      </c>
      <c r="P291" s="38" t="e">
        <f>VLOOKUP($N291,Likelihood!$A$3:$B$7,2,FALSE)*VLOOKUP($O291,Impact!$A$4:$B$8,2,FALSE)</f>
        <v>#N/A</v>
      </c>
      <c r="Q291" s="39" t="e">
        <f>VLOOKUP(P291,RPN!$B$6:$C$22,2)</f>
        <v>#N/A</v>
      </c>
      <c r="Z291" s="9" t="e">
        <f ca="1">VLOOKUP($N291,Likelihood!$A$3:$C$7,2,FALSE)+RANDBETWEEN(-20,20)/100</f>
        <v>#N/A</v>
      </c>
      <c r="AA291" s="9" t="e">
        <f ca="1">IF($Q291=AA$2,VLOOKUP($O291,Impact!$A$4:$B$8,2,FALSE)+RANDBETWEEN(-20,20)/100,NA())</f>
        <v>#N/A</v>
      </c>
      <c r="AB291" s="9" t="e">
        <f ca="1">IF($Q291=AB$2,VLOOKUP($O291,Impact!$A$4:$B$8,2,FALSE)+RANDBETWEEN(-20,20)/100,NA())</f>
        <v>#N/A</v>
      </c>
      <c r="AC291" s="9" t="e">
        <f ca="1">IF($Q291=AC$2,VLOOKUP($O291,Impact!$A$4:$B$8,2,FALSE)+RANDBETWEEN(-20,20)/100,NA())</f>
        <v>#N/A</v>
      </c>
    </row>
    <row r="292" spans="1:29" x14ac:dyDescent="0.25">
      <c r="A292" s="17">
        <v>290</v>
      </c>
      <c r="B292" s="3" t="str">
        <f t="shared" si="22"/>
        <v/>
      </c>
      <c r="H292" s="49" t="str">
        <f t="shared" si="21"/>
        <v>s. D.</v>
      </c>
      <c r="I292" s="48" t="str">
        <f t="shared" si="23"/>
        <v/>
      </c>
      <c r="J292" s="49" t="str">
        <f>I292&amp;IF(NOT(ISBLANK(E292)),CHAR(10)&amp;VLOOKUP(E292,AttackRiskStep!$A$3:$C$99,3,FALSE),"see Description")&amp;IF(NOT(ISBLANK(F292))," -&gt; "&amp;CHAR(10)&amp;VLOOKUP(F292,AttackRiskStep!$A$3:$C$99,3,FALSE),"")&amp;IF(NOT(ISBLANK(G292))," -&gt; "&amp;CHAR(10)&amp;VLOOKUP(G292,AttackRiskStep!$A$3:$C$99,3,FALSE),"")</f>
        <v>see Description</v>
      </c>
      <c r="P292" s="38" t="e">
        <f>VLOOKUP($N292,Likelihood!$A$3:$B$7,2,FALSE)*VLOOKUP($O292,Impact!$A$4:$B$8,2,FALSE)</f>
        <v>#N/A</v>
      </c>
      <c r="Q292" s="39" t="e">
        <f>VLOOKUP(P292,RPN!$B$6:$C$22,2)</f>
        <v>#N/A</v>
      </c>
      <c r="Z292" s="9" t="e">
        <f ca="1">VLOOKUP($N292,Likelihood!$A$3:$C$7,2,FALSE)+RANDBETWEEN(-20,20)/100</f>
        <v>#N/A</v>
      </c>
      <c r="AA292" s="9" t="e">
        <f ca="1">IF($Q292=AA$2,VLOOKUP($O292,Impact!$A$4:$B$8,2,FALSE)+RANDBETWEEN(-20,20)/100,NA())</f>
        <v>#N/A</v>
      </c>
      <c r="AB292" s="9" t="e">
        <f ca="1">IF($Q292=AB$2,VLOOKUP($O292,Impact!$A$4:$B$8,2,FALSE)+RANDBETWEEN(-20,20)/100,NA())</f>
        <v>#N/A</v>
      </c>
      <c r="AC292" s="9" t="e">
        <f ca="1">IF($Q292=AC$2,VLOOKUP($O292,Impact!$A$4:$B$8,2,FALSE)+RANDBETWEEN(-20,20)/100,NA())</f>
        <v>#N/A</v>
      </c>
    </row>
    <row r="293" spans="1:29" x14ac:dyDescent="0.25">
      <c r="A293" s="17">
        <v>291</v>
      </c>
      <c r="B293" s="3" t="str">
        <f t="shared" si="22"/>
        <v/>
      </c>
      <c r="H293" s="49" t="str">
        <f t="shared" si="21"/>
        <v>s. D.</v>
      </c>
      <c r="I293" s="48" t="str">
        <f t="shared" si="23"/>
        <v/>
      </c>
      <c r="J293" s="49" t="str">
        <f>I293&amp;IF(NOT(ISBLANK(E293)),CHAR(10)&amp;VLOOKUP(E293,AttackRiskStep!$A$3:$C$99,3,FALSE),"see Description")&amp;IF(NOT(ISBLANK(F293))," -&gt; "&amp;CHAR(10)&amp;VLOOKUP(F293,AttackRiskStep!$A$3:$C$99,3,FALSE),"")&amp;IF(NOT(ISBLANK(G293))," -&gt; "&amp;CHAR(10)&amp;VLOOKUP(G293,AttackRiskStep!$A$3:$C$99,3,FALSE),"")</f>
        <v>see Description</v>
      </c>
      <c r="P293" s="38" t="e">
        <f>VLOOKUP($N293,Likelihood!$A$3:$B$7,2,FALSE)*VLOOKUP($O293,Impact!$A$4:$B$8,2,FALSE)</f>
        <v>#N/A</v>
      </c>
      <c r="Q293" s="39" t="e">
        <f>VLOOKUP(P293,RPN!$B$6:$C$22,2)</f>
        <v>#N/A</v>
      </c>
      <c r="Z293" s="9" t="e">
        <f ca="1">VLOOKUP($N293,Likelihood!$A$3:$C$7,2,FALSE)+RANDBETWEEN(-20,20)/100</f>
        <v>#N/A</v>
      </c>
      <c r="AA293" s="9" t="e">
        <f ca="1">IF($Q293=AA$2,VLOOKUP($O293,Impact!$A$4:$B$8,2,FALSE)+RANDBETWEEN(-20,20)/100,NA())</f>
        <v>#N/A</v>
      </c>
      <c r="AB293" s="9" t="e">
        <f ca="1">IF($Q293=AB$2,VLOOKUP($O293,Impact!$A$4:$B$8,2,FALSE)+RANDBETWEEN(-20,20)/100,NA())</f>
        <v>#N/A</v>
      </c>
      <c r="AC293" s="9" t="e">
        <f ca="1">IF($Q293=AC$2,VLOOKUP($O293,Impact!$A$4:$B$8,2,FALSE)+RANDBETWEEN(-20,20)/100,NA())</f>
        <v>#N/A</v>
      </c>
    </row>
    <row r="294" spans="1:29" x14ac:dyDescent="0.25">
      <c r="A294" s="17">
        <v>292</v>
      </c>
      <c r="B294" s="3" t="str">
        <f t="shared" si="22"/>
        <v/>
      </c>
      <c r="H294" s="49" t="str">
        <f t="shared" si="21"/>
        <v>s. D.</v>
      </c>
      <c r="I294" s="48" t="str">
        <f t="shared" si="23"/>
        <v/>
      </c>
      <c r="J294" s="49" t="str">
        <f>I294&amp;IF(NOT(ISBLANK(E294)),CHAR(10)&amp;VLOOKUP(E294,AttackRiskStep!$A$3:$C$99,3,FALSE),"see Description")&amp;IF(NOT(ISBLANK(F294))," -&gt; "&amp;CHAR(10)&amp;VLOOKUP(F294,AttackRiskStep!$A$3:$C$99,3,FALSE),"")&amp;IF(NOT(ISBLANK(G294))," -&gt; "&amp;CHAR(10)&amp;VLOOKUP(G294,AttackRiskStep!$A$3:$C$99,3,FALSE),"")</f>
        <v>see Description</v>
      </c>
      <c r="P294" s="38" t="e">
        <f>VLOOKUP($N294,Likelihood!$A$3:$B$7,2,FALSE)*VLOOKUP($O294,Impact!$A$4:$B$8,2,FALSE)</f>
        <v>#N/A</v>
      </c>
      <c r="Q294" s="39" t="e">
        <f>VLOOKUP(P294,RPN!$B$6:$C$22,2)</f>
        <v>#N/A</v>
      </c>
      <c r="Z294" s="9" t="e">
        <f ca="1">VLOOKUP($N294,Likelihood!$A$3:$C$7,2,FALSE)+RANDBETWEEN(-20,20)/100</f>
        <v>#N/A</v>
      </c>
      <c r="AA294" s="9" t="e">
        <f ca="1">IF($Q294=AA$2,VLOOKUP($O294,Impact!$A$4:$B$8,2,FALSE)+RANDBETWEEN(-20,20)/100,NA())</f>
        <v>#N/A</v>
      </c>
      <c r="AB294" s="9" t="e">
        <f ca="1">IF($Q294=AB$2,VLOOKUP($O294,Impact!$A$4:$B$8,2,FALSE)+RANDBETWEEN(-20,20)/100,NA())</f>
        <v>#N/A</v>
      </c>
      <c r="AC294" s="9" t="e">
        <f ca="1">IF($Q294=AC$2,VLOOKUP($O294,Impact!$A$4:$B$8,2,FALSE)+RANDBETWEEN(-20,20)/100,NA())</f>
        <v>#N/A</v>
      </c>
    </row>
    <row r="295" spans="1:29" x14ac:dyDescent="0.25">
      <c r="A295" s="17">
        <v>293</v>
      </c>
      <c r="B295" s="3" t="str">
        <f t="shared" si="22"/>
        <v/>
      </c>
      <c r="H295" s="49" t="str">
        <f t="shared" si="21"/>
        <v>s. D.</v>
      </c>
      <c r="I295" s="48" t="str">
        <f t="shared" si="23"/>
        <v/>
      </c>
      <c r="J295" s="49" t="str">
        <f>I295&amp;IF(NOT(ISBLANK(E295)),CHAR(10)&amp;VLOOKUP(E295,AttackRiskStep!$A$3:$C$99,3,FALSE),"see Description")&amp;IF(NOT(ISBLANK(F295))," -&gt; "&amp;CHAR(10)&amp;VLOOKUP(F295,AttackRiskStep!$A$3:$C$99,3,FALSE),"")&amp;IF(NOT(ISBLANK(G295))," -&gt; "&amp;CHAR(10)&amp;VLOOKUP(G295,AttackRiskStep!$A$3:$C$99,3,FALSE),"")</f>
        <v>see Description</v>
      </c>
      <c r="P295" s="38" t="e">
        <f>VLOOKUP($N295,Likelihood!$A$3:$B$7,2,FALSE)*VLOOKUP($O295,Impact!$A$4:$B$8,2,FALSE)</f>
        <v>#N/A</v>
      </c>
      <c r="Q295" s="39" t="e">
        <f>VLOOKUP(P295,RPN!$B$6:$C$22,2)</f>
        <v>#N/A</v>
      </c>
      <c r="Z295" s="9" t="e">
        <f ca="1">VLOOKUP($N295,Likelihood!$A$3:$C$7,2,FALSE)+RANDBETWEEN(-20,20)/100</f>
        <v>#N/A</v>
      </c>
      <c r="AA295" s="9" t="e">
        <f ca="1">IF($Q295=AA$2,VLOOKUP($O295,Impact!$A$4:$B$8,2,FALSE)+RANDBETWEEN(-20,20)/100,NA())</f>
        <v>#N/A</v>
      </c>
      <c r="AB295" s="9" t="e">
        <f ca="1">IF($Q295=AB$2,VLOOKUP($O295,Impact!$A$4:$B$8,2,FALSE)+RANDBETWEEN(-20,20)/100,NA())</f>
        <v>#N/A</v>
      </c>
      <c r="AC295" s="9" t="e">
        <f ca="1">IF($Q295=AC$2,VLOOKUP($O295,Impact!$A$4:$B$8,2,FALSE)+RANDBETWEEN(-20,20)/100,NA())</f>
        <v>#N/A</v>
      </c>
    </row>
    <row r="296" spans="1:29" x14ac:dyDescent="0.25">
      <c r="A296" s="17">
        <v>294</v>
      </c>
      <c r="B296" s="3" t="str">
        <f t="shared" si="22"/>
        <v/>
      </c>
      <c r="H296" s="49" t="str">
        <f t="shared" si="21"/>
        <v>s. D.</v>
      </c>
      <c r="I296" s="48" t="str">
        <f t="shared" si="23"/>
        <v/>
      </c>
      <c r="J296" s="49" t="str">
        <f>I296&amp;IF(NOT(ISBLANK(E296)),CHAR(10)&amp;VLOOKUP(E296,AttackRiskStep!$A$3:$C$99,3,FALSE),"see Description")&amp;IF(NOT(ISBLANK(F296))," -&gt; "&amp;CHAR(10)&amp;VLOOKUP(F296,AttackRiskStep!$A$3:$C$99,3,FALSE),"")&amp;IF(NOT(ISBLANK(G296))," -&gt; "&amp;CHAR(10)&amp;VLOOKUP(G296,AttackRiskStep!$A$3:$C$99,3,FALSE),"")</f>
        <v>see Description</v>
      </c>
      <c r="P296" s="38" t="e">
        <f>VLOOKUP($N296,Likelihood!$A$3:$B$7,2,FALSE)*VLOOKUP($O296,Impact!$A$4:$B$8,2,FALSE)</f>
        <v>#N/A</v>
      </c>
      <c r="Q296" s="39" t="e">
        <f>VLOOKUP(P296,RPN!$B$6:$C$22,2)</f>
        <v>#N/A</v>
      </c>
      <c r="Z296" s="9" t="e">
        <f ca="1">VLOOKUP($N296,Likelihood!$A$3:$C$7,2,FALSE)+RANDBETWEEN(-20,20)/100</f>
        <v>#N/A</v>
      </c>
      <c r="AA296" s="9" t="e">
        <f ca="1">IF($Q296=AA$2,VLOOKUP($O296,Impact!$A$4:$B$8,2,FALSE)+RANDBETWEEN(-20,20)/100,NA())</f>
        <v>#N/A</v>
      </c>
      <c r="AB296" s="9" t="e">
        <f ca="1">IF($Q296=AB$2,VLOOKUP($O296,Impact!$A$4:$B$8,2,FALSE)+RANDBETWEEN(-20,20)/100,NA())</f>
        <v>#N/A</v>
      </c>
      <c r="AC296" s="9" t="e">
        <f ca="1">IF($Q296=AC$2,VLOOKUP($O296,Impact!$A$4:$B$8,2,FALSE)+RANDBETWEEN(-20,20)/100,NA())</f>
        <v>#N/A</v>
      </c>
    </row>
    <row r="297" spans="1:29" x14ac:dyDescent="0.25">
      <c r="A297" s="17">
        <v>295</v>
      </c>
      <c r="B297" s="3" t="str">
        <f t="shared" si="22"/>
        <v/>
      </c>
      <c r="H297" s="49" t="str">
        <f t="shared" si="21"/>
        <v>s. D.</v>
      </c>
      <c r="I297" s="48" t="str">
        <f t="shared" si="23"/>
        <v/>
      </c>
      <c r="J297" s="49" t="str">
        <f>I297&amp;IF(NOT(ISBLANK(E297)),CHAR(10)&amp;VLOOKUP(E297,AttackRiskStep!$A$3:$C$99,3,FALSE),"see Description")&amp;IF(NOT(ISBLANK(F297))," -&gt; "&amp;CHAR(10)&amp;VLOOKUP(F297,AttackRiskStep!$A$3:$C$99,3,FALSE),"")&amp;IF(NOT(ISBLANK(G297))," -&gt; "&amp;CHAR(10)&amp;VLOOKUP(G297,AttackRiskStep!$A$3:$C$99,3,FALSE),"")</f>
        <v>see Description</v>
      </c>
      <c r="P297" s="38" t="e">
        <f>VLOOKUP($N297,Likelihood!$A$3:$B$7,2,FALSE)*VLOOKUP($O297,Impact!$A$4:$B$8,2,FALSE)</f>
        <v>#N/A</v>
      </c>
      <c r="Q297" s="39" t="e">
        <f>VLOOKUP(P297,RPN!$B$6:$C$22,2)</f>
        <v>#N/A</v>
      </c>
      <c r="Z297" s="9" t="e">
        <f ca="1">VLOOKUP($N297,Likelihood!$A$3:$C$7,2,FALSE)+RANDBETWEEN(-20,20)/100</f>
        <v>#N/A</v>
      </c>
      <c r="AA297" s="9" t="e">
        <f ca="1">IF($Q297=AA$2,VLOOKUP($O297,Impact!$A$4:$B$8,2,FALSE)+RANDBETWEEN(-20,20)/100,NA())</f>
        <v>#N/A</v>
      </c>
      <c r="AB297" s="9" t="e">
        <f ca="1">IF($Q297=AB$2,VLOOKUP($O297,Impact!$A$4:$B$8,2,FALSE)+RANDBETWEEN(-20,20)/100,NA())</f>
        <v>#N/A</v>
      </c>
      <c r="AC297" s="9" t="e">
        <f ca="1">IF($Q297=AC$2,VLOOKUP($O297,Impact!$A$4:$B$8,2,FALSE)+RANDBETWEEN(-20,20)/100,NA())</f>
        <v>#N/A</v>
      </c>
    </row>
    <row r="298" spans="1:29" x14ac:dyDescent="0.25">
      <c r="A298" s="17">
        <v>296</v>
      </c>
      <c r="B298" s="3" t="str">
        <f t="shared" si="22"/>
        <v/>
      </c>
      <c r="H298" s="49" t="str">
        <f t="shared" si="21"/>
        <v>s. D.</v>
      </c>
      <c r="I298" s="48" t="str">
        <f t="shared" si="23"/>
        <v/>
      </c>
      <c r="J298" s="49" t="str">
        <f>I298&amp;IF(NOT(ISBLANK(E298)),CHAR(10)&amp;VLOOKUP(E298,AttackRiskStep!$A$3:$C$99,3,FALSE),"see Description")&amp;IF(NOT(ISBLANK(F298))," -&gt; "&amp;CHAR(10)&amp;VLOOKUP(F298,AttackRiskStep!$A$3:$C$99,3,FALSE),"")&amp;IF(NOT(ISBLANK(G298))," -&gt; "&amp;CHAR(10)&amp;VLOOKUP(G298,AttackRiskStep!$A$3:$C$99,3,FALSE),"")</f>
        <v>see Description</v>
      </c>
      <c r="P298" s="38" t="e">
        <f>VLOOKUP($N298,Likelihood!$A$3:$B$7,2,FALSE)*VLOOKUP($O298,Impact!$A$4:$B$8,2,FALSE)</f>
        <v>#N/A</v>
      </c>
      <c r="Q298" s="39" t="e">
        <f>VLOOKUP(P298,RPN!$B$6:$C$22,2)</f>
        <v>#N/A</v>
      </c>
      <c r="Z298" s="9" t="e">
        <f ca="1">VLOOKUP($N298,Likelihood!$A$3:$C$7,2,FALSE)+RANDBETWEEN(-20,20)/100</f>
        <v>#N/A</v>
      </c>
      <c r="AA298" s="9" t="e">
        <f ca="1">IF($Q298=AA$2,VLOOKUP($O298,Impact!$A$4:$B$8,2,FALSE)+RANDBETWEEN(-20,20)/100,NA())</f>
        <v>#N/A</v>
      </c>
      <c r="AB298" s="9" t="e">
        <f ca="1">IF($Q298=AB$2,VLOOKUP($O298,Impact!$A$4:$B$8,2,FALSE)+RANDBETWEEN(-20,20)/100,NA())</f>
        <v>#N/A</v>
      </c>
      <c r="AC298" s="9" t="e">
        <f ca="1">IF($Q298=AC$2,VLOOKUP($O298,Impact!$A$4:$B$8,2,FALSE)+RANDBETWEEN(-20,20)/100,NA())</f>
        <v>#N/A</v>
      </c>
    </row>
    <row r="299" spans="1:29" x14ac:dyDescent="0.25">
      <c r="A299" s="17">
        <v>297</v>
      </c>
      <c r="B299" s="3" t="str">
        <f t="shared" si="22"/>
        <v/>
      </c>
      <c r="H299" s="49" t="str">
        <f t="shared" si="21"/>
        <v>s. D.</v>
      </c>
      <c r="I299" s="48" t="str">
        <f t="shared" si="23"/>
        <v/>
      </c>
      <c r="J299" s="49" t="str">
        <f>I299&amp;IF(NOT(ISBLANK(E299)),CHAR(10)&amp;VLOOKUP(E299,AttackRiskStep!$A$3:$C$99,3,FALSE),"see Description")&amp;IF(NOT(ISBLANK(F299))," -&gt; "&amp;CHAR(10)&amp;VLOOKUP(F299,AttackRiskStep!$A$3:$C$99,3,FALSE),"")&amp;IF(NOT(ISBLANK(G299))," -&gt; "&amp;CHAR(10)&amp;VLOOKUP(G299,AttackRiskStep!$A$3:$C$99,3,FALSE),"")</f>
        <v>see Description</v>
      </c>
      <c r="P299" s="38" t="e">
        <f>VLOOKUP($N299,Likelihood!$A$3:$B$7,2,FALSE)*VLOOKUP($O299,Impact!$A$4:$B$8,2,FALSE)</f>
        <v>#N/A</v>
      </c>
      <c r="Q299" s="39" t="e">
        <f>VLOOKUP(P299,RPN!$B$6:$C$22,2)</f>
        <v>#N/A</v>
      </c>
      <c r="Z299" s="9" t="e">
        <f ca="1">VLOOKUP($N299,Likelihood!$A$3:$C$7,2,FALSE)+RANDBETWEEN(-20,20)/100</f>
        <v>#N/A</v>
      </c>
      <c r="AA299" s="9" t="e">
        <f ca="1">IF($Q299=AA$2,VLOOKUP($O299,Impact!$A$4:$B$8,2,FALSE)+RANDBETWEEN(-20,20)/100,NA())</f>
        <v>#N/A</v>
      </c>
      <c r="AB299" s="9" t="e">
        <f ca="1">IF($Q299=AB$2,VLOOKUP($O299,Impact!$A$4:$B$8,2,FALSE)+RANDBETWEEN(-20,20)/100,NA())</f>
        <v>#N/A</v>
      </c>
      <c r="AC299" s="9" t="e">
        <f ca="1">IF($Q299=AC$2,VLOOKUP($O299,Impact!$A$4:$B$8,2,FALSE)+RANDBETWEEN(-20,20)/100,NA())</f>
        <v>#N/A</v>
      </c>
    </row>
    <row r="300" spans="1:29" x14ac:dyDescent="0.25">
      <c r="A300" s="17">
        <v>298</v>
      </c>
      <c r="B300" s="3" t="str">
        <f t="shared" si="22"/>
        <v/>
      </c>
      <c r="H300" s="49" t="str">
        <f t="shared" si="21"/>
        <v>s. D.</v>
      </c>
      <c r="I300" s="48" t="str">
        <f t="shared" si="23"/>
        <v/>
      </c>
      <c r="J300" s="49" t="str">
        <f>I300&amp;IF(NOT(ISBLANK(E300)),CHAR(10)&amp;VLOOKUP(E300,AttackRiskStep!$A$3:$C$99,3,FALSE),"see Description")&amp;IF(NOT(ISBLANK(F300))," -&gt; "&amp;CHAR(10)&amp;VLOOKUP(F300,AttackRiskStep!$A$3:$C$99,3,FALSE),"")&amp;IF(NOT(ISBLANK(G300))," -&gt; "&amp;CHAR(10)&amp;VLOOKUP(G300,AttackRiskStep!$A$3:$C$99,3,FALSE),"")</f>
        <v>see Description</v>
      </c>
      <c r="P300" s="38" t="e">
        <f>VLOOKUP($N300,Likelihood!$A$3:$B$7,2,FALSE)*VLOOKUP($O300,Impact!$A$4:$B$8,2,FALSE)</f>
        <v>#N/A</v>
      </c>
      <c r="Q300" s="39" t="e">
        <f>VLOOKUP(P300,RPN!$B$6:$C$22,2)</f>
        <v>#N/A</v>
      </c>
      <c r="Z300" s="9" t="e">
        <f ca="1">VLOOKUP($N300,Likelihood!$A$3:$C$7,2,FALSE)+RANDBETWEEN(-20,20)/100</f>
        <v>#N/A</v>
      </c>
      <c r="AA300" s="9" t="e">
        <f ca="1">IF($Q300=AA$2,VLOOKUP($O300,Impact!$A$4:$B$8,2,FALSE)+RANDBETWEEN(-20,20)/100,NA())</f>
        <v>#N/A</v>
      </c>
      <c r="AB300" s="9" t="e">
        <f ca="1">IF($Q300=AB$2,VLOOKUP($O300,Impact!$A$4:$B$8,2,FALSE)+RANDBETWEEN(-20,20)/100,NA())</f>
        <v>#N/A</v>
      </c>
      <c r="AC300" s="9" t="e">
        <f ca="1">IF($Q300=AC$2,VLOOKUP($O300,Impact!$A$4:$B$8,2,FALSE)+RANDBETWEEN(-20,20)/100,NA())</f>
        <v>#N/A</v>
      </c>
    </row>
    <row r="301" spans="1:29" x14ac:dyDescent="0.25">
      <c r="A301" s="17">
        <v>299</v>
      </c>
      <c r="B301" s="3" t="str">
        <f t="shared" si="22"/>
        <v/>
      </c>
      <c r="H301" s="49" t="str">
        <f t="shared" si="21"/>
        <v>s. D.</v>
      </c>
      <c r="I301" s="48" t="str">
        <f t="shared" si="23"/>
        <v/>
      </c>
      <c r="J301" s="49" t="str">
        <f>I301&amp;IF(NOT(ISBLANK(E301)),CHAR(10)&amp;VLOOKUP(E301,AttackRiskStep!$A$3:$C$99,3,FALSE),"see Description")&amp;IF(NOT(ISBLANK(F301))," -&gt; "&amp;CHAR(10)&amp;VLOOKUP(F301,AttackRiskStep!$A$3:$C$99,3,FALSE),"")&amp;IF(NOT(ISBLANK(G301))," -&gt; "&amp;CHAR(10)&amp;VLOOKUP(G301,AttackRiskStep!$A$3:$C$99,3,FALSE),"")</f>
        <v>see Description</v>
      </c>
      <c r="P301" s="38" t="e">
        <f>VLOOKUP($N301,Likelihood!$A$3:$B$7,2,FALSE)*VLOOKUP($O301,Impact!$A$4:$B$8,2,FALSE)</f>
        <v>#N/A</v>
      </c>
      <c r="Q301" s="39" t="e">
        <f>VLOOKUP(P301,RPN!$B$6:$C$22,2)</f>
        <v>#N/A</v>
      </c>
      <c r="Z301" s="9" t="e">
        <f ca="1">VLOOKUP($N301,Likelihood!$A$3:$C$7,2,FALSE)+RANDBETWEEN(-20,20)/100</f>
        <v>#N/A</v>
      </c>
      <c r="AA301" s="9" t="e">
        <f ca="1">IF($Q301=AA$2,VLOOKUP($O301,Impact!$A$4:$B$8,2,FALSE)+RANDBETWEEN(-20,20)/100,NA())</f>
        <v>#N/A</v>
      </c>
      <c r="AB301" s="9" t="e">
        <f ca="1">IF($Q301=AB$2,VLOOKUP($O301,Impact!$A$4:$B$8,2,FALSE)+RANDBETWEEN(-20,20)/100,NA())</f>
        <v>#N/A</v>
      </c>
      <c r="AC301" s="9" t="e">
        <f ca="1">IF($Q301=AC$2,VLOOKUP($O301,Impact!$A$4:$B$8,2,FALSE)+RANDBETWEEN(-20,20)/100,NA())</f>
        <v>#N/A</v>
      </c>
    </row>
    <row r="302" spans="1:29" x14ac:dyDescent="0.25">
      <c r="A302" s="17">
        <v>300</v>
      </c>
      <c r="B302" s="3" t="str">
        <f t="shared" si="22"/>
        <v/>
      </c>
      <c r="H302" s="49" t="str">
        <f t="shared" si="21"/>
        <v>s. D.</v>
      </c>
      <c r="I302" s="48" t="str">
        <f t="shared" si="23"/>
        <v/>
      </c>
      <c r="J302" s="49" t="str">
        <f>I302&amp;IF(NOT(ISBLANK(E302)),CHAR(10)&amp;VLOOKUP(E302,AttackRiskStep!$A$3:$C$99,3,FALSE),"see Description")&amp;IF(NOT(ISBLANK(F302))," -&gt; "&amp;CHAR(10)&amp;VLOOKUP(F302,AttackRiskStep!$A$3:$C$99,3,FALSE),"")&amp;IF(NOT(ISBLANK(G302))," -&gt; "&amp;CHAR(10)&amp;VLOOKUP(G302,AttackRiskStep!$A$3:$C$99,3,FALSE),"")</f>
        <v>see Description</v>
      </c>
      <c r="P302" s="38" t="e">
        <f>VLOOKUP($N302,Likelihood!$A$3:$B$7,2,FALSE)*VLOOKUP($O302,Impact!$A$4:$B$8,2,FALSE)</f>
        <v>#N/A</v>
      </c>
      <c r="Q302" s="39" t="e">
        <f>VLOOKUP(P302,RPN!$B$6:$C$22,2)</f>
        <v>#N/A</v>
      </c>
      <c r="Z302" s="9" t="e">
        <f ca="1">VLOOKUP($N302,Likelihood!$A$3:$C$7,2,FALSE)+RANDBETWEEN(-20,20)/100</f>
        <v>#N/A</v>
      </c>
      <c r="AA302" s="9" t="e">
        <f ca="1">IF($Q302=AA$2,VLOOKUP($O302,Impact!$A$4:$B$8,2,FALSE)+RANDBETWEEN(-20,20)/100,NA())</f>
        <v>#N/A</v>
      </c>
      <c r="AB302" s="9" t="e">
        <f ca="1">IF($Q302=AB$2,VLOOKUP($O302,Impact!$A$4:$B$8,2,FALSE)+RANDBETWEEN(-20,20)/100,NA())</f>
        <v>#N/A</v>
      </c>
      <c r="AC302" s="9" t="e">
        <f ca="1">IF($Q302=AC$2,VLOOKUP($O302,Impact!$A$4:$B$8,2,FALSE)+RANDBETWEEN(-20,20)/100,NA())</f>
        <v>#N/A</v>
      </c>
    </row>
    <row r="303" spans="1:29" x14ac:dyDescent="0.25">
      <c r="A303" s="17">
        <v>301</v>
      </c>
      <c r="B303" s="3" t="str">
        <f t="shared" si="22"/>
        <v/>
      </c>
      <c r="H303" s="49" t="str">
        <f t="shared" si="21"/>
        <v>s. D.</v>
      </c>
      <c r="I303" s="48" t="str">
        <f t="shared" si="23"/>
        <v/>
      </c>
      <c r="J303" s="49" t="str">
        <f>I303&amp;IF(NOT(ISBLANK(E303)),CHAR(10)&amp;VLOOKUP(E303,AttackRiskStep!$A$3:$C$99,3,FALSE),"see Description")&amp;IF(NOT(ISBLANK(F303))," -&gt; "&amp;CHAR(10)&amp;VLOOKUP(F303,AttackRiskStep!$A$3:$C$99,3,FALSE),"")&amp;IF(NOT(ISBLANK(G303))," -&gt; "&amp;CHAR(10)&amp;VLOOKUP(G303,AttackRiskStep!$A$3:$C$99,3,FALSE),"")</f>
        <v>see Description</v>
      </c>
      <c r="P303" s="38" t="e">
        <f>VLOOKUP($N303,Likelihood!$A$3:$B$7,2,FALSE)*VLOOKUP($O303,Impact!$A$4:$B$8,2,FALSE)</f>
        <v>#N/A</v>
      </c>
      <c r="Q303" s="39" t="e">
        <f>VLOOKUP(P303,RPN!$B$6:$C$22,2)</f>
        <v>#N/A</v>
      </c>
      <c r="Z303" s="9" t="e">
        <f ca="1">VLOOKUP($N303,Likelihood!$A$3:$C$7,2,FALSE)+RANDBETWEEN(-20,20)/100</f>
        <v>#N/A</v>
      </c>
      <c r="AA303" s="9" t="e">
        <f ca="1">IF($Q303=AA$2,VLOOKUP($O303,Impact!$A$4:$B$8,2,FALSE)+RANDBETWEEN(-20,20)/100,NA())</f>
        <v>#N/A</v>
      </c>
      <c r="AB303" s="9" t="e">
        <f ca="1">IF($Q303=AB$2,VLOOKUP($O303,Impact!$A$4:$B$8,2,FALSE)+RANDBETWEEN(-20,20)/100,NA())</f>
        <v>#N/A</v>
      </c>
      <c r="AC303" s="9" t="e">
        <f ca="1">IF($Q303=AC$2,VLOOKUP($O303,Impact!$A$4:$B$8,2,FALSE)+RANDBETWEEN(-20,20)/100,NA())</f>
        <v>#N/A</v>
      </c>
    </row>
    <row r="304" spans="1:29" x14ac:dyDescent="0.25">
      <c r="A304" s="17">
        <v>302</v>
      </c>
      <c r="B304" s="3" t="str">
        <f t="shared" si="22"/>
        <v/>
      </c>
      <c r="H304" s="49" t="str">
        <f t="shared" si="21"/>
        <v>s. D.</v>
      </c>
      <c r="I304" s="48" t="str">
        <f t="shared" si="23"/>
        <v/>
      </c>
      <c r="J304" s="49" t="str">
        <f>I304&amp;IF(NOT(ISBLANK(E304)),CHAR(10)&amp;VLOOKUP(E304,AttackRiskStep!$A$3:$C$99,3,FALSE),"see Description")&amp;IF(NOT(ISBLANK(F304))," -&gt; "&amp;CHAR(10)&amp;VLOOKUP(F304,AttackRiskStep!$A$3:$C$99,3,FALSE),"")&amp;IF(NOT(ISBLANK(G304))," -&gt; "&amp;CHAR(10)&amp;VLOOKUP(G304,AttackRiskStep!$A$3:$C$99,3,FALSE),"")</f>
        <v>see Description</v>
      </c>
      <c r="P304" s="38" t="e">
        <f>VLOOKUP($N304,Likelihood!$A$3:$B$7,2,FALSE)*VLOOKUP($O304,Impact!$A$4:$B$8,2,FALSE)</f>
        <v>#N/A</v>
      </c>
      <c r="Q304" s="39" t="e">
        <f>VLOOKUP(P304,RPN!$B$6:$C$22,2)</f>
        <v>#N/A</v>
      </c>
      <c r="Z304" s="9" t="e">
        <f ca="1">VLOOKUP($N304,Likelihood!$A$3:$C$7,2,FALSE)+RANDBETWEEN(-20,20)/100</f>
        <v>#N/A</v>
      </c>
      <c r="AA304" s="9" t="e">
        <f ca="1">IF($Q304=AA$2,VLOOKUP($O304,Impact!$A$4:$B$8,2,FALSE)+RANDBETWEEN(-20,20)/100,NA())</f>
        <v>#N/A</v>
      </c>
      <c r="AB304" s="9" t="e">
        <f ca="1">IF($Q304=AB$2,VLOOKUP($O304,Impact!$A$4:$B$8,2,FALSE)+RANDBETWEEN(-20,20)/100,NA())</f>
        <v>#N/A</v>
      </c>
      <c r="AC304" s="9" t="e">
        <f ca="1">IF($Q304=AC$2,VLOOKUP($O304,Impact!$A$4:$B$8,2,FALSE)+RANDBETWEEN(-20,20)/100,NA())</f>
        <v>#N/A</v>
      </c>
    </row>
    <row r="305" spans="1:29" x14ac:dyDescent="0.25">
      <c r="A305" s="17">
        <v>303</v>
      </c>
      <c r="B305" s="3" t="str">
        <f t="shared" si="22"/>
        <v/>
      </c>
      <c r="H305" s="49" t="str">
        <f t="shared" si="21"/>
        <v>s. D.</v>
      </c>
      <c r="I305" s="48" t="str">
        <f t="shared" si="23"/>
        <v/>
      </c>
      <c r="J305" s="49" t="str">
        <f>I305&amp;IF(NOT(ISBLANK(E305)),CHAR(10)&amp;VLOOKUP(E305,AttackRiskStep!$A$3:$C$99,3,FALSE),"see Description")&amp;IF(NOT(ISBLANK(F305))," -&gt; "&amp;CHAR(10)&amp;VLOOKUP(F305,AttackRiskStep!$A$3:$C$99,3,FALSE),"")&amp;IF(NOT(ISBLANK(G305))," -&gt; "&amp;CHAR(10)&amp;VLOOKUP(G305,AttackRiskStep!$A$3:$C$99,3,FALSE),"")</f>
        <v>see Description</v>
      </c>
      <c r="P305" s="38" t="e">
        <f>VLOOKUP($N305,Likelihood!$A$3:$B$7,2,FALSE)*VLOOKUP($O305,Impact!$A$4:$B$8,2,FALSE)</f>
        <v>#N/A</v>
      </c>
      <c r="Q305" s="39" t="e">
        <f>VLOOKUP(P305,RPN!$B$6:$C$22,2)</f>
        <v>#N/A</v>
      </c>
      <c r="Z305" s="9" t="e">
        <f ca="1">VLOOKUP($N305,Likelihood!$A$3:$C$7,2,FALSE)+RANDBETWEEN(-20,20)/100</f>
        <v>#N/A</v>
      </c>
      <c r="AA305" s="9" t="e">
        <f ca="1">IF($Q305=AA$2,VLOOKUP($O305,Impact!$A$4:$B$8,2,FALSE)+RANDBETWEEN(-20,20)/100,NA())</f>
        <v>#N/A</v>
      </c>
      <c r="AB305" s="9" t="e">
        <f ca="1">IF($Q305=AB$2,VLOOKUP($O305,Impact!$A$4:$B$8,2,FALSE)+RANDBETWEEN(-20,20)/100,NA())</f>
        <v>#N/A</v>
      </c>
      <c r="AC305" s="9" t="e">
        <f ca="1">IF($Q305=AC$2,VLOOKUP($O305,Impact!$A$4:$B$8,2,FALSE)+RANDBETWEEN(-20,20)/100,NA())</f>
        <v>#N/A</v>
      </c>
    </row>
    <row r="306" spans="1:29" x14ac:dyDescent="0.25">
      <c r="A306" s="17">
        <v>304</v>
      </c>
      <c r="B306" s="3" t="str">
        <f t="shared" si="22"/>
        <v/>
      </c>
      <c r="H306" s="49" t="str">
        <f t="shared" si="21"/>
        <v>s. D.</v>
      </c>
      <c r="I306" s="48" t="str">
        <f t="shared" si="23"/>
        <v/>
      </c>
      <c r="J306" s="49" t="str">
        <f>I306&amp;IF(NOT(ISBLANK(E306)),CHAR(10)&amp;VLOOKUP(E306,AttackRiskStep!$A$3:$C$99,3,FALSE),"see Description")&amp;IF(NOT(ISBLANK(F306))," -&gt; "&amp;CHAR(10)&amp;VLOOKUP(F306,AttackRiskStep!$A$3:$C$99,3,FALSE),"")&amp;IF(NOT(ISBLANK(G306))," -&gt; "&amp;CHAR(10)&amp;VLOOKUP(G306,AttackRiskStep!$A$3:$C$99,3,FALSE),"")</f>
        <v>see Description</v>
      </c>
      <c r="P306" s="38" t="e">
        <f>VLOOKUP($N306,Likelihood!$A$3:$B$7,2,FALSE)*VLOOKUP($O306,Impact!$A$4:$B$8,2,FALSE)</f>
        <v>#N/A</v>
      </c>
      <c r="Q306" s="39" t="e">
        <f>VLOOKUP(P306,RPN!$B$6:$C$22,2)</f>
        <v>#N/A</v>
      </c>
      <c r="Z306" s="9" t="e">
        <f ca="1">VLOOKUP($N306,Likelihood!$A$3:$C$7,2,FALSE)+RANDBETWEEN(-20,20)/100</f>
        <v>#N/A</v>
      </c>
      <c r="AA306" s="9" t="e">
        <f ca="1">IF($Q306=AA$2,VLOOKUP($O306,Impact!$A$4:$B$8,2,FALSE)+RANDBETWEEN(-20,20)/100,NA())</f>
        <v>#N/A</v>
      </c>
      <c r="AB306" s="9" t="e">
        <f ca="1">IF($Q306=AB$2,VLOOKUP($O306,Impact!$A$4:$B$8,2,FALSE)+RANDBETWEEN(-20,20)/100,NA())</f>
        <v>#N/A</v>
      </c>
      <c r="AC306" s="9" t="e">
        <f ca="1">IF($Q306=AC$2,VLOOKUP($O306,Impact!$A$4:$B$8,2,FALSE)+RANDBETWEEN(-20,20)/100,NA())</f>
        <v>#N/A</v>
      </c>
    </row>
    <row r="307" spans="1:29" x14ac:dyDescent="0.25">
      <c r="A307" s="17">
        <v>305</v>
      </c>
      <c r="B307" s="3" t="str">
        <f t="shared" si="22"/>
        <v/>
      </c>
      <c r="H307" s="49" t="str">
        <f t="shared" si="21"/>
        <v>s. D.</v>
      </c>
      <c r="I307" s="48" t="str">
        <f t="shared" si="23"/>
        <v/>
      </c>
      <c r="J307" s="49" t="str">
        <f>I307&amp;IF(NOT(ISBLANK(E307)),CHAR(10)&amp;VLOOKUP(E307,AttackRiskStep!$A$3:$C$99,3,FALSE),"see Description")&amp;IF(NOT(ISBLANK(F307))," -&gt; "&amp;CHAR(10)&amp;VLOOKUP(F307,AttackRiskStep!$A$3:$C$99,3,FALSE),"")&amp;IF(NOT(ISBLANK(G307))," -&gt; "&amp;CHAR(10)&amp;VLOOKUP(G307,AttackRiskStep!$A$3:$C$99,3,FALSE),"")</f>
        <v>see Description</v>
      </c>
      <c r="P307" s="38" t="e">
        <f>VLOOKUP($N307,Likelihood!$A$3:$B$7,2,FALSE)*VLOOKUP($O307,Impact!$A$4:$B$8,2,FALSE)</f>
        <v>#N/A</v>
      </c>
      <c r="Q307" s="39" t="e">
        <f>VLOOKUP(P307,RPN!$B$6:$C$22,2)</f>
        <v>#N/A</v>
      </c>
      <c r="Z307" s="9" t="e">
        <f ca="1">VLOOKUP($N307,Likelihood!$A$3:$C$7,2,FALSE)+RANDBETWEEN(-20,20)/100</f>
        <v>#N/A</v>
      </c>
      <c r="AA307" s="9" t="e">
        <f ca="1">IF($Q307=AA$2,VLOOKUP($O307,Impact!$A$4:$B$8,2,FALSE)+RANDBETWEEN(-20,20)/100,NA())</f>
        <v>#N/A</v>
      </c>
      <c r="AB307" s="9" t="e">
        <f ca="1">IF($Q307=AB$2,VLOOKUP($O307,Impact!$A$4:$B$8,2,FALSE)+RANDBETWEEN(-20,20)/100,NA())</f>
        <v>#N/A</v>
      </c>
      <c r="AC307" s="9" t="e">
        <f ca="1">IF($Q307=AC$2,VLOOKUP($O307,Impact!$A$4:$B$8,2,FALSE)+RANDBETWEEN(-20,20)/100,NA())</f>
        <v>#N/A</v>
      </c>
    </row>
    <row r="308" spans="1:29" x14ac:dyDescent="0.25">
      <c r="A308" s="17">
        <v>306</v>
      </c>
      <c r="B308" s="3" t="str">
        <f t="shared" si="22"/>
        <v/>
      </c>
      <c r="H308" s="49" t="str">
        <f t="shared" si="21"/>
        <v>s. D.</v>
      </c>
      <c r="I308" s="48" t="str">
        <f t="shared" si="23"/>
        <v/>
      </c>
      <c r="J308" s="49" t="str">
        <f>I308&amp;IF(NOT(ISBLANK(E308)),CHAR(10)&amp;VLOOKUP(E308,AttackRiskStep!$A$3:$C$99,3,FALSE),"see Description")&amp;IF(NOT(ISBLANK(F308))," -&gt; "&amp;CHAR(10)&amp;VLOOKUP(F308,AttackRiskStep!$A$3:$C$99,3,FALSE),"")&amp;IF(NOT(ISBLANK(G308))," -&gt; "&amp;CHAR(10)&amp;VLOOKUP(G308,AttackRiskStep!$A$3:$C$99,3,FALSE),"")</f>
        <v>see Description</v>
      </c>
      <c r="P308" s="38" t="e">
        <f>VLOOKUP($N308,Likelihood!$A$3:$B$7,2,FALSE)*VLOOKUP($O308,Impact!$A$4:$B$8,2,FALSE)</f>
        <v>#N/A</v>
      </c>
      <c r="Q308" s="39" t="e">
        <f>VLOOKUP(P308,RPN!$B$6:$C$22,2)</f>
        <v>#N/A</v>
      </c>
      <c r="Z308" s="9" t="e">
        <f ca="1">VLOOKUP($N308,Likelihood!$A$3:$C$7,2,FALSE)+RANDBETWEEN(-20,20)/100</f>
        <v>#N/A</v>
      </c>
      <c r="AA308" s="9" t="e">
        <f ca="1">IF($Q308=AA$2,VLOOKUP($O308,Impact!$A$4:$B$8,2,FALSE)+RANDBETWEEN(-20,20)/100,NA())</f>
        <v>#N/A</v>
      </c>
      <c r="AB308" s="9" t="e">
        <f ca="1">IF($Q308=AB$2,VLOOKUP($O308,Impact!$A$4:$B$8,2,FALSE)+RANDBETWEEN(-20,20)/100,NA())</f>
        <v>#N/A</v>
      </c>
      <c r="AC308" s="9" t="e">
        <f ca="1">IF($Q308=AC$2,VLOOKUP($O308,Impact!$A$4:$B$8,2,FALSE)+RANDBETWEEN(-20,20)/100,NA())</f>
        <v>#N/A</v>
      </c>
    </row>
    <row r="309" spans="1:29" x14ac:dyDescent="0.25">
      <c r="A309" s="17">
        <v>307</v>
      </c>
      <c r="B309" s="3" t="str">
        <f t="shared" si="22"/>
        <v/>
      </c>
      <c r="H309" s="49" t="str">
        <f t="shared" si="21"/>
        <v>s. D.</v>
      </c>
      <c r="I309" s="48" t="str">
        <f t="shared" si="23"/>
        <v/>
      </c>
      <c r="J309" s="49" t="str">
        <f>I309&amp;IF(NOT(ISBLANK(E309)),CHAR(10)&amp;VLOOKUP(E309,AttackRiskStep!$A$3:$C$99,3,FALSE),"see Description")&amp;IF(NOT(ISBLANK(F309))," -&gt; "&amp;CHAR(10)&amp;VLOOKUP(F309,AttackRiskStep!$A$3:$C$99,3,FALSE),"")&amp;IF(NOT(ISBLANK(G309))," -&gt; "&amp;CHAR(10)&amp;VLOOKUP(G309,AttackRiskStep!$A$3:$C$99,3,FALSE),"")</f>
        <v>see Description</v>
      </c>
      <c r="P309" s="38" t="e">
        <f>VLOOKUP($N309,Likelihood!$A$3:$B$7,2,FALSE)*VLOOKUP($O309,Impact!$A$4:$B$8,2,FALSE)</f>
        <v>#N/A</v>
      </c>
      <c r="Q309" s="39" t="e">
        <f>VLOOKUP(P309,RPN!$B$6:$C$22,2)</f>
        <v>#N/A</v>
      </c>
      <c r="Z309" s="9" t="e">
        <f ca="1">VLOOKUP($N309,Likelihood!$A$3:$C$7,2,FALSE)+RANDBETWEEN(-20,20)/100</f>
        <v>#N/A</v>
      </c>
      <c r="AA309" s="9" t="e">
        <f ca="1">IF($Q309=AA$2,VLOOKUP($O309,Impact!$A$4:$B$8,2,FALSE)+RANDBETWEEN(-20,20)/100,NA())</f>
        <v>#N/A</v>
      </c>
      <c r="AB309" s="9" t="e">
        <f ca="1">IF($Q309=AB$2,VLOOKUP($O309,Impact!$A$4:$B$8,2,FALSE)+RANDBETWEEN(-20,20)/100,NA())</f>
        <v>#N/A</v>
      </c>
      <c r="AC309" s="9" t="e">
        <f ca="1">IF($Q309=AC$2,VLOOKUP($O309,Impact!$A$4:$B$8,2,FALSE)+RANDBETWEEN(-20,20)/100,NA())</f>
        <v>#N/A</v>
      </c>
    </row>
    <row r="310" spans="1:29" x14ac:dyDescent="0.25">
      <c r="A310" s="17">
        <v>308</v>
      </c>
      <c r="B310" s="3" t="str">
        <f t="shared" si="22"/>
        <v/>
      </c>
      <c r="H310" s="49" t="str">
        <f t="shared" si="21"/>
        <v>s. D.</v>
      </c>
      <c r="I310" s="48" t="str">
        <f t="shared" si="23"/>
        <v/>
      </c>
      <c r="J310" s="49" t="str">
        <f>I310&amp;IF(NOT(ISBLANK(E310)),CHAR(10)&amp;VLOOKUP(E310,AttackRiskStep!$A$3:$C$99,3,FALSE),"see Description")&amp;IF(NOT(ISBLANK(F310))," -&gt; "&amp;CHAR(10)&amp;VLOOKUP(F310,AttackRiskStep!$A$3:$C$99,3,FALSE),"")&amp;IF(NOT(ISBLANK(G310))," -&gt; "&amp;CHAR(10)&amp;VLOOKUP(G310,AttackRiskStep!$A$3:$C$99,3,FALSE),"")</f>
        <v>see Description</v>
      </c>
      <c r="P310" s="38" t="e">
        <f>VLOOKUP($N310,Likelihood!$A$3:$B$7,2,FALSE)*VLOOKUP($O310,Impact!$A$4:$B$8,2,FALSE)</f>
        <v>#N/A</v>
      </c>
      <c r="Q310" s="39" t="e">
        <f>VLOOKUP(P310,RPN!$B$6:$C$22,2)</f>
        <v>#N/A</v>
      </c>
      <c r="Z310" s="9" t="e">
        <f ca="1">VLOOKUP($N310,Likelihood!$A$3:$C$7,2,FALSE)+RANDBETWEEN(-20,20)/100</f>
        <v>#N/A</v>
      </c>
      <c r="AA310" s="9" t="e">
        <f ca="1">IF($Q310=AA$2,VLOOKUP($O310,Impact!$A$4:$B$8,2,FALSE)+RANDBETWEEN(-20,20)/100,NA())</f>
        <v>#N/A</v>
      </c>
      <c r="AB310" s="9" t="e">
        <f ca="1">IF($Q310=AB$2,VLOOKUP($O310,Impact!$A$4:$B$8,2,FALSE)+RANDBETWEEN(-20,20)/100,NA())</f>
        <v>#N/A</v>
      </c>
      <c r="AC310" s="9" t="e">
        <f ca="1">IF($Q310=AC$2,VLOOKUP($O310,Impact!$A$4:$B$8,2,FALSE)+RANDBETWEEN(-20,20)/100,NA())</f>
        <v>#N/A</v>
      </c>
    </row>
    <row r="311" spans="1:29" x14ac:dyDescent="0.25">
      <c r="A311" s="17">
        <v>309</v>
      </c>
      <c r="B311" s="3" t="str">
        <f t="shared" si="22"/>
        <v/>
      </c>
      <c r="H311" s="49" t="str">
        <f t="shared" si="21"/>
        <v>s. D.</v>
      </c>
      <c r="I311" s="48" t="str">
        <f t="shared" si="23"/>
        <v/>
      </c>
      <c r="J311" s="49" t="str">
        <f>I311&amp;IF(NOT(ISBLANK(E311)),CHAR(10)&amp;VLOOKUP(E311,AttackRiskStep!$A$3:$C$99,3,FALSE),"see Description")&amp;IF(NOT(ISBLANK(F311))," -&gt; "&amp;CHAR(10)&amp;VLOOKUP(F311,AttackRiskStep!$A$3:$C$99,3,FALSE),"")&amp;IF(NOT(ISBLANK(G311))," -&gt; "&amp;CHAR(10)&amp;VLOOKUP(G311,AttackRiskStep!$A$3:$C$99,3,FALSE),"")</f>
        <v>see Description</v>
      </c>
      <c r="P311" s="38" t="e">
        <f>VLOOKUP($N311,Likelihood!$A$3:$B$7,2,FALSE)*VLOOKUP($O311,Impact!$A$4:$B$8,2,FALSE)</f>
        <v>#N/A</v>
      </c>
      <c r="Q311" s="39" t="e">
        <f>VLOOKUP(P311,RPN!$B$6:$C$22,2)</f>
        <v>#N/A</v>
      </c>
      <c r="Z311" s="9" t="e">
        <f ca="1">VLOOKUP($N311,Likelihood!$A$3:$C$7,2,FALSE)+RANDBETWEEN(-20,20)/100</f>
        <v>#N/A</v>
      </c>
      <c r="AA311" s="9" t="e">
        <f ca="1">IF($Q311=AA$2,VLOOKUP($O311,Impact!$A$4:$B$8,2,FALSE)+RANDBETWEEN(-20,20)/100,NA())</f>
        <v>#N/A</v>
      </c>
      <c r="AB311" s="9" t="e">
        <f ca="1">IF($Q311=AB$2,VLOOKUP($O311,Impact!$A$4:$B$8,2,FALSE)+RANDBETWEEN(-20,20)/100,NA())</f>
        <v>#N/A</v>
      </c>
      <c r="AC311" s="9" t="e">
        <f ca="1">IF($Q311=AC$2,VLOOKUP($O311,Impact!$A$4:$B$8,2,FALSE)+RANDBETWEEN(-20,20)/100,NA())</f>
        <v>#N/A</v>
      </c>
    </row>
    <row r="312" spans="1:29" x14ac:dyDescent="0.25">
      <c r="A312" s="17">
        <v>310</v>
      </c>
      <c r="B312" s="3" t="str">
        <f t="shared" si="22"/>
        <v/>
      </c>
      <c r="H312" s="49" t="str">
        <f t="shared" si="21"/>
        <v>s. D.</v>
      </c>
      <c r="I312" s="48" t="str">
        <f t="shared" si="23"/>
        <v/>
      </c>
      <c r="J312" s="49" t="str">
        <f>I312&amp;IF(NOT(ISBLANK(E312)),CHAR(10)&amp;VLOOKUP(E312,AttackRiskStep!$A$3:$C$99,3,FALSE),"see Description")&amp;IF(NOT(ISBLANK(F312))," -&gt; "&amp;CHAR(10)&amp;VLOOKUP(F312,AttackRiskStep!$A$3:$C$99,3,FALSE),"")&amp;IF(NOT(ISBLANK(G312))," -&gt; "&amp;CHAR(10)&amp;VLOOKUP(G312,AttackRiskStep!$A$3:$C$99,3,FALSE),"")</f>
        <v>see Description</v>
      </c>
      <c r="P312" s="38" t="e">
        <f>VLOOKUP($N312,Likelihood!$A$3:$B$7,2,FALSE)*VLOOKUP($O312,Impact!$A$4:$B$8,2,FALSE)</f>
        <v>#N/A</v>
      </c>
      <c r="Q312" s="39" t="e">
        <f>VLOOKUP(P312,RPN!$B$6:$C$22,2)</f>
        <v>#N/A</v>
      </c>
      <c r="Z312" s="9" t="e">
        <f ca="1">VLOOKUP($N312,Likelihood!$A$3:$C$7,2,FALSE)+RANDBETWEEN(-20,20)/100</f>
        <v>#N/A</v>
      </c>
      <c r="AA312" s="9" t="e">
        <f ca="1">IF($Q312=AA$2,VLOOKUP($O312,Impact!$A$4:$B$8,2,FALSE)+RANDBETWEEN(-20,20)/100,NA())</f>
        <v>#N/A</v>
      </c>
      <c r="AB312" s="9" t="e">
        <f ca="1">IF($Q312=AB$2,VLOOKUP($O312,Impact!$A$4:$B$8,2,FALSE)+RANDBETWEEN(-20,20)/100,NA())</f>
        <v>#N/A</v>
      </c>
      <c r="AC312" s="9" t="e">
        <f ca="1">IF($Q312=AC$2,VLOOKUP($O312,Impact!$A$4:$B$8,2,FALSE)+RANDBETWEEN(-20,20)/100,NA())</f>
        <v>#N/A</v>
      </c>
    </row>
    <row r="313" spans="1:29" x14ac:dyDescent="0.25">
      <c r="A313" s="17">
        <v>311</v>
      </c>
      <c r="B313" s="3" t="str">
        <f t="shared" si="22"/>
        <v/>
      </c>
      <c r="H313" s="49" t="str">
        <f t="shared" si="21"/>
        <v>s. D.</v>
      </c>
      <c r="I313" s="48" t="str">
        <f t="shared" si="23"/>
        <v/>
      </c>
      <c r="J313" s="49" t="str">
        <f>I313&amp;IF(NOT(ISBLANK(E313)),CHAR(10)&amp;VLOOKUP(E313,AttackRiskStep!$A$3:$C$99,3,FALSE),"see Description")&amp;IF(NOT(ISBLANK(F313))," -&gt; "&amp;CHAR(10)&amp;VLOOKUP(F313,AttackRiskStep!$A$3:$C$99,3,FALSE),"")&amp;IF(NOT(ISBLANK(G313))," -&gt; "&amp;CHAR(10)&amp;VLOOKUP(G313,AttackRiskStep!$A$3:$C$99,3,FALSE),"")</f>
        <v>see Description</v>
      </c>
      <c r="P313" s="38" t="e">
        <f>VLOOKUP($N313,Likelihood!$A$3:$B$7,2,FALSE)*VLOOKUP($O313,Impact!$A$4:$B$8,2,FALSE)</f>
        <v>#N/A</v>
      </c>
      <c r="Q313" s="39" t="e">
        <f>VLOOKUP(P313,RPN!$B$6:$C$22,2)</f>
        <v>#N/A</v>
      </c>
      <c r="Z313" s="9" t="e">
        <f ca="1">VLOOKUP($N313,Likelihood!$A$3:$C$7,2,FALSE)+RANDBETWEEN(-20,20)/100</f>
        <v>#N/A</v>
      </c>
      <c r="AA313" s="9" t="e">
        <f ca="1">IF($Q313=AA$2,VLOOKUP($O313,Impact!$A$4:$B$8,2,FALSE)+RANDBETWEEN(-20,20)/100,NA())</f>
        <v>#N/A</v>
      </c>
      <c r="AB313" s="9" t="e">
        <f ca="1">IF($Q313=AB$2,VLOOKUP($O313,Impact!$A$4:$B$8,2,FALSE)+RANDBETWEEN(-20,20)/100,NA())</f>
        <v>#N/A</v>
      </c>
      <c r="AC313" s="9" t="e">
        <f ca="1">IF($Q313=AC$2,VLOOKUP($O313,Impact!$A$4:$B$8,2,FALSE)+RANDBETWEEN(-20,20)/100,NA())</f>
        <v>#N/A</v>
      </c>
    </row>
    <row r="314" spans="1:29" x14ac:dyDescent="0.25">
      <c r="A314" s="17">
        <v>312</v>
      </c>
      <c r="B314" s="3" t="str">
        <f t="shared" si="22"/>
        <v/>
      </c>
      <c r="H314" s="49" t="str">
        <f t="shared" si="21"/>
        <v>s. D.</v>
      </c>
      <c r="I314" s="48" t="str">
        <f t="shared" si="23"/>
        <v/>
      </c>
      <c r="J314" s="49" t="str">
        <f>I314&amp;IF(NOT(ISBLANK(E314)),CHAR(10)&amp;VLOOKUP(E314,AttackRiskStep!$A$3:$C$99,3,FALSE),"see Description")&amp;IF(NOT(ISBLANK(F314))," -&gt; "&amp;CHAR(10)&amp;VLOOKUP(F314,AttackRiskStep!$A$3:$C$99,3,FALSE),"")&amp;IF(NOT(ISBLANK(G314))," -&gt; "&amp;CHAR(10)&amp;VLOOKUP(G314,AttackRiskStep!$A$3:$C$99,3,FALSE),"")</f>
        <v>see Description</v>
      </c>
      <c r="P314" s="38" t="e">
        <f>VLOOKUP($N314,Likelihood!$A$3:$B$7,2,FALSE)*VLOOKUP($O314,Impact!$A$4:$B$8,2,FALSE)</f>
        <v>#N/A</v>
      </c>
      <c r="Q314" s="39" t="e">
        <f>VLOOKUP(P314,RPN!$B$6:$C$22,2)</f>
        <v>#N/A</v>
      </c>
      <c r="Z314" s="9" t="e">
        <f ca="1">VLOOKUP($N314,Likelihood!$A$3:$C$7,2,FALSE)+RANDBETWEEN(-20,20)/100</f>
        <v>#N/A</v>
      </c>
      <c r="AA314" s="9" t="e">
        <f ca="1">IF($Q314=AA$2,VLOOKUP($O314,Impact!$A$4:$B$8,2,FALSE)+RANDBETWEEN(-20,20)/100,NA())</f>
        <v>#N/A</v>
      </c>
      <c r="AB314" s="9" t="e">
        <f ca="1">IF($Q314=AB$2,VLOOKUP($O314,Impact!$A$4:$B$8,2,FALSE)+RANDBETWEEN(-20,20)/100,NA())</f>
        <v>#N/A</v>
      </c>
      <c r="AC314" s="9" t="e">
        <f ca="1">IF($Q314=AC$2,VLOOKUP($O314,Impact!$A$4:$B$8,2,FALSE)+RANDBETWEEN(-20,20)/100,NA())</f>
        <v>#N/A</v>
      </c>
    </row>
    <row r="315" spans="1:29" x14ac:dyDescent="0.25">
      <c r="A315" s="17">
        <v>313</v>
      </c>
      <c r="B315" s="3" t="str">
        <f t="shared" si="22"/>
        <v/>
      </c>
      <c r="H315" s="49" t="str">
        <f t="shared" si="21"/>
        <v>s. D.</v>
      </c>
      <c r="I315" s="48" t="str">
        <f t="shared" si="23"/>
        <v/>
      </c>
      <c r="J315" s="49" t="str">
        <f>I315&amp;IF(NOT(ISBLANK(E315)),CHAR(10)&amp;VLOOKUP(E315,AttackRiskStep!$A$3:$C$99,3,FALSE),"see Description")&amp;IF(NOT(ISBLANK(F315))," -&gt; "&amp;CHAR(10)&amp;VLOOKUP(F315,AttackRiskStep!$A$3:$C$99,3,FALSE),"")&amp;IF(NOT(ISBLANK(G315))," -&gt; "&amp;CHAR(10)&amp;VLOOKUP(G315,AttackRiskStep!$A$3:$C$99,3,FALSE),"")</f>
        <v>see Description</v>
      </c>
      <c r="P315" s="38" t="e">
        <f>VLOOKUP($N315,Likelihood!$A$3:$B$7,2,FALSE)*VLOOKUP($O315,Impact!$A$4:$B$8,2,FALSE)</f>
        <v>#N/A</v>
      </c>
      <c r="Q315" s="39" t="e">
        <f>VLOOKUP(P315,RPN!$B$6:$C$22,2)</f>
        <v>#N/A</v>
      </c>
      <c r="Z315" s="9" t="e">
        <f ca="1">VLOOKUP($N315,Likelihood!$A$3:$C$7,2,FALSE)+RANDBETWEEN(-20,20)/100</f>
        <v>#N/A</v>
      </c>
      <c r="AA315" s="9" t="e">
        <f ca="1">IF($Q315=AA$2,VLOOKUP($O315,Impact!$A$4:$B$8,2,FALSE)+RANDBETWEEN(-20,20)/100,NA())</f>
        <v>#N/A</v>
      </c>
      <c r="AB315" s="9" t="e">
        <f ca="1">IF($Q315=AB$2,VLOOKUP($O315,Impact!$A$4:$B$8,2,FALSE)+RANDBETWEEN(-20,20)/100,NA())</f>
        <v>#N/A</v>
      </c>
      <c r="AC315" s="9" t="e">
        <f ca="1">IF($Q315=AC$2,VLOOKUP($O315,Impact!$A$4:$B$8,2,FALSE)+RANDBETWEEN(-20,20)/100,NA())</f>
        <v>#N/A</v>
      </c>
    </row>
    <row r="316" spans="1:29" x14ac:dyDescent="0.25">
      <c r="A316" s="17">
        <v>314</v>
      </c>
      <c r="B316" s="3" t="str">
        <f t="shared" si="22"/>
        <v/>
      </c>
      <c r="H316" s="49" t="str">
        <f t="shared" si="21"/>
        <v>s. D.</v>
      </c>
      <c r="I316" s="48" t="str">
        <f t="shared" si="23"/>
        <v/>
      </c>
      <c r="J316" s="49" t="str">
        <f>I316&amp;IF(NOT(ISBLANK(E316)),CHAR(10)&amp;VLOOKUP(E316,AttackRiskStep!$A$3:$C$99,3,FALSE),"see Description")&amp;IF(NOT(ISBLANK(F316))," -&gt; "&amp;CHAR(10)&amp;VLOOKUP(F316,AttackRiskStep!$A$3:$C$99,3,FALSE),"")&amp;IF(NOT(ISBLANK(G316))," -&gt; "&amp;CHAR(10)&amp;VLOOKUP(G316,AttackRiskStep!$A$3:$C$99,3,FALSE),"")</f>
        <v>see Description</v>
      </c>
      <c r="P316" s="38" t="e">
        <f>VLOOKUP($N316,Likelihood!$A$3:$B$7,2,FALSE)*VLOOKUP($O316,Impact!$A$4:$B$8,2,FALSE)</f>
        <v>#N/A</v>
      </c>
      <c r="Q316" s="39" t="e">
        <f>VLOOKUP(P316,RPN!$B$6:$C$22,2)</f>
        <v>#N/A</v>
      </c>
      <c r="Z316" s="9" t="e">
        <f ca="1">VLOOKUP($N316,Likelihood!$A$3:$C$7,2,FALSE)+RANDBETWEEN(-20,20)/100</f>
        <v>#N/A</v>
      </c>
      <c r="AA316" s="9" t="e">
        <f ca="1">IF($Q316=AA$2,VLOOKUP($O316,Impact!$A$4:$B$8,2,FALSE)+RANDBETWEEN(-20,20)/100,NA())</f>
        <v>#N/A</v>
      </c>
      <c r="AB316" s="9" t="e">
        <f ca="1">IF($Q316=AB$2,VLOOKUP($O316,Impact!$A$4:$B$8,2,FALSE)+RANDBETWEEN(-20,20)/100,NA())</f>
        <v>#N/A</v>
      </c>
      <c r="AC316" s="9" t="e">
        <f ca="1">IF($Q316=AC$2,VLOOKUP($O316,Impact!$A$4:$B$8,2,FALSE)+RANDBETWEEN(-20,20)/100,NA())</f>
        <v>#N/A</v>
      </c>
    </row>
    <row r="317" spans="1:29" x14ac:dyDescent="0.25">
      <c r="A317" s="17">
        <v>315</v>
      </c>
      <c r="B317" s="3" t="str">
        <f t="shared" si="22"/>
        <v/>
      </c>
      <c r="H317" s="49" t="str">
        <f t="shared" si="21"/>
        <v>s. D.</v>
      </c>
      <c r="I317" s="48" t="str">
        <f t="shared" si="23"/>
        <v/>
      </c>
      <c r="J317" s="49" t="str">
        <f>I317&amp;IF(NOT(ISBLANK(E317)),CHAR(10)&amp;VLOOKUP(E317,AttackRiskStep!$A$3:$C$99,3,FALSE),"see Description")&amp;IF(NOT(ISBLANK(F317))," -&gt; "&amp;CHAR(10)&amp;VLOOKUP(F317,AttackRiskStep!$A$3:$C$99,3,FALSE),"")&amp;IF(NOT(ISBLANK(G317))," -&gt; "&amp;CHAR(10)&amp;VLOOKUP(G317,AttackRiskStep!$A$3:$C$99,3,FALSE),"")</f>
        <v>see Description</v>
      </c>
      <c r="P317" s="38" t="e">
        <f>VLOOKUP($N317,Likelihood!$A$3:$B$7,2,FALSE)*VLOOKUP($O317,Impact!$A$4:$B$8,2,FALSE)</f>
        <v>#N/A</v>
      </c>
      <c r="Q317" s="39" t="e">
        <f>VLOOKUP(P317,RPN!$B$6:$C$22,2)</f>
        <v>#N/A</v>
      </c>
      <c r="Z317" s="9" t="e">
        <f ca="1">VLOOKUP($N317,Likelihood!$A$3:$C$7,2,FALSE)+RANDBETWEEN(-20,20)/100</f>
        <v>#N/A</v>
      </c>
      <c r="AA317" s="9" t="e">
        <f ca="1">IF($Q317=AA$2,VLOOKUP($O317,Impact!$A$4:$B$8,2,FALSE)+RANDBETWEEN(-20,20)/100,NA())</f>
        <v>#N/A</v>
      </c>
      <c r="AB317" s="9" t="e">
        <f ca="1">IF($Q317=AB$2,VLOOKUP($O317,Impact!$A$4:$B$8,2,FALSE)+RANDBETWEEN(-20,20)/100,NA())</f>
        <v>#N/A</v>
      </c>
      <c r="AC317" s="9" t="e">
        <f ca="1">IF($Q317=AC$2,VLOOKUP($O317,Impact!$A$4:$B$8,2,FALSE)+RANDBETWEEN(-20,20)/100,NA())</f>
        <v>#N/A</v>
      </c>
    </row>
    <row r="318" spans="1:29" x14ac:dyDescent="0.25">
      <c r="A318" s="17">
        <v>316</v>
      </c>
      <c r="B318" s="3" t="str">
        <f t="shared" si="22"/>
        <v/>
      </c>
      <c r="H318" s="49" t="str">
        <f t="shared" si="21"/>
        <v>s. D.</v>
      </c>
      <c r="I318" s="48" t="str">
        <f t="shared" si="23"/>
        <v/>
      </c>
      <c r="J318" s="49" t="str">
        <f>I318&amp;IF(NOT(ISBLANK(E318)),CHAR(10)&amp;VLOOKUP(E318,AttackRiskStep!$A$3:$C$99,3,FALSE),"see Description")&amp;IF(NOT(ISBLANK(F318))," -&gt; "&amp;CHAR(10)&amp;VLOOKUP(F318,AttackRiskStep!$A$3:$C$99,3,FALSE),"")&amp;IF(NOT(ISBLANK(G318))," -&gt; "&amp;CHAR(10)&amp;VLOOKUP(G318,AttackRiskStep!$A$3:$C$99,3,FALSE),"")</f>
        <v>see Description</v>
      </c>
      <c r="P318" s="38" t="e">
        <f>VLOOKUP($N318,Likelihood!$A$3:$B$7,2,FALSE)*VLOOKUP($O318,Impact!$A$4:$B$8,2,FALSE)</f>
        <v>#N/A</v>
      </c>
      <c r="Q318" s="39" t="e">
        <f>VLOOKUP(P318,RPN!$B$6:$C$22,2)</f>
        <v>#N/A</v>
      </c>
      <c r="Z318" s="9" t="e">
        <f ca="1">VLOOKUP($N318,Likelihood!$A$3:$C$7,2,FALSE)+RANDBETWEEN(-20,20)/100</f>
        <v>#N/A</v>
      </c>
      <c r="AA318" s="9" t="e">
        <f ca="1">IF($Q318=AA$2,VLOOKUP($O318,Impact!$A$4:$B$8,2,FALSE)+RANDBETWEEN(-20,20)/100,NA())</f>
        <v>#N/A</v>
      </c>
      <c r="AB318" s="9" t="e">
        <f ca="1">IF($Q318=AB$2,VLOOKUP($O318,Impact!$A$4:$B$8,2,FALSE)+RANDBETWEEN(-20,20)/100,NA())</f>
        <v>#N/A</v>
      </c>
      <c r="AC318" s="9" t="e">
        <f ca="1">IF($Q318=AC$2,VLOOKUP($O318,Impact!$A$4:$B$8,2,FALSE)+RANDBETWEEN(-20,20)/100,NA())</f>
        <v>#N/A</v>
      </c>
    </row>
    <row r="319" spans="1:29" x14ac:dyDescent="0.25">
      <c r="A319" s="17">
        <v>317</v>
      </c>
      <c r="B319" s="3" t="str">
        <f t="shared" si="22"/>
        <v/>
      </c>
      <c r="H319" s="49" t="str">
        <f t="shared" si="21"/>
        <v>s. D.</v>
      </c>
      <c r="I319" s="48" t="str">
        <f t="shared" si="23"/>
        <v/>
      </c>
      <c r="J319" s="49" t="str">
        <f>I319&amp;IF(NOT(ISBLANK(E319)),CHAR(10)&amp;VLOOKUP(E319,AttackRiskStep!$A$3:$C$99,3,FALSE),"see Description")&amp;IF(NOT(ISBLANK(F319))," -&gt; "&amp;CHAR(10)&amp;VLOOKUP(F319,AttackRiskStep!$A$3:$C$99,3,FALSE),"")&amp;IF(NOT(ISBLANK(G319))," -&gt; "&amp;CHAR(10)&amp;VLOOKUP(G319,AttackRiskStep!$A$3:$C$99,3,FALSE),"")</f>
        <v>see Description</v>
      </c>
      <c r="P319" s="38" t="e">
        <f>VLOOKUP($N319,Likelihood!$A$3:$B$7,2,FALSE)*VLOOKUP($O319,Impact!$A$4:$B$8,2,FALSE)</f>
        <v>#N/A</v>
      </c>
      <c r="Q319" s="39" t="e">
        <f>VLOOKUP(P319,RPN!$B$6:$C$22,2)</f>
        <v>#N/A</v>
      </c>
      <c r="Z319" s="9" t="e">
        <f ca="1">VLOOKUP($N319,Likelihood!$A$3:$C$7,2,FALSE)+RANDBETWEEN(-20,20)/100</f>
        <v>#N/A</v>
      </c>
      <c r="AA319" s="9" t="e">
        <f ca="1">IF($Q319=AA$2,VLOOKUP($O319,Impact!$A$4:$B$8,2,FALSE)+RANDBETWEEN(-20,20)/100,NA())</f>
        <v>#N/A</v>
      </c>
      <c r="AB319" s="9" t="e">
        <f ca="1">IF($Q319=AB$2,VLOOKUP($O319,Impact!$A$4:$B$8,2,FALSE)+RANDBETWEEN(-20,20)/100,NA())</f>
        <v>#N/A</v>
      </c>
      <c r="AC319" s="9" t="e">
        <f ca="1">IF($Q319=AC$2,VLOOKUP($O319,Impact!$A$4:$B$8,2,FALSE)+RANDBETWEEN(-20,20)/100,NA())</f>
        <v>#N/A</v>
      </c>
    </row>
    <row r="320" spans="1:29" x14ac:dyDescent="0.25">
      <c r="A320" s="17">
        <v>318</v>
      </c>
      <c r="B320" s="3" t="str">
        <f t="shared" si="22"/>
        <v/>
      </c>
      <c r="H320" s="49" t="str">
        <f t="shared" si="21"/>
        <v>s. D.</v>
      </c>
      <c r="I320" s="48" t="str">
        <f t="shared" si="23"/>
        <v/>
      </c>
      <c r="J320" s="49" t="str">
        <f>I320&amp;IF(NOT(ISBLANK(E320)),CHAR(10)&amp;VLOOKUP(E320,AttackRiskStep!$A$3:$C$99,3,FALSE),"see Description")&amp;IF(NOT(ISBLANK(F320))," -&gt; "&amp;CHAR(10)&amp;VLOOKUP(F320,AttackRiskStep!$A$3:$C$99,3,FALSE),"")&amp;IF(NOT(ISBLANK(G320))," -&gt; "&amp;CHAR(10)&amp;VLOOKUP(G320,AttackRiskStep!$A$3:$C$99,3,FALSE),"")</f>
        <v>see Description</v>
      </c>
      <c r="P320" s="38" t="e">
        <f>VLOOKUP($N320,Likelihood!$A$3:$B$7,2,FALSE)*VLOOKUP($O320,Impact!$A$4:$B$8,2,FALSE)</f>
        <v>#N/A</v>
      </c>
      <c r="Q320" s="39" t="e">
        <f>VLOOKUP(P320,RPN!$B$6:$C$22,2)</f>
        <v>#N/A</v>
      </c>
      <c r="Z320" s="9" t="e">
        <f ca="1">VLOOKUP($N320,Likelihood!$A$3:$C$7,2,FALSE)+RANDBETWEEN(-20,20)/100</f>
        <v>#N/A</v>
      </c>
      <c r="AA320" s="9" t="e">
        <f ca="1">IF($Q320=AA$2,VLOOKUP($O320,Impact!$A$4:$B$8,2,FALSE)+RANDBETWEEN(-20,20)/100,NA())</f>
        <v>#N/A</v>
      </c>
      <c r="AB320" s="9" t="e">
        <f ca="1">IF($Q320=AB$2,VLOOKUP($O320,Impact!$A$4:$B$8,2,FALSE)+RANDBETWEEN(-20,20)/100,NA())</f>
        <v>#N/A</v>
      </c>
      <c r="AC320" s="9" t="e">
        <f ca="1">IF($Q320=AC$2,VLOOKUP($O320,Impact!$A$4:$B$8,2,FALSE)+RANDBETWEEN(-20,20)/100,NA())</f>
        <v>#N/A</v>
      </c>
    </row>
    <row r="321" spans="1:29" x14ac:dyDescent="0.25">
      <c r="A321" s="17">
        <v>319</v>
      </c>
      <c r="B321" s="3" t="str">
        <f t="shared" si="22"/>
        <v/>
      </c>
      <c r="H321" s="49" t="str">
        <f t="shared" ref="H321:H384" si="24">IF(ISBLANK(E321),"s. D.",IF(ISBLANK(F321),E321,IF(ISBLANK(G321),F321,G321)))</f>
        <v>s. D.</v>
      </c>
      <c r="I321" s="48" t="str">
        <f t="shared" si="23"/>
        <v/>
      </c>
      <c r="J321" s="49" t="str">
        <f>I321&amp;IF(NOT(ISBLANK(E321)),CHAR(10)&amp;VLOOKUP(E321,AttackRiskStep!$A$3:$C$99,3,FALSE),"see Description")&amp;IF(NOT(ISBLANK(F321))," -&gt; "&amp;CHAR(10)&amp;VLOOKUP(F321,AttackRiskStep!$A$3:$C$99,3,FALSE),"")&amp;IF(NOT(ISBLANK(G321))," -&gt; "&amp;CHAR(10)&amp;VLOOKUP(G321,AttackRiskStep!$A$3:$C$99,3,FALSE),"")</f>
        <v>see Description</v>
      </c>
      <c r="P321" s="38" t="e">
        <f>VLOOKUP($N321,Likelihood!$A$3:$B$7,2,FALSE)*VLOOKUP($O321,Impact!$A$4:$B$8,2,FALSE)</f>
        <v>#N/A</v>
      </c>
      <c r="Q321" s="39" t="e">
        <f>VLOOKUP(P321,RPN!$B$6:$C$22,2)</f>
        <v>#N/A</v>
      </c>
      <c r="Z321" s="9" t="e">
        <f ca="1">VLOOKUP($N321,Likelihood!$A$3:$C$7,2,FALSE)+RANDBETWEEN(-20,20)/100</f>
        <v>#N/A</v>
      </c>
      <c r="AA321" s="9" t="e">
        <f ca="1">IF($Q321=AA$2,VLOOKUP($O321,Impact!$A$4:$B$8,2,FALSE)+RANDBETWEEN(-20,20)/100,NA())</f>
        <v>#N/A</v>
      </c>
      <c r="AB321" s="9" t="e">
        <f ca="1">IF($Q321=AB$2,VLOOKUP($O321,Impact!$A$4:$B$8,2,FALSE)+RANDBETWEEN(-20,20)/100,NA())</f>
        <v>#N/A</v>
      </c>
      <c r="AC321" s="9" t="e">
        <f ca="1">IF($Q321=AC$2,VLOOKUP($O321,Impact!$A$4:$B$8,2,FALSE)+RANDBETWEEN(-20,20)/100,NA())</f>
        <v>#N/A</v>
      </c>
    </row>
    <row r="322" spans="1:29" x14ac:dyDescent="0.25">
      <c r="A322" s="17">
        <v>320</v>
      </c>
      <c r="B322" s="3" t="str">
        <f t="shared" si="22"/>
        <v/>
      </c>
      <c r="H322" s="49" t="str">
        <f t="shared" si="24"/>
        <v>s. D.</v>
      </c>
      <c r="I322" s="48" t="str">
        <f t="shared" si="23"/>
        <v/>
      </c>
      <c r="J322" s="49" t="str">
        <f>I322&amp;IF(NOT(ISBLANK(E322)),CHAR(10)&amp;VLOOKUP(E322,AttackRiskStep!$A$3:$C$99,3,FALSE),"see Description")&amp;IF(NOT(ISBLANK(F322))," -&gt; "&amp;CHAR(10)&amp;VLOOKUP(F322,AttackRiskStep!$A$3:$C$99,3,FALSE),"")&amp;IF(NOT(ISBLANK(G322))," -&gt; "&amp;CHAR(10)&amp;VLOOKUP(G322,AttackRiskStep!$A$3:$C$99,3,FALSE),"")</f>
        <v>see Description</v>
      </c>
      <c r="P322" s="38" t="e">
        <f>VLOOKUP($N322,Likelihood!$A$3:$B$7,2,FALSE)*VLOOKUP($O322,Impact!$A$4:$B$8,2,FALSE)</f>
        <v>#N/A</v>
      </c>
      <c r="Q322" s="39" t="e">
        <f>VLOOKUP(P322,RPN!$B$6:$C$22,2)</f>
        <v>#N/A</v>
      </c>
      <c r="Z322" s="9" t="e">
        <f ca="1">VLOOKUP($N322,Likelihood!$A$3:$C$7,2,FALSE)+RANDBETWEEN(-20,20)/100</f>
        <v>#N/A</v>
      </c>
      <c r="AA322" s="9" t="e">
        <f ca="1">IF($Q322=AA$2,VLOOKUP($O322,Impact!$A$4:$B$8,2,FALSE)+RANDBETWEEN(-20,20)/100,NA())</f>
        <v>#N/A</v>
      </c>
      <c r="AB322" s="9" t="e">
        <f ca="1">IF($Q322=AB$2,VLOOKUP($O322,Impact!$A$4:$B$8,2,FALSE)+RANDBETWEEN(-20,20)/100,NA())</f>
        <v>#N/A</v>
      </c>
      <c r="AC322" s="9" t="e">
        <f ca="1">IF($Q322=AC$2,VLOOKUP($O322,Impact!$A$4:$B$8,2,FALSE)+RANDBETWEEN(-20,20)/100,NA())</f>
        <v>#N/A</v>
      </c>
    </row>
    <row r="323" spans="1:29" x14ac:dyDescent="0.25">
      <c r="A323" s="17">
        <v>321</v>
      </c>
      <c r="B323" s="3" t="str">
        <f t="shared" ref="B323:B386" si="25">I323</f>
        <v/>
      </c>
      <c r="H323" s="49" t="str">
        <f t="shared" si="24"/>
        <v>s. D.</v>
      </c>
      <c r="I323" s="48" t="str">
        <f t="shared" ref="I323:I386" si="26">IF(NOT(ISBLANK(E323)),E323,"")&amp;IF(NOT(ISBLANK(F323))," -&gt; "&amp;F323,"")&amp;IF(NOT(ISBLANK(G323))," -&gt; "&amp;G323,"")</f>
        <v/>
      </c>
      <c r="J323" s="49" t="str">
        <f>I323&amp;IF(NOT(ISBLANK(E323)),CHAR(10)&amp;VLOOKUP(E323,AttackRiskStep!$A$3:$C$99,3,FALSE),"see Description")&amp;IF(NOT(ISBLANK(F323))," -&gt; "&amp;CHAR(10)&amp;VLOOKUP(F323,AttackRiskStep!$A$3:$C$99,3,FALSE),"")&amp;IF(NOT(ISBLANK(G323))," -&gt; "&amp;CHAR(10)&amp;VLOOKUP(G323,AttackRiskStep!$A$3:$C$99,3,FALSE),"")</f>
        <v>see Description</v>
      </c>
      <c r="P323" s="38" t="e">
        <f>VLOOKUP($N323,Likelihood!$A$3:$B$7,2,FALSE)*VLOOKUP($O323,Impact!$A$4:$B$8,2,FALSE)</f>
        <v>#N/A</v>
      </c>
      <c r="Q323" s="39" t="e">
        <f>VLOOKUP(P323,RPN!$B$6:$C$22,2)</f>
        <v>#N/A</v>
      </c>
      <c r="Z323" s="9" t="e">
        <f ca="1">VLOOKUP($N323,Likelihood!$A$3:$C$7,2,FALSE)+RANDBETWEEN(-20,20)/100</f>
        <v>#N/A</v>
      </c>
      <c r="AA323" s="9" t="e">
        <f ca="1">IF($Q323=AA$2,VLOOKUP($O323,Impact!$A$4:$B$8,2,FALSE)+RANDBETWEEN(-20,20)/100,NA())</f>
        <v>#N/A</v>
      </c>
      <c r="AB323" s="9" t="e">
        <f ca="1">IF($Q323=AB$2,VLOOKUP($O323,Impact!$A$4:$B$8,2,FALSE)+RANDBETWEEN(-20,20)/100,NA())</f>
        <v>#N/A</v>
      </c>
      <c r="AC323" s="9" t="e">
        <f ca="1">IF($Q323=AC$2,VLOOKUP($O323,Impact!$A$4:$B$8,2,FALSE)+RANDBETWEEN(-20,20)/100,NA())</f>
        <v>#N/A</v>
      </c>
    </row>
    <row r="324" spans="1:29" x14ac:dyDescent="0.25">
      <c r="A324" s="17">
        <v>322</v>
      </c>
      <c r="B324" s="3" t="str">
        <f t="shared" si="25"/>
        <v/>
      </c>
      <c r="H324" s="49" t="str">
        <f t="shared" si="24"/>
        <v>s. D.</v>
      </c>
      <c r="I324" s="48" t="str">
        <f t="shared" si="26"/>
        <v/>
      </c>
      <c r="J324" s="49" t="str">
        <f>I324&amp;IF(NOT(ISBLANK(E324)),CHAR(10)&amp;VLOOKUP(E324,AttackRiskStep!$A$3:$C$99,3,FALSE),"see Description")&amp;IF(NOT(ISBLANK(F324))," -&gt; "&amp;CHAR(10)&amp;VLOOKUP(F324,AttackRiskStep!$A$3:$C$99,3,FALSE),"")&amp;IF(NOT(ISBLANK(G324))," -&gt; "&amp;CHAR(10)&amp;VLOOKUP(G324,AttackRiskStep!$A$3:$C$99,3,FALSE),"")</f>
        <v>see Description</v>
      </c>
      <c r="P324" s="38" t="e">
        <f>VLOOKUP($N324,Likelihood!$A$3:$B$7,2,FALSE)*VLOOKUP($O324,Impact!$A$4:$B$8,2,FALSE)</f>
        <v>#N/A</v>
      </c>
      <c r="Q324" s="39" t="e">
        <f>VLOOKUP(P324,RPN!$B$6:$C$22,2)</f>
        <v>#N/A</v>
      </c>
      <c r="Z324" s="9" t="e">
        <f ca="1">VLOOKUP($N324,Likelihood!$A$3:$C$7,2,FALSE)+RANDBETWEEN(-20,20)/100</f>
        <v>#N/A</v>
      </c>
      <c r="AA324" s="9" t="e">
        <f ca="1">IF($Q324=AA$2,VLOOKUP($O324,Impact!$A$4:$B$8,2,FALSE)+RANDBETWEEN(-20,20)/100,NA())</f>
        <v>#N/A</v>
      </c>
      <c r="AB324" s="9" t="e">
        <f ca="1">IF($Q324=AB$2,VLOOKUP($O324,Impact!$A$4:$B$8,2,FALSE)+RANDBETWEEN(-20,20)/100,NA())</f>
        <v>#N/A</v>
      </c>
      <c r="AC324" s="9" t="e">
        <f ca="1">IF($Q324=AC$2,VLOOKUP($O324,Impact!$A$4:$B$8,2,FALSE)+RANDBETWEEN(-20,20)/100,NA())</f>
        <v>#N/A</v>
      </c>
    </row>
    <row r="325" spans="1:29" x14ac:dyDescent="0.25">
      <c r="A325" s="17">
        <v>323</v>
      </c>
      <c r="B325" s="3" t="str">
        <f t="shared" si="25"/>
        <v/>
      </c>
      <c r="H325" s="49" t="str">
        <f t="shared" si="24"/>
        <v>s. D.</v>
      </c>
      <c r="I325" s="48" t="str">
        <f t="shared" si="26"/>
        <v/>
      </c>
      <c r="J325" s="49" t="str">
        <f>I325&amp;IF(NOT(ISBLANK(E325)),CHAR(10)&amp;VLOOKUP(E325,AttackRiskStep!$A$3:$C$99,3,FALSE),"see Description")&amp;IF(NOT(ISBLANK(F325))," -&gt; "&amp;CHAR(10)&amp;VLOOKUP(F325,AttackRiskStep!$A$3:$C$99,3,FALSE),"")&amp;IF(NOT(ISBLANK(G325))," -&gt; "&amp;CHAR(10)&amp;VLOOKUP(G325,AttackRiskStep!$A$3:$C$99,3,FALSE),"")</f>
        <v>see Description</v>
      </c>
      <c r="P325" s="38" t="e">
        <f>VLOOKUP($N325,Likelihood!$A$3:$B$7,2,FALSE)*VLOOKUP($O325,Impact!$A$4:$B$8,2,FALSE)</f>
        <v>#N/A</v>
      </c>
      <c r="Q325" s="39" t="e">
        <f>VLOOKUP(P325,RPN!$B$6:$C$22,2)</f>
        <v>#N/A</v>
      </c>
      <c r="Z325" s="9" t="e">
        <f ca="1">VLOOKUP($N325,Likelihood!$A$3:$C$7,2,FALSE)+RANDBETWEEN(-20,20)/100</f>
        <v>#N/A</v>
      </c>
      <c r="AA325" s="9" t="e">
        <f ca="1">IF($Q325=AA$2,VLOOKUP($O325,Impact!$A$4:$B$8,2,FALSE)+RANDBETWEEN(-20,20)/100,NA())</f>
        <v>#N/A</v>
      </c>
      <c r="AB325" s="9" t="e">
        <f ca="1">IF($Q325=AB$2,VLOOKUP($O325,Impact!$A$4:$B$8,2,FALSE)+RANDBETWEEN(-20,20)/100,NA())</f>
        <v>#N/A</v>
      </c>
      <c r="AC325" s="9" t="e">
        <f ca="1">IF($Q325=AC$2,VLOOKUP($O325,Impact!$A$4:$B$8,2,FALSE)+RANDBETWEEN(-20,20)/100,NA())</f>
        <v>#N/A</v>
      </c>
    </row>
    <row r="326" spans="1:29" x14ac:dyDescent="0.25">
      <c r="A326" s="17">
        <v>324</v>
      </c>
      <c r="B326" s="3" t="str">
        <f t="shared" si="25"/>
        <v/>
      </c>
      <c r="H326" s="49" t="str">
        <f t="shared" si="24"/>
        <v>s. D.</v>
      </c>
      <c r="I326" s="48" t="str">
        <f t="shared" si="26"/>
        <v/>
      </c>
      <c r="J326" s="49" t="str">
        <f>I326&amp;IF(NOT(ISBLANK(E326)),CHAR(10)&amp;VLOOKUP(E326,AttackRiskStep!$A$3:$C$99,3,FALSE),"see Description")&amp;IF(NOT(ISBLANK(F326))," -&gt; "&amp;CHAR(10)&amp;VLOOKUP(F326,AttackRiskStep!$A$3:$C$99,3,FALSE),"")&amp;IF(NOT(ISBLANK(G326))," -&gt; "&amp;CHAR(10)&amp;VLOOKUP(G326,AttackRiskStep!$A$3:$C$99,3,FALSE),"")</f>
        <v>see Description</v>
      </c>
      <c r="P326" s="38" t="e">
        <f>VLOOKUP($N326,Likelihood!$A$3:$B$7,2,FALSE)*VLOOKUP($O326,Impact!$A$4:$B$8,2,FALSE)</f>
        <v>#N/A</v>
      </c>
      <c r="Q326" s="39" t="e">
        <f>VLOOKUP(P326,RPN!$B$6:$C$22,2)</f>
        <v>#N/A</v>
      </c>
      <c r="Z326" s="9" t="e">
        <f ca="1">VLOOKUP($N326,Likelihood!$A$3:$C$7,2,FALSE)+RANDBETWEEN(-20,20)/100</f>
        <v>#N/A</v>
      </c>
      <c r="AA326" s="9" t="e">
        <f ca="1">IF($Q326=AA$2,VLOOKUP($O326,Impact!$A$4:$B$8,2,FALSE)+RANDBETWEEN(-20,20)/100,NA())</f>
        <v>#N/A</v>
      </c>
      <c r="AB326" s="9" t="e">
        <f ca="1">IF($Q326=AB$2,VLOOKUP($O326,Impact!$A$4:$B$8,2,FALSE)+RANDBETWEEN(-20,20)/100,NA())</f>
        <v>#N/A</v>
      </c>
      <c r="AC326" s="9" t="e">
        <f ca="1">IF($Q326=AC$2,VLOOKUP($O326,Impact!$A$4:$B$8,2,FALSE)+RANDBETWEEN(-20,20)/100,NA())</f>
        <v>#N/A</v>
      </c>
    </row>
    <row r="327" spans="1:29" x14ac:dyDescent="0.25">
      <c r="A327" s="17">
        <v>325</v>
      </c>
      <c r="B327" s="3" t="str">
        <f t="shared" si="25"/>
        <v/>
      </c>
      <c r="H327" s="49" t="str">
        <f t="shared" si="24"/>
        <v>s. D.</v>
      </c>
      <c r="I327" s="48" t="str">
        <f t="shared" si="26"/>
        <v/>
      </c>
      <c r="J327" s="49" t="str">
        <f>I327&amp;IF(NOT(ISBLANK(E327)),CHAR(10)&amp;VLOOKUP(E327,AttackRiskStep!$A$3:$C$99,3,FALSE),"see Description")&amp;IF(NOT(ISBLANK(F327))," -&gt; "&amp;CHAR(10)&amp;VLOOKUP(F327,AttackRiskStep!$A$3:$C$99,3,FALSE),"")&amp;IF(NOT(ISBLANK(G327))," -&gt; "&amp;CHAR(10)&amp;VLOOKUP(G327,AttackRiskStep!$A$3:$C$99,3,FALSE),"")</f>
        <v>see Description</v>
      </c>
      <c r="P327" s="38" t="e">
        <f>VLOOKUP($N327,Likelihood!$A$3:$B$7,2,FALSE)*VLOOKUP($O327,Impact!$A$4:$B$8,2,FALSE)</f>
        <v>#N/A</v>
      </c>
      <c r="Q327" s="39" t="e">
        <f>VLOOKUP(P327,RPN!$B$6:$C$22,2)</f>
        <v>#N/A</v>
      </c>
      <c r="Z327" s="9" t="e">
        <f ca="1">VLOOKUP($N327,Likelihood!$A$3:$C$7,2,FALSE)+RANDBETWEEN(-20,20)/100</f>
        <v>#N/A</v>
      </c>
      <c r="AA327" s="9" t="e">
        <f ca="1">IF($Q327=AA$2,VLOOKUP($O327,Impact!$A$4:$B$8,2,FALSE)+RANDBETWEEN(-20,20)/100,NA())</f>
        <v>#N/A</v>
      </c>
      <c r="AB327" s="9" t="e">
        <f ca="1">IF($Q327=AB$2,VLOOKUP($O327,Impact!$A$4:$B$8,2,FALSE)+RANDBETWEEN(-20,20)/100,NA())</f>
        <v>#N/A</v>
      </c>
      <c r="AC327" s="9" t="e">
        <f ca="1">IF($Q327=AC$2,VLOOKUP($O327,Impact!$A$4:$B$8,2,FALSE)+RANDBETWEEN(-20,20)/100,NA())</f>
        <v>#N/A</v>
      </c>
    </row>
    <row r="328" spans="1:29" x14ac:dyDescent="0.25">
      <c r="A328" s="17">
        <v>326</v>
      </c>
      <c r="B328" s="3" t="str">
        <f t="shared" si="25"/>
        <v/>
      </c>
      <c r="H328" s="49" t="str">
        <f t="shared" si="24"/>
        <v>s. D.</v>
      </c>
      <c r="I328" s="48" t="str">
        <f t="shared" si="26"/>
        <v/>
      </c>
      <c r="J328" s="49" t="str">
        <f>I328&amp;IF(NOT(ISBLANK(E328)),CHAR(10)&amp;VLOOKUP(E328,AttackRiskStep!$A$3:$C$99,3,FALSE),"see Description")&amp;IF(NOT(ISBLANK(F328))," -&gt; "&amp;CHAR(10)&amp;VLOOKUP(F328,AttackRiskStep!$A$3:$C$99,3,FALSE),"")&amp;IF(NOT(ISBLANK(G328))," -&gt; "&amp;CHAR(10)&amp;VLOOKUP(G328,AttackRiskStep!$A$3:$C$99,3,FALSE),"")</f>
        <v>see Description</v>
      </c>
      <c r="P328" s="38" t="e">
        <f>VLOOKUP($N328,Likelihood!$A$3:$B$7,2,FALSE)*VLOOKUP($O328,Impact!$A$4:$B$8,2,FALSE)</f>
        <v>#N/A</v>
      </c>
      <c r="Q328" s="39" t="e">
        <f>VLOOKUP(P328,RPN!$B$6:$C$22,2)</f>
        <v>#N/A</v>
      </c>
      <c r="Z328" s="9" t="e">
        <f ca="1">VLOOKUP($N328,Likelihood!$A$3:$C$7,2,FALSE)+RANDBETWEEN(-20,20)/100</f>
        <v>#N/A</v>
      </c>
      <c r="AA328" s="9" t="e">
        <f ca="1">IF($Q328=AA$2,VLOOKUP($O328,Impact!$A$4:$B$8,2,FALSE)+RANDBETWEEN(-20,20)/100,NA())</f>
        <v>#N/A</v>
      </c>
      <c r="AB328" s="9" t="e">
        <f ca="1">IF($Q328=AB$2,VLOOKUP($O328,Impact!$A$4:$B$8,2,FALSE)+RANDBETWEEN(-20,20)/100,NA())</f>
        <v>#N/A</v>
      </c>
      <c r="AC328" s="9" t="e">
        <f ca="1">IF($Q328=AC$2,VLOOKUP($O328,Impact!$A$4:$B$8,2,FALSE)+RANDBETWEEN(-20,20)/100,NA())</f>
        <v>#N/A</v>
      </c>
    </row>
    <row r="329" spans="1:29" x14ac:dyDescent="0.25">
      <c r="A329" s="17">
        <v>327</v>
      </c>
      <c r="B329" s="3" t="str">
        <f t="shared" si="25"/>
        <v/>
      </c>
      <c r="H329" s="49" t="str">
        <f t="shared" si="24"/>
        <v>s. D.</v>
      </c>
      <c r="I329" s="48" t="str">
        <f t="shared" si="26"/>
        <v/>
      </c>
      <c r="J329" s="49" t="str">
        <f>I329&amp;IF(NOT(ISBLANK(E329)),CHAR(10)&amp;VLOOKUP(E329,AttackRiskStep!$A$3:$C$99,3,FALSE),"see Description")&amp;IF(NOT(ISBLANK(F329))," -&gt; "&amp;CHAR(10)&amp;VLOOKUP(F329,AttackRiskStep!$A$3:$C$99,3,FALSE),"")&amp;IF(NOT(ISBLANK(G329))," -&gt; "&amp;CHAR(10)&amp;VLOOKUP(G329,AttackRiskStep!$A$3:$C$99,3,FALSE),"")</f>
        <v>see Description</v>
      </c>
      <c r="P329" s="38" t="e">
        <f>VLOOKUP($N329,Likelihood!$A$3:$B$7,2,FALSE)*VLOOKUP($O329,Impact!$A$4:$B$8,2,FALSE)</f>
        <v>#N/A</v>
      </c>
      <c r="Q329" s="39" t="e">
        <f>VLOOKUP(P329,RPN!$B$6:$C$22,2)</f>
        <v>#N/A</v>
      </c>
      <c r="Z329" s="9" t="e">
        <f ca="1">VLOOKUP($N329,Likelihood!$A$3:$C$7,2,FALSE)+RANDBETWEEN(-20,20)/100</f>
        <v>#N/A</v>
      </c>
      <c r="AA329" s="9" t="e">
        <f ca="1">IF($Q329=AA$2,VLOOKUP($O329,Impact!$A$4:$B$8,2,FALSE)+RANDBETWEEN(-20,20)/100,NA())</f>
        <v>#N/A</v>
      </c>
      <c r="AB329" s="9" t="e">
        <f ca="1">IF($Q329=AB$2,VLOOKUP($O329,Impact!$A$4:$B$8,2,FALSE)+RANDBETWEEN(-20,20)/100,NA())</f>
        <v>#N/A</v>
      </c>
      <c r="AC329" s="9" t="e">
        <f ca="1">IF($Q329=AC$2,VLOOKUP($O329,Impact!$A$4:$B$8,2,FALSE)+RANDBETWEEN(-20,20)/100,NA())</f>
        <v>#N/A</v>
      </c>
    </row>
    <row r="330" spans="1:29" x14ac:dyDescent="0.25">
      <c r="A330" s="17">
        <v>328</v>
      </c>
      <c r="B330" s="3" t="str">
        <f t="shared" si="25"/>
        <v/>
      </c>
      <c r="H330" s="49" t="str">
        <f t="shared" si="24"/>
        <v>s. D.</v>
      </c>
      <c r="I330" s="48" t="str">
        <f t="shared" si="26"/>
        <v/>
      </c>
      <c r="J330" s="49" t="str">
        <f>I330&amp;IF(NOT(ISBLANK(E330)),CHAR(10)&amp;VLOOKUP(E330,AttackRiskStep!$A$3:$C$99,3,FALSE),"see Description")&amp;IF(NOT(ISBLANK(F330))," -&gt; "&amp;CHAR(10)&amp;VLOOKUP(F330,AttackRiskStep!$A$3:$C$99,3,FALSE),"")&amp;IF(NOT(ISBLANK(G330))," -&gt; "&amp;CHAR(10)&amp;VLOOKUP(G330,AttackRiskStep!$A$3:$C$99,3,FALSE),"")</f>
        <v>see Description</v>
      </c>
      <c r="P330" s="38" t="e">
        <f>VLOOKUP($N330,Likelihood!$A$3:$B$7,2,FALSE)*VLOOKUP($O330,Impact!$A$4:$B$8,2,FALSE)</f>
        <v>#N/A</v>
      </c>
      <c r="Q330" s="39" t="e">
        <f>VLOOKUP(P330,RPN!$B$6:$C$22,2)</f>
        <v>#N/A</v>
      </c>
      <c r="Z330" s="9" t="e">
        <f ca="1">VLOOKUP($N330,Likelihood!$A$3:$C$7,2,FALSE)+RANDBETWEEN(-20,20)/100</f>
        <v>#N/A</v>
      </c>
      <c r="AA330" s="9" t="e">
        <f ca="1">IF($Q330=AA$2,VLOOKUP($O330,Impact!$A$4:$B$8,2,FALSE)+RANDBETWEEN(-20,20)/100,NA())</f>
        <v>#N/A</v>
      </c>
      <c r="AB330" s="9" t="e">
        <f ca="1">IF($Q330=AB$2,VLOOKUP($O330,Impact!$A$4:$B$8,2,FALSE)+RANDBETWEEN(-20,20)/100,NA())</f>
        <v>#N/A</v>
      </c>
      <c r="AC330" s="9" t="e">
        <f ca="1">IF($Q330=AC$2,VLOOKUP($O330,Impact!$A$4:$B$8,2,FALSE)+RANDBETWEEN(-20,20)/100,NA())</f>
        <v>#N/A</v>
      </c>
    </row>
    <row r="331" spans="1:29" x14ac:dyDescent="0.25">
      <c r="A331" s="17">
        <v>329</v>
      </c>
      <c r="B331" s="3" t="str">
        <f t="shared" si="25"/>
        <v/>
      </c>
      <c r="H331" s="49" t="str">
        <f t="shared" si="24"/>
        <v>s. D.</v>
      </c>
      <c r="I331" s="48" t="str">
        <f t="shared" si="26"/>
        <v/>
      </c>
      <c r="J331" s="49" t="str">
        <f>I331&amp;IF(NOT(ISBLANK(E331)),CHAR(10)&amp;VLOOKUP(E331,AttackRiskStep!$A$3:$C$99,3,FALSE),"see Description")&amp;IF(NOT(ISBLANK(F331))," -&gt; "&amp;CHAR(10)&amp;VLOOKUP(F331,AttackRiskStep!$A$3:$C$99,3,FALSE),"")&amp;IF(NOT(ISBLANK(G331))," -&gt; "&amp;CHAR(10)&amp;VLOOKUP(G331,AttackRiskStep!$A$3:$C$99,3,FALSE),"")</f>
        <v>see Description</v>
      </c>
      <c r="P331" s="38" t="e">
        <f>VLOOKUP($N331,Likelihood!$A$3:$B$7,2,FALSE)*VLOOKUP($O331,Impact!$A$4:$B$8,2,FALSE)</f>
        <v>#N/A</v>
      </c>
      <c r="Q331" s="39" t="e">
        <f>VLOOKUP(P331,RPN!$B$6:$C$22,2)</f>
        <v>#N/A</v>
      </c>
      <c r="Z331" s="9" t="e">
        <f ca="1">VLOOKUP($N331,Likelihood!$A$3:$C$7,2,FALSE)+RANDBETWEEN(-20,20)/100</f>
        <v>#N/A</v>
      </c>
      <c r="AA331" s="9" t="e">
        <f ca="1">IF($Q331=AA$2,VLOOKUP($O331,Impact!$A$4:$B$8,2,FALSE)+RANDBETWEEN(-20,20)/100,NA())</f>
        <v>#N/A</v>
      </c>
      <c r="AB331" s="9" t="e">
        <f ca="1">IF($Q331=AB$2,VLOOKUP($O331,Impact!$A$4:$B$8,2,FALSE)+RANDBETWEEN(-20,20)/100,NA())</f>
        <v>#N/A</v>
      </c>
      <c r="AC331" s="9" t="e">
        <f ca="1">IF($Q331=AC$2,VLOOKUP($O331,Impact!$A$4:$B$8,2,FALSE)+RANDBETWEEN(-20,20)/100,NA())</f>
        <v>#N/A</v>
      </c>
    </row>
    <row r="332" spans="1:29" x14ac:dyDescent="0.25">
      <c r="A332" s="17">
        <v>330</v>
      </c>
      <c r="B332" s="3" t="str">
        <f t="shared" si="25"/>
        <v/>
      </c>
      <c r="H332" s="49" t="str">
        <f t="shared" si="24"/>
        <v>s. D.</v>
      </c>
      <c r="I332" s="48" t="str">
        <f t="shared" si="26"/>
        <v/>
      </c>
      <c r="J332" s="49" t="str">
        <f>I332&amp;IF(NOT(ISBLANK(E332)),CHAR(10)&amp;VLOOKUP(E332,AttackRiskStep!$A$3:$C$99,3,FALSE),"see Description")&amp;IF(NOT(ISBLANK(F332))," -&gt; "&amp;CHAR(10)&amp;VLOOKUP(F332,AttackRiskStep!$A$3:$C$99,3,FALSE),"")&amp;IF(NOT(ISBLANK(G332))," -&gt; "&amp;CHAR(10)&amp;VLOOKUP(G332,AttackRiskStep!$A$3:$C$99,3,FALSE),"")</f>
        <v>see Description</v>
      </c>
      <c r="P332" s="38" t="e">
        <f>VLOOKUP($N332,Likelihood!$A$3:$B$7,2,FALSE)*VLOOKUP($O332,Impact!$A$4:$B$8,2,FALSE)</f>
        <v>#N/A</v>
      </c>
      <c r="Q332" s="39" t="e">
        <f>VLOOKUP(P332,RPN!$B$6:$C$22,2)</f>
        <v>#N/A</v>
      </c>
      <c r="Z332" s="9" t="e">
        <f ca="1">VLOOKUP($N332,Likelihood!$A$3:$C$7,2,FALSE)+RANDBETWEEN(-20,20)/100</f>
        <v>#N/A</v>
      </c>
      <c r="AA332" s="9" t="e">
        <f ca="1">IF($Q332=AA$2,VLOOKUP($O332,Impact!$A$4:$B$8,2,FALSE)+RANDBETWEEN(-20,20)/100,NA())</f>
        <v>#N/A</v>
      </c>
      <c r="AB332" s="9" t="e">
        <f ca="1">IF($Q332=AB$2,VLOOKUP($O332,Impact!$A$4:$B$8,2,FALSE)+RANDBETWEEN(-20,20)/100,NA())</f>
        <v>#N/A</v>
      </c>
      <c r="AC332" s="9" t="e">
        <f ca="1">IF($Q332=AC$2,VLOOKUP($O332,Impact!$A$4:$B$8,2,FALSE)+RANDBETWEEN(-20,20)/100,NA())</f>
        <v>#N/A</v>
      </c>
    </row>
    <row r="333" spans="1:29" x14ac:dyDescent="0.25">
      <c r="A333" s="17">
        <v>331</v>
      </c>
      <c r="B333" s="3" t="str">
        <f t="shared" si="25"/>
        <v/>
      </c>
      <c r="H333" s="49" t="str">
        <f t="shared" si="24"/>
        <v>s. D.</v>
      </c>
      <c r="I333" s="48" t="str">
        <f t="shared" si="26"/>
        <v/>
      </c>
      <c r="J333" s="49" t="str">
        <f>I333&amp;IF(NOT(ISBLANK(E333)),CHAR(10)&amp;VLOOKUP(E333,AttackRiskStep!$A$3:$C$99,3,FALSE),"see Description")&amp;IF(NOT(ISBLANK(F333))," -&gt; "&amp;CHAR(10)&amp;VLOOKUP(F333,AttackRiskStep!$A$3:$C$99,3,FALSE),"")&amp;IF(NOT(ISBLANK(G333))," -&gt; "&amp;CHAR(10)&amp;VLOOKUP(G333,AttackRiskStep!$A$3:$C$99,3,FALSE),"")</f>
        <v>see Description</v>
      </c>
      <c r="P333" s="38" t="e">
        <f>VLOOKUP($N333,Likelihood!$A$3:$B$7,2,FALSE)*VLOOKUP($O333,Impact!$A$4:$B$8,2,FALSE)</f>
        <v>#N/A</v>
      </c>
      <c r="Q333" s="39" t="e">
        <f>VLOOKUP(P333,RPN!$B$6:$C$22,2)</f>
        <v>#N/A</v>
      </c>
      <c r="Z333" s="9" t="e">
        <f ca="1">VLOOKUP($N333,Likelihood!$A$3:$C$7,2,FALSE)+RANDBETWEEN(-20,20)/100</f>
        <v>#N/A</v>
      </c>
      <c r="AA333" s="9" t="e">
        <f ca="1">IF($Q333=AA$2,VLOOKUP($O333,Impact!$A$4:$B$8,2,FALSE)+RANDBETWEEN(-20,20)/100,NA())</f>
        <v>#N/A</v>
      </c>
      <c r="AB333" s="9" t="e">
        <f ca="1">IF($Q333=AB$2,VLOOKUP($O333,Impact!$A$4:$B$8,2,FALSE)+RANDBETWEEN(-20,20)/100,NA())</f>
        <v>#N/A</v>
      </c>
      <c r="AC333" s="9" t="e">
        <f ca="1">IF($Q333=AC$2,VLOOKUP($O333,Impact!$A$4:$B$8,2,FALSE)+RANDBETWEEN(-20,20)/100,NA())</f>
        <v>#N/A</v>
      </c>
    </row>
    <row r="334" spans="1:29" x14ac:dyDescent="0.25">
      <c r="A334" s="17">
        <v>332</v>
      </c>
      <c r="B334" s="3" t="str">
        <f t="shared" si="25"/>
        <v/>
      </c>
      <c r="H334" s="49" t="str">
        <f t="shared" si="24"/>
        <v>s. D.</v>
      </c>
      <c r="I334" s="48" t="str">
        <f t="shared" si="26"/>
        <v/>
      </c>
      <c r="J334" s="49" t="str">
        <f>I334&amp;IF(NOT(ISBLANK(E334)),CHAR(10)&amp;VLOOKUP(E334,AttackRiskStep!$A$3:$C$99,3,FALSE),"see Description")&amp;IF(NOT(ISBLANK(F334))," -&gt; "&amp;CHAR(10)&amp;VLOOKUP(F334,AttackRiskStep!$A$3:$C$99,3,FALSE),"")&amp;IF(NOT(ISBLANK(G334))," -&gt; "&amp;CHAR(10)&amp;VLOOKUP(G334,AttackRiskStep!$A$3:$C$99,3,FALSE),"")</f>
        <v>see Description</v>
      </c>
      <c r="P334" s="38" t="e">
        <f>VLOOKUP($N334,Likelihood!$A$3:$B$7,2,FALSE)*VLOOKUP($O334,Impact!$A$4:$B$8,2,FALSE)</f>
        <v>#N/A</v>
      </c>
      <c r="Q334" s="39" t="e">
        <f>VLOOKUP(P334,RPN!$B$6:$C$22,2)</f>
        <v>#N/A</v>
      </c>
      <c r="Z334" s="9" t="e">
        <f ca="1">VLOOKUP($N334,Likelihood!$A$3:$C$7,2,FALSE)+RANDBETWEEN(-20,20)/100</f>
        <v>#N/A</v>
      </c>
      <c r="AA334" s="9" t="e">
        <f ca="1">IF($Q334=AA$2,VLOOKUP($O334,Impact!$A$4:$B$8,2,FALSE)+RANDBETWEEN(-20,20)/100,NA())</f>
        <v>#N/A</v>
      </c>
      <c r="AB334" s="9" t="e">
        <f ca="1">IF($Q334=AB$2,VLOOKUP($O334,Impact!$A$4:$B$8,2,FALSE)+RANDBETWEEN(-20,20)/100,NA())</f>
        <v>#N/A</v>
      </c>
      <c r="AC334" s="9" t="e">
        <f ca="1">IF($Q334=AC$2,VLOOKUP($O334,Impact!$A$4:$B$8,2,FALSE)+RANDBETWEEN(-20,20)/100,NA())</f>
        <v>#N/A</v>
      </c>
    </row>
    <row r="335" spans="1:29" x14ac:dyDescent="0.25">
      <c r="A335" s="17">
        <v>333</v>
      </c>
      <c r="B335" s="3" t="str">
        <f t="shared" si="25"/>
        <v/>
      </c>
      <c r="H335" s="49" t="str">
        <f t="shared" si="24"/>
        <v>s. D.</v>
      </c>
      <c r="I335" s="48" t="str">
        <f t="shared" si="26"/>
        <v/>
      </c>
      <c r="J335" s="49" t="str">
        <f>I335&amp;IF(NOT(ISBLANK(E335)),CHAR(10)&amp;VLOOKUP(E335,AttackRiskStep!$A$3:$C$99,3,FALSE),"see Description")&amp;IF(NOT(ISBLANK(F335))," -&gt; "&amp;CHAR(10)&amp;VLOOKUP(F335,AttackRiskStep!$A$3:$C$99,3,FALSE),"")&amp;IF(NOT(ISBLANK(G335))," -&gt; "&amp;CHAR(10)&amp;VLOOKUP(G335,AttackRiskStep!$A$3:$C$99,3,FALSE),"")</f>
        <v>see Description</v>
      </c>
      <c r="P335" s="38" t="e">
        <f>VLOOKUP($N335,Likelihood!$A$3:$B$7,2,FALSE)*VLOOKUP($O335,Impact!$A$4:$B$8,2,FALSE)</f>
        <v>#N/A</v>
      </c>
      <c r="Q335" s="39" t="e">
        <f>VLOOKUP(P335,RPN!$B$6:$C$22,2)</f>
        <v>#N/A</v>
      </c>
      <c r="Z335" s="9" t="e">
        <f ca="1">VLOOKUP($N335,Likelihood!$A$3:$C$7,2,FALSE)+RANDBETWEEN(-20,20)/100</f>
        <v>#N/A</v>
      </c>
      <c r="AA335" s="9" t="e">
        <f ca="1">IF($Q335=AA$2,VLOOKUP($O335,Impact!$A$4:$B$8,2,FALSE)+RANDBETWEEN(-20,20)/100,NA())</f>
        <v>#N/A</v>
      </c>
      <c r="AB335" s="9" t="e">
        <f ca="1">IF($Q335=AB$2,VLOOKUP($O335,Impact!$A$4:$B$8,2,FALSE)+RANDBETWEEN(-20,20)/100,NA())</f>
        <v>#N/A</v>
      </c>
      <c r="AC335" s="9" t="e">
        <f ca="1">IF($Q335=AC$2,VLOOKUP($O335,Impact!$A$4:$B$8,2,FALSE)+RANDBETWEEN(-20,20)/100,NA())</f>
        <v>#N/A</v>
      </c>
    </row>
    <row r="336" spans="1:29" x14ac:dyDescent="0.25">
      <c r="A336" s="17">
        <v>334</v>
      </c>
      <c r="B336" s="3" t="str">
        <f t="shared" si="25"/>
        <v/>
      </c>
      <c r="H336" s="49" t="str">
        <f t="shared" si="24"/>
        <v>s. D.</v>
      </c>
      <c r="I336" s="48" t="str">
        <f t="shared" si="26"/>
        <v/>
      </c>
      <c r="J336" s="49" t="str">
        <f>I336&amp;IF(NOT(ISBLANK(E336)),CHAR(10)&amp;VLOOKUP(E336,AttackRiskStep!$A$3:$C$99,3,FALSE),"see Description")&amp;IF(NOT(ISBLANK(F336))," -&gt; "&amp;CHAR(10)&amp;VLOOKUP(F336,AttackRiskStep!$A$3:$C$99,3,FALSE),"")&amp;IF(NOT(ISBLANK(G336))," -&gt; "&amp;CHAR(10)&amp;VLOOKUP(G336,AttackRiskStep!$A$3:$C$99,3,FALSE),"")</f>
        <v>see Description</v>
      </c>
      <c r="P336" s="38" t="e">
        <f>VLOOKUP($N336,Likelihood!$A$3:$B$7,2,FALSE)*VLOOKUP($O336,Impact!$A$4:$B$8,2,FALSE)</f>
        <v>#N/A</v>
      </c>
      <c r="Q336" s="39" t="e">
        <f>VLOOKUP(P336,RPN!$B$6:$C$22,2)</f>
        <v>#N/A</v>
      </c>
      <c r="Z336" s="9" t="e">
        <f ca="1">VLOOKUP($N336,Likelihood!$A$3:$C$7,2,FALSE)+RANDBETWEEN(-20,20)/100</f>
        <v>#N/A</v>
      </c>
      <c r="AA336" s="9" t="e">
        <f ca="1">IF($Q336=AA$2,VLOOKUP($O336,Impact!$A$4:$B$8,2,FALSE)+RANDBETWEEN(-20,20)/100,NA())</f>
        <v>#N/A</v>
      </c>
      <c r="AB336" s="9" t="e">
        <f ca="1">IF($Q336=AB$2,VLOOKUP($O336,Impact!$A$4:$B$8,2,FALSE)+RANDBETWEEN(-20,20)/100,NA())</f>
        <v>#N/A</v>
      </c>
      <c r="AC336" s="9" t="e">
        <f ca="1">IF($Q336=AC$2,VLOOKUP($O336,Impact!$A$4:$B$8,2,FALSE)+RANDBETWEEN(-20,20)/100,NA())</f>
        <v>#N/A</v>
      </c>
    </row>
    <row r="337" spans="1:29" x14ac:dyDescent="0.25">
      <c r="A337" s="17">
        <v>335</v>
      </c>
      <c r="B337" s="3" t="str">
        <f t="shared" si="25"/>
        <v/>
      </c>
      <c r="H337" s="49" t="str">
        <f t="shared" si="24"/>
        <v>s. D.</v>
      </c>
      <c r="I337" s="48" t="str">
        <f t="shared" si="26"/>
        <v/>
      </c>
      <c r="J337" s="49" t="str">
        <f>I337&amp;IF(NOT(ISBLANK(E337)),CHAR(10)&amp;VLOOKUP(E337,AttackRiskStep!$A$3:$C$99,3,FALSE),"see Description")&amp;IF(NOT(ISBLANK(F337))," -&gt; "&amp;CHAR(10)&amp;VLOOKUP(F337,AttackRiskStep!$A$3:$C$99,3,FALSE),"")&amp;IF(NOT(ISBLANK(G337))," -&gt; "&amp;CHAR(10)&amp;VLOOKUP(G337,AttackRiskStep!$A$3:$C$99,3,FALSE),"")</f>
        <v>see Description</v>
      </c>
      <c r="P337" s="38" t="e">
        <f>VLOOKUP($N337,Likelihood!$A$3:$B$7,2,FALSE)*VLOOKUP($O337,Impact!$A$4:$B$8,2,FALSE)</f>
        <v>#N/A</v>
      </c>
      <c r="Q337" s="39" t="e">
        <f>VLOOKUP(P337,RPN!$B$6:$C$22,2)</f>
        <v>#N/A</v>
      </c>
      <c r="Z337" s="9" t="e">
        <f ca="1">VLOOKUP($N337,Likelihood!$A$3:$C$7,2,FALSE)+RANDBETWEEN(-20,20)/100</f>
        <v>#N/A</v>
      </c>
      <c r="AA337" s="9" t="e">
        <f ca="1">IF($Q337=AA$2,VLOOKUP($O337,Impact!$A$4:$B$8,2,FALSE)+RANDBETWEEN(-20,20)/100,NA())</f>
        <v>#N/A</v>
      </c>
      <c r="AB337" s="9" t="e">
        <f ca="1">IF($Q337=AB$2,VLOOKUP($O337,Impact!$A$4:$B$8,2,FALSE)+RANDBETWEEN(-20,20)/100,NA())</f>
        <v>#N/A</v>
      </c>
      <c r="AC337" s="9" t="e">
        <f ca="1">IF($Q337=AC$2,VLOOKUP($O337,Impact!$A$4:$B$8,2,FALSE)+RANDBETWEEN(-20,20)/100,NA())</f>
        <v>#N/A</v>
      </c>
    </row>
    <row r="338" spans="1:29" x14ac:dyDescent="0.25">
      <c r="A338" s="17">
        <v>336</v>
      </c>
      <c r="B338" s="3" t="str">
        <f t="shared" si="25"/>
        <v/>
      </c>
      <c r="H338" s="49" t="str">
        <f t="shared" si="24"/>
        <v>s. D.</v>
      </c>
      <c r="I338" s="48" t="str">
        <f t="shared" si="26"/>
        <v/>
      </c>
      <c r="J338" s="49" t="str">
        <f>I338&amp;IF(NOT(ISBLANK(E338)),CHAR(10)&amp;VLOOKUP(E338,AttackRiskStep!$A$3:$C$99,3,FALSE),"see Description")&amp;IF(NOT(ISBLANK(F338))," -&gt; "&amp;CHAR(10)&amp;VLOOKUP(F338,AttackRiskStep!$A$3:$C$99,3,FALSE),"")&amp;IF(NOT(ISBLANK(G338))," -&gt; "&amp;CHAR(10)&amp;VLOOKUP(G338,AttackRiskStep!$A$3:$C$99,3,FALSE),"")</f>
        <v>see Description</v>
      </c>
      <c r="P338" s="38" t="e">
        <f>VLOOKUP($N338,Likelihood!$A$3:$B$7,2,FALSE)*VLOOKUP($O338,Impact!$A$4:$B$8,2,FALSE)</f>
        <v>#N/A</v>
      </c>
      <c r="Q338" s="39" t="e">
        <f>VLOOKUP(P338,RPN!$B$6:$C$22,2)</f>
        <v>#N/A</v>
      </c>
      <c r="Z338" s="9" t="e">
        <f ca="1">VLOOKUP($N338,Likelihood!$A$3:$C$7,2,FALSE)+RANDBETWEEN(-20,20)/100</f>
        <v>#N/A</v>
      </c>
      <c r="AA338" s="9" t="e">
        <f ca="1">IF($Q338=AA$2,VLOOKUP($O338,Impact!$A$4:$B$8,2,FALSE)+RANDBETWEEN(-20,20)/100,NA())</f>
        <v>#N/A</v>
      </c>
      <c r="AB338" s="9" t="e">
        <f ca="1">IF($Q338=AB$2,VLOOKUP($O338,Impact!$A$4:$B$8,2,FALSE)+RANDBETWEEN(-20,20)/100,NA())</f>
        <v>#N/A</v>
      </c>
      <c r="AC338" s="9" t="e">
        <f ca="1">IF($Q338=AC$2,VLOOKUP($O338,Impact!$A$4:$B$8,2,FALSE)+RANDBETWEEN(-20,20)/100,NA())</f>
        <v>#N/A</v>
      </c>
    </row>
    <row r="339" spans="1:29" x14ac:dyDescent="0.25">
      <c r="A339" s="17">
        <v>337</v>
      </c>
      <c r="B339" s="3" t="str">
        <f t="shared" si="25"/>
        <v/>
      </c>
      <c r="H339" s="49" t="str">
        <f t="shared" si="24"/>
        <v>s. D.</v>
      </c>
      <c r="I339" s="48" t="str">
        <f t="shared" si="26"/>
        <v/>
      </c>
      <c r="J339" s="49" t="str">
        <f>I339&amp;IF(NOT(ISBLANK(E339)),CHAR(10)&amp;VLOOKUP(E339,AttackRiskStep!$A$3:$C$99,3,FALSE),"see Description")&amp;IF(NOT(ISBLANK(F339))," -&gt; "&amp;CHAR(10)&amp;VLOOKUP(F339,AttackRiskStep!$A$3:$C$99,3,FALSE),"")&amp;IF(NOT(ISBLANK(G339))," -&gt; "&amp;CHAR(10)&amp;VLOOKUP(G339,AttackRiskStep!$A$3:$C$99,3,FALSE),"")</f>
        <v>see Description</v>
      </c>
      <c r="P339" s="38" t="e">
        <f>VLOOKUP($N339,Likelihood!$A$3:$B$7,2,FALSE)*VLOOKUP($O339,Impact!$A$4:$B$8,2,FALSE)</f>
        <v>#N/A</v>
      </c>
      <c r="Q339" s="39" t="e">
        <f>VLOOKUP(P339,RPN!$B$6:$C$22,2)</f>
        <v>#N/A</v>
      </c>
      <c r="Z339" s="9" t="e">
        <f ca="1">VLOOKUP($N339,Likelihood!$A$3:$C$7,2,FALSE)+RANDBETWEEN(-20,20)/100</f>
        <v>#N/A</v>
      </c>
      <c r="AA339" s="9" t="e">
        <f ca="1">IF($Q339=AA$2,VLOOKUP($O339,Impact!$A$4:$B$8,2,FALSE)+RANDBETWEEN(-20,20)/100,NA())</f>
        <v>#N/A</v>
      </c>
      <c r="AB339" s="9" t="e">
        <f ca="1">IF($Q339=AB$2,VLOOKUP($O339,Impact!$A$4:$B$8,2,FALSE)+RANDBETWEEN(-20,20)/100,NA())</f>
        <v>#N/A</v>
      </c>
      <c r="AC339" s="9" t="e">
        <f ca="1">IF($Q339=AC$2,VLOOKUP($O339,Impact!$A$4:$B$8,2,FALSE)+RANDBETWEEN(-20,20)/100,NA())</f>
        <v>#N/A</v>
      </c>
    </row>
    <row r="340" spans="1:29" x14ac:dyDescent="0.25">
      <c r="A340" s="17">
        <v>338</v>
      </c>
      <c r="B340" s="3" t="str">
        <f t="shared" si="25"/>
        <v/>
      </c>
      <c r="H340" s="49" t="str">
        <f t="shared" si="24"/>
        <v>s. D.</v>
      </c>
      <c r="I340" s="48" t="str">
        <f t="shared" si="26"/>
        <v/>
      </c>
      <c r="J340" s="49" t="str">
        <f>I340&amp;IF(NOT(ISBLANK(E340)),CHAR(10)&amp;VLOOKUP(E340,AttackRiskStep!$A$3:$C$99,3,FALSE),"see Description")&amp;IF(NOT(ISBLANK(F340))," -&gt; "&amp;CHAR(10)&amp;VLOOKUP(F340,AttackRiskStep!$A$3:$C$99,3,FALSE),"")&amp;IF(NOT(ISBLANK(G340))," -&gt; "&amp;CHAR(10)&amp;VLOOKUP(G340,AttackRiskStep!$A$3:$C$99,3,FALSE),"")</f>
        <v>see Description</v>
      </c>
      <c r="P340" s="38" t="e">
        <f>VLOOKUP($N340,Likelihood!$A$3:$B$7,2,FALSE)*VLOOKUP($O340,Impact!$A$4:$B$8,2,FALSE)</f>
        <v>#N/A</v>
      </c>
      <c r="Q340" s="39" t="e">
        <f>VLOOKUP(P340,RPN!$B$6:$C$22,2)</f>
        <v>#N/A</v>
      </c>
      <c r="Z340" s="9" t="e">
        <f ca="1">VLOOKUP($N340,Likelihood!$A$3:$C$7,2,FALSE)+RANDBETWEEN(-20,20)/100</f>
        <v>#N/A</v>
      </c>
      <c r="AA340" s="9" t="e">
        <f ca="1">IF($Q340=AA$2,VLOOKUP($O340,Impact!$A$4:$B$8,2,FALSE)+RANDBETWEEN(-20,20)/100,NA())</f>
        <v>#N/A</v>
      </c>
      <c r="AB340" s="9" t="e">
        <f ca="1">IF($Q340=AB$2,VLOOKUP($O340,Impact!$A$4:$B$8,2,FALSE)+RANDBETWEEN(-20,20)/100,NA())</f>
        <v>#N/A</v>
      </c>
      <c r="AC340" s="9" t="e">
        <f ca="1">IF($Q340=AC$2,VLOOKUP($O340,Impact!$A$4:$B$8,2,FALSE)+RANDBETWEEN(-20,20)/100,NA())</f>
        <v>#N/A</v>
      </c>
    </row>
    <row r="341" spans="1:29" x14ac:dyDescent="0.25">
      <c r="A341" s="17">
        <v>339</v>
      </c>
      <c r="B341" s="3" t="str">
        <f t="shared" si="25"/>
        <v/>
      </c>
      <c r="H341" s="49" t="str">
        <f t="shared" si="24"/>
        <v>s. D.</v>
      </c>
      <c r="I341" s="48" t="str">
        <f t="shared" si="26"/>
        <v/>
      </c>
      <c r="J341" s="49" t="str">
        <f>I341&amp;IF(NOT(ISBLANK(E341)),CHAR(10)&amp;VLOOKUP(E341,AttackRiskStep!$A$3:$C$99,3,FALSE),"see Description")&amp;IF(NOT(ISBLANK(F341))," -&gt; "&amp;CHAR(10)&amp;VLOOKUP(F341,AttackRiskStep!$A$3:$C$99,3,FALSE),"")&amp;IF(NOT(ISBLANK(G341))," -&gt; "&amp;CHAR(10)&amp;VLOOKUP(G341,AttackRiskStep!$A$3:$C$99,3,FALSE),"")</f>
        <v>see Description</v>
      </c>
      <c r="P341" s="38" t="e">
        <f>VLOOKUP($N341,Likelihood!$A$3:$B$7,2,FALSE)*VLOOKUP($O341,Impact!$A$4:$B$8,2,FALSE)</f>
        <v>#N/A</v>
      </c>
      <c r="Q341" s="39" t="e">
        <f>VLOOKUP(P341,RPN!$B$6:$C$22,2)</f>
        <v>#N/A</v>
      </c>
      <c r="Z341" s="9" t="e">
        <f ca="1">VLOOKUP($N341,Likelihood!$A$3:$C$7,2,FALSE)+RANDBETWEEN(-20,20)/100</f>
        <v>#N/A</v>
      </c>
      <c r="AA341" s="9" t="e">
        <f ca="1">IF($Q341=AA$2,VLOOKUP($O341,Impact!$A$4:$B$8,2,FALSE)+RANDBETWEEN(-20,20)/100,NA())</f>
        <v>#N/A</v>
      </c>
      <c r="AB341" s="9" t="e">
        <f ca="1">IF($Q341=AB$2,VLOOKUP($O341,Impact!$A$4:$B$8,2,FALSE)+RANDBETWEEN(-20,20)/100,NA())</f>
        <v>#N/A</v>
      </c>
      <c r="AC341" s="9" t="e">
        <f ca="1">IF($Q341=AC$2,VLOOKUP($O341,Impact!$A$4:$B$8,2,FALSE)+RANDBETWEEN(-20,20)/100,NA())</f>
        <v>#N/A</v>
      </c>
    </row>
    <row r="342" spans="1:29" x14ac:dyDescent="0.25">
      <c r="A342" s="17">
        <v>340</v>
      </c>
      <c r="B342" s="3" t="str">
        <f t="shared" si="25"/>
        <v/>
      </c>
      <c r="H342" s="49" t="str">
        <f t="shared" si="24"/>
        <v>s. D.</v>
      </c>
      <c r="I342" s="48" t="str">
        <f t="shared" si="26"/>
        <v/>
      </c>
      <c r="J342" s="49" t="str">
        <f>I342&amp;IF(NOT(ISBLANK(E342)),CHAR(10)&amp;VLOOKUP(E342,AttackRiskStep!$A$3:$C$99,3,FALSE),"see Description")&amp;IF(NOT(ISBLANK(F342))," -&gt; "&amp;CHAR(10)&amp;VLOOKUP(F342,AttackRiskStep!$A$3:$C$99,3,FALSE),"")&amp;IF(NOT(ISBLANK(G342))," -&gt; "&amp;CHAR(10)&amp;VLOOKUP(G342,AttackRiskStep!$A$3:$C$99,3,FALSE),"")</f>
        <v>see Description</v>
      </c>
      <c r="P342" s="38" t="e">
        <f>VLOOKUP($N342,Likelihood!$A$3:$B$7,2,FALSE)*VLOOKUP($O342,Impact!$A$4:$B$8,2,FALSE)</f>
        <v>#N/A</v>
      </c>
      <c r="Q342" s="39" t="e">
        <f>VLOOKUP(P342,RPN!$B$6:$C$22,2)</f>
        <v>#N/A</v>
      </c>
      <c r="Z342" s="9" t="e">
        <f ca="1">VLOOKUP($N342,Likelihood!$A$3:$C$7,2,FALSE)+RANDBETWEEN(-20,20)/100</f>
        <v>#N/A</v>
      </c>
      <c r="AA342" s="9" t="e">
        <f ca="1">IF($Q342=AA$2,VLOOKUP($O342,Impact!$A$4:$B$8,2,FALSE)+RANDBETWEEN(-20,20)/100,NA())</f>
        <v>#N/A</v>
      </c>
      <c r="AB342" s="9" t="e">
        <f ca="1">IF($Q342=AB$2,VLOOKUP($O342,Impact!$A$4:$B$8,2,FALSE)+RANDBETWEEN(-20,20)/100,NA())</f>
        <v>#N/A</v>
      </c>
      <c r="AC342" s="9" t="e">
        <f ca="1">IF($Q342=AC$2,VLOOKUP($O342,Impact!$A$4:$B$8,2,FALSE)+RANDBETWEEN(-20,20)/100,NA())</f>
        <v>#N/A</v>
      </c>
    </row>
    <row r="343" spans="1:29" x14ac:dyDescent="0.25">
      <c r="A343" s="17">
        <v>341</v>
      </c>
      <c r="B343" s="3" t="str">
        <f t="shared" si="25"/>
        <v/>
      </c>
      <c r="H343" s="49" t="str">
        <f t="shared" si="24"/>
        <v>s. D.</v>
      </c>
      <c r="I343" s="48" t="str">
        <f t="shared" si="26"/>
        <v/>
      </c>
      <c r="J343" s="49" t="str">
        <f>I343&amp;IF(NOT(ISBLANK(E343)),CHAR(10)&amp;VLOOKUP(E343,AttackRiskStep!$A$3:$C$99,3,FALSE),"see Description")&amp;IF(NOT(ISBLANK(F343))," -&gt; "&amp;CHAR(10)&amp;VLOOKUP(F343,AttackRiskStep!$A$3:$C$99,3,FALSE),"")&amp;IF(NOT(ISBLANK(G343))," -&gt; "&amp;CHAR(10)&amp;VLOOKUP(G343,AttackRiskStep!$A$3:$C$99,3,FALSE),"")</f>
        <v>see Description</v>
      </c>
      <c r="P343" s="38" t="e">
        <f>VLOOKUP($N343,Likelihood!$A$3:$B$7,2,FALSE)*VLOOKUP($O343,Impact!$A$4:$B$8,2,FALSE)</f>
        <v>#N/A</v>
      </c>
      <c r="Q343" s="39" t="e">
        <f>VLOOKUP(P343,RPN!$B$6:$C$22,2)</f>
        <v>#N/A</v>
      </c>
      <c r="Z343" s="9" t="e">
        <f ca="1">VLOOKUP($N343,Likelihood!$A$3:$C$7,2,FALSE)+RANDBETWEEN(-20,20)/100</f>
        <v>#N/A</v>
      </c>
      <c r="AA343" s="9" t="e">
        <f ca="1">IF($Q343=AA$2,VLOOKUP($O343,Impact!$A$4:$B$8,2,FALSE)+RANDBETWEEN(-20,20)/100,NA())</f>
        <v>#N/A</v>
      </c>
      <c r="AB343" s="9" t="e">
        <f ca="1">IF($Q343=AB$2,VLOOKUP($O343,Impact!$A$4:$B$8,2,FALSE)+RANDBETWEEN(-20,20)/100,NA())</f>
        <v>#N/A</v>
      </c>
      <c r="AC343" s="9" t="e">
        <f ca="1">IF($Q343=AC$2,VLOOKUP($O343,Impact!$A$4:$B$8,2,FALSE)+RANDBETWEEN(-20,20)/100,NA())</f>
        <v>#N/A</v>
      </c>
    </row>
    <row r="344" spans="1:29" x14ac:dyDescent="0.25">
      <c r="A344" s="17">
        <v>342</v>
      </c>
      <c r="B344" s="3" t="str">
        <f t="shared" si="25"/>
        <v/>
      </c>
      <c r="H344" s="49" t="str">
        <f t="shared" si="24"/>
        <v>s. D.</v>
      </c>
      <c r="I344" s="48" t="str">
        <f t="shared" si="26"/>
        <v/>
      </c>
      <c r="J344" s="49" t="str">
        <f>I344&amp;IF(NOT(ISBLANK(E344)),CHAR(10)&amp;VLOOKUP(E344,AttackRiskStep!$A$3:$C$99,3,FALSE),"see Description")&amp;IF(NOT(ISBLANK(F344))," -&gt; "&amp;CHAR(10)&amp;VLOOKUP(F344,AttackRiskStep!$A$3:$C$99,3,FALSE),"")&amp;IF(NOT(ISBLANK(G344))," -&gt; "&amp;CHAR(10)&amp;VLOOKUP(G344,AttackRiskStep!$A$3:$C$99,3,FALSE),"")</f>
        <v>see Description</v>
      </c>
      <c r="P344" s="38" t="e">
        <f>VLOOKUP($N344,Likelihood!$A$3:$B$7,2,FALSE)*VLOOKUP($O344,Impact!$A$4:$B$8,2,FALSE)</f>
        <v>#N/A</v>
      </c>
      <c r="Q344" s="39" t="e">
        <f>VLOOKUP(P344,RPN!$B$6:$C$22,2)</f>
        <v>#N/A</v>
      </c>
      <c r="Z344" s="9" t="e">
        <f ca="1">VLOOKUP($N344,Likelihood!$A$3:$C$7,2,FALSE)+RANDBETWEEN(-20,20)/100</f>
        <v>#N/A</v>
      </c>
      <c r="AA344" s="9" t="e">
        <f ca="1">IF($Q344=AA$2,VLOOKUP($O344,Impact!$A$4:$B$8,2,FALSE)+RANDBETWEEN(-20,20)/100,NA())</f>
        <v>#N/A</v>
      </c>
      <c r="AB344" s="9" t="e">
        <f ca="1">IF($Q344=AB$2,VLOOKUP($O344,Impact!$A$4:$B$8,2,FALSE)+RANDBETWEEN(-20,20)/100,NA())</f>
        <v>#N/A</v>
      </c>
      <c r="AC344" s="9" t="e">
        <f ca="1">IF($Q344=AC$2,VLOOKUP($O344,Impact!$A$4:$B$8,2,FALSE)+RANDBETWEEN(-20,20)/100,NA())</f>
        <v>#N/A</v>
      </c>
    </row>
    <row r="345" spans="1:29" x14ac:dyDescent="0.25">
      <c r="A345" s="17">
        <v>343</v>
      </c>
      <c r="B345" s="3" t="str">
        <f t="shared" si="25"/>
        <v/>
      </c>
      <c r="H345" s="49" t="str">
        <f t="shared" si="24"/>
        <v>s. D.</v>
      </c>
      <c r="I345" s="48" t="str">
        <f t="shared" si="26"/>
        <v/>
      </c>
      <c r="J345" s="49" t="str">
        <f>I345&amp;IF(NOT(ISBLANK(E345)),CHAR(10)&amp;VLOOKUP(E345,AttackRiskStep!$A$3:$C$99,3,FALSE),"see Description")&amp;IF(NOT(ISBLANK(F345))," -&gt; "&amp;CHAR(10)&amp;VLOOKUP(F345,AttackRiskStep!$A$3:$C$99,3,FALSE),"")&amp;IF(NOT(ISBLANK(G345))," -&gt; "&amp;CHAR(10)&amp;VLOOKUP(G345,AttackRiskStep!$A$3:$C$99,3,FALSE),"")</f>
        <v>see Description</v>
      </c>
      <c r="P345" s="38" t="e">
        <f>VLOOKUP($N345,Likelihood!$A$3:$B$7,2,FALSE)*VLOOKUP($O345,Impact!$A$4:$B$8,2,FALSE)</f>
        <v>#N/A</v>
      </c>
      <c r="Q345" s="39" t="e">
        <f>VLOOKUP(P345,RPN!$B$6:$C$22,2)</f>
        <v>#N/A</v>
      </c>
      <c r="Z345" s="9" t="e">
        <f ca="1">VLOOKUP($N345,Likelihood!$A$3:$C$7,2,FALSE)+RANDBETWEEN(-20,20)/100</f>
        <v>#N/A</v>
      </c>
      <c r="AA345" s="9" t="e">
        <f ca="1">IF($Q345=AA$2,VLOOKUP($O345,Impact!$A$4:$B$8,2,FALSE)+RANDBETWEEN(-20,20)/100,NA())</f>
        <v>#N/A</v>
      </c>
      <c r="AB345" s="9" t="e">
        <f ca="1">IF($Q345=AB$2,VLOOKUP($O345,Impact!$A$4:$B$8,2,FALSE)+RANDBETWEEN(-20,20)/100,NA())</f>
        <v>#N/A</v>
      </c>
      <c r="AC345" s="9" t="e">
        <f ca="1">IF($Q345=AC$2,VLOOKUP($O345,Impact!$A$4:$B$8,2,FALSE)+RANDBETWEEN(-20,20)/100,NA())</f>
        <v>#N/A</v>
      </c>
    </row>
    <row r="346" spans="1:29" x14ac:dyDescent="0.25">
      <c r="A346" s="17">
        <v>344</v>
      </c>
      <c r="B346" s="3" t="str">
        <f t="shared" si="25"/>
        <v/>
      </c>
      <c r="H346" s="49" t="str">
        <f t="shared" si="24"/>
        <v>s. D.</v>
      </c>
      <c r="I346" s="48" t="str">
        <f t="shared" si="26"/>
        <v/>
      </c>
      <c r="J346" s="49" t="str">
        <f>I346&amp;IF(NOT(ISBLANK(E346)),CHAR(10)&amp;VLOOKUP(E346,AttackRiskStep!$A$3:$C$99,3,FALSE),"see Description")&amp;IF(NOT(ISBLANK(F346))," -&gt; "&amp;CHAR(10)&amp;VLOOKUP(F346,AttackRiskStep!$A$3:$C$99,3,FALSE),"")&amp;IF(NOT(ISBLANK(G346))," -&gt; "&amp;CHAR(10)&amp;VLOOKUP(G346,AttackRiskStep!$A$3:$C$99,3,FALSE),"")</f>
        <v>see Description</v>
      </c>
      <c r="P346" s="38" t="e">
        <f>VLOOKUP($N346,Likelihood!$A$3:$B$7,2,FALSE)*VLOOKUP($O346,Impact!$A$4:$B$8,2,FALSE)</f>
        <v>#N/A</v>
      </c>
      <c r="Q346" s="39" t="e">
        <f>VLOOKUP(P346,RPN!$B$6:$C$22,2)</f>
        <v>#N/A</v>
      </c>
      <c r="Z346" s="9" t="e">
        <f ca="1">VLOOKUP($N346,Likelihood!$A$3:$C$7,2,FALSE)+RANDBETWEEN(-20,20)/100</f>
        <v>#N/A</v>
      </c>
      <c r="AA346" s="9" t="e">
        <f ca="1">IF($Q346=AA$2,VLOOKUP($O346,Impact!$A$4:$B$8,2,FALSE)+RANDBETWEEN(-20,20)/100,NA())</f>
        <v>#N/A</v>
      </c>
      <c r="AB346" s="9" t="e">
        <f ca="1">IF($Q346=AB$2,VLOOKUP($O346,Impact!$A$4:$B$8,2,FALSE)+RANDBETWEEN(-20,20)/100,NA())</f>
        <v>#N/A</v>
      </c>
      <c r="AC346" s="9" t="e">
        <f ca="1">IF($Q346=AC$2,VLOOKUP($O346,Impact!$A$4:$B$8,2,FALSE)+RANDBETWEEN(-20,20)/100,NA())</f>
        <v>#N/A</v>
      </c>
    </row>
    <row r="347" spans="1:29" x14ac:dyDescent="0.25">
      <c r="A347" s="17">
        <v>345</v>
      </c>
      <c r="B347" s="3" t="str">
        <f t="shared" si="25"/>
        <v/>
      </c>
      <c r="H347" s="49" t="str">
        <f t="shared" si="24"/>
        <v>s. D.</v>
      </c>
      <c r="I347" s="48" t="str">
        <f t="shared" si="26"/>
        <v/>
      </c>
      <c r="J347" s="49" t="str">
        <f>I347&amp;IF(NOT(ISBLANK(E347)),CHAR(10)&amp;VLOOKUP(E347,AttackRiskStep!$A$3:$C$99,3,FALSE),"see Description")&amp;IF(NOT(ISBLANK(F347))," -&gt; "&amp;CHAR(10)&amp;VLOOKUP(F347,AttackRiskStep!$A$3:$C$99,3,FALSE),"")&amp;IF(NOT(ISBLANK(G347))," -&gt; "&amp;CHAR(10)&amp;VLOOKUP(G347,AttackRiskStep!$A$3:$C$99,3,FALSE),"")</f>
        <v>see Description</v>
      </c>
      <c r="P347" s="38" t="e">
        <f>VLOOKUP($N347,Likelihood!$A$3:$B$7,2,FALSE)*VLOOKUP($O347,Impact!$A$4:$B$8,2,FALSE)</f>
        <v>#N/A</v>
      </c>
      <c r="Q347" s="39" t="e">
        <f>VLOOKUP(P347,RPN!$B$6:$C$22,2)</f>
        <v>#N/A</v>
      </c>
      <c r="Z347" s="9" t="e">
        <f ca="1">VLOOKUP($N347,Likelihood!$A$3:$C$7,2,FALSE)+RANDBETWEEN(-20,20)/100</f>
        <v>#N/A</v>
      </c>
      <c r="AA347" s="9" t="e">
        <f ca="1">IF($Q347=AA$2,VLOOKUP($O347,Impact!$A$4:$B$8,2,FALSE)+RANDBETWEEN(-20,20)/100,NA())</f>
        <v>#N/A</v>
      </c>
      <c r="AB347" s="9" t="e">
        <f ca="1">IF($Q347=AB$2,VLOOKUP($O347,Impact!$A$4:$B$8,2,FALSE)+RANDBETWEEN(-20,20)/100,NA())</f>
        <v>#N/A</v>
      </c>
      <c r="AC347" s="9" t="e">
        <f ca="1">IF($Q347=AC$2,VLOOKUP($O347,Impact!$A$4:$B$8,2,FALSE)+RANDBETWEEN(-20,20)/100,NA())</f>
        <v>#N/A</v>
      </c>
    </row>
    <row r="348" spans="1:29" x14ac:dyDescent="0.25">
      <c r="A348" s="17">
        <v>346</v>
      </c>
      <c r="B348" s="3" t="str">
        <f t="shared" si="25"/>
        <v/>
      </c>
      <c r="H348" s="49" t="str">
        <f t="shared" si="24"/>
        <v>s. D.</v>
      </c>
      <c r="I348" s="48" t="str">
        <f t="shared" si="26"/>
        <v/>
      </c>
      <c r="J348" s="49" t="str">
        <f>I348&amp;IF(NOT(ISBLANK(E348)),CHAR(10)&amp;VLOOKUP(E348,AttackRiskStep!$A$3:$C$99,3,FALSE),"see Description")&amp;IF(NOT(ISBLANK(F348))," -&gt; "&amp;CHAR(10)&amp;VLOOKUP(F348,AttackRiskStep!$A$3:$C$99,3,FALSE),"")&amp;IF(NOT(ISBLANK(G348))," -&gt; "&amp;CHAR(10)&amp;VLOOKUP(G348,AttackRiskStep!$A$3:$C$99,3,FALSE),"")</f>
        <v>see Description</v>
      </c>
      <c r="P348" s="38" t="e">
        <f>VLOOKUP($N348,Likelihood!$A$3:$B$7,2,FALSE)*VLOOKUP($O348,Impact!$A$4:$B$8,2,FALSE)</f>
        <v>#N/A</v>
      </c>
      <c r="Q348" s="39" t="e">
        <f>VLOOKUP(P348,RPN!$B$6:$C$22,2)</f>
        <v>#N/A</v>
      </c>
      <c r="Z348" s="9" t="e">
        <f ca="1">VLOOKUP($N348,Likelihood!$A$3:$C$7,2,FALSE)+RANDBETWEEN(-20,20)/100</f>
        <v>#N/A</v>
      </c>
      <c r="AA348" s="9" t="e">
        <f ca="1">IF($Q348=AA$2,VLOOKUP($O348,Impact!$A$4:$B$8,2,FALSE)+RANDBETWEEN(-20,20)/100,NA())</f>
        <v>#N/A</v>
      </c>
      <c r="AB348" s="9" t="e">
        <f ca="1">IF($Q348=AB$2,VLOOKUP($O348,Impact!$A$4:$B$8,2,FALSE)+RANDBETWEEN(-20,20)/100,NA())</f>
        <v>#N/A</v>
      </c>
      <c r="AC348" s="9" t="e">
        <f ca="1">IF($Q348=AC$2,VLOOKUP($O348,Impact!$A$4:$B$8,2,FALSE)+RANDBETWEEN(-20,20)/100,NA())</f>
        <v>#N/A</v>
      </c>
    </row>
    <row r="349" spans="1:29" x14ac:dyDescent="0.25">
      <c r="A349" s="17">
        <v>347</v>
      </c>
      <c r="B349" s="3" t="str">
        <f t="shared" si="25"/>
        <v/>
      </c>
      <c r="H349" s="49" t="str">
        <f t="shared" si="24"/>
        <v>s. D.</v>
      </c>
      <c r="I349" s="48" t="str">
        <f t="shared" si="26"/>
        <v/>
      </c>
      <c r="J349" s="49" t="str">
        <f>I349&amp;IF(NOT(ISBLANK(E349)),CHAR(10)&amp;VLOOKUP(E349,AttackRiskStep!$A$3:$C$99,3,FALSE),"see Description")&amp;IF(NOT(ISBLANK(F349))," -&gt; "&amp;CHAR(10)&amp;VLOOKUP(F349,AttackRiskStep!$A$3:$C$99,3,FALSE),"")&amp;IF(NOT(ISBLANK(G349))," -&gt; "&amp;CHAR(10)&amp;VLOOKUP(G349,AttackRiskStep!$A$3:$C$99,3,FALSE),"")</f>
        <v>see Description</v>
      </c>
      <c r="P349" s="38" t="e">
        <f>VLOOKUP($N349,Likelihood!$A$3:$B$7,2,FALSE)*VLOOKUP($O349,Impact!$A$4:$B$8,2,FALSE)</f>
        <v>#N/A</v>
      </c>
      <c r="Q349" s="39" t="e">
        <f>VLOOKUP(P349,RPN!$B$6:$C$22,2)</f>
        <v>#N/A</v>
      </c>
      <c r="Z349" s="9" t="e">
        <f ca="1">VLOOKUP($N349,Likelihood!$A$3:$C$7,2,FALSE)+RANDBETWEEN(-20,20)/100</f>
        <v>#N/A</v>
      </c>
      <c r="AA349" s="9" t="e">
        <f ca="1">IF($Q349=AA$2,VLOOKUP($O349,Impact!$A$4:$B$8,2,FALSE)+RANDBETWEEN(-20,20)/100,NA())</f>
        <v>#N/A</v>
      </c>
      <c r="AB349" s="9" t="e">
        <f ca="1">IF($Q349=AB$2,VLOOKUP($O349,Impact!$A$4:$B$8,2,FALSE)+RANDBETWEEN(-20,20)/100,NA())</f>
        <v>#N/A</v>
      </c>
      <c r="AC349" s="9" t="e">
        <f ca="1">IF($Q349=AC$2,VLOOKUP($O349,Impact!$A$4:$B$8,2,FALSE)+RANDBETWEEN(-20,20)/100,NA())</f>
        <v>#N/A</v>
      </c>
    </row>
    <row r="350" spans="1:29" x14ac:dyDescent="0.25">
      <c r="A350" s="17">
        <v>348</v>
      </c>
      <c r="B350" s="3" t="str">
        <f t="shared" si="25"/>
        <v/>
      </c>
      <c r="H350" s="49" t="str">
        <f t="shared" si="24"/>
        <v>s. D.</v>
      </c>
      <c r="I350" s="48" t="str">
        <f t="shared" si="26"/>
        <v/>
      </c>
      <c r="J350" s="49" t="str">
        <f>I350&amp;IF(NOT(ISBLANK(E350)),CHAR(10)&amp;VLOOKUP(E350,AttackRiskStep!$A$3:$C$99,3,FALSE),"see Description")&amp;IF(NOT(ISBLANK(F350))," -&gt; "&amp;CHAR(10)&amp;VLOOKUP(F350,AttackRiskStep!$A$3:$C$99,3,FALSE),"")&amp;IF(NOT(ISBLANK(G350))," -&gt; "&amp;CHAR(10)&amp;VLOOKUP(G350,AttackRiskStep!$A$3:$C$99,3,FALSE),"")</f>
        <v>see Description</v>
      </c>
      <c r="P350" s="38" t="e">
        <f>VLOOKUP($N350,Likelihood!$A$3:$B$7,2,FALSE)*VLOOKUP($O350,Impact!$A$4:$B$8,2,FALSE)</f>
        <v>#N/A</v>
      </c>
      <c r="Q350" s="39" t="e">
        <f>VLOOKUP(P350,RPN!$B$6:$C$22,2)</f>
        <v>#N/A</v>
      </c>
      <c r="Z350" s="9" t="e">
        <f ca="1">VLOOKUP($N350,Likelihood!$A$3:$C$7,2,FALSE)+RANDBETWEEN(-20,20)/100</f>
        <v>#N/A</v>
      </c>
      <c r="AA350" s="9" t="e">
        <f ca="1">IF($Q350=AA$2,VLOOKUP($O350,Impact!$A$4:$B$8,2,FALSE)+RANDBETWEEN(-20,20)/100,NA())</f>
        <v>#N/A</v>
      </c>
      <c r="AB350" s="9" t="e">
        <f ca="1">IF($Q350=AB$2,VLOOKUP($O350,Impact!$A$4:$B$8,2,FALSE)+RANDBETWEEN(-20,20)/100,NA())</f>
        <v>#N/A</v>
      </c>
      <c r="AC350" s="9" t="e">
        <f ca="1">IF($Q350=AC$2,VLOOKUP($O350,Impact!$A$4:$B$8,2,FALSE)+RANDBETWEEN(-20,20)/100,NA())</f>
        <v>#N/A</v>
      </c>
    </row>
    <row r="351" spans="1:29" x14ac:dyDescent="0.25">
      <c r="A351" s="17">
        <v>349</v>
      </c>
      <c r="B351" s="3" t="str">
        <f t="shared" si="25"/>
        <v/>
      </c>
      <c r="H351" s="49" t="str">
        <f t="shared" si="24"/>
        <v>s. D.</v>
      </c>
      <c r="I351" s="48" t="str">
        <f t="shared" si="26"/>
        <v/>
      </c>
      <c r="J351" s="49" t="str">
        <f>I351&amp;IF(NOT(ISBLANK(E351)),CHAR(10)&amp;VLOOKUP(E351,AttackRiskStep!$A$3:$C$99,3,FALSE),"see Description")&amp;IF(NOT(ISBLANK(F351))," -&gt; "&amp;CHAR(10)&amp;VLOOKUP(F351,AttackRiskStep!$A$3:$C$99,3,FALSE),"")&amp;IF(NOT(ISBLANK(G351))," -&gt; "&amp;CHAR(10)&amp;VLOOKUP(G351,AttackRiskStep!$A$3:$C$99,3,FALSE),"")</f>
        <v>see Description</v>
      </c>
      <c r="P351" s="38" t="e">
        <f>VLOOKUP($N351,Likelihood!$A$3:$B$7,2,FALSE)*VLOOKUP($O351,Impact!$A$4:$B$8,2,FALSE)</f>
        <v>#N/A</v>
      </c>
      <c r="Q351" s="39" t="e">
        <f>VLOOKUP(P351,RPN!$B$6:$C$22,2)</f>
        <v>#N/A</v>
      </c>
      <c r="Z351" s="9" t="e">
        <f ca="1">VLOOKUP($N351,Likelihood!$A$3:$C$7,2,FALSE)+RANDBETWEEN(-20,20)/100</f>
        <v>#N/A</v>
      </c>
      <c r="AA351" s="9" t="e">
        <f ca="1">IF($Q351=AA$2,VLOOKUP($O351,Impact!$A$4:$B$8,2,FALSE)+RANDBETWEEN(-20,20)/100,NA())</f>
        <v>#N/A</v>
      </c>
      <c r="AB351" s="9" t="e">
        <f ca="1">IF($Q351=AB$2,VLOOKUP($O351,Impact!$A$4:$B$8,2,FALSE)+RANDBETWEEN(-20,20)/100,NA())</f>
        <v>#N/A</v>
      </c>
      <c r="AC351" s="9" t="e">
        <f ca="1">IF($Q351=AC$2,VLOOKUP($O351,Impact!$A$4:$B$8,2,FALSE)+RANDBETWEEN(-20,20)/100,NA())</f>
        <v>#N/A</v>
      </c>
    </row>
    <row r="352" spans="1:29" x14ac:dyDescent="0.25">
      <c r="A352" s="17">
        <v>350</v>
      </c>
      <c r="B352" s="3" t="str">
        <f t="shared" si="25"/>
        <v/>
      </c>
      <c r="H352" s="49" t="str">
        <f t="shared" si="24"/>
        <v>s. D.</v>
      </c>
      <c r="I352" s="48" t="str">
        <f t="shared" si="26"/>
        <v/>
      </c>
      <c r="J352" s="49" t="str">
        <f>I352&amp;IF(NOT(ISBLANK(E352)),CHAR(10)&amp;VLOOKUP(E352,AttackRiskStep!$A$3:$C$99,3,FALSE),"see Description")&amp;IF(NOT(ISBLANK(F352))," -&gt; "&amp;CHAR(10)&amp;VLOOKUP(F352,AttackRiskStep!$A$3:$C$99,3,FALSE),"")&amp;IF(NOT(ISBLANK(G352))," -&gt; "&amp;CHAR(10)&amp;VLOOKUP(G352,AttackRiskStep!$A$3:$C$99,3,FALSE),"")</f>
        <v>see Description</v>
      </c>
      <c r="P352" s="38" t="e">
        <f>VLOOKUP($N352,Likelihood!$A$3:$B$7,2,FALSE)*VLOOKUP($O352,Impact!$A$4:$B$8,2,FALSE)</f>
        <v>#N/A</v>
      </c>
      <c r="Q352" s="39" t="e">
        <f>VLOOKUP(P352,RPN!$B$6:$C$22,2)</f>
        <v>#N/A</v>
      </c>
      <c r="Z352" s="9" t="e">
        <f ca="1">VLOOKUP($N352,Likelihood!$A$3:$C$7,2,FALSE)+RANDBETWEEN(-20,20)/100</f>
        <v>#N/A</v>
      </c>
      <c r="AA352" s="9" t="e">
        <f ca="1">IF($Q352=AA$2,VLOOKUP($O352,Impact!$A$4:$B$8,2,FALSE)+RANDBETWEEN(-20,20)/100,NA())</f>
        <v>#N/A</v>
      </c>
      <c r="AB352" s="9" t="e">
        <f ca="1">IF($Q352=AB$2,VLOOKUP($O352,Impact!$A$4:$B$8,2,FALSE)+RANDBETWEEN(-20,20)/100,NA())</f>
        <v>#N/A</v>
      </c>
      <c r="AC352" s="9" t="e">
        <f ca="1">IF($Q352=AC$2,VLOOKUP($O352,Impact!$A$4:$B$8,2,FALSE)+RANDBETWEEN(-20,20)/100,NA())</f>
        <v>#N/A</v>
      </c>
    </row>
    <row r="353" spans="1:29" x14ac:dyDescent="0.25">
      <c r="A353" s="17">
        <v>351</v>
      </c>
      <c r="B353" s="3" t="str">
        <f t="shared" si="25"/>
        <v/>
      </c>
      <c r="H353" s="49" t="str">
        <f t="shared" si="24"/>
        <v>s. D.</v>
      </c>
      <c r="I353" s="48" t="str">
        <f t="shared" si="26"/>
        <v/>
      </c>
      <c r="J353" s="49" t="str">
        <f>I353&amp;IF(NOT(ISBLANK(E353)),CHAR(10)&amp;VLOOKUP(E353,AttackRiskStep!$A$3:$C$99,3,FALSE),"see Description")&amp;IF(NOT(ISBLANK(F353))," -&gt; "&amp;CHAR(10)&amp;VLOOKUP(F353,AttackRiskStep!$A$3:$C$99,3,FALSE),"")&amp;IF(NOT(ISBLANK(G353))," -&gt; "&amp;CHAR(10)&amp;VLOOKUP(G353,AttackRiskStep!$A$3:$C$99,3,FALSE),"")</f>
        <v>see Description</v>
      </c>
      <c r="P353" s="38" t="e">
        <f>VLOOKUP($N353,Likelihood!$A$3:$B$7,2,FALSE)*VLOOKUP($O353,Impact!$A$4:$B$8,2,FALSE)</f>
        <v>#N/A</v>
      </c>
      <c r="Q353" s="39" t="e">
        <f>VLOOKUP(P353,RPN!$B$6:$C$22,2)</f>
        <v>#N/A</v>
      </c>
      <c r="Z353" s="9" t="e">
        <f ca="1">VLOOKUP($N353,Likelihood!$A$3:$C$7,2,FALSE)+RANDBETWEEN(-20,20)/100</f>
        <v>#N/A</v>
      </c>
      <c r="AA353" s="9" t="e">
        <f ca="1">IF($Q353=AA$2,VLOOKUP($O353,Impact!$A$4:$B$8,2,FALSE)+RANDBETWEEN(-20,20)/100,NA())</f>
        <v>#N/A</v>
      </c>
      <c r="AB353" s="9" t="e">
        <f ca="1">IF($Q353=AB$2,VLOOKUP($O353,Impact!$A$4:$B$8,2,FALSE)+RANDBETWEEN(-20,20)/100,NA())</f>
        <v>#N/A</v>
      </c>
      <c r="AC353" s="9" t="e">
        <f ca="1">IF($Q353=AC$2,VLOOKUP($O353,Impact!$A$4:$B$8,2,FALSE)+RANDBETWEEN(-20,20)/100,NA())</f>
        <v>#N/A</v>
      </c>
    </row>
    <row r="354" spans="1:29" x14ac:dyDescent="0.25">
      <c r="A354" s="17">
        <v>352</v>
      </c>
      <c r="B354" s="3" t="str">
        <f t="shared" si="25"/>
        <v/>
      </c>
      <c r="H354" s="49" t="str">
        <f t="shared" si="24"/>
        <v>s. D.</v>
      </c>
      <c r="I354" s="48" t="str">
        <f t="shared" si="26"/>
        <v/>
      </c>
      <c r="J354" s="49" t="str">
        <f>I354&amp;IF(NOT(ISBLANK(E354)),CHAR(10)&amp;VLOOKUP(E354,AttackRiskStep!$A$3:$C$99,3,FALSE),"see Description")&amp;IF(NOT(ISBLANK(F354))," -&gt; "&amp;CHAR(10)&amp;VLOOKUP(F354,AttackRiskStep!$A$3:$C$99,3,FALSE),"")&amp;IF(NOT(ISBLANK(G354))," -&gt; "&amp;CHAR(10)&amp;VLOOKUP(G354,AttackRiskStep!$A$3:$C$99,3,FALSE),"")</f>
        <v>see Description</v>
      </c>
      <c r="P354" s="38" t="e">
        <f>VLOOKUP($N354,Likelihood!$A$3:$B$7,2,FALSE)*VLOOKUP($O354,Impact!$A$4:$B$8,2,FALSE)</f>
        <v>#N/A</v>
      </c>
      <c r="Q354" s="39" t="e">
        <f>VLOOKUP(P354,RPN!$B$6:$C$22,2)</f>
        <v>#N/A</v>
      </c>
      <c r="Z354" s="9" t="e">
        <f ca="1">VLOOKUP($N354,Likelihood!$A$3:$C$7,2,FALSE)+RANDBETWEEN(-20,20)/100</f>
        <v>#N/A</v>
      </c>
      <c r="AA354" s="9" t="e">
        <f ca="1">IF($Q354=AA$2,VLOOKUP($O354,Impact!$A$4:$B$8,2,FALSE)+RANDBETWEEN(-20,20)/100,NA())</f>
        <v>#N/A</v>
      </c>
      <c r="AB354" s="9" t="e">
        <f ca="1">IF($Q354=AB$2,VLOOKUP($O354,Impact!$A$4:$B$8,2,FALSE)+RANDBETWEEN(-20,20)/100,NA())</f>
        <v>#N/A</v>
      </c>
      <c r="AC354" s="9" t="e">
        <f ca="1">IF($Q354=AC$2,VLOOKUP($O354,Impact!$A$4:$B$8,2,FALSE)+RANDBETWEEN(-20,20)/100,NA())</f>
        <v>#N/A</v>
      </c>
    </row>
    <row r="355" spans="1:29" x14ac:dyDescent="0.25">
      <c r="A355" s="17">
        <v>353</v>
      </c>
      <c r="B355" s="3" t="str">
        <f t="shared" si="25"/>
        <v/>
      </c>
      <c r="H355" s="49" t="str">
        <f t="shared" si="24"/>
        <v>s. D.</v>
      </c>
      <c r="I355" s="48" t="str">
        <f t="shared" si="26"/>
        <v/>
      </c>
      <c r="J355" s="49" t="str">
        <f>I355&amp;IF(NOT(ISBLANK(E355)),CHAR(10)&amp;VLOOKUP(E355,AttackRiskStep!$A$3:$C$99,3,FALSE),"see Description")&amp;IF(NOT(ISBLANK(F355))," -&gt; "&amp;CHAR(10)&amp;VLOOKUP(F355,AttackRiskStep!$A$3:$C$99,3,FALSE),"")&amp;IF(NOT(ISBLANK(G355))," -&gt; "&amp;CHAR(10)&amp;VLOOKUP(G355,AttackRiskStep!$A$3:$C$99,3,FALSE),"")</f>
        <v>see Description</v>
      </c>
      <c r="P355" s="38" t="e">
        <f>VLOOKUP($N355,Likelihood!$A$3:$B$7,2,FALSE)*VLOOKUP($O355,Impact!$A$4:$B$8,2,FALSE)</f>
        <v>#N/A</v>
      </c>
      <c r="Q355" s="39" t="e">
        <f>VLOOKUP(P355,RPN!$B$6:$C$22,2)</f>
        <v>#N/A</v>
      </c>
      <c r="Z355" s="9" t="e">
        <f ca="1">VLOOKUP($N355,Likelihood!$A$3:$C$7,2,FALSE)+RANDBETWEEN(-20,20)/100</f>
        <v>#N/A</v>
      </c>
      <c r="AA355" s="9" t="e">
        <f ca="1">IF($Q355=AA$2,VLOOKUP($O355,Impact!$A$4:$B$8,2,FALSE)+RANDBETWEEN(-20,20)/100,NA())</f>
        <v>#N/A</v>
      </c>
      <c r="AB355" s="9" t="e">
        <f ca="1">IF($Q355=AB$2,VLOOKUP($O355,Impact!$A$4:$B$8,2,FALSE)+RANDBETWEEN(-20,20)/100,NA())</f>
        <v>#N/A</v>
      </c>
      <c r="AC355" s="9" t="e">
        <f ca="1">IF($Q355=AC$2,VLOOKUP($O355,Impact!$A$4:$B$8,2,FALSE)+RANDBETWEEN(-20,20)/100,NA())</f>
        <v>#N/A</v>
      </c>
    </row>
    <row r="356" spans="1:29" x14ac:dyDescent="0.25">
      <c r="A356" s="17">
        <v>354</v>
      </c>
      <c r="B356" s="3" t="str">
        <f t="shared" si="25"/>
        <v/>
      </c>
      <c r="H356" s="49" t="str">
        <f t="shared" si="24"/>
        <v>s. D.</v>
      </c>
      <c r="I356" s="48" t="str">
        <f t="shared" si="26"/>
        <v/>
      </c>
      <c r="J356" s="49" t="str">
        <f>I356&amp;IF(NOT(ISBLANK(E356)),CHAR(10)&amp;VLOOKUP(E356,AttackRiskStep!$A$3:$C$99,3,FALSE),"see Description")&amp;IF(NOT(ISBLANK(F356))," -&gt; "&amp;CHAR(10)&amp;VLOOKUP(F356,AttackRiskStep!$A$3:$C$99,3,FALSE),"")&amp;IF(NOT(ISBLANK(G356))," -&gt; "&amp;CHAR(10)&amp;VLOOKUP(G356,AttackRiskStep!$A$3:$C$99,3,FALSE),"")</f>
        <v>see Description</v>
      </c>
      <c r="P356" s="38" t="e">
        <f>VLOOKUP($N356,Likelihood!$A$3:$B$7,2,FALSE)*VLOOKUP($O356,Impact!$A$4:$B$8,2,FALSE)</f>
        <v>#N/A</v>
      </c>
      <c r="Q356" s="39" t="e">
        <f>VLOOKUP(P356,RPN!$B$6:$C$22,2)</f>
        <v>#N/A</v>
      </c>
      <c r="Z356" s="9" t="e">
        <f ca="1">VLOOKUP($N356,Likelihood!$A$3:$C$7,2,FALSE)+RANDBETWEEN(-20,20)/100</f>
        <v>#N/A</v>
      </c>
      <c r="AA356" s="9" t="e">
        <f ca="1">IF($Q356=AA$2,VLOOKUP($O356,Impact!$A$4:$B$8,2,FALSE)+RANDBETWEEN(-20,20)/100,NA())</f>
        <v>#N/A</v>
      </c>
      <c r="AB356" s="9" t="e">
        <f ca="1">IF($Q356=AB$2,VLOOKUP($O356,Impact!$A$4:$B$8,2,FALSE)+RANDBETWEEN(-20,20)/100,NA())</f>
        <v>#N/A</v>
      </c>
      <c r="AC356" s="9" t="e">
        <f ca="1">IF($Q356=AC$2,VLOOKUP($O356,Impact!$A$4:$B$8,2,FALSE)+RANDBETWEEN(-20,20)/100,NA())</f>
        <v>#N/A</v>
      </c>
    </row>
    <row r="357" spans="1:29" x14ac:dyDescent="0.25">
      <c r="A357" s="17">
        <v>355</v>
      </c>
      <c r="B357" s="3" t="str">
        <f t="shared" si="25"/>
        <v/>
      </c>
      <c r="H357" s="49" t="str">
        <f t="shared" si="24"/>
        <v>s. D.</v>
      </c>
      <c r="I357" s="48" t="str">
        <f t="shared" si="26"/>
        <v/>
      </c>
      <c r="J357" s="49" t="str">
        <f>I357&amp;IF(NOT(ISBLANK(E357)),CHAR(10)&amp;VLOOKUP(E357,AttackRiskStep!$A$3:$C$99,3,FALSE),"see Description")&amp;IF(NOT(ISBLANK(F357))," -&gt; "&amp;CHAR(10)&amp;VLOOKUP(F357,AttackRiskStep!$A$3:$C$99,3,FALSE),"")&amp;IF(NOT(ISBLANK(G357))," -&gt; "&amp;CHAR(10)&amp;VLOOKUP(G357,AttackRiskStep!$A$3:$C$99,3,FALSE),"")</f>
        <v>see Description</v>
      </c>
      <c r="P357" s="38" t="e">
        <f>VLOOKUP($N357,Likelihood!$A$3:$B$7,2,FALSE)*VLOOKUP($O357,Impact!$A$4:$B$8,2,FALSE)</f>
        <v>#N/A</v>
      </c>
      <c r="Q357" s="39" t="e">
        <f>VLOOKUP(P357,RPN!$B$6:$C$22,2)</f>
        <v>#N/A</v>
      </c>
      <c r="Z357" s="9" t="e">
        <f ca="1">VLOOKUP($N357,Likelihood!$A$3:$C$7,2,FALSE)+RANDBETWEEN(-20,20)/100</f>
        <v>#N/A</v>
      </c>
      <c r="AA357" s="9" t="e">
        <f ca="1">IF($Q357=AA$2,VLOOKUP($O357,Impact!$A$4:$B$8,2,FALSE)+RANDBETWEEN(-20,20)/100,NA())</f>
        <v>#N/A</v>
      </c>
      <c r="AB357" s="9" t="e">
        <f ca="1">IF($Q357=AB$2,VLOOKUP($O357,Impact!$A$4:$B$8,2,FALSE)+RANDBETWEEN(-20,20)/100,NA())</f>
        <v>#N/A</v>
      </c>
      <c r="AC357" s="9" t="e">
        <f ca="1">IF($Q357=AC$2,VLOOKUP($O357,Impact!$A$4:$B$8,2,FALSE)+RANDBETWEEN(-20,20)/100,NA())</f>
        <v>#N/A</v>
      </c>
    </row>
    <row r="358" spans="1:29" x14ac:dyDescent="0.25">
      <c r="A358" s="17">
        <v>356</v>
      </c>
      <c r="B358" s="3" t="str">
        <f t="shared" si="25"/>
        <v/>
      </c>
      <c r="H358" s="49" t="str">
        <f t="shared" si="24"/>
        <v>s. D.</v>
      </c>
      <c r="I358" s="48" t="str">
        <f t="shared" si="26"/>
        <v/>
      </c>
      <c r="J358" s="49" t="str">
        <f>I358&amp;IF(NOT(ISBLANK(E358)),CHAR(10)&amp;VLOOKUP(E358,AttackRiskStep!$A$3:$C$99,3,FALSE),"see Description")&amp;IF(NOT(ISBLANK(F358))," -&gt; "&amp;CHAR(10)&amp;VLOOKUP(F358,AttackRiskStep!$A$3:$C$99,3,FALSE),"")&amp;IF(NOT(ISBLANK(G358))," -&gt; "&amp;CHAR(10)&amp;VLOOKUP(G358,AttackRiskStep!$A$3:$C$99,3,FALSE),"")</f>
        <v>see Description</v>
      </c>
      <c r="P358" s="38" t="e">
        <f>VLOOKUP($N358,Likelihood!$A$3:$B$7,2,FALSE)*VLOOKUP($O358,Impact!$A$4:$B$8,2,FALSE)</f>
        <v>#N/A</v>
      </c>
      <c r="Q358" s="39" t="e">
        <f>VLOOKUP(P358,RPN!$B$6:$C$22,2)</f>
        <v>#N/A</v>
      </c>
      <c r="Z358" s="9" t="e">
        <f ca="1">VLOOKUP($N358,Likelihood!$A$3:$C$7,2,FALSE)+RANDBETWEEN(-20,20)/100</f>
        <v>#N/A</v>
      </c>
      <c r="AA358" s="9" t="e">
        <f ca="1">IF($Q358=AA$2,VLOOKUP($O358,Impact!$A$4:$B$8,2,FALSE)+RANDBETWEEN(-20,20)/100,NA())</f>
        <v>#N/A</v>
      </c>
      <c r="AB358" s="9" t="e">
        <f ca="1">IF($Q358=AB$2,VLOOKUP($O358,Impact!$A$4:$B$8,2,FALSE)+RANDBETWEEN(-20,20)/100,NA())</f>
        <v>#N/A</v>
      </c>
      <c r="AC358" s="9" t="e">
        <f ca="1">IF($Q358=AC$2,VLOOKUP($O358,Impact!$A$4:$B$8,2,FALSE)+RANDBETWEEN(-20,20)/100,NA())</f>
        <v>#N/A</v>
      </c>
    </row>
    <row r="359" spans="1:29" x14ac:dyDescent="0.25">
      <c r="A359" s="17">
        <v>357</v>
      </c>
      <c r="B359" s="3" t="str">
        <f t="shared" si="25"/>
        <v/>
      </c>
      <c r="H359" s="49" t="str">
        <f t="shared" si="24"/>
        <v>s. D.</v>
      </c>
      <c r="I359" s="48" t="str">
        <f t="shared" si="26"/>
        <v/>
      </c>
      <c r="J359" s="49" t="str">
        <f>I359&amp;IF(NOT(ISBLANK(E359)),CHAR(10)&amp;VLOOKUP(E359,AttackRiskStep!$A$3:$C$99,3,FALSE),"see Description")&amp;IF(NOT(ISBLANK(F359))," -&gt; "&amp;CHAR(10)&amp;VLOOKUP(F359,AttackRiskStep!$A$3:$C$99,3,FALSE),"")&amp;IF(NOT(ISBLANK(G359))," -&gt; "&amp;CHAR(10)&amp;VLOOKUP(G359,AttackRiskStep!$A$3:$C$99,3,FALSE),"")</f>
        <v>see Description</v>
      </c>
      <c r="P359" s="38" t="e">
        <f>VLOOKUP($N359,Likelihood!$A$3:$B$7,2,FALSE)*VLOOKUP($O359,Impact!$A$4:$B$8,2,FALSE)</f>
        <v>#N/A</v>
      </c>
      <c r="Q359" s="39" t="e">
        <f>VLOOKUP(P359,RPN!$B$6:$C$22,2)</f>
        <v>#N/A</v>
      </c>
      <c r="Z359" s="9" t="e">
        <f ca="1">VLOOKUP($N359,Likelihood!$A$3:$C$7,2,FALSE)+RANDBETWEEN(-20,20)/100</f>
        <v>#N/A</v>
      </c>
      <c r="AA359" s="9" t="e">
        <f ca="1">IF($Q359=AA$2,VLOOKUP($O359,Impact!$A$4:$B$8,2,FALSE)+RANDBETWEEN(-20,20)/100,NA())</f>
        <v>#N/A</v>
      </c>
      <c r="AB359" s="9" t="e">
        <f ca="1">IF($Q359=AB$2,VLOOKUP($O359,Impact!$A$4:$B$8,2,FALSE)+RANDBETWEEN(-20,20)/100,NA())</f>
        <v>#N/A</v>
      </c>
      <c r="AC359" s="9" t="e">
        <f ca="1">IF($Q359=AC$2,VLOOKUP($O359,Impact!$A$4:$B$8,2,FALSE)+RANDBETWEEN(-20,20)/100,NA())</f>
        <v>#N/A</v>
      </c>
    </row>
    <row r="360" spans="1:29" x14ac:dyDescent="0.25">
      <c r="A360" s="17">
        <v>358</v>
      </c>
      <c r="B360" s="3" t="str">
        <f t="shared" si="25"/>
        <v/>
      </c>
      <c r="H360" s="49" t="str">
        <f t="shared" si="24"/>
        <v>s. D.</v>
      </c>
      <c r="I360" s="48" t="str">
        <f t="shared" si="26"/>
        <v/>
      </c>
      <c r="J360" s="49" t="str">
        <f>I360&amp;IF(NOT(ISBLANK(E360)),CHAR(10)&amp;VLOOKUP(E360,AttackRiskStep!$A$3:$C$99,3,FALSE),"see Description")&amp;IF(NOT(ISBLANK(F360))," -&gt; "&amp;CHAR(10)&amp;VLOOKUP(F360,AttackRiskStep!$A$3:$C$99,3,FALSE),"")&amp;IF(NOT(ISBLANK(G360))," -&gt; "&amp;CHAR(10)&amp;VLOOKUP(G360,AttackRiskStep!$A$3:$C$99,3,FALSE),"")</f>
        <v>see Description</v>
      </c>
      <c r="P360" s="38" t="e">
        <f>VLOOKUP($N360,Likelihood!$A$3:$B$7,2,FALSE)*VLOOKUP($O360,Impact!$A$4:$B$8,2,FALSE)</f>
        <v>#N/A</v>
      </c>
      <c r="Q360" s="39" t="e">
        <f>VLOOKUP(P360,RPN!$B$6:$C$22,2)</f>
        <v>#N/A</v>
      </c>
      <c r="Z360" s="9" t="e">
        <f ca="1">VLOOKUP($N360,Likelihood!$A$3:$C$7,2,FALSE)+RANDBETWEEN(-20,20)/100</f>
        <v>#N/A</v>
      </c>
      <c r="AA360" s="9" t="e">
        <f ca="1">IF($Q360=AA$2,VLOOKUP($O360,Impact!$A$4:$B$8,2,FALSE)+RANDBETWEEN(-20,20)/100,NA())</f>
        <v>#N/A</v>
      </c>
      <c r="AB360" s="9" t="e">
        <f ca="1">IF($Q360=AB$2,VLOOKUP($O360,Impact!$A$4:$B$8,2,FALSE)+RANDBETWEEN(-20,20)/100,NA())</f>
        <v>#N/A</v>
      </c>
      <c r="AC360" s="9" t="e">
        <f ca="1">IF($Q360=AC$2,VLOOKUP($O360,Impact!$A$4:$B$8,2,FALSE)+RANDBETWEEN(-20,20)/100,NA())</f>
        <v>#N/A</v>
      </c>
    </row>
    <row r="361" spans="1:29" x14ac:dyDescent="0.25">
      <c r="A361" s="17">
        <v>359</v>
      </c>
      <c r="B361" s="3" t="str">
        <f t="shared" si="25"/>
        <v/>
      </c>
      <c r="H361" s="49" t="str">
        <f t="shared" si="24"/>
        <v>s. D.</v>
      </c>
      <c r="I361" s="48" t="str">
        <f t="shared" si="26"/>
        <v/>
      </c>
      <c r="J361" s="49" t="str">
        <f>I361&amp;IF(NOT(ISBLANK(E361)),CHAR(10)&amp;VLOOKUP(E361,AttackRiskStep!$A$3:$C$99,3,FALSE),"see Description")&amp;IF(NOT(ISBLANK(F361))," -&gt; "&amp;CHAR(10)&amp;VLOOKUP(F361,AttackRiskStep!$A$3:$C$99,3,FALSE),"")&amp;IF(NOT(ISBLANK(G361))," -&gt; "&amp;CHAR(10)&amp;VLOOKUP(G361,AttackRiskStep!$A$3:$C$99,3,FALSE),"")</f>
        <v>see Description</v>
      </c>
      <c r="P361" s="38" t="e">
        <f>VLOOKUP($N361,Likelihood!$A$3:$B$7,2,FALSE)*VLOOKUP($O361,Impact!$A$4:$B$8,2,FALSE)</f>
        <v>#N/A</v>
      </c>
      <c r="Q361" s="39" t="e">
        <f>VLOOKUP(P361,RPN!$B$6:$C$22,2)</f>
        <v>#N/A</v>
      </c>
      <c r="Z361" s="9" t="e">
        <f ca="1">VLOOKUP($N361,Likelihood!$A$3:$C$7,2,FALSE)+RANDBETWEEN(-20,20)/100</f>
        <v>#N/A</v>
      </c>
      <c r="AA361" s="9" t="e">
        <f ca="1">IF($Q361=AA$2,VLOOKUP($O361,Impact!$A$4:$B$8,2,FALSE)+RANDBETWEEN(-20,20)/100,NA())</f>
        <v>#N/A</v>
      </c>
      <c r="AB361" s="9" t="e">
        <f ca="1">IF($Q361=AB$2,VLOOKUP($O361,Impact!$A$4:$B$8,2,FALSE)+RANDBETWEEN(-20,20)/100,NA())</f>
        <v>#N/A</v>
      </c>
      <c r="AC361" s="9" t="e">
        <f ca="1">IF($Q361=AC$2,VLOOKUP($O361,Impact!$A$4:$B$8,2,FALSE)+RANDBETWEEN(-20,20)/100,NA())</f>
        <v>#N/A</v>
      </c>
    </row>
    <row r="362" spans="1:29" x14ac:dyDescent="0.25">
      <c r="A362" s="17">
        <v>360</v>
      </c>
      <c r="B362" s="3" t="str">
        <f t="shared" si="25"/>
        <v/>
      </c>
      <c r="H362" s="49" t="str">
        <f t="shared" si="24"/>
        <v>s. D.</v>
      </c>
      <c r="I362" s="48" t="str">
        <f t="shared" si="26"/>
        <v/>
      </c>
      <c r="J362" s="49" t="str">
        <f>I362&amp;IF(NOT(ISBLANK(E362)),CHAR(10)&amp;VLOOKUP(E362,AttackRiskStep!$A$3:$C$99,3,FALSE),"see Description")&amp;IF(NOT(ISBLANK(F362))," -&gt; "&amp;CHAR(10)&amp;VLOOKUP(F362,AttackRiskStep!$A$3:$C$99,3,FALSE),"")&amp;IF(NOT(ISBLANK(G362))," -&gt; "&amp;CHAR(10)&amp;VLOOKUP(G362,AttackRiskStep!$A$3:$C$99,3,FALSE),"")</f>
        <v>see Description</v>
      </c>
      <c r="P362" s="38" t="e">
        <f>VLOOKUP($N362,Likelihood!$A$3:$B$7,2,FALSE)*VLOOKUP($O362,Impact!$A$4:$B$8,2,FALSE)</f>
        <v>#N/A</v>
      </c>
      <c r="Q362" s="39" t="e">
        <f>VLOOKUP(P362,RPN!$B$6:$C$22,2)</f>
        <v>#N/A</v>
      </c>
      <c r="Z362" s="9" t="e">
        <f ca="1">VLOOKUP($N362,Likelihood!$A$3:$C$7,2,FALSE)+RANDBETWEEN(-20,20)/100</f>
        <v>#N/A</v>
      </c>
      <c r="AA362" s="9" t="e">
        <f ca="1">IF($Q362=AA$2,VLOOKUP($O362,Impact!$A$4:$B$8,2,FALSE)+RANDBETWEEN(-20,20)/100,NA())</f>
        <v>#N/A</v>
      </c>
      <c r="AB362" s="9" t="e">
        <f ca="1">IF($Q362=AB$2,VLOOKUP($O362,Impact!$A$4:$B$8,2,FALSE)+RANDBETWEEN(-20,20)/100,NA())</f>
        <v>#N/A</v>
      </c>
      <c r="AC362" s="9" t="e">
        <f ca="1">IF($Q362=AC$2,VLOOKUP($O362,Impact!$A$4:$B$8,2,FALSE)+RANDBETWEEN(-20,20)/100,NA())</f>
        <v>#N/A</v>
      </c>
    </row>
    <row r="363" spans="1:29" x14ac:dyDescent="0.25">
      <c r="A363" s="17">
        <v>361</v>
      </c>
      <c r="B363" s="3" t="str">
        <f t="shared" si="25"/>
        <v/>
      </c>
      <c r="H363" s="49" t="str">
        <f t="shared" si="24"/>
        <v>s. D.</v>
      </c>
      <c r="I363" s="48" t="str">
        <f t="shared" si="26"/>
        <v/>
      </c>
      <c r="J363" s="49" t="str">
        <f>I363&amp;IF(NOT(ISBLANK(E363)),CHAR(10)&amp;VLOOKUP(E363,AttackRiskStep!$A$3:$C$99,3,FALSE),"see Description")&amp;IF(NOT(ISBLANK(F363))," -&gt; "&amp;CHAR(10)&amp;VLOOKUP(F363,AttackRiskStep!$A$3:$C$99,3,FALSE),"")&amp;IF(NOT(ISBLANK(G363))," -&gt; "&amp;CHAR(10)&amp;VLOOKUP(G363,AttackRiskStep!$A$3:$C$99,3,FALSE),"")</f>
        <v>see Description</v>
      </c>
      <c r="P363" s="38" t="e">
        <f>VLOOKUP($N363,Likelihood!$A$3:$B$7,2,FALSE)*VLOOKUP($O363,Impact!$A$4:$B$8,2,FALSE)</f>
        <v>#N/A</v>
      </c>
      <c r="Q363" s="39" t="e">
        <f>VLOOKUP(P363,RPN!$B$6:$C$22,2)</f>
        <v>#N/A</v>
      </c>
      <c r="Z363" s="9" t="e">
        <f ca="1">VLOOKUP($N363,Likelihood!$A$3:$C$7,2,FALSE)+RANDBETWEEN(-20,20)/100</f>
        <v>#N/A</v>
      </c>
      <c r="AA363" s="9" t="e">
        <f ca="1">IF($Q363=AA$2,VLOOKUP($O363,Impact!$A$4:$B$8,2,FALSE)+RANDBETWEEN(-20,20)/100,NA())</f>
        <v>#N/A</v>
      </c>
      <c r="AB363" s="9" t="e">
        <f ca="1">IF($Q363=AB$2,VLOOKUP($O363,Impact!$A$4:$B$8,2,FALSE)+RANDBETWEEN(-20,20)/100,NA())</f>
        <v>#N/A</v>
      </c>
      <c r="AC363" s="9" t="e">
        <f ca="1">IF($Q363=AC$2,VLOOKUP($O363,Impact!$A$4:$B$8,2,FALSE)+RANDBETWEEN(-20,20)/100,NA())</f>
        <v>#N/A</v>
      </c>
    </row>
    <row r="364" spans="1:29" x14ac:dyDescent="0.25">
      <c r="A364" s="17">
        <v>362</v>
      </c>
      <c r="B364" s="3" t="str">
        <f t="shared" si="25"/>
        <v/>
      </c>
      <c r="H364" s="49" t="str">
        <f t="shared" si="24"/>
        <v>s. D.</v>
      </c>
      <c r="I364" s="48" t="str">
        <f t="shared" si="26"/>
        <v/>
      </c>
      <c r="J364" s="49" t="str">
        <f>I364&amp;IF(NOT(ISBLANK(E364)),CHAR(10)&amp;VLOOKUP(E364,AttackRiskStep!$A$3:$C$99,3,FALSE),"see Description")&amp;IF(NOT(ISBLANK(F364))," -&gt; "&amp;CHAR(10)&amp;VLOOKUP(F364,AttackRiskStep!$A$3:$C$99,3,FALSE),"")&amp;IF(NOT(ISBLANK(G364))," -&gt; "&amp;CHAR(10)&amp;VLOOKUP(G364,AttackRiskStep!$A$3:$C$99,3,FALSE),"")</f>
        <v>see Description</v>
      </c>
      <c r="P364" s="38" t="e">
        <f>VLOOKUP($N364,Likelihood!$A$3:$B$7,2,FALSE)*VLOOKUP($O364,Impact!$A$4:$B$8,2,FALSE)</f>
        <v>#N/A</v>
      </c>
      <c r="Q364" s="39" t="e">
        <f>VLOOKUP(P364,RPN!$B$6:$C$22,2)</f>
        <v>#N/A</v>
      </c>
      <c r="Z364" s="9" t="e">
        <f ca="1">VLOOKUP($N364,Likelihood!$A$3:$C$7,2,FALSE)+RANDBETWEEN(-20,20)/100</f>
        <v>#N/A</v>
      </c>
      <c r="AA364" s="9" t="e">
        <f ca="1">IF($Q364=AA$2,VLOOKUP($O364,Impact!$A$4:$B$8,2,FALSE)+RANDBETWEEN(-20,20)/100,NA())</f>
        <v>#N/A</v>
      </c>
      <c r="AB364" s="9" t="e">
        <f ca="1">IF($Q364=AB$2,VLOOKUP($O364,Impact!$A$4:$B$8,2,FALSE)+RANDBETWEEN(-20,20)/100,NA())</f>
        <v>#N/A</v>
      </c>
      <c r="AC364" s="9" t="e">
        <f ca="1">IF($Q364=AC$2,VLOOKUP($O364,Impact!$A$4:$B$8,2,FALSE)+RANDBETWEEN(-20,20)/100,NA())</f>
        <v>#N/A</v>
      </c>
    </row>
    <row r="365" spans="1:29" x14ac:dyDescent="0.25">
      <c r="A365" s="17">
        <v>363</v>
      </c>
      <c r="B365" s="3" t="str">
        <f t="shared" si="25"/>
        <v/>
      </c>
      <c r="H365" s="49" t="str">
        <f t="shared" si="24"/>
        <v>s. D.</v>
      </c>
      <c r="I365" s="48" t="str">
        <f t="shared" si="26"/>
        <v/>
      </c>
      <c r="J365" s="49" t="str">
        <f>I365&amp;IF(NOT(ISBLANK(E365)),CHAR(10)&amp;VLOOKUP(E365,AttackRiskStep!$A$3:$C$99,3,FALSE),"see Description")&amp;IF(NOT(ISBLANK(F365))," -&gt; "&amp;CHAR(10)&amp;VLOOKUP(F365,AttackRiskStep!$A$3:$C$99,3,FALSE),"")&amp;IF(NOT(ISBLANK(G365))," -&gt; "&amp;CHAR(10)&amp;VLOOKUP(G365,AttackRiskStep!$A$3:$C$99,3,FALSE),"")</f>
        <v>see Description</v>
      </c>
      <c r="P365" s="38" t="e">
        <f>VLOOKUP($N365,Likelihood!$A$3:$B$7,2,FALSE)*VLOOKUP($O365,Impact!$A$4:$B$8,2,FALSE)</f>
        <v>#N/A</v>
      </c>
      <c r="Q365" s="39" t="e">
        <f>VLOOKUP(P365,RPN!$B$6:$C$22,2)</f>
        <v>#N/A</v>
      </c>
      <c r="Z365" s="9" t="e">
        <f ca="1">VLOOKUP($N365,Likelihood!$A$3:$C$7,2,FALSE)+RANDBETWEEN(-20,20)/100</f>
        <v>#N/A</v>
      </c>
      <c r="AA365" s="9" t="e">
        <f ca="1">IF($Q365=AA$2,VLOOKUP($O365,Impact!$A$4:$B$8,2,FALSE)+RANDBETWEEN(-20,20)/100,NA())</f>
        <v>#N/A</v>
      </c>
      <c r="AB365" s="9" t="e">
        <f ca="1">IF($Q365=AB$2,VLOOKUP($O365,Impact!$A$4:$B$8,2,FALSE)+RANDBETWEEN(-20,20)/100,NA())</f>
        <v>#N/A</v>
      </c>
      <c r="AC365" s="9" t="e">
        <f ca="1">IF($Q365=AC$2,VLOOKUP($O365,Impact!$A$4:$B$8,2,FALSE)+RANDBETWEEN(-20,20)/100,NA())</f>
        <v>#N/A</v>
      </c>
    </row>
    <row r="366" spans="1:29" x14ac:dyDescent="0.25">
      <c r="A366" s="17">
        <v>364</v>
      </c>
      <c r="B366" s="3" t="str">
        <f t="shared" si="25"/>
        <v/>
      </c>
      <c r="H366" s="49" t="str">
        <f t="shared" si="24"/>
        <v>s. D.</v>
      </c>
      <c r="I366" s="48" t="str">
        <f t="shared" si="26"/>
        <v/>
      </c>
      <c r="J366" s="49" t="str">
        <f>I366&amp;IF(NOT(ISBLANK(E366)),CHAR(10)&amp;VLOOKUP(E366,AttackRiskStep!$A$3:$C$99,3,FALSE),"see Description")&amp;IF(NOT(ISBLANK(F366))," -&gt; "&amp;CHAR(10)&amp;VLOOKUP(F366,AttackRiskStep!$A$3:$C$99,3,FALSE),"")&amp;IF(NOT(ISBLANK(G366))," -&gt; "&amp;CHAR(10)&amp;VLOOKUP(G366,AttackRiskStep!$A$3:$C$99,3,FALSE),"")</f>
        <v>see Description</v>
      </c>
      <c r="P366" s="38" t="e">
        <f>VLOOKUP($N366,Likelihood!$A$3:$B$7,2,FALSE)*VLOOKUP($O366,Impact!$A$4:$B$8,2,FALSE)</f>
        <v>#N/A</v>
      </c>
      <c r="Q366" s="39" t="e">
        <f>VLOOKUP(P366,RPN!$B$6:$C$22,2)</f>
        <v>#N/A</v>
      </c>
      <c r="Z366" s="9" t="e">
        <f ca="1">VLOOKUP($N366,Likelihood!$A$3:$C$7,2,FALSE)+RANDBETWEEN(-20,20)/100</f>
        <v>#N/A</v>
      </c>
      <c r="AA366" s="9" t="e">
        <f ca="1">IF($Q366=AA$2,VLOOKUP($O366,Impact!$A$4:$B$8,2,FALSE)+RANDBETWEEN(-20,20)/100,NA())</f>
        <v>#N/A</v>
      </c>
      <c r="AB366" s="9" t="e">
        <f ca="1">IF($Q366=AB$2,VLOOKUP($O366,Impact!$A$4:$B$8,2,FALSE)+RANDBETWEEN(-20,20)/100,NA())</f>
        <v>#N/A</v>
      </c>
      <c r="AC366" s="9" t="e">
        <f ca="1">IF($Q366=AC$2,VLOOKUP($O366,Impact!$A$4:$B$8,2,FALSE)+RANDBETWEEN(-20,20)/100,NA())</f>
        <v>#N/A</v>
      </c>
    </row>
    <row r="367" spans="1:29" x14ac:dyDescent="0.25">
      <c r="A367" s="17">
        <v>365</v>
      </c>
      <c r="B367" s="3" t="str">
        <f t="shared" si="25"/>
        <v/>
      </c>
      <c r="H367" s="49" t="str">
        <f t="shared" si="24"/>
        <v>s. D.</v>
      </c>
      <c r="I367" s="48" t="str">
        <f t="shared" si="26"/>
        <v/>
      </c>
      <c r="J367" s="49" t="str">
        <f>I367&amp;IF(NOT(ISBLANK(E367)),CHAR(10)&amp;VLOOKUP(E367,AttackRiskStep!$A$3:$C$99,3,FALSE),"see Description")&amp;IF(NOT(ISBLANK(F367))," -&gt; "&amp;CHAR(10)&amp;VLOOKUP(F367,AttackRiskStep!$A$3:$C$99,3,FALSE),"")&amp;IF(NOT(ISBLANK(G367))," -&gt; "&amp;CHAR(10)&amp;VLOOKUP(G367,AttackRiskStep!$A$3:$C$99,3,FALSE),"")</f>
        <v>see Description</v>
      </c>
      <c r="P367" s="38" t="e">
        <f>VLOOKUP($N367,Likelihood!$A$3:$B$7,2,FALSE)*VLOOKUP($O367,Impact!$A$4:$B$8,2,FALSE)</f>
        <v>#N/A</v>
      </c>
      <c r="Q367" s="39" t="e">
        <f>VLOOKUP(P367,RPN!$B$6:$C$22,2)</f>
        <v>#N/A</v>
      </c>
      <c r="Z367" s="9" t="e">
        <f ca="1">VLOOKUP($N367,Likelihood!$A$3:$C$7,2,FALSE)+RANDBETWEEN(-20,20)/100</f>
        <v>#N/A</v>
      </c>
      <c r="AA367" s="9" t="e">
        <f ca="1">IF($Q367=AA$2,VLOOKUP($O367,Impact!$A$4:$B$8,2,FALSE)+RANDBETWEEN(-20,20)/100,NA())</f>
        <v>#N/A</v>
      </c>
      <c r="AB367" s="9" t="e">
        <f ca="1">IF($Q367=AB$2,VLOOKUP($O367,Impact!$A$4:$B$8,2,FALSE)+RANDBETWEEN(-20,20)/100,NA())</f>
        <v>#N/A</v>
      </c>
      <c r="AC367" s="9" t="e">
        <f ca="1">IF($Q367=AC$2,VLOOKUP($O367,Impact!$A$4:$B$8,2,FALSE)+RANDBETWEEN(-20,20)/100,NA())</f>
        <v>#N/A</v>
      </c>
    </row>
    <row r="368" spans="1:29" x14ac:dyDescent="0.25">
      <c r="A368" s="17">
        <v>366</v>
      </c>
      <c r="B368" s="3" t="str">
        <f t="shared" si="25"/>
        <v/>
      </c>
      <c r="H368" s="49" t="str">
        <f t="shared" si="24"/>
        <v>s. D.</v>
      </c>
      <c r="I368" s="48" t="str">
        <f t="shared" si="26"/>
        <v/>
      </c>
      <c r="J368" s="49" t="str">
        <f>I368&amp;IF(NOT(ISBLANK(E368)),CHAR(10)&amp;VLOOKUP(E368,AttackRiskStep!$A$3:$C$99,3,FALSE),"see Description")&amp;IF(NOT(ISBLANK(F368))," -&gt; "&amp;CHAR(10)&amp;VLOOKUP(F368,AttackRiskStep!$A$3:$C$99,3,FALSE),"")&amp;IF(NOT(ISBLANK(G368))," -&gt; "&amp;CHAR(10)&amp;VLOOKUP(G368,AttackRiskStep!$A$3:$C$99,3,FALSE),"")</f>
        <v>see Description</v>
      </c>
      <c r="P368" s="38" t="e">
        <f>VLOOKUP($N368,Likelihood!$A$3:$B$7,2,FALSE)*VLOOKUP($O368,Impact!$A$4:$B$8,2,FALSE)</f>
        <v>#N/A</v>
      </c>
      <c r="Q368" s="39" t="e">
        <f>VLOOKUP(P368,RPN!$B$6:$C$22,2)</f>
        <v>#N/A</v>
      </c>
      <c r="Z368" s="9" t="e">
        <f ca="1">VLOOKUP($N368,Likelihood!$A$3:$C$7,2,FALSE)+RANDBETWEEN(-20,20)/100</f>
        <v>#N/A</v>
      </c>
      <c r="AA368" s="9" t="e">
        <f ca="1">IF($Q368=AA$2,VLOOKUP($O368,Impact!$A$4:$B$8,2,FALSE)+RANDBETWEEN(-20,20)/100,NA())</f>
        <v>#N/A</v>
      </c>
      <c r="AB368" s="9" t="e">
        <f ca="1">IF($Q368=AB$2,VLOOKUP($O368,Impact!$A$4:$B$8,2,FALSE)+RANDBETWEEN(-20,20)/100,NA())</f>
        <v>#N/A</v>
      </c>
      <c r="AC368" s="9" t="e">
        <f ca="1">IF($Q368=AC$2,VLOOKUP($O368,Impact!$A$4:$B$8,2,FALSE)+RANDBETWEEN(-20,20)/100,NA())</f>
        <v>#N/A</v>
      </c>
    </row>
    <row r="369" spans="1:29" x14ac:dyDescent="0.25">
      <c r="A369" s="17">
        <v>367</v>
      </c>
      <c r="B369" s="3" t="str">
        <f t="shared" si="25"/>
        <v/>
      </c>
      <c r="H369" s="49" t="str">
        <f t="shared" si="24"/>
        <v>s. D.</v>
      </c>
      <c r="I369" s="48" t="str">
        <f t="shared" si="26"/>
        <v/>
      </c>
      <c r="J369" s="49" t="str">
        <f>I369&amp;IF(NOT(ISBLANK(E369)),CHAR(10)&amp;VLOOKUP(E369,AttackRiskStep!$A$3:$C$99,3,FALSE),"see Description")&amp;IF(NOT(ISBLANK(F369))," -&gt; "&amp;CHAR(10)&amp;VLOOKUP(F369,AttackRiskStep!$A$3:$C$99,3,FALSE),"")&amp;IF(NOT(ISBLANK(G369))," -&gt; "&amp;CHAR(10)&amp;VLOOKUP(G369,AttackRiskStep!$A$3:$C$99,3,FALSE),"")</f>
        <v>see Description</v>
      </c>
      <c r="P369" s="38" t="e">
        <f>VLOOKUP($N369,Likelihood!$A$3:$B$7,2,FALSE)*VLOOKUP($O369,Impact!$A$4:$B$8,2,FALSE)</f>
        <v>#N/A</v>
      </c>
      <c r="Q369" s="39" t="e">
        <f>VLOOKUP(P369,RPN!$B$6:$C$22,2)</f>
        <v>#N/A</v>
      </c>
      <c r="Z369" s="9" t="e">
        <f ca="1">VLOOKUP($N369,Likelihood!$A$3:$C$7,2,FALSE)+RANDBETWEEN(-20,20)/100</f>
        <v>#N/A</v>
      </c>
      <c r="AA369" s="9" t="e">
        <f ca="1">IF($Q369=AA$2,VLOOKUP($O369,Impact!$A$4:$B$8,2,FALSE)+RANDBETWEEN(-20,20)/100,NA())</f>
        <v>#N/A</v>
      </c>
      <c r="AB369" s="9" t="e">
        <f ca="1">IF($Q369=AB$2,VLOOKUP($O369,Impact!$A$4:$B$8,2,FALSE)+RANDBETWEEN(-20,20)/100,NA())</f>
        <v>#N/A</v>
      </c>
      <c r="AC369" s="9" t="e">
        <f ca="1">IF($Q369=AC$2,VLOOKUP($O369,Impact!$A$4:$B$8,2,FALSE)+RANDBETWEEN(-20,20)/100,NA())</f>
        <v>#N/A</v>
      </c>
    </row>
    <row r="370" spans="1:29" x14ac:dyDescent="0.25">
      <c r="A370" s="17">
        <v>368</v>
      </c>
      <c r="B370" s="3" t="str">
        <f t="shared" si="25"/>
        <v/>
      </c>
      <c r="H370" s="49" t="str">
        <f t="shared" si="24"/>
        <v>s. D.</v>
      </c>
      <c r="I370" s="48" t="str">
        <f t="shared" si="26"/>
        <v/>
      </c>
      <c r="J370" s="49" t="str">
        <f>I370&amp;IF(NOT(ISBLANK(E370)),CHAR(10)&amp;VLOOKUP(E370,AttackRiskStep!$A$3:$C$99,3,FALSE),"see Description")&amp;IF(NOT(ISBLANK(F370))," -&gt; "&amp;CHAR(10)&amp;VLOOKUP(F370,AttackRiskStep!$A$3:$C$99,3,FALSE),"")&amp;IF(NOT(ISBLANK(G370))," -&gt; "&amp;CHAR(10)&amp;VLOOKUP(G370,AttackRiskStep!$A$3:$C$99,3,FALSE),"")</f>
        <v>see Description</v>
      </c>
      <c r="P370" s="38" t="e">
        <f>VLOOKUP($N370,Likelihood!$A$3:$B$7,2,FALSE)*VLOOKUP($O370,Impact!$A$4:$B$8,2,FALSE)</f>
        <v>#N/A</v>
      </c>
      <c r="Q370" s="39" t="e">
        <f>VLOOKUP(P370,RPN!$B$6:$C$22,2)</f>
        <v>#N/A</v>
      </c>
      <c r="Z370" s="9" t="e">
        <f ca="1">VLOOKUP($N370,Likelihood!$A$3:$C$7,2,FALSE)+RANDBETWEEN(-20,20)/100</f>
        <v>#N/A</v>
      </c>
      <c r="AA370" s="9" t="e">
        <f ca="1">IF($Q370=AA$2,VLOOKUP($O370,Impact!$A$4:$B$8,2,FALSE)+RANDBETWEEN(-20,20)/100,NA())</f>
        <v>#N/A</v>
      </c>
      <c r="AB370" s="9" t="e">
        <f ca="1">IF($Q370=AB$2,VLOOKUP($O370,Impact!$A$4:$B$8,2,FALSE)+RANDBETWEEN(-20,20)/100,NA())</f>
        <v>#N/A</v>
      </c>
      <c r="AC370" s="9" t="e">
        <f ca="1">IF($Q370=AC$2,VLOOKUP($O370,Impact!$A$4:$B$8,2,FALSE)+RANDBETWEEN(-20,20)/100,NA())</f>
        <v>#N/A</v>
      </c>
    </row>
    <row r="371" spans="1:29" x14ac:dyDescent="0.25">
      <c r="A371" s="17">
        <v>369</v>
      </c>
      <c r="B371" s="3" t="str">
        <f t="shared" si="25"/>
        <v/>
      </c>
      <c r="H371" s="49" t="str">
        <f t="shared" si="24"/>
        <v>s. D.</v>
      </c>
      <c r="I371" s="48" t="str">
        <f t="shared" si="26"/>
        <v/>
      </c>
      <c r="J371" s="49" t="str">
        <f>I371&amp;IF(NOT(ISBLANK(E371)),CHAR(10)&amp;VLOOKUP(E371,AttackRiskStep!$A$3:$C$99,3,FALSE),"see Description")&amp;IF(NOT(ISBLANK(F371))," -&gt; "&amp;CHAR(10)&amp;VLOOKUP(F371,AttackRiskStep!$A$3:$C$99,3,FALSE),"")&amp;IF(NOT(ISBLANK(G371))," -&gt; "&amp;CHAR(10)&amp;VLOOKUP(G371,AttackRiskStep!$A$3:$C$99,3,FALSE),"")</f>
        <v>see Description</v>
      </c>
      <c r="P371" s="38" t="e">
        <f>VLOOKUP($N371,Likelihood!$A$3:$B$7,2,FALSE)*VLOOKUP($O371,Impact!$A$4:$B$8,2,FALSE)</f>
        <v>#N/A</v>
      </c>
      <c r="Q371" s="39" t="e">
        <f>VLOOKUP(P371,RPN!$B$6:$C$22,2)</f>
        <v>#N/A</v>
      </c>
      <c r="Z371" s="9" t="e">
        <f ca="1">VLOOKUP($N371,Likelihood!$A$3:$C$7,2,FALSE)+RANDBETWEEN(-20,20)/100</f>
        <v>#N/A</v>
      </c>
      <c r="AA371" s="9" t="e">
        <f ca="1">IF($Q371=AA$2,VLOOKUP($O371,Impact!$A$4:$B$8,2,FALSE)+RANDBETWEEN(-20,20)/100,NA())</f>
        <v>#N/A</v>
      </c>
      <c r="AB371" s="9" t="e">
        <f ca="1">IF($Q371=AB$2,VLOOKUP($O371,Impact!$A$4:$B$8,2,FALSE)+RANDBETWEEN(-20,20)/100,NA())</f>
        <v>#N/A</v>
      </c>
      <c r="AC371" s="9" t="e">
        <f ca="1">IF($Q371=AC$2,VLOOKUP($O371,Impact!$A$4:$B$8,2,FALSE)+RANDBETWEEN(-20,20)/100,NA())</f>
        <v>#N/A</v>
      </c>
    </row>
    <row r="372" spans="1:29" x14ac:dyDescent="0.25">
      <c r="A372" s="17">
        <v>370</v>
      </c>
      <c r="B372" s="3" t="str">
        <f t="shared" si="25"/>
        <v/>
      </c>
      <c r="H372" s="49" t="str">
        <f t="shared" si="24"/>
        <v>s. D.</v>
      </c>
      <c r="I372" s="48" t="str">
        <f t="shared" si="26"/>
        <v/>
      </c>
      <c r="J372" s="49" t="str">
        <f>I372&amp;IF(NOT(ISBLANK(E372)),CHAR(10)&amp;VLOOKUP(E372,AttackRiskStep!$A$3:$C$99,3,FALSE),"see Description")&amp;IF(NOT(ISBLANK(F372))," -&gt; "&amp;CHAR(10)&amp;VLOOKUP(F372,AttackRiskStep!$A$3:$C$99,3,FALSE),"")&amp;IF(NOT(ISBLANK(G372))," -&gt; "&amp;CHAR(10)&amp;VLOOKUP(G372,AttackRiskStep!$A$3:$C$99,3,FALSE),"")</f>
        <v>see Description</v>
      </c>
      <c r="P372" s="38" t="e">
        <f>VLOOKUP($N372,Likelihood!$A$3:$B$7,2,FALSE)*VLOOKUP($O372,Impact!$A$4:$B$8,2,FALSE)</f>
        <v>#N/A</v>
      </c>
      <c r="Q372" s="39" t="e">
        <f>VLOOKUP(P372,RPN!$B$6:$C$22,2)</f>
        <v>#N/A</v>
      </c>
      <c r="Z372" s="9" t="e">
        <f ca="1">VLOOKUP($N372,Likelihood!$A$3:$C$7,2,FALSE)+RANDBETWEEN(-20,20)/100</f>
        <v>#N/A</v>
      </c>
      <c r="AA372" s="9" t="e">
        <f ca="1">IF($Q372=AA$2,VLOOKUP($O372,Impact!$A$4:$B$8,2,FALSE)+RANDBETWEEN(-20,20)/100,NA())</f>
        <v>#N/A</v>
      </c>
      <c r="AB372" s="9" t="e">
        <f ca="1">IF($Q372=AB$2,VLOOKUP($O372,Impact!$A$4:$B$8,2,FALSE)+RANDBETWEEN(-20,20)/100,NA())</f>
        <v>#N/A</v>
      </c>
      <c r="AC372" s="9" t="e">
        <f ca="1">IF($Q372=AC$2,VLOOKUP($O372,Impact!$A$4:$B$8,2,FALSE)+RANDBETWEEN(-20,20)/100,NA())</f>
        <v>#N/A</v>
      </c>
    </row>
    <row r="373" spans="1:29" x14ac:dyDescent="0.25">
      <c r="A373" s="17">
        <v>371</v>
      </c>
      <c r="B373" s="3" t="str">
        <f t="shared" si="25"/>
        <v/>
      </c>
      <c r="H373" s="49" t="str">
        <f t="shared" si="24"/>
        <v>s. D.</v>
      </c>
      <c r="I373" s="48" t="str">
        <f t="shared" si="26"/>
        <v/>
      </c>
      <c r="J373" s="49" t="str">
        <f>I373&amp;IF(NOT(ISBLANK(E373)),CHAR(10)&amp;VLOOKUP(E373,AttackRiskStep!$A$3:$C$99,3,FALSE),"see Description")&amp;IF(NOT(ISBLANK(F373))," -&gt; "&amp;CHAR(10)&amp;VLOOKUP(F373,AttackRiskStep!$A$3:$C$99,3,FALSE),"")&amp;IF(NOT(ISBLANK(G373))," -&gt; "&amp;CHAR(10)&amp;VLOOKUP(G373,AttackRiskStep!$A$3:$C$99,3,FALSE),"")</f>
        <v>see Description</v>
      </c>
      <c r="P373" s="38" t="e">
        <f>VLOOKUP($N373,Likelihood!$A$3:$B$7,2,FALSE)*VLOOKUP($O373,Impact!$A$4:$B$8,2,FALSE)</f>
        <v>#N/A</v>
      </c>
      <c r="Q373" s="39" t="e">
        <f>VLOOKUP(P373,RPN!$B$6:$C$22,2)</f>
        <v>#N/A</v>
      </c>
      <c r="Z373" s="9" t="e">
        <f ca="1">VLOOKUP($N373,Likelihood!$A$3:$C$7,2,FALSE)+RANDBETWEEN(-20,20)/100</f>
        <v>#N/A</v>
      </c>
      <c r="AA373" s="9" t="e">
        <f ca="1">IF($Q373=AA$2,VLOOKUP($O373,Impact!$A$4:$B$8,2,FALSE)+RANDBETWEEN(-20,20)/100,NA())</f>
        <v>#N/A</v>
      </c>
      <c r="AB373" s="9" t="e">
        <f ca="1">IF($Q373=AB$2,VLOOKUP($O373,Impact!$A$4:$B$8,2,FALSE)+RANDBETWEEN(-20,20)/100,NA())</f>
        <v>#N/A</v>
      </c>
      <c r="AC373" s="9" t="e">
        <f ca="1">IF($Q373=AC$2,VLOOKUP($O373,Impact!$A$4:$B$8,2,FALSE)+RANDBETWEEN(-20,20)/100,NA())</f>
        <v>#N/A</v>
      </c>
    </row>
    <row r="374" spans="1:29" x14ac:dyDescent="0.25">
      <c r="A374" s="17">
        <v>372</v>
      </c>
      <c r="B374" s="3" t="str">
        <f t="shared" si="25"/>
        <v/>
      </c>
      <c r="H374" s="49" t="str">
        <f t="shared" si="24"/>
        <v>s. D.</v>
      </c>
      <c r="I374" s="48" t="str">
        <f t="shared" si="26"/>
        <v/>
      </c>
      <c r="J374" s="49" t="str">
        <f>I374&amp;IF(NOT(ISBLANK(E374)),CHAR(10)&amp;VLOOKUP(E374,AttackRiskStep!$A$3:$C$99,3,FALSE),"see Description")&amp;IF(NOT(ISBLANK(F374))," -&gt; "&amp;CHAR(10)&amp;VLOOKUP(F374,AttackRiskStep!$A$3:$C$99,3,FALSE),"")&amp;IF(NOT(ISBLANK(G374))," -&gt; "&amp;CHAR(10)&amp;VLOOKUP(G374,AttackRiskStep!$A$3:$C$99,3,FALSE),"")</f>
        <v>see Description</v>
      </c>
      <c r="P374" s="38" t="e">
        <f>VLOOKUP($N374,Likelihood!$A$3:$B$7,2,FALSE)*VLOOKUP($O374,Impact!$A$4:$B$8,2,FALSE)</f>
        <v>#N/A</v>
      </c>
      <c r="Q374" s="39" t="e">
        <f>VLOOKUP(P374,RPN!$B$6:$C$22,2)</f>
        <v>#N/A</v>
      </c>
      <c r="Z374" s="9" t="e">
        <f ca="1">VLOOKUP($N374,Likelihood!$A$3:$C$7,2,FALSE)+RANDBETWEEN(-20,20)/100</f>
        <v>#N/A</v>
      </c>
      <c r="AA374" s="9" t="e">
        <f ca="1">IF($Q374=AA$2,VLOOKUP($O374,Impact!$A$4:$B$8,2,FALSE)+RANDBETWEEN(-20,20)/100,NA())</f>
        <v>#N/A</v>
      </c>
      <c r="AB374" s="9" t="e">
        <f ca="1">IF($Q374=AB$2,VLOOKUP($O374,Impact!$A$4:$B$8,2,FALSE)+RANDBETWEEN(-20,20)/100,NA())</f>
        <v>#N/A</v>
      </c>
      <c r="AC374" s="9" t="e">
        <f ca="1">IF($Q374=AC$2,VLOOKUP($O374,Impact!$A$4:$B$8,2,FALSE)+RANDBETWEEN(-20,20)/100,NA())</f>
        <v>#N/A</v>
      </c>
    </row>
    <row r="375" spans="1:29" x14ac:dyDescent="0.25">
      <c r="A375" s="17">
        <v>373</v>
      </c>
      <c r="B375" s="3" t="str">
        <f t="shared" si="25"/>
        <v/>
      </c>
      <c r="H375" s="49" t="str">
        <f t="shared" si="24"/>
        <v>s. D.</v>
      </c>
      <c r="I375" s="48" t="str">
        <f t="shared" si="26"/>
        <v/>
      </c>
      <c r="J375" s="49" t="str">
        <f>I375&amp;IF(NOT(ISBLANK(E375)),CHAR(10)&amp;VLOOKUP(E375,AttackRiskStep!$A$3:$C$99,3,FALSE),"see Description")&amp;IF(NOT(ISBLANK(F375))," -&gt; "&amp;CHAR(10)&amp;VLOOKUP(F375,AttackRiskStep!$A$3:$C$99,3,FALSE),"")&amp;IF(NOT(ISBLANK(G375))," -&gt; "&amp;CHAR(10)&amp;VLOOKUP(G375,AttackRiskStep!$A$3:$C$99,3,FALSE),"")</f>
        <v>see Description</v>
      </c>
      <c r="P375" s="38" t="e">
        <f>VLOOKUP($N375,Likelihood!$A$3:$B$7,2,FALSE)*VLOOKUP($O375,Impact!$A$4:$B$8,2,FALSE)</f>
        <v>#N/A</v>
      </c>
      <c r="Q375" s="39" t="e">
        <f>VLOOKUP(P375,RPN!$B$6:$C$22,2)</f>
        <v>#N/A</v>
      </c>
      <c r="Z375" s="9" t="e">
        <f ca="1">VLOOKUP($N375,Likelihood!$A$3:$C$7,2,FALSE)+RANDBETWEEN(-20,20)/100</f>
        <v>#N/A</v>
      </c>
      <c r="AA375" s="9" t="e">
        <f ca="1">IF($Q375=AA$2,VLOOKUP($O375,Impact!$A$4:$B$8,2,FALSE)+RANDBETWEEN(-20,20)/100,NA())</f>
        <v>#N/A</v>
      </c>
      <c r="AB375" s="9" t="e">
        <f ca="1">IF($Q375=AB$2,VLOOKUP($O375,Impact!$A$4:$B$8,2,FALSE)+RANDBETWEEN(-20,20)/100,NA())</f>
        <v>#N/A</v>
      </c>
      <c r="AC375" s="9" t="e">
        <f ca="1">IF($Q375=AC$2,VLOOKUP($O375,Impact!$A$4:$B$8,2,FALSE)+RANDBETWEEN(-20,20)/100,NA())</f>
        <v>#N/A</v>
      </c>
    </row>
    <row r="376" spans="1:29" x14ac:dyDescent="0.25">
      <c r="A376" s="17">
        <v>374</v>
      </c>
      <c r="B376" s="3" t="str">
        <f t="shared" si="25"/>
        <v/>
      </c>
      <c r="H376" s="49" t="str">
        <f t="shared" si="24"/>
        <v>s. D.</v>
      </c>
      <c r="I376" s="48" t="str">
        <f t="shared" si="26"/>
        <v/>
      </c>
      <c r="J376" s="49" t="str">
        <f>I376&amp;IF(NOT(ISBLANK(E376)),CHAR(10)&amp;VLOOKUP(E376,AttackRiskStep!$A$3:$C$99,3,FALSE),"see Description")&amp;IF(NOT(ISBLANK(F376))," -&gt; "&amp;CHAR(10)&amp;VLOOKUP(F376,AttackRiskStep!$A$3:$C$99,3,FALSE),"")&amp;IF(NOT(ISBLANK(G376))," -&gt; "&amp;CHAR(10)&amp;VLOOKUP(G376,AttackRiskStep!$A$3:$C$99,3,FALSE),"")</f>
        <v>see Description</v>
      </c>
      <c r="P376" s="38" t="e">
        <f>VLOOKUP($N376,Likelihood!$A$3:$B$7,2,FALSE)*VLOOKUP($O376,Impact!$A$4:$B$8,2,FALSE)</f>
        <v>#N/A</v>
      </c>
      <c r="Q376" s="39" t="e">
        <f>VLOOKUP(P376,RPN!$B$6:$C$22,2)</f>
        <v>#N/A</v>
      </c>
      <c r="Z376" s="9" t="e">
        <f ca="1">VLOOKUP($N376,Likelihood!$A$3:$C$7,2,FALSE)+RANDBETWEEN(-20,20)/100</f>
        <v>#N/A</v>
      </c>
      <c r="AA376" s="9" t="e">
        <f ca="1">IF($Q376=AA$2,VLOOKUP($O376,Impact!$A$4:$B$8,2,FALSE)+RANDBETWEEN(-20,20)/100,NA())</f>
        <v>#N/A</v>
      </c>
      <c r="AB376" s="9" t="e">
        <f ca="1">IF($Q376=AB$2,VLOOKUP($O376,Impact!$A$4:$B$8,2,FALSE)+RANDBETWEEN(-20,20)/100,NA())</f>
        <v>#N/A</v>
      </c>
      <c r="AC376" s="9" t="e">
        <f ca="1">IF($Q376=AC$2,VLOOKUP($O376,Impact!$A$4:$B$8,2,FALSE)+RANDBETWEEN(-20,20)/100,NA())</f>
        <v>#N/A</v>
      </c>
    </row>
    <row r="377" spans="1:29" x14ac:dyDescent="0.25">
      <c r="A377" s="17">
        <v>375</v>
      </c>
      <c r="B377" s="3" t="str">
        <f t="shared" si="25"/>
        <v/>
      </c>
      <c r="H377" s="49" t="str">
        <f t="shared" si="24"/>
        <v>s. D.</v>
      </c>
      <c r="I377" s="48" t="str">
        <f t="shared" si="26"/>
        <v/>
      </c>
      <c r="J377" s="49" t="str">
        <f>I377&amp;IF(NOT(ISBLANK(E377)),CHAR(10)&amp;VLOOKUP(E377,AttackRiskStep!$A$3:$C$99,3,FALSE),"see Description")&amp;IF(NOT(ISBLANK(F377))," -&gt; "&amp;CHAR(10)&amp;VLOOKUP(F377,AttackRiskStep!$A$3:$C$99,3,FALSE),"")&amp;IF(NOT(ISBLANK(G377))," -&gt; "&amp;CHAR(10)&amp;VLOOKUP(G377,AttackRiskStep!$A$3:$C$99,3,FALSE),"")</f>
        <v>see Description</v>
      </c>
      <c r="P377" s="38" t="e">
        <f>VLOOKUP($N377,Likelihood!$A$3:$B$7,2,FALSE)*VLOOKUP($O377,Impact!$A$4:$B$8,2,FALSE)</f>
        <v>#N/A</v>
      </c>
      <c r="Q377" s="39" t="e">
        <f>VLOOKUP(P377,RPN!$B$6:$C$22,2)</f>
        <v>#N/A</v>
      </c>
      <c r="Z377" s="9" t="e">
        <f ca="1">VLOOKUP($N377,Likelihood!$A$3:$C$7,2,FALSE)+RANDBETWEEN(-20,20)/100</f>
        <v>#N/A</v>
      </c>
      <c r="AA377" s="9" t="e">
        <f ca="1">IF($Q377=AA$2,VLOOKUP($O377,Impact!$A$4:$B$8,2,FALSE)+RANDBETWEEN(-20,20)/100,NA())</f>
        <v>#N/A</v>
      </c>
      <c r="AB377" s="9" t="e">
        <f ca="1">IF($Q377=AB$2,VLOOKUP($O377,Impact!$A$4:$B$8,2,FALSE)+RANDBETWEEN(-20,20)/100,NA())</f>
        <v>#N/A</v>
      </c>
      <c r="AC377" s="9" t="e">
        <f ca="1">IF($Q377=AC$2,VLOOKUP($O377,Impact!$A$4:$B$8,2,FALSE)+RANDBETWEEN(-20,20)/100,NA())</f>
        <v>#N/A</v>
      </c>
    </row>
    <row r="378" spans="1:29" x14ac:dyDescent="0.25">
      <c r="A378" s="17">
        <v>376</v>
      </c>
      <c r="B378" s="3" t="str">
        <f t="shared" si="25"/>
        <v/>
      </c>
      <c r="H378" s="49" t="str">
        <f t="shared" si="24"/>
        <v>s. D.</v>
      </c>
      <c r="I378" s="48" t="str">
        <f t="shared" si="26"/>
        <v/>
      </c>
      <c r="J378" s="49" t="str">
        <f>I378&amp;IF(NOT(ISBLANK(E378)),CHAR(10)&amp;VLOOKUP(E378,AttackRiskStep!$A$3:$C$99,3,FALSE),"see Description")&amp;IF(NOT(ISBLANK(F378))," -&gt; "&amp;CHAR(10)&amp;VLOOKUP(F378,AttackRiskStep!$A$3:$C$99,3,FALSE),"")&amp;IF(NOT(ISBLANK(G378))," -&gt; "&amp;CHAR(10)&amp;VLOOKUP(G378,AttackRiskStep!$A$3:$C$99,3,FALSE),"")</f>
        <v>see Description</v>
      </c>
      <c r="P378" s="38" t="e">
        <f>VLOOKUP($N378,Likelihood!$A$3:$B$7,2,FALSE)*VLOOKUP($O378,Impact!$A$4:$B$8,2,FALSE)</f>
        <v>#N/A</v>
      </c>
      <c r="Q378" s="39" t="e">
        <f>VLOOKUP(P378,RPN!$B$6:$C$22,2)</f>
        <v>#N/A</v>
      </c>
      <c r="Z378" s="9" t="e">
        <f ca="1">VLOOKUP($N378,Likelihood!$A$3:$C$7,2,FALSE)+RANDBETWEEN(-20,20)/100</f>
        <v>#N/A</v>
      </c>
      <c r="AA378" s="9" t="e">
        <f ca="1">IF($Q378=AA$2,VLOOKUP($O378,Impact!$A$4:$B$8,2,FALSE)+RANDBETWEEN(-20,20)/100,NA())</f>
        <v>#N/A</v>
      </c>
      <c r="AB378" s="9" t="e">
        <f ca="1">IF($Q378=AB$2,VLOOKUP($O378,Impact!$A$4:$B$8,2,FALSE)+RANDBETWEEN(-20,20)/100,NA())</f>
        <v>#N/A</v>
      </c>
      <c r="AC378" s="9" t="e">
        <f ca="1">IF($Q378=AC$2,VLOOKUP($O378,Impact!$A$4:$B$8,2,FALSE)+RANDBETWEEN(-20,20)/100,NA())</f>
        <v>#N/A</v>
      </c>
    </row>
    <row r="379" spans="1:29" x14ac:dyDescent="0.25">
      <c r="A379" s="17">
        <v>377</v>
      </c>
      <c r="B379" s="3" t="str">
        <f t="shared" si="25"/>
        <v/>
      </c>
      <c r="H379" s="49" t="str">
        <f t="shared" si="24"/>
        <v>s. D.</v>
      </c>
      <c r="I379" s="48" t="str">
        <f t="shared" si="26"/>
        <v/>
      </c>
      <c r="J379" s="49" t="str">
        <f>I379&amp;IF(NOT(ISBLANK(E379)),CHAR(10)&amp;VLOOKUP(E379,AttackRiskStep!$A$3:$C$99,3,FALSE),"see Description")&amp;IF(NOT(ISBLANK(F379))," -&gt; "&amp;CHAR(10)&amp;VLOOKUP(F379,AttackRiskStep!$A$3:$C$99,3,FALSE),"")&amp;IF(NOT(ISBLANK(G379))," -&gt; "&amp;CHAR(10)&amp;VLOOKUP(G379,AttackRiskStep!$A$3:$C$99,3,FALSE),"")</f>
        <v>see Description</v>
      </c>
      <c r="P379" s="38" t="e">
        <f>VLOOKUP($N379,Likelihood!$A$3:$B$7,2,FALSE)*VLOOKUP($O379,Impact!$A$4:$B$8,2,FALSE)</f>
        <v>#N/A</v>
      </c>
      <c r="Q379" s="39" t="e">
        <f>VLOOKUP(P379,RPN!$B$6:$C$22,2)</f>
        <v>#N/A</v>
      </c>
      <c r="Z379" s="9" t="e">
        <f ca="1">VLOOKUP($N379,Likelihood!$A$3:$C$7,2,FALSE)+RANDBETWEEN(-20,20)/100</f>
        <v>#N/A</v>
      </c>
      <c r="AA379" s="9" t="e">
        <f ca="1">IF($Q379=AA$2,VLOOKUP($O379,Impact!$A$4:$B$8,2,FALSE)+RANDBETWEEN(-20,20)/100,NA())</f>
        <v>#N/A</v>
      </c>
      <c r="AB379" s="9" t="e">
        <f ca="1">IF($Q379=AB$2,VLOOKUP($O379,Impact!$A$4:$B$8,2,FALSE)+RANDBETWEEN(-20,20)/100,NA())</f>
        <v>#N/A</v>
      </c>
      <c r="AC379" s="9" t="e">
        <f ca="1">IF($Q379=AC$2,VLOOKUP($O379,Impact!$A$4:$B$8,2,FALSE)+RANDBETWEEN(-20,20)/100,NA())</f>
        <v>#N/A</v>
      </c>
    </row>
    <row r="380" spans="1:29" x14ac:dyDescent="0.25">
      <c r="A380" s="17">
        <v>378</v>
      </c>
      <c r="B380" s="3" t="str">
        <f t="shared" si="25"/>
        <v/>
      </c>
      <c r="H380" s="49" t="str">
        <f t="shared" si="24"/>
        <v>s. D.</v>
      </c>
      <c r="I380" s="48" t="str">
        <f t="shared" si="26"/>
        <v/>
      </c>
      <c r="J380" s="49" t="str">
        <f>I380&amp;IF(NOT(ISBLANK(E380)),CHAR(10)&amp;VLOOKUP(E380,AttackRiskStep!$A$3:$C$99,3,FALSE),"see Description")&amp;IF(NOT(ISBLANK(F380))," -&gt; "&amp;CHAR(10)&amp;VLOOKUP(F380,AttackRiskStep!$A$3:$C$99,3,FALSE),"")&amp;IF(NOT(ISBLANK(G380))," -&gt; "&amp;CHAR(10)&amp;VLOOKUP(G380,AttackRiskStep!$A$3:$C$99,3,FALSE),"")</f>
        <v>see Description</v>
      </c>
      <c r="P380" s="38" t="e">
        <f>VLOOKUP($N380,Likelihood!$A$3:$B$7,2,FALSE)*VLOOKUP($O380,Impact!$A$4:$B$8,2,FALSE)</f>
        <v>#N/A</v>
      </c>
      <c r="Q380" s="39" t="e">
        <f>VLOOKUP(P380,RPN!$B$6:$C$22,2)</f>
        <v>#N/A</v>
      </c>
      <c r="Z380" s="9" t="e">
        <f ca="1">VLOOKUP($N380,Likelihood!$A$3:$C$7,2,FALSE)+RANDBETWEEN(-20,20)/100</f>
        <v>#N/A</v>
      </c>
      <c r="AA380" s="9" t="e">
        <f ca="1">IF($Q380=AA$2,VLOOKUP($O380,Impact!$A$4:$B$8,2,FALSE)+RANDBETWEEN(-20,20)/100,NA())</f>
        <v>#N/A</v>
      </c>
      <c r="AB380" s="9" t="e">
        <f ca="1">IF($Q380=AB$2,VLOOKUP($O380,Impact!$A$4:$B$8,2,FALSE)+RANDBETWEEN(-20,20)/100,NA())</f>
        <v>#N/A</v>
      </c>
      <c r="AC380" s="9" t="e">
        <f ca="1">IF($Q380=AC$2,VLOOKUP($O380,Impact!$A$4:$B$8,2,FALSE)+RANDBETWEEN(-20,20)/100,NA())</f>
        <v>#N/A</v>
      </c>
    </row>
    <row r="381" spans="1:29" x14ac:dyDescent="0.25">
      <c r="A381" s="17">
        <v>379</v>
      </c>
      <c r="B381" s="3" t="str">
        <f t="shared" si="25"/>
        <v/>
      </c>
      <c r="H381" s="49" t="str">
        <f t="shared" si="24"/>
        <v>s. D.</v>
      </c>
      <c r="I381" s="48" t="str">
        <f t="shared" si="26"/>
        <v/>
      </c>
      <c r="J381" s="49" t="str">
        <f>I381&amp;IF(NOT(ISBLANK(E381)),CHAR(10)&amp;VLOOKUP(E381,AttackRiskStep!$A$3:$C$99,3,FALSE),"see Description")&amp;IF(NOT(ISBLANK(F381))," -&gt; "&amp;CHAR(10)&amp;VLOOKUP(F381,AttackRiskStep!$A$3:$C$99,3,FALSE),"")&amp;IF(NOT(ISBLANK(G381))," -&gt; "&amp;CHAR(10)&amp;VLOOKUP(G381,AttackRiskStep!$A$3:$C$99,3,FALSE),"")</f>
        <v>see Description</v>
      </c>
      <c r="P381" s="38" t="e">
        <f>VLOOKUP($N381,Likelihood!$A$3:$B$7,2,FALSE)*VLOOKUP($O381,Impact!$A$4:$B$8,2,FALSE)</f>
        <v>#N/A</v>
      </c>
      <c r="Q381" s="39" t="e">
        <f>VLOOKUP(P381,RPN!$B$6:$C$22,2)</f>
        <v>#N/A</v>
      </c>
      <c r="Z381" s="9" t="e">
        <f ca="1">VLOOKUP($N381,Likelihood!$A$3:$C$7,2,FALSE)+RANDBETWEEN(-20,20)/100</f>
        <v>#N/A</v>
      </c>
      <c r="AA381" s="9" t="e">
        <f ca="1">IF($Q381=AA$2,VLOOKUP($O381,Impact!$A$4:$B$8,2,FALSE)+RANDBETWEEN(-20,20)/100,NA())</f>
        <v>#N/A</v>
      </c>
      <c r="AB381" s="9" t="e">
        <f ca="1">IF($Q381=AB$2,VLOOKUP($O381,Impact!$A$4:$B$8,2,FALSE)+RANDBETWEEN(-20,20)/100,NA())</f>
        <v>#N/A</v>
      </c>
      <c r="AC381" s="9" t="e">
        <f ca="1">IF($Q381=AC$2,VLOOKUP($O381,Impact!$A$4:$B$8,2,FALSE)+RANDBETWEEN(-20,20)/100,NA())</f>
        <v>#N/A</v>
      </c>
    </row>
    <row r="382" spans="1:29" x14ac:dyDescent="0.25">
      <c r="A382" s="17">
        <v>380</v>
      </c>
      <c r="B382" s="3" t="str">
        <f t="shared" si="25"/>
        <v/>
      </c>
      <c r="H382" s="49" t="str">
        <f t="shared" si="24"/>
        <v>s. D.</v>
      </c>
      <c r="I382" s="48" t="str">
        <f t="shared" si="26"/>
        <v/>
      </c>
      <c r="J382" s="49" t="str">
        <f>I382&amp;IF(NOT(ISBLANK(E382)),CHAR(10)&amp;VLOOKUP(E382,AttackRiskStep!$A$3:$C$99,3,FALSE),"see Description")&amp;IF(NOT(ISBLANK(F382))," -&gt; "&amp;CHAR(10)&amp;VLOOKUP(F382,AttackRiskStep!$A$3:$C$99,3,FALSE),"")&amp;IF(NOT(ISBLANK(G382))," -&gt; "&amp;CHAR(10)&amp;VLOOKUP(G382,AttackRiskStep!$A$3:$C$99,3,FALSE),"")</f>
        <v>see Description</v>
      </c>
      <c r="P382" s="38" t="e">
        <f>VLOOKUP($N382,Likelihood!$A$3:$B$7,2,FALSE)*VLOOKUP($O382,Impact!$A$4:$B$8,2,FALSE)</f>
        <v>#N/A</v>
      </c>
      <c r="Q382" s="39" t="e">
        <f>VLOOKUP(P382,RPN!$B$6:$C$22,2)</f>
        <v>#N/A</v>
      </c>
      <c r="Z382" s="9" t="e">
        <f ca="1">VLOOKUP($N382,Likelihood!$A$3:$C$7,2,FALSE)+RANDBETWEEN(-20,20)/100</f>
        <v>#N/A</v>
      </c>
      <c r="AA382" s="9" t="e">
        <f ca="1">IF($Q382=AA$2,VLOOKUP($O382,Impact!$A$4:$B$8,2,FALSE)+RANDBETWEEN(-20,20)/100,NA())</f>
        <v>#N/A</v>
      </c>
      <c r="AB382" s="9" t="e">
        <f ca="1">IF($Q382=AB$2,VLOOKUP($O382,Impact!$A$4:$B$8,2,FALSE)+RANDBETWEEN(-20,20)/100,NA())</f>
        <v>#N/A</v>
      </c>
      <c r="AC382" s="9" t="e">
        <f ca="1">IF($Q382=AC$2,VLOOKUP($O382,Impact!$A$4:$B$8,2,FALSE)+RANDBETWEEN(-20,20)/100,NA())</f>
        <v>#N/A</v>
      </c>
    </row>
    <row r="383" spans="1:29" x14ac:dyDescent="0.25">
      <c r="A383" s="17">
        <v>381</v>
      </c>
      <c r="B383" s="3" t="str">
        <f t="shared" si="25"/>
        <v/>
      </c>
      <c r="H383" s="49" t="str">
        <f t="shared" si="24"/>
        <v>s. D.</v>
      </c>
      <c r="I383" s="48" t="str">
        <f t="shared" si="26"/>
        <v/>
      </c>
      <c r="J383" s="49" t="str">
        <f>I383&amp;IF(NOT(ISBLANK(E383)),CHAR(10)&amp;VLOOKUP(E383,AttackRiskStep!$A$3:$C$99,3,FALSE),"see Description")&amp;IF(NOT(ISBLANK(F383))," -&gt; "&amp;CHAR(10)&amp;VLOOKUP(F383,AttackRiskStep!$A$3:$C$99,3,FALSE),"")&amp;IF(NOT(ISBLANK(G383))," -&gt; "&amp;CHAR(10)&amp;VLOOKUP(G383,AttackRiskStep!$A$3:$C$99,3,FALSE),"")</f>
        <v>see Description</v>
      </c>
      <c r="P383" s="38" t="e">
        <f>VLOOKUP($N383,Likelihood!$A$3:$B$7,2,FALSE)*VLOOKUP($O383,Impact!$A$4:$B$8,2,FALSE)</f>
        <v>#N/A</v>
      </c>
      <c r="Q383" s="39" t="e">
        <f>VLOOKUP(P383,RPN!$B$6:$C$22,2)</f>
        <v>#N/A</v>
      </c>
      <c r="Z383" s="9" t="e">
        <f ca="1">VLOOKUP($N383,Likelihood!$A$3:$C$7,2,FALSE)+RANDBETWEEN(-20,20)/100</f>
        <v>#N/A</v>
      </c>
      <c r="AA383" s="9" t="e">
        <f ca="1">IF($Q383=AA$2,VLOOKUP($O383,Impact!$A$4:$B$8,2,FALSE)+RANDBETWEEN(-20,20)/100,NA())</f>
        <v>#N/A</v>
      </c>
      <c r="AB383" s="9" t="e">
        <f ca="1">IF($Q383=AB$2,VLOOKUP($O383,Impact!$A$4:$B$8,2,FALSE)+RANDBETWEEN(-20,20)/100,NA())</f>
        <v>#N/A</v>
      </c>
      <c r="AC383" s="9" t="e">
        <f ca="1">IF($Q383=AC$2,VLOOKUP($O383,Impact!$A$4:$B$8,2,FALSE)+RANDBETWEEN(-20,20)/100,NA())</f>
        <v>#N/A</v>
      </c>
    </row>
    <row r="384" spans="1:29" x14ac:dyDescent="0.25">
      <c r="A384" s="17">
        <v>382</v>
      </c>
      <c r="B384" s="3" t="str">
        <f t="shared" si="25"/>
        <v/>
      </c>
      <c r="H384" s="49" t="str">
        <f t="shared" si="24"/>
        <v>s. D.</v>
      </c>
      <c r="I384" s="48" t="str">
        <f t="shared" si="26"/>
        <v/>
      </c>
      <c r="J384" s="49" t="str">
        <f>I384&amp;IF(NOT(ISBLANK(E384)),CHAR(10)&amp;VLOOKUP(E384,AttackRiskStep!$A$3:$C$99,3,FALSE),"see Description")&amp;IF(NOT(ISBLANK(F384))," -&gt; "&amp;CHAR(10)&amp;VLOOKUP(F384,AttackRiskStep!$A$3:$C$99,3,FALSE),"")&amp;IF(NOT(ISBLANK(G384))," -&gt; "&amp;CHAR(10)&amp;VLOOKUP(G384,AttackRiskStep!$A$3:$C$99,3,FALSE),"")</f>
        <v>see Description</v>
      </c>
      <c r="P384" s="38" t="e">
        <f>VLOOKUP($N384,Likelihood!$A$3:$B$7,2,FALSE)*VLOOKUP($O384,Impact!$A$4:$B$8,2,FALSE)</f>
        <v>#N/A</v>
      </c>
      <c r="Q384" s="39" t="e">
        <f>VLOOKUP(P384,RPN!$B$6:$C$22,2)</f>
        <v>#N/A</v>
      </c>
      <c r="Z384" s="9" t="e">
        <f ca="1">VLOOKUP($N384,Likelihood!$A$3:$C$7,2,FALSE)+RANDBETWEEN(-20,20)/100</f>
        <v>#N/A</v>
      </c>
      <c r="AA384" s="9" t="e">
        <f ca="1">IF($Q384=AA$2,VLOOKUP($O384,Impact!$A$4:$B$8,2,FALSE)+RANDBETWEEN(-20,20)/100,NA())</f>
        <v>#N/A</v>
      </c>
      <c r="AB384" s="9" t="e">
        <f ca="1">IF($Q384=AB$2,VLOOKUP($O384,Impact!$A$4:$B$8,2,FALSE)+RANDBETWEEN(-20,20)/100,NA())</f>
        <v>#N/A</v>
      </c>
      <c r="AC384" s="9" t="e">
        <f ca="1">IF($Q384=AC$2,VLOOKUP($O384,Impact!$A$4:$B$8,2,FALSE)+RANDBETWEEN(-20,20)/100,NA())</f>
        <v>#N/A</v>
      </c>
    </row>
    <row r="385" spans="1:29" x14ac:dyDescent="0.25">
      <c r="A385" s="17">
        <v>383</v>
      </c>
      <c r="B385" s="3" t="str">
        <f t="shared" si="25"/>
        <v/>
      </c>
      <c r="H385" s="49" t="str">
        <f t="shared" ref="H385:H448" si="27">IF(ISBLANK(E385),"s. D.",IF(ISBLANK(F385),E385,IF(ISBLANK(G385),F385,G385)))</f>
        <v>s. D.</v>
      </c>
      <c r="I385" s="48" t="str">
        <f t="shared" si="26"/>
        <v/>
      </c>
      <c r="J385" s="49" t="str">
        <f>I385&amp;IF(NOT(ISBLANK(E385)),CHAR(10)&amp;VLOOKUP(E385,AttackRiskStep!$A$3:$C$99,3,FALSE),"see Description")&amp;IF(NOT(ISBLANK(F385))," -&gt; "&amp;CHAR(10)&amp;VLOOKUP(F385,AttackRiskStep!$A$3:$C$99,3,FALSE),"")&amp;IF(NOT(ISBLANK(G385))," -&gt; "&amp;CHAR(10)&amp;VLOOKUP(G385,AttackRiskStep!$A$3:$C$99,3,FALSE),"")</f>
        <v>see Description</v>
      </c>
      <c r="P385" s="38" t="e">
        <f>VLOOKUP($N385,Likelihood!$A$3:$B$7,2,FALSE)*VLOOKUP($O385,Impact!$A$4:$B$8,2,FALSE)</f>
        <v>#N/A</v>
      </c>
      <c r="Q385" s="39" t="e">
        <f>VLOOKUP(P385,RPN!$B$6:$C$22,2)</f>
        <v>#N/A</v>
      </c>
      <c r="Z385" s="9" t="e">
        <f ca="1">VLOOKUP($N385,Likelihood!$A$3:$C$7,2,FALSE)+RANDBETWEEN(-20,20)/100</f>
        <v>#N/A</v>
      </c>
      <c r="AA385" s="9" t="e">
        <f ca="1">IF($Q385=AA$2,VLOOKUP($O385,Impact!$A$4:$B$8,2,FALSE)+RANDBETWEEN(-20,20)/100,NA())</f>
        <v>#N/A</v>
      </c>
      <c r="AB385" s="9" t="e">
        <f ca="1">IF($Q385=AB$2,VLOOKUP($O385,Impact!$A$4:$B$8,2,FALSE)+RANDBETWEEN(-20,20)/100,NA())</f>
        <v>#N/A</v>
      </c>
      <c r="AC385" s="9" t="e">
        <f ca="1">IF($Q385=AC$2,VLOOKUP($O385,Impact!$A$4:$B$8,2,FALSE)+RANDBETWEEN(-20,20)/100,NA())</f>
        <v>#N/A</v>
      </c>
    </row>
    <row r="386" spans="1:29" x14ac:dyDescent="0.25">
      <c r="A386" s="17">
        <v>384</v>
      </c>
      <c r="B386" s="3" t="str">
        <f t="shared" si="25"/>
        <v/>
      </c>
      <c r="H386" s="49" t="str">
        <f t="shared" si="27"/>
        <v>s. D.</v>
      </c>
      <c r="I386" s="48" t="str">
        <f t="shared" si="26"/>
        <v/>
      </c>
      <c r="J386" s="49" t="str">
        <f>I386&amp;IF(NOT(ISBLANK(E386)),CHAR(10)&amp;VLOOKUP(E386,AttackRiskStep!$A$3:$C$99,3,FALSE),"see Description")&amp;IF(NOT(ISBLANK(F386))," -&gt; "&amp;CHAR(10)&amp;VLOOKUP(F386,AttackRiskStep!$A$3:$C$99,3,FALSE),"")&amp;IF(NOT(ISBLANK(G386))," -&gt; "&amp;CHAR(10)&amp;VLOOKUP(G386,AttackRiskStep!$A$3:$C$99,3,FALSE),"")</f>
        <v>see Description</v>
      </c>
      <c r="P386" s="38" t="e">
        <f>VLOOKUP($N386,Likelihood!$A$3:$B$7,2,FALSE)*VLOOKUP($O386,Impact!$A$4:$B$8,2,FALSE)</f>
        <v>#N/A</v>
      </c>
      <c r="Q386" s="39" t="e">
        <f>VLOOKUP(P386,RPN!$B$6:$C$22,2)</f>
        <v>#N/A</v>
      </c>
      <c r="Z386" s="9" t="e">
        <f ca="1">VLOOKUP($N386,Likelihood!$A$3:$C$7,2,FALSE)+RANDBETWEEN(-20,20)/100</f>
        <v>#N/A</v>
      </c>
      <c r="AA386" s="9" t="e">
        <f ca="1">IF($Q386=AA$2,VLOOKUP($O386,Impact!$A$4:$B$8,2,FALSE)+RANDBETWEEN(-20,20)/100,NA())</f>
        <v>#N/A</v>
      </c>
      <c r="AB386" s="9" t="e">
        <f ca="1">IF($Q386=AB$2,VLOOKUP($O386,Impact!$A$4:$B$8,2,FALSE)+RANDBETWEEN(-20,20)/100,NA())</f>
        <v>#N/A</v>
      </c>
      <c r="AC386" s="9" t="e">
        <f ca="1">IF($Q386=AC$2,VLOOKUP($O386,Impact!$A$4:$B$8,2,FALSE)+RANDBETWEEN(-20,20)/100,NA())</f>
        <v>#N/A</v>
      </c>
    </row>
    <row r="387" spans="1:29" x14ac:dyDescent="0.25">
      <c r="A387" s="17">
        <v>385</v>
      </c>
      <c r="B387" s="3" t="str">
        <f t="shared" ref="B387:B450" si="28">I387</f>
        <v/>
      </c>
      <c r="H387" s="49" t="str">
        <f t="shared" si="27"/>
        <v>s. D.</v>
      </c>
      <c r="I387" s="48" t="str">
        <f t="shared" ref="I387:I450" si="29">IF(NOT(ISBLANK(E387)),E387,"")&amp;IF(NOT(ISBLANK(F387))," -&gt; "&amp;F387,"")&amp;IF(NOT(ISBLANK(G387))," -&gt; "&amp;G387,"")</f>
        <v/>
      </c>
      <c r="J387" s="49" t="str">
        <f>I387&amp;IF(NOT(ISBLANK(E387)),CHAR(10)&amp;VLOOKUP(E387,AttackRiskStep!$A$3:$C$99,3,FALSE),"see Description")&amp;IF(NOT(ISBLANK(F387))," -&gt; "&amp;CHAR(10)&amp;VLOOKUP(F387,AttackRiskStep!$A$3:$C$99,3,FALSE),"")&amp;IF(NOT(ISBLANK(G387))," -&gt; "&amp;CHAR(10)&amp;VLOOKUP(G387,AttackRiskStep!$A$3:$C$99,3,FALSE),"")</f>
        <v>see Description</v>
      </c>
      <c r="P387" s="38" t="e">
        <f>VLOOKUP($N387,Likelihood!$A$3:$B$7,2,FALSE)*VLOOKUP($O387,Impact!$A$4:$B$8,2,FALSE)</f>
        <v>#N/A</v>
      </c>
      <c r="Q387" s="39" t="e">
        <f>VLOOKUP(P387,RPN!$B$6:$C$22,2)</f>
        <v>#N/A</v>
      </c>
      <c r="Z387" s="9" t="e">
        <f ca="1">VLOOKUP($N387,Likelihood!$A$3:$C$7,2,FALSE)+RANDBETWEEN(-20,20)/100</f>
        <v>#N/A</v>
      </c>
      <c r="AA387" s="9" t="e">
        <f ca="1">IF($Q387=AA$2,VLOOKUP($O387,Impact!$A$4:$B$8,2,FALSE)+RANDBETWEEN(-20,20)/100,NA())</f>
        <v>#N/A</v>
      </c>
      <c r="AB387" s="9" t="e">
        <f ca="1">IF($Q387=AB$2,VLOOKUP($O387,Impact!$A$4:$B$8,2,FALSE)+RANDBETWEEN(-20,20)/100,NA())</f>
        <v>#N/A</v>
      </c>
      <c r="AC387" s="9" t="e">
        <f ca="1">IF($Q387=AC$2,VLOOKUP($O387,Impact!$A$4:$B$8,2,FALSE)+RANDBETWEEN(-20,20)/100,NA())</f>
        <v>#N/A</v>
      </c>
    </row>
    <row r="388" spans="1:29" x14ac:dyDescent="0.25">
      <c r="A388" s="17">
        <v>386</v>
      </c>
      <c r="B388" s="3" t="str">
        <f t="shared" si="28"/>
        <v/>
      </c>
      <c r="H388" s="49" t="str">
        <f t="shared" si="27"/>
        <v>s. D.</v>
      </c>
      <c r="I388" s="48" t="str">
        <f t="shared" si="29"/>
        <v/>
      </c>
      <c r="J388" s="49" t="str">
        <f>I388&amp;IF(NOT(ISBLANK(E388)),CHAR(10)&amp;VLOOKUP(E388,AttackRiskStep!$A$3:$C$99,3,FALSE),"see Description")&amp;IF(NOT(ISBLANK(F388))," -&gt; "&amp;CHAR(10)&amp;VLOOKUP(F388,AttackRiskStep!$A$3:$C$99,3,FALSE),"")&amp;IF(NOT(ISBLANK(G388))," -&gt; "&amp;CHAR(10)&amp;VLOOKUP(G388,AttackRiskStep!$A$3:$C$99,3,FALSE),"")</f>
        <v>see Description</v>
      </c>
      <c r="P388" s="38" t="e">
        <f>VLOOKUP($N388,Likelihood!$A$3:$B$7,2,FALSE)*VLOOKUP($O388,Impact!$A$4:$B$8,2,FALSE)</f>
        <v>#N/A</v>
      </c>
      <c r="Q388" s="39" t="e">
        <f>VLOOKUP(P388,RPN!$B$6:$C$22,2)</f>
        <v>#N/A</v>
      </c>
      <c r="Z388" s="9" t="e">
        <f ca="1">VLOOKUP($N388,Likelihood!$A$3:$C$7,2,FALSE)+RANDBETWEEN(-20,20)/100</f>
        <v>#N/A</v>
      </c>
      <c r="AA388" s="9" t="e">
        <f ca="1">IF($Q388=AA$2,VLOOKUP($O388,Impact!$A$4:$B$8,2,FALSE)+RANDBETWEEN(-20,20)/100,NA())</f>
        <v>#N/A</v>
      </c>
      <c r="AB388" s="9" t="e">
        <f ca="1">IF($Q388=AB$2,VLOOKUP($O388,Impact!$A$4:$B$8,2,FALSE)+RANDBETWEEN(-20,20)/100,NA())</f>
        <v>#N/A</v>
      </c>
      <c r="AC388" s="9" t="e">
        <f ca="1">IF($Q388=AC$2,VLOOKUP($O388,Impact!$A$4:$B$8,2,FALSE)+RANDBETWEEN(-20,20)/100,NA())</f>
        <v>#N/A</v>
      </c>
    </row>
    <row r="389" spans="1:29" x14ac:dyDescent="0.25">
      <c r="A389" s="17">
        <v>387</v>
      </c>
      <c r="B389" s="3" t="str">
        <f t="shared" si="28"/>
        <v/>
      </c>
      <c r="H389" s="49" t="str">
        <f t="shared" si="27"/>
        <v>s. D.</v>
      </c>
      <c r="I389" s="48" t="str">
        <f t="shared" si="29"/>
        <v/>
      </c>
      <c r="J389" s="49" t="str">
        <f>I389&amp;IF(NOT(ISBLANK(E389)),CHAR(10)&amp;VLOOKUP(E389,AttackRiskStep!$A$3:$C$99,3,FALSE),"see Description")&amp;IF(NOT(ISBLANK(F389))," -&gt; "&amp;CHAR(10)&amp;VLOOKUP(F389,AttackRiskStep!$A$3:$C$99,3,FALSE),"")&amp;IF(NOT(ISBLANK(G389))," -&gt; "&amp;CHAR(10)&amp;VLOOKUP(G389,AttackRiskStep!$A$3:$C$99,3,FALSE),"")</f>
        <v>see Description</v>
      </c>
      <c r="P389" s="38" t="e">
        <f>VLOOKUP($N389,Likelihood!$A$3:$B$7,2,FALSE)*VLOOKUP($O389,Impact!$A$4:$B$8,2,FALSE)</f>
        <v>#N/A</v>
      </c>
      <c r="Q389" s="39" t="e">
        <f>VLOOKUP(P389,RPN!$B$6:$C$22,2)</f>
        <v>#N/A</v>
      </c>
      <c r="Z389" s="9" t="e">
        <f ca="1">VLOOKUP($N389,Likelihood!$A$3:$C$7,2,FALSE)+RANDBETWEEN(-20,20)/100</f>
        <v>#N/A</v>
      </c>
      <c r="AA389" s="9" t="e">
        <f ca="1">IF($Q389=AA$2,VLOOKUP($O389,Impact!$A$4:$B$8,2,FALSE)+RANDBETWEEN(-20,20)/100,NA())</f>
        <v>#N/A</v>
      </c>
      <c r="AB389" s="9" t="e">
        <f ca="1">IF($Q389=AB$2,VLOOKUP($O389,Impact!$A$4:$B$8,2,FALSE)+RANDBETWEEN(-20,20)/100,NA())</f>
        <v>#N/A</v>
      </c>
      <c r="AC389" s="9" t="e">
        <f ca="1">IF($Q389=AC$2,VLOOKUP($O389,Impact!$A$4:$B$8,2,FALSE)+RANDBETWEEN(-20,20)/100,NA())</f>
        <v>#N/A</v>
      </c>
    </row>
    <row r="390" spans="1:29" x14ac:dyDescent="0.25">
      <c r="A390" s="17">
        <v>388</v>
      </c>
      <c r="B390" s="3" t="str">
        <f t="shared" si="28"/>
        <v/>
      </c>
      <c r="H390" s="49" t="str">
        <f t="shared" si="27"/>
        <v>s. D.</v>
      </c>
      <c r="I390" s="48" t="str">
        <f t="shared" si="29"/>
        <v/>
      </c>
      <c r="J390" s="49" t="str">
        <f>I390&amp;IF(NOT(ISBLANK(E390)),CHAR(10)&amp;VLOOKUP(E390,AttackRiskStep!$A$3:$C$99,3,FALSE),"see Description")&amp;IF(NOT(ISBLANK(F390))," -&gt; "&amp;CHAR(10)&amp;VLOOKUP(F390,AttackRiskStep!$A$3:$C$99,3,FALSE),"")&amp;IF(NOT(ISBLANK(G390))," -&gt; "&amp;CHAR(10)&amp;VLOOKUP(G390,AttackRiskStep!$A$3:$C$99,3,FALSE),"")</f>
        <v>see Description</v>
      </c>
      <c r="P390" s="38" t="e">
        <f>VLOOKUP($N390,Likelihood!$A$3:$B$7,2,FALSE)*VLOOKUP($O390,Impact!$A$4:$B$8,2,FALSE)</f>
        <v>#N/A</v>
      </c>
      <c r="Q390" s="39" t="e">
        <f>VLOOKUP(P390,RPN!$B$6:$C$22,2)</f>
        <v>#N/A</v>
      </c>
      <c r="Z390" s="9" t="e">
        <f ca="1">VLOOKUP($N390,Likelihood!$A$3:$C$7,2,FALSE)+RANDBETWEEN(-20,20)/100</f>
        <v>#N/A</v>
      </c>
      <c r="AA390" s="9" t="e">
        <f ca="1">IF($Q390=AA$2,VLOOKUP($O390,Impact!$A$4:$B$8,2,FALSE)+RANDBETWEEN(-20,20)/100,NA())</f>
        <v>#N/A</v>
      </c>
      <c r="AB390" s="9" t="e">
        <f ca="1">IF($Q390=AB$2,VLOOKUP($O390,Impact!$A$4:$B$8,2,FALSE)+RANDBETWEEN(-20,20)/100,NA())</f>
        <v>#N/A</v>
      </c>
      <c r="AC390" s="9" t="e">
        <f ca="1">IF($Q390=AC$2,VLOOKUP($O390,Impact!$A$4:$B$8,2,FALSE)+RANDBETWEEN(-20,20)/100,NA())</f>
        <v>#N/A</v>
      </c>
    </row>
    <row r="391" spans="1:29" x14ac:dyDescent="0.25">
      <c r="A391" s="17">
        <v>389</v>
      </c>
      <c r="B391" s="3" t="str">
        <f t="shared" si="28"/>
        <v/>
      </c>
      <c r="H391" s="49" t="str">
        <f t="shared" si="27"/>
        <v>s. D.</v>
      </c>
      <c r="I391" s="48" t="str">
        <f t="shared" si="29"/>
        <v/>
      </c>
      <c r="J391" s="49" t="str">
        <f>I391&amp;IF(NOT(ISBLANK(E391)),CHAR(10)&amp;VLOOKUP(E391,AttackRiskStep!$A$3:$C$99,3,FALSE),"see Description")&amp;IF(NOT(ISBLANK(F391))," -&gt; "&amp;CHAR(10)&amp;VLOOKUP(F391,AttackRiskStep!$A$3:$C$99,3,FALSE),"")&amp;IF(NOT(ISBLANK(G391))," -&gt; "&amp;CHAR(10)&amp;VLOOKUP(G391,AttackRiskStep!$A$3:$C$99,3,FALSE),"")</f>
        <v>see Description</v>
      </c>
      <c r="P391" s="38" t="e">
        <f>VLOOKUP($N391,Likelihood!$A$3:$B$7,2,FALSE)*VLOOKUP($O391,Impact!$A$4:$B$8,2,FALSE)</f>
        <v>#N/A</v>
      </c>
      <c r="Q391" s="39" t="e">
        <f>VLOOKUP(P391,RPN!$B$6:$C$22,2)</f>
        <v>#N/A</v>
      </c>
      <c r="Z391" s="9" t="e">
        <f ca="1">VLOOKUP($N391,Likelihood!$A$3:$C$7,2,FALSE)+RANDBETWEEN(-20,20)/100</f>
        <v>#N/A</v>
      </c>
      <c r="AA391" s="9" t="e">
        <f ca="1">IF($Q391=AA$2,VLOOKUP($O391,Impact!$A$4:$B$8,2,FALSE)+RANDBETWEEN(-20,20)/100,NA())</f>
        <v>#N/A</v>
      </c>
      <c r="AB391" s="9" t="e">
        <f ca="1">IF($Q391=AB$2,VLOOKUP($O391,Impact!$A$4:$B$8,2,FALSE)+RANDBETWEEN(-20,20)/100,NA())</f>
        <v>#N/A</v>
      </c>
      <c r="AC391" s="9" t="e">
        <f ca="1">IF($Q391=AC$2,VLOOKUP($O391,Impact!$A$4:$B$8,2,FALSE)+RANDBETWEEN(-20,20)/100,NA())</f>
        <v>#N/A</v>
      </c>
    </row>
    <row r="392" spans="1:29" x14ac:dyDescent="0.25">
      <c r="A392" s="17">
        <v>390</v>
      </c>
      <c r="B392" s="3" t="str">
        <f t="shared" si="28"/>
        <v/>
      </c>
      <c r="H392" s="49" t="str">
        <f t="shared" si="27"/>
        <v>s. D.</v>
      </c>
      <c r="I392" s="48" t="str">
        <f t="shared" si="29"/>
        <v/>
      </c>
      <c r="J392" s="49" t="str">
        <f>I392&amp;IF(NOT(ISBLANK(E392)),CHAR(10)&amp;VLOOKUP(E392,AttackRiskStep!$A$3:$C$99,3,FALSE),"see Description")&amp;IF(NOT(ISBLANK(F392))," -&gt; "&amp;CHAR(10)&amp;VLOOKUP(F392,AttackRiskStep!$A$3:$C$99,3,FALSE),"")&amp;IF(NOT(ISBLANK(G392))," -&gt; "&amp;CHAR(10)&amp;VLOOKUP(G392,AttackRiskStep!$A$3:$C$99,3,FALSE),"")</f>
        <v>see Description</v>
      </c>
      <c r="P392" s="38" t="e">
        <f>VLOOKUP($N392,Likelihood!$A$3:$B$7,2,FALSE)*VLOOKUP($O392,Impact!$A$4:$B$8,2,FALSE)</f>
        <v>#N/A</v>
      </c>
      <c r="Q392" s="39" t="e">
        <f>VLOOKUP(P392,RPN!$B$6:$C$22,2)</f>
        <v>#N/A</v>
      </c>
      <c r="Z392" s="9" t="e">
        <f ca="1">VLOOKUP($N392,Likelihood!$A$3:$C$7,2,FALSE)+RANDBETWEEN(-20,20)/100</f>
        <v>#N/A</v>
      </c>
      <c r="AA392" s="9" t="e">
        <f ca="1">IF($Q392=AA$2,VLOOKUP($O392,Impact!$A$4:$B$8,2,FALSE)+RANDBETWEEN(-20,20)/100,NA())</f>
        <v>#N/A</v>
      </c>
      <c r="AB392" s="9" t="e">
        <f ca="1">IF($Q392=AB$2,VLOOKUP($O392,Impact!$A$4:$B$8,2,FALSE)+RANDBETWEEN(-20,20)/100,NA())</f>
        <v>#N/A</v>
      </c>
      <c r="AC392" s="9" t="e">
        <f ca="1">IF($Q392=AC$2,VLOOKUP($O392,Impact!$A$4:$B$8,2,FALSE)+RANDBETWEEN(-20,20)/100,NA())</f>
        <v>#N/A</v>
      </c>
    </row>
    <row r="393" spans="1:29" x14ac:dyDescent="0.25">
      <c r="A393" s="17">
        <v>391</v>
      </c>
      <c r="B393" s="3" t="str">
        <f t="shared" si="28"/>
        <v/>
      </c>
      <c r="H393" s="49" t="str">
        <f t="shared" si="27"/>
        <v>s. D.</v>
      </c>
      <c r="I393" s="48" t="str">
        <f t="shared" si="29"/>
        <v/>
      </c>
      <c r="J393" s="49" t="str">
        <f>I393&amp;IF(NOT(ISBLANK(E393)),CHAR(10)&amp;VLOOKUP(E393,AttackRiskStep!$A$3:$C$99,3,FALSE),"see Description")&amp;IF(NOT(ISBLANK(F393))," -&gt; "&amp;CHAR(10)&amp;VLOOKUP(F393,AttackRiskStep!$A$3:$C$99,3,FALSE),"")&amp;IF(NOT(ISBLANK(G393))," -&gt; "&amp;CHAR(10)&amp;VLOOKUP(G393,AttackRiskStep!$A$3:$C$99,3,FALSE),"")</f>
        <v>see Description</v>
      </c>
      <c r="P393" s="38" t="e">
        <f>VLOOKUP($N393,Likelihood!$A$3:$B$7,2,FALSE)*VLOOKUP($O393,Impact!$A$4:$B$8,2,FALSE)</f>
        <v>#N/A</v>
      </c>
      <c r="Q393" s="39" t="e">
        <f>VLOOKUP(P393,RPN!$B$6:$C$22,2)</f>
        <v>#N/A</v>
      </c>
      <c r="Z393" s="9" t="e">
        <f ca="1">VLOOKUP($N393,Likelihood!$A$3:$C$7,2,FALSE)+RANDBETWEEN(-20,20)/100</f>
        <v>#N/A</v>
      </c>
      <c r="AA393" s="9" t="e">
        <f ca="1">IF($Q393=AA$2,VLOOKUP($O393,Impact!$A$4:$B$8,2,FALSE)+RANDBETWEEN(-20,20)/100,NA())</f>
        <v>#N/A</v>
      </c>
      <c r="AB393" s="9" t="e">
        <f ca="1">IF($Q393=AB$2,VLOOKUP($O393,Impact!$A$4:$B$8,2,FALSE)+RANDBETWEEN(-20,20)/100,NA())</f>
        <v>#N/A</v>
      </c>
      <c r="AC393" s="9" t="e">
        <f ca="1">IF($Q393=AC$2,VLOOKUP($O393,Impact!$A$4:$B$8,2,FALSE)+RANDBETWEEN(-20,20)/100,NA())</f>
        <v>#N/A</v>
      </c>
    </row>
    <row r="394" spans="1:29" x14ac:dyDescent="0.25">
      <c r="A394" s="17">
        <v>392</v>
      </c>
      <c r="B394" s="3" t="str">
        <f t="shared" si="28"/>
        <v/>
      </c>
      <c r="H394" s="49" t="str">
        <f t="shared" si="27"/>
        <v>s. D.</v>
      </c>
      <c r="I394" s="48" t="str">
        <f t="shared" si="29"/>
        <v/>
      </c>
      <c r="J394" s="49" t="str">
        <f>I394&amp;IF(NOT(ISBLANK(E394)),CHAR(10)&amp;VLOOKUP(E394,AttackRiskStep!$A$3:$C$99,3,FALSE),"see Description")&amp;IF(NOT(ISBLANK(F394))," -&gt; "&amp;CHAR(10)&amp;VLOOKUP(F394,AttackRiskStep!$A$3:$C$99,3,FALSE),"")&amp;IF(NOT(ISBLANK(G394))," -&gt; "&amp;CHAR(10)&amp;VLOOKUP(G394,AttackRiskStep!$A$3:$C$99,3,FALSE),"")</f>
        <v>see Description</v>
      </c>
      <c r="P394" s="38" t="e">
        <f>VLOOKUP($N394,Likelihood!$A$3:$B$7,2,FALSE)*VLOOKUP($O394,Impact!$A$4:$B$8,2,FALSE)</f>
        <v>#N/A</v>
      </c>
      <c r="Q394" s="39" t="e">
        <f>VLOOKUP(P394,RPN!$B$6:$C$22,2)</f>
        <v>#N/A</v>
      </c>
      <c r="Z394" s="9" t="e">
        <f ca="1">VLOOKUP($N394,Likelihood!$A$3:$C$7,2,FALSE)+RANDBETWEEN(-20,20)/100</f>
        <v>#N/A</v>
      </c>
      <c r="AA394" s="9" t="e">
        <f ca="1">IF($Q394=AA$2,VLOOKUP($O394,Impact!$A$4:$B$8,2,FALSE)+RANDBETWEEN(-20,20)/100,NA())</f>
        <v>#N/A</v>
      </c>
      <c r="AB394" s="9" t="e">
        <f ca="1">IF($Q394=AB$2,VLOOKUP($O394,Impact!$A$4:$B$8,2,FALSE)+RANDBETWEEN(-20,20)/100,NA())</f>
        <v>#N/A</v>
      </c>
      <c r="AC394" s="9" t="e">
        <f ca="1">IF($Q394=AC$2,VLOOKUP($O394,Impact!$A$4:$B$8,2,FALSE)+RANDBETWEEN(-20,20)/100,NA())</f>
        <v>#N/A</v>
      </c>
    </row>
    <row r="395" spans="1:29" x14ac:dyDescent="0.25">
      <c r="A395" s="17">
        <v>393</v>
      </c>
      <c r="B395" s="3" t="str">
        <f t="shared" si="28"/>
        <v/>
      </c>
      <c r="H395" s="49" t="str">
        <f t="shared" si="27"/>
        <v>s. D.</v>
      </c>
      <c r="I395" s="48" t="str">
        <f t="shared" si="29"/>
        <v/>
      </c>
      <c r="J395" s="49" t="str">
        <f>I395&amp;IF(NOT(ISBLANK(E395)),CHAR(10)&amp;VLOOKUP(E395,AttackRiskStep!$A$3:$C$99,3,FALSE),"see Description")&amp;IF(NOT(ISBLANK(F395))," -&gt; "&amp;CHAR(10)&amp;VLOOKUP(F395,AttackRiskStep!$A$3:$C$99,3,FALSE),"")&amp;IF(NOT(ISBLANK(G395))," -&gt; "&amp;CHAR(10)&amp;VLOOKUP(G395,AttackRiskStep!$A$3:$C$99,3,FALSE),"")</f>
        <v>see Description</v>
      </c>
      <c r="P395" s="38" t="e">
        <f>VLOOKUP($N395,Likelihood!$A$3:$B$7,2,FALSE)*VLOOKUP($O395,Impact!$A$4:$B$8,2,FALSE)</f>
        <v>#N/A</v>
      </c>
      <c r="Q395" s="39" t="e">
        <f>VLOOKUP(P395,RPN!$B$6:$C$22,2)</f>
        <v>#N/A</v>
      </c>
      <c r="Z395" s="9" t="e">
        <f ca="1">VLOOKUP($N395,Likelihood!$A$3:$C$7,2,FALSE)+RANDBETWEEN(-20,20)/100</f>
        <v>#N/A</v>
      </c>
      <c r="AA395" s="9" t="e">
        <f ca="1">IF($Q395=AA$2,VLOOKUP($O395,Impact!$A$4:$B$8,2,FALSE)+RANDBETWEEN(-20,20)/100,NA())</f>
        <v>#N/A</v>
      </c>
      <c r="AB395" s="9" t="e">
        <f ca="1">IF($Q395=AB$2,VLOOKUP($O395,Impact!$A$4:$B$8,2,FALSE)+RANDBETWEEN(-20,20)/100,NA())</f>
        <v>#N/A</v>
      </c>
      <c r="AC395" s="9" t="e">
        <f ca="1">IF($Q395=AC$2,VLOOKUP($O395,Impact!$A$4:$B$8,2,FALSE)+RANDBETWEEN(-20,20)/100,NA())</f>
        <v>#N/A</v>
      </c>
    </row>
    <row r="396" spans="1:29" x14ac:dyDescent="0.25">
      <c r="A396" s="17">
        <v>394</v>
      </c>
      <c r="B396" s="3" t="str">
        <f t="shared" si="28"/>
        <v/>
      </c>
      <c r="H396" s="49" t="str">
        <f t="shared" si="27"/>
        <v>s. D.</v>
      </c>
      <c r="I396" s="48" t="str">
        <f t="shared" si="29"/>
        <v/>
      </c>
      <c r="J396" s="49" t="str">
        <f>I396&amp;IF(NOT(ISBLANK(E396)),CHAR(10)&amp;VLOOKUP(E396,AttackRiskStep!$A$3:$C$99,3,FALSE),"see Description")&amp;IF(NOT(ISBLANK(F396))," -&gt; "&amp;CHAR(10)&amp;VLOOKUP(F396,AttackRiskStep!$A$3:$C$99,3,FALSE),"")&amp;IF(NOT(ISBLANK(G396))," -&gt; "&amp;CHAR(10)&amp;VLOOKUP(G396,AttackRiskStep!$A$3:$C$99,3,FALSE),"")</f>
        <v>see Description</v>
      </c>
      <c r="P396" s="38" t="e">
        <f>VLOOKUP($N396,Likelihood!$A$3:$B$7,2,FALSE)*VLOOKUP($O396,Impact!$A$4:$B$8,2,FALSE)</f>
        <v>#N/A</v>
      </c>
      <c r="Q396" s="39" t="e">
        <f>VLOOKUP(P396,RPN!$B$6:$C$22,2)</f>
        <v>#N/A</v>
      </c>
      <c r="Z396" s="9" t="e">
        <f ca="1">VLOOKUP($N396,Likelihood!$A$3:$C$7,2,FALSE)+RANDBETWEEN(-20,20)/100</f>
        <v>#N/A</v>
      </c>
      <c r="AA396" s="9" t="e">
        <f ca="1">IF($Q396=AA$2,VLOOKUP($O396,Impact!$A$4:$B$8,2,FALSE)+RANDBETWEEN(-20,20)/100,NA())</f>
        <v>#N/A</v>
      </c>
      <c r="AB396" s="9" t="e">
        <f ca="1">IF($Q396=AB$2,VLOOKUP($O396,Impact!$A$4:$B$8,2,FALSE)+RANDBETWEEN(-20,20)/100,NA())</f>
        <v>#N/A</v>
      </c>
      <c r="AC396" s="9" t="e">
        <f ca="1">IF($Q396=AC$2,VLOOKUP($O396,Impact!$A$4:$B$8,2,FALSE)+RANDBETWEEN(-20,20)/100,NA())</f>
        <v>#N/A</v>
      </c>
    </row>
    <row r="397" spans="1:29" x14ac:dyDescent="0.25">
      <c r="A397" s="17">
        <v>395</v>
      </c>
      <c r="B397" s="3" t="str">
        <f t="shared" si="28"/>
        <v/>
      </c>
      <c r="H397" s="49" t="str">
        <f t="shared" si="27"/>
        <v>s. D.</v>
      </c>
      <c r="I397" s="48" t="str">
        <f t="shared" si="29"/>
        <v/>
      </c>
      <c r="J397" s="49" t="str">
        <f>I397&amp;IF(NOT(ISBLANK(E397)),CHAR(10)&amp;VLOOKUP(E397,AttackRiskStep!$A$3:$C$99,3,FALSE),"see Description")&amp;IF(NOT(ISBLANK(F397))," -&gt; "&amp;CHAR(10)&amp;VLOOKUP(F397,AttackRiskStep!$A$3:$C$99,3,FALSE),"")&amp;IF(NOT(ISBLANK(G397))," -&gt; "&amp;CHAR(10)&amp;VLOOKUP(G397,AttackRiskStep!$A$3:$C$99,3,FALSE),"")</f>
        <v>see Description</v>
      </c>
      <c r="P397" s="38" t="e">
        <f>VLOOKUP($N397,Likelihood!$A$3:$B$7,2,FALSE)*VLOOKUP($O397,Impact!$A$4:$B$8,2,FALSE)</f>
        <v>#N/A</v>
      </c>
      <c r="Q397" s="39" t="e">
        <f>VLOOKUP(P397,RPN!$B$6:$C$22,2)</f>
        <v>#N/A</v>
      </c>
      <c r="Z397" s="9" t="e">
        <f ca="1">VLOOKUP($N397,Likelihood!$A$3:$C$7,2,FALSE)+RANDBETWEEN(-20,20)/100</f>
        <v>#N/A</v>
      </c>
      <c r="AA397" s="9" t="e">
        <f ca="1">IF($Q397=AA$2,VLOOKUP($O397,Impact!$A$4:$B$8,2,FALSE)+RANDBETWEEN(-20,20)/100,NA())</f>
        <v>#N/A</v>
      </c>
      <c r="AB397" s="9" t="e">
        <f ca="1">IF($Q397=AB$2,VLOOKUP($O397,Impact!$A$4:$B$8,2,FALSE)+RANDBETWEEN(-20,20)/100,NA())</f>
        <v>#N/A</v>
      </c>
      <c r="AC397" s="9" t="e">
        <f ca="1">IF($Q397=AC$2,VLOOKUP($O397,Impact!$A$4:$B$8,2,FALSE)+RANDBETWEEN(-20,20)/100,NA())</f>
        <v>#N/A</v>
      </c>
    </row>
    <row r="398" spans="1:29" x14ac:dyDescent="0.25">
      <c r="A398" s="17">
        <v>396</v>
      </c>
      <c r="B398" s="3" t="str">
        <f t="shared" si="28"/>
        <v/>
      </c>
      <c r="H398" s="49" t="str">
        <f t="shared" si="27"/>
        <v>s. D.</v>
      </c>
      <c r="I398" s="48" t="str">
        <f t="shared" si="29"/>
        <v/>
      </c>
      <c r="J398" s="49" t="str">
        <f>I398&amp;IF(NOT(ISBLANK(E398)),CHAR(10)&amp;VLOOKUP(E398,AttackRiskStep!$A$3:$C$99,3,FALSE),"see Description")&amp;IF(NOT(ISBLANK(F398))," -&gt; "&amp;CHAR(10)&amp;VLOOKUP(F398,AttackRiskStep!$A$3:$C$99,3,FALSE),"")&amp;IF(NOT(ISBLANK(G398))," -&gt; "&amp;CHAR(10)&amp;VLOOKUP(G398,AttackRiskStep!$A$3:$C$99,3,FALSE),"")</f>
        <v>see Description</v>
      </c>
      <c r="P398" s="38" t="e">
        <f>VLOOKUP($N398,Likelihood!$A$3:$B$7,2,FALSE)*VLOOKUP($O398,Impact!$A$4:$B$8,2,FALSE)</f>
        <v>#N/A</v>
      </c>
      <c r="Q398" s="39" t="e">
        <f>VLOOKUP(P398,RPN!$B$6:$C$22,2)</f>
        <v>#N/A</v>
      </c>
      <c r="Z398" s="9" t="e">
        <f ca="1">VLOOKUP($N398,Likelihood!$A$3:$C$7,2,FALSE)+RANDBETWEEN(-20,20)/100</f>
        <v>#N/A</v>
      </c>
      <c r="AA398" s="9" t="e">
        <f ca="1">IF($Q398=AA$2,VLOOKUP($O398,Impact!$A$4:$B$8,2,FALSE)+RANDBETWEEN(-20,20)/100,NA())</f>
        <v>#N/A</v>
      </c>
      <c r="AB398" s="9" t="e">
        <f ca="1">IF($Q398=AB$2,VLOOKUP($O398,Impact!$A$4:$B$8,2,FALSE)+RANDBETWEEN(-20,20)/100,NA())</f>
        <v>#N/A</v>
      </c>
      <c r="AC398" s="9" t="e">
        <f ca="1">IF($Q398=AC$2,VLOOKUP($O398,Impact!$A$4:$B$8,2,FALSE)+RANDBETWEEN(-20,20)/100,NA())</f>
        <v>#N/A</v>
      </c>
    </row>
    <row r="399" spans="1:29" x14ac:dyDescent="0.25">
      <c r="A399" s="17">
        <v>397</v>
      </c>
      <c r="B399" s="3" t="str">
        <f t="shared" si="28"/>
        <v/>
      </c>
      <c r="H399" s="49" t="str">
        <f t="shared" si="27"/>
        <v>s. D.</v>
      </c>
      <c r="I399" s="48" t="str">
        <f t="shared" si="29"/>
        <v/>
      </c>
      <c r="J399" s="49" t="str">
        <f>I399&amp;IF(NOT(ISBLANK(E399)),CHAR(10)&amp;VLOOKUP(E399,AttackRiskStep!$A$3:$C$99,3,FALSE),"see Description")&amp;IF(NOT(ISBLANK(F399))," -&gt; "&amp;CHAR(10)&amp;VLOOKUP(F399,AttackRiskStep!$A$3:$C$99,3,FALSE),"")&amp;IF(NOT(ISBLANK(G399))," -&gt; "&amp;CHAR(10)&amp;VLOOKUP(G399,AttackRiskStep!$A$3:$C$99,3,FALSE),"")</f>
        <v>see Description</v>
      </c>
      <c r="P399" s="38" t="e">
        <f>VLOOKUP($N399,Likelihood!$A$3:$B$7,2,FALSE)*VLOOKUP($O399,Impact!$A$4:$B$8,2,FALSE)</f>
        <v>#N/A</v>
      </c>
      <c r="Q399" s="39" t="e">
        <f>VLOOKUP(P399,RPN!$B$6:$C$22,2)</f>
        <v>#N/A</v>
      </c>
      <c r="Z399" s="9" t="e">
        <f ca="1">VLOOKUP($N399,Likelihood!$A$3:$C$7,2,FALSE)+RANDBETWEEN(-20,20)/100</f>
        <v>#N/A</v>
      </c>
      <c r="AA399" s="9" t="e">
        <f ca="1">IF($Q399=AA$2,VLOOKUP($O399,Impact!$A$4:$B$8,2,FALSE)+RANDBETWEEN(-20,20)/100,NA())</f>
        <v>#N/A</v>
      </c>
      <c r="AB399" s="9" t="e">
        <f ca="1">IF($Q399=AB$2,VLOOKUP($O399,Impact!$A$4:$B$8,2,FALSE)+RANDBETWEEN(-20,20)/100,NA())</f>
        <v>#N/A</v>
      </c>
      <c r="AC399" s="9" t="e">
        <f ca="1">IF($Q399=AC$2,VLOOKUP($O399,Impact!$A$4:$B$8,2,FALSE)+RANDBETWEEN(-20,20)/100,NA())</f>
        <v>#N/A</v>
      </c>
    </row>
    <row r="400" spans="1:29" x14ac:dyDescent="0.25">
      <c r="A400" s="17">
        <v>398</v>
      </c>
      <c r="B400" s="3" t="str">
        <f t="shared" si="28"/>
        <v/>
      </c>
      <c r="H400" s="49" t="str">
        <f t="shared" si="27"/>
        <v>s. D.</v>
      </c>
      <c r="I400" s="48" t="str">
        <f t="shared" si="29"/>
        <v/>
      </c>
      <c r="J400" s="49" t="str">
        <f>I400&amp;IF(NOT(ISBLANK(E400)),CHAR(10)&amp;VLOOKUP(E400,AttackRiskStep!$A$3:$C$99,3,FALSE),"see Description")&amp;IF(NOT(ISBLANK(F400))," -&gt; "&amp;CHAR(10)&amp;VLOOKUP(F400,AttackRiskStep!$A$3:$C$99,3,FALSE),"")&amp;IF(NOT(ISBLANK(G400))," -&gt; "&amp;CHAR(10)&amp;VLOOKUP(G400,AttackRiskStep!$A$3:$C$99,3,FALSE),"")</f>
        <v>see Description</v>
      </c>
      <c r="P400" s="38" t="e">
        <f>VLOOKUP($N400,Likelihood!$A$3:$B$7,2,FALSE)*VLOOKUP($O400,Impact!$A$4:$B$8,2,FALSE)</f>
        <v>#N/A</v>
      </c>
      <c r="Q400" s="39" t="e">
        <f>VLOOKUP(P400,RPN!$B$6:$C$22,2)</f>
        <v>#N/A</v>
      </c>
      <c r="Z400" s="9" t="e">
        <f ca="1">VLOOKUP($N400,Likelihood!$A$3:$C$7,2,FALSE)+RANDBETWEEN(-20,20)/100</f>
        <v>#N/A</v>
      </c>
      <c r="AA400" s="9" t="e">
        <f ca="1">IF($Q400=AA$2,VLOOKUP($O400,Impact!$A$4:$B$8,2,FALSE)+RANDBETWEEN(-20,20)/100,NA())</f>
        <v>#N/A</v>
      </c>
      <c r="AB400" s="9" t="e">
        <f ca="1">IF($Q400=AB$2,VLOOKUP($O400,Impact!$A$4:$B$8,2,FALSE)+RANDBETWEEN(-20,20)/100,NA())</f>
        <v>#N/A</v>
      </c>
      <c r="AC400" s="9" t="e">
        <f ca="1">IF($Q400=AC$2,VLOOKUP($O400,Impact!$A$4:$B$8,2,FALSE)+RANDBETWEEN(-20,20)/100,NA())</f>
        <v>#N/A</v>
      </c>
    </row>
    <row r="401" spans="1:29" x14ac:dyDescent="0.25">
      <c r="A401" s="17">
        <v>399</v>
      </c>
      <c r="B401" s="3" t="str">
        <f t="shared" si="28"/>
        <v/>
      </c>
      <c r="H401" s="49" t="str">
        <f t="shared" si="27"/>
        <v>s. D.</v>
      </c>
      <c r="I401" s="48" t="str">
        <f t="shared" si="29"/>
        <v/>
      </c>
      <c r="J401" s="49" t="str">
        <f>I401&amp;IF(NOT(ISBLANK(E401)),CHAR(10)&amp;VLOOKUP(E401,AttackRiskStep!$A$3:$C$99,3,FALSE),"see Description")&amp;IF(NOT(ISBLANK(F401))," -&gt; "&amp;CHAR(10)&amp;VLOOKUP(F401,AttackRiskStep!$A$3:$C$99,3,FALSE),"")&amp;IF(NOT(ISBLANK(G401))," -&gt; "&amp;CHAR(10)&amp;VLOOKUP(G401,AttackRiskStep!$A$3:$C$99,3,FALSE),"")</f>
        <v>see Description</v>
      </c>
      <c r="P401" s="38" t="e">
        <f>VLOOKUP($N401,Likelihood!$A$3:$B$7,2,FALSE)*VLOOKUP($O401,Impact!$A$4:$B$8,2,FALSE)</f>
        <v>#N/A</v>
      </c>
      <c r="Q401" s="39" t="e">
        <f>VLOOKUP(P401,RPN!$B$6:$C$22,2)</f>
        <v>#N/A</v>
      </c>
      <c r="Z401" s="9" t="e">
        <f ca="1">VLOOKUP($N401,Likelihood!$A$3:$C$7,2,FALSE)+RANDBETWEEN(-20,20)/100</f>
        <v>#N/A</v>
      </c>
      <c r="AA401" s="9" t="e">
        <f ca="1">IF($Q401=AA$2,VLOOKUP($O401,Impact!$A$4:$B$8,2,FALSE)+RANDBETWEEN(-20,20)/100,NA())</f>
        <v>#N/A</v>
      </c>
      <c r="AB401" s="9" t="e">
        <f ca="1">IF($Q401=AB$2,VLOOKUP($O401,Impact!$A$4:$B$8,2,FALSE)+RANDBETWEEN(-20,20)/100,NA())</f>
        <v>#N/A</v>
      </c>
      <c r="AC401" s="9" t="e">
        <f ca="1">IF($Q401=AC$2,VLOOKUP($O401,Impact!$A$4:$B$8,2,FALSE)+RANDBETWEEN(-20,20)/100,NA())</f>
        <v>#N/A</v>
      </c>
    </row>
    <row r="402" spans="1:29" x14ac:dyDescent="0.25">
      <c r="A402" s="17">
        <v>400</v>
      </c>
      <c r="B402" s="3" t="str">
        <f t="shared" si="28"/>
        <v/>
      </c>
      <c r="H402" s="49" t="str">
        <f t="shared" si="27"/>
        <v>s. D.</v>
      </c>
      <c r="I402" s="48" t="str">
        <f t="shared" si="29"/>
        <v/>
      </c>
      <c r="J402" s="49" t="str">
        <f>I402&amp;IF(NOT(ISBLANK(E402)),CHAR(10)&amp;VLOOKUP(E402,AttackRiskStep!$A$3:$C$99,3,FALSE),"see Description")&amp;IF(NOT(ISBLANK(F402))," -&gt; "&amp;CHAR(10)&amp;VLOOKUP(F402,AttackRiskStep!$A$3:$C$99,3,FALSE),"")&amp;IF(NOT(ISBLANK(G402))," -&gt; "&amp;CHAR(10)&amp;VLOOKUP(G402,AttackRiskStep!$A$3:$C$99,3,FALSE),"")</f>
        <v>see Description</v>
      </c>
      <c r="P402" s="38" t="e">
        <f>VLOOKUP($N402,Likelihood!$A$3:$B$7,2,FALSE)*VLOOKUP($O402,Impact!$A$4:$B$8,2,FALSE)</f>
        <v>#N/A</v>
      </c>
      <c r="Q402" s="39" t="e">
        <f>VLOOKUP(P402,RPN!$B$6:$C$22,2)</f>
        <v>#N/A</v>
      </c>
      <c r="Z402" s="9" t="e">
        <f ca="1">VLOOKUP($N402,Likelihood!$A$3:$C$7,2,FALSE)+RANDBETWEEN(-20,20)/100</f>
        <v>#N/A</v>
      </c>
      <c r="AA402" s="9" t="e">
        <f ca="1">IF($Q402=AA$2,VLOOKUP($O402,Impact!$A$4:$B$8,2,FALSE)+RANDBETWEEN(-20,20)/100,NA())</f>
        <v>#N/A</v>
      </c>
      <c r="AB402" s="9" t="e">
        <f ca="1">IF($Q402=AB$2,VLOOKUP($O402,Impact!$A$4:$B$8,2,FALSE)+RANDBETWEEN(-20,20)/100,NA())</f>
        <v>#N/A</v>
      </c>
      <c r="AC402" s="9" t="e">
        <f ca="1">IF($Q402=AC$2,VLOOKUP($O402,Impact!$A$4:$B$8,2,FALSE)+RANDBETWEEN(-20,20)/100,NA())</f>
        <v>#N/A</v>
      </c>
    </row>
    <row r="403" spans="1:29" x14ac:dyDescent="0.25">
      <c r="A403" s="17">
        <v>401</v>
      </c>
      <c r="B403" s="3" t="str">
        <f t="shared" si="28"/>
        <v/>
      </c>
      <c r="H403" s="49" t="str">
        <f t="shared" si="27"/>
        <v>s. D.</v>
      </c>
      <c r="I403" s="48" t="str">
        <f t="shared" si="29"/>
        <v/>
      </c>
      <c r="J403" s="49" t="str">
        <f>I403&amp;IF(NOT(ISBLANK(E403)),CHAR(10)&amp;VLOOKUP(E403,AttackRiskStep!$A$3:$C$99,3,FALSE),"see Description")&amp;IF(NOT(ISBLANK(F403))," -&gt; "&amp;CHAR(10)&amp;VLOOKUP(F403,AttackRiskStep!$A$3:$C$99,3,FALSE),"")&amp;IF(NOT(ISBLANK(G403))," -&gt; "&amp;CHAR(10)&amp;VLOOKUP(G403,AttackRiskStep!$A$3:$C$99,3,FALSE),"")</f>
        <v>see Description</v>
      </c>
      <c r="P403" s="38" t="e">
        <f>VLOOKUP($N403,Likelihood!$A$3:$B$7,2,FALSE)*VLOOKUP($O403,Impact!$A$4:$B$8,2,FALSE)</f>
        <v>#N/A</v>
      </c>
      <c r="Q403" s="39" t="e">
        <f>VLOOKUP(P403,RPN!$B$6:$C$22,2)</f>
        <v>#N/A</v>
      </c>
      <c r="Z403" s="9" t="e">
        <f ca="1">VLOOKUP($N403,Likelihood!$A$3:$C$7,2,FALSE)+RANDBETWEEN(-20,20)/100</f>
        <v>#N/A</v>
      </c>
      <c r="AA403" s="9" t="e">
        <f ca="1">IF($Q403=AA$2,VLOOKUP($O403,Impact!$A$4:$B$8,2,FALSE)+RANDBETWEEN(-20,20)/100,NA())</f>
        <v>#N/A</v>
      </c>
      <c r="AB403" s="9" t="e">
        <f ca="1">IF($Q403=AB$2,VLOOKUP($O403,Impact!$A$4:$B$8,2,FALSE)+RANDBETWEEN(-20,20)/100,NA())</f>
        <v>#N/A</v>
      </c>
      <c r="AC403" s="9" t="e">
        <f ca="1">IF($Q403=AC$2,VLOOKUP($O403,Impact!$A$4:$B$8,2,FALSE)+RANDBETWEEN(-20,20)/100,NA())</f>
        <v>#N/A</v>
      </c>
    </row>
    <row r="404" spans="1:29" x14ac:dyDescent="0.25">
      <c r="A404" s="17">
        <v>402</v>
      </c>
      <c r="B404" s="3" t="str">
        <f t="shared" si="28"/>
        <v/>
      </c>
      <c r="H404" s="49" t="str">
        <f t="shared" si="27"/>
        <v>s. D.</v>
      </c>
      <c r="I404" s="48" t="str">
        <f t="shared" si="29"/>
        <v/>
      </c>
      <c r="J404" s="49" t="str">
        <f>I404&amp;IF(NOT(ISBLANK(E404)),CHAR(10)&amp;VLOOKUP(E404,AttackRiskStep!$A$3:$C$99,3,FALSE),"see Description")&amp;IF(NOT(ISBLANK(F404))," -&gt; "&amp;CHAR(10)&amp;VLOOKUP(F404,AttackRiskStep!$A$3:$C$99,3,FALSE),"")&amp;IF(NOT(ISBLANK(G404))," -&gt; "&amp;CHAR(10)&amp;VLOOKUP(G404,AttackRiskStep!$A$3:$C$99,3,FALSE),"")</f>
        <v>see Description</v>
      </c>
      <c r="P404" s="38" t="e">
        <f>VLOOKUP($N404,Likelihood!$A$3:$B$7,2,FALSE)*VLOOKUP($O404,Impact!$A$4:$B$8,2,FALSE)</f>
        <v>#N/A</v>
      </c>
      <c r="Q404" s="39" t="e">
        <f>VLOOKUP(P404,RPN!$B$6:$C$22,2)</f>
        <v>#N/A</v>
      </c>
      <c r="Z404" s="9" t="e">
        <f ca="1">VLOOKUP($N404,Likelihood!$A$3:$C$7,2,FALSE)+RANDBETWEEN(-20,20)/100</f>
        <v>#N/A</v>
      </c>
      <c r="AA404" s="9" t="e">
        <f ca="1">IF($Q404=AA$2,VLOOKUP($O404,Impact!$A$4:$B$8,2,FALSE)+RANDBETWEEN(-20,20)/100,NA())</f>
        <v>#N/A</v>
      </c>
      <c r="AB404" s="9" t="e">
        <f ca="1">IF($Q404=AB$2,VLOOKUP($O404,Impact!$A$4:$B$8,2,FALSE)+RANDBETWEEN(-20,20)/100,NA())</f>
        <v>#N/A</v>
      </c>
      <c r="AC404" s="9" t="e">
        <f ca="1">IF($Q404=AC$2,VLOOKUP($O404,Impact!$A$4:$B$8,2,FALSE)+RANDBETWEEN(-20,20)/100,NA())</f>
        <v>#N/A</v>
      </c>
    </row>
    <row r="405" spans="1:29" x14ac:dyDescent="0.25">
      <c r="A405" s="17">
        <v>403</v>
      </c>
      <c r="B405" s="3" t="str">
        <f t="shared" si="28"/>
        <v/>
      </c>
      <c r="H405" s="49" t="str">
        <f t="shared" si="27"/>
        <v>s. D.</v>
      </c>
      <c r="I405" s="48" t="str">
        <f t="shared" si="29"/>
        <v/>
      </c>
      <c r="J405" s="49" t="str">
        <f>I405&amp;IF(NOT(ISBLANK(E405)),CHAR(10)&amp;VLOOKUP(E405,AttackRiskStep!$A$3:$C$99,3,FALSE),"see Description")&amp;IF(NOT(ISBLANK(F405))," -&gt; "&amp;CHAR(10)&amp;VLOOKUP(F405,AttackRiskStep!$A$3:$C$99,3,FALSE),"")&amp;IF(NOT(ISBLANK(G405))," -&gt; "&amp;CHAR(10)&amp;VLOOKUP(G405,AttackRiskStep!$A$3:$C$99,3,FALSE),"")</f>
        <v>see Description</v>
      </c>
      <c r="P405" s="38" t="e">
        <f>VLOOKUP($N405,Likelihood!$A$3:$B$7,2,FALSE)*VLOOKUP($O405,Impact!$A$4:$B$8,2,FALSE)</f>
        <v>#N/A</v>
      </c>
      <c r="Q405" s="39" t="e">
        <f>VLOOKUP(P405,RPN!$B$6:$C$22,2)</f>
        <v>#N/A</v>
      </c>
      <c r="Z405" s="9" t="e">
        <f ca="1">VLOOKUP($N405,Likelihood!$A$3:$C$7,2,FALSE)+RANDBETWEEN(-20,20)/100</f>
        <v>#N/A</v>
      </c>
      <c r="AA405" s="9" t="e">
        <f ca="1">IF($Q405=AA$2,VLOOKUP($O405,Impact!$A$4:$B$8,2,FALSE)+RANDBETWEEN(-20,20)/100,NA())</f>
        <v>#N/A</v>
      </c>
      <c r="AB405" s="9" t="e">
        <f ca="1">IF($Q405=AB$2,VLOOKUP($O405,Impact!$A$4:$B$8,2,FALSE)+RANDBETWEEN(-20,20)/100,NA())</f>
        <v>#N/A</v>
      </c>
      <c r="AC405" s="9" t="e">
        <f ca="1">IF($Q405=AC$2,VLOOKUP($O405,Impact!$A$4:$B$8,2,FALSE)+RANDBETWEEN(-20,20)/100,NA())</f>
        <v>#N/A</v>
      </c>
    </row>
    <row r="406" spans="1:29" x14ac:dyDescent="0.25">
      <c r="A406" s="17">
        <v>404</v>
      </c>
      <c r="B406" s="3" t="str">
        <f t="shared" si="28"/>
        <v/>
      </c>
      <c r="H406" s="49" t="str">
        <f t="shared" si="27"/>
        <v>s. D.</v>
      </c>
      <c r="I406" s="48" t="str">
        <f t="shared" si="29"/>
        <v/>
      </c>
      <c r="J406" s="49" t="str">
        <f>I406&amp;IF(NOT(ISBLANK(E406)),CHAR(10)&amp;VLOOKUP(E406,AttackRiskStep!$A$3:$C$99,3,FALSE),"see Description")&amp;IF(NOT(ISBLANK(F406))," -&gt; "&amp;CHAR(10)&amp;VLOOKUP(F406,AttackRiskStep!$A$3:$C$99,3,FALSE),"")&amp;IF(NOT(ISBLANK(G406))," -&gt; "&amp;CHAR(10)&amp;VLOOKUP(G406,AttackRiskStep!$A$3:$C$99,3,FALSE),"")</f>
        <v>see Description</v>
      </c>
      <c r="P406" s="38" t="e">
        <f>VLOOKUP($N406,Likelihood!$A$3:$B$7,2,FALSE)*VLOOKUP($O406,Impact!$A$4:$B$8,2,FALSE)</f>
        <v>#N/A</v>
      </c>
      <c r="Q406" s="39" t="e">
        <f>VLOOKUP(P406,RPN!$B$6:$C$22,2)</f>
        <v>#N/A</v>
      </c>
      <c r="Z406" s="9" t="e">
        <f ca="1">VLOOKUP($N406,Likelihood!$A$3:$C$7,2,FALSE)+RANDBETWEEN(-20,20)/100</f>
        <v>#N/A</v>
      </c>
      <c r="AA406" s="9" t="e">
        <f ca="1">IF($Q406=AA$2,VLOOKUP($O406,Impact!$A$4:$B$8,2,FALSE)+RANDBETWEEN(-20,20)/100,NA())</f>
        <v>#N/A</v>
      </c>
      <c r="AB406" s="9" t="e">
        <f ca="1">IF($Q406=AB$2,VLOOKUP($O406,Impact!$A$4:$B$8,2,FALSE)+RANDBETWEEN(-20,20)/100,NA())</f>
        <v>#N/A</v>
      </c>
      <c r="AC406" s="9" t="e">
        <f ca="1">IF($Q406=AC$2,VLOOKUP($O406,Impact!$A$4:$B$8,2,FALSE)+RANDBETWEEN(-20,20)/100,NA())</f>
        <v>#N/A</v>
      </c>
    </row>
    <row r="407" spans="1:29" x14ac:dyDescent="0.25">
      <c r="A407" s="17">
        <v>405</v>
      </c>
      <c r="B407" s="3" t="str">
        <f t="shared" si="28"/>
        <v/>
      </c>
      <c r="H407" s="49" t="str">
        <f t="shared" si="27"/>
        <v>s. D.</v>
      </c>
      <c r="I407" s="48" t="str">
        <f t="shared" si="29"/>
        <v/>
      </c>
      <c r="J407" s="49" t="str">
        <f>I407&amp;IF(NOT(ISBLANK(E407)),CHAR(10)&amp;VLOOKUP(E407,AttackRiskStep!$A$3:$C$99,3,FALSE),"see Description")&amp;IF(NOT(ISBLANK(F407))," -&gt; "&amp;CHAR(10)&amp;VLOOKUP(F407,AttackRiskStep!$A$3:$C$99,3,FALSE),"")&amp;IF(NOT(ISBLANK(G407))," -&gt; "&amp;CHAR(10)&amp;VLOOKUP(G407,AttackRiskStep!$A$3:$C$99,3,FALSE),"")</f>
        <v>see Description</v>
      </c>
      <c r="P407" s="38" t="e">
        <f>VLOOKUP($N407,Likelihood!$A$3:$B$7,2,FALSE)*VLOOKUP($O407,Impact!$A$4:$B$8,2,FALSE)</f>
        <v>#N/A</v>
      </c>
      <c r="Q407" s="39" t="e">
        <f>VLOOKUP(P407,RPN!$B$6:$C$22,2)</f>
        <v>#N/A</v>
      </c>
      <c r="Z407" s="9" t="e">
        <f ca="1">VLOOKUP($N407,Likelihood!$A$3:$C$7,2,FALSE)+RANDBETWEEN(-20,20)/100</f>
        <v>#N/A</v>
      </c>
      <c r="AA407" s="9" t="e">
        <f ca="1">IF($Q407=AA$2,VLOOKUP($O407,Impact!$A$4:$B$8,2,FALSE)+RANDBETWEEN(-20,20)/100,NA())</f>
        <v>#N/A</v>
      </c>
      <c r="AB407" s="9" t="e">
        <f ca="1">IF($Q407=AB$2,VLOOKUP($O407,Impact!$A$4:$B$8,2,FALSE)+RANDBETWEEN(-20,20)/100,NA())</f>
        <v>#N/A</v>
      </c>
      <c r="AC407" s="9" t="e">
        <f ca="1">IF($Q407=AC$2,VLOOKUP($O407,Impact!$A$4:$B$8,2,FALSE)+RANDBETWEEN(-20,20)/100,NA())</f>
        <v>#N/A</v>
      </c>
    </row>
    <row r="408" spans="1:29" x14ac:dyDescent="0.25">
      <c r="A408" s="17">
        <v>406</v>
      </c>
      <c r="B408" s="3" t="str">
        <f t="shared" si="28"/>
        <v/>
      </c>
      <c r="H408" s="49" t="str">
        <f t="shared" si="27"/>
        <v>s. D.</v>
      </c>
      <c r="I408" s="48" t="str">
        <f t="shared" si="29"/>
        <v/>
      </c>
      <c r="J408" s="49" t="str">
        <f>I408&amp;IF(NOT(ISBLANK(E408)),CHAR(10)&amp;VLOOKUP(E408,AttackRiskStep!$A$3:$C$99,3,FALSE),"see Description")&amp;IF(NOT(ISBLANK(F408))," -&gt; "&amp;CHAR(10)&amp;VLOOKUP(F408,AttackRiskStep!$A$3:$C$99,3,FALSE),"")&amp;IF(NOT(ISBLANK(G408))," -&gt; "&amp;CHAR(10)&amp;VLOOKUP(G408,AttackRiskStep!$A$3:$C$99,3,FALSE),"")</f>
        <v>see Description</v>
      </c>
      <c r="P408" s="38" t="e">
        <f>VLOOKUP($N408,Likelihood!$A$3:$B$7,2,FALSE)*VLOOKUP($O408,Impact!$A$4:$B$8,2,FALSE)</f>
        <v>#N/A</v>
      </c>
      <c r="Q408" s="39" t="e">
        <f>VLOOKUP(P408,RPN!$B$6:$C$22,2)</f>
        <v>#N/A</v>
      </c>
      <c r="Z408" s="9" t="e">
        <f ca="1">VLOOKUP($N408,Likelihood!$A$3:$C$7,2,FALSE)+RANDBETWEEN(-20,20)/100</f>
        <v>#N/A</v>
      </c>
      <c r="AA408" s="9" t="e">
        <f ca="1">IF($Q408=AA$2,VLOOKUP($O408,Impact!$A$4:$B$8,2,FALSE)+RANDBETWEEN(-20,20)/100,NA())</f>
        <v>#N/A</v>
      </c>
      <c r="AB408" s="9" t="e">
        <f ca="1">IF($Q408=AB$2,VLOOKUP($O408,Impact!$A$4:$B$8,2,FALSE)+RANDBETWEEN(-20,20)/100,NA())</f>
        <v>#N/A</v>
      </c>
      <c r="AC408" s="9" t="e">
        <f ca="1">IF($Q408=AC$2,VLOOKUP($O408,Impact!$A$4:$B$8,2,FALSE)+RANDBETWEEN(-20,20)/100,NA())</f>
        <v>#N/A</v>
      </c>
    </row>
    <row r="409" spans="1:29" x14ac:dyDescent="0.25">
      <c r="A409" s="17">
        <v>407</v>
      </c>
      <c r="B409" s="3" t="str">
        <f t="shared" si="28"/>
        <v/>
      </c>
      <c r="H409" s="49" t="str">
        <f t="shared" si="27"/>
        <v>s. D.</v>
      </c>
      <c r="I409" s="48" t="str">
        <f t="shared" si="29"/>
        <v/>
      </c>
      <c r="J409" s="49" t="str">
        <f>I409&amp;IF(NOT(ISBLANK(E409)),CHAR(10)&amp;VLOOKUP(E409,AttackRiskStep!$A$3:$C$99,3,FALSE),"see Description")&amp;IF(NOT(ISBLANK(F409))," -&gt; "&amp;CHAR(10)&amp;VLOOKUP(F409,AttackRiskStep!$A$3:$C$99,3,FALSE),"")&amp;IF(NOT(ISBLANK(G409))," -&gt; "&amp;CHAR(10)&amp;VLOOKUP(G409,AttackRiskStep!$A$3:$C$99,3,FALSE),"")</f>
        <v>see Description</v>
      </c>
      <c r="P409" s="38" t="e">
        <f>VLOOKUP($N409,Likelihood!$A$3:$B$7,2,FALSE)*VLOOKUP($O409,Impact!$A$4:$B$8,2,FALSE)</f>
        <v>#N/A</v>
      </c>
      <c r="Q409" s="39" t="e">
        <f>VLOOKUP(P409,RPN!$B$6:$C$22,2)</f>
        <v>#N/A</v>
      </c>
      <c r="Z409" s="9" t="e">
        <f ca="1">VLOOKUP($N409,Likelihood!$A$3:$C$7,2,FALSE)+RANDBETWEEN(-20,20)/100</f>
        <v>#N/A</v>
      </c>
      <c r="AA409" s="9" t="e">
        <f ca="1">IF($Q409=AA$2,VLOOKUP($O409,Impact!$A$4:$B$8,2,FALSE)+RANDBETWEEN(-20,20)/100,NA())</f>
        <v>#N/A</v>
      </c>
      <c r="AB409" s="9" t="e">
        <f ca="1">IF($Q409=AB$2,VLOOKUP($O409,Impact!$A$4:$B$8,2,FALSE)+RANDBETWEEN(-20,20)/100,NA())</f>
        <v>#N/A</v>
      </c>
      <c r="AC409" s="9" t="e">
        <f ca="1">IF($Q409=AC$2,VLOOKUP($O409,Impact!$A$4:$B$8,2,FALSE)+RANDBETWEEN(-20,20)/100,NA())</f>
        <v>#N/A</v>
      </c>
    </row>
    <row r="410" spans="1:29" x14ac:dyDescent="0.25">
      <c r="A410" s="17">
        <v>408</v>
      </c>
      <c r="B410" s="3" t="str">
        <f t="shared" si="28"/>
        <v/>
      </c>
      <c r="H410" s="49" t="str">
        <f t="shared" si="27"/>
        <v>s. D.</v>
      </c>
      <c r="I410" s="48" t="str">
        <f t="shared" si="29"/>
        <v/>
      </c>
      <c r="J410" s="49" t="str">
        <f>I410&amp;IF(NOT(ISBLANK(E410)),CHAR(10)&amp;VLOOKUP(E410,AttackRiskStep!$A$3:$C$99,3,FALSE),"see Description")&amp;IF(NOT(ISBLANK(F410))," -&gt; "&amp;CHAR(10)&amp;VLOOKUP(F410,AttackRiskStep!$A$3:$C$99,3,FALSE),"")&amp;IF(NOT(ISBLANK(G410))," -&gt; "&amp;CHAR(10)&amp;VLOOKUP(G410,AttackRiskStep!$A$3:$C$99,3,FALSE),"")</f>
        <v>see Description</v>
      </c>
      <c r="P410" s="38" t="e">
        <f>VLOOKUP($N410,Likelihood!$A$3:$B$7,2,FALSE)*VLOOKUP($O410,Impact!$A$4:$B$8,2,FALSE)</f>
        <v>#N/A</v>
      </c>
      <c r="Q410" s="39" t="e">
        <f>VLOOKUP(P410,RPN!$B$6:$C$22,2)</f>
        <v>#N/A</v>
      </c>
      <c r="Z410" s="9" t="e">
        <f ca="1">VLOOKUP($N410,Likelihood!$A$3:$C$7,2,FALSE)+RANDBETWEEN(-20,20)/100</f>
        <v>#N/A</v>
      </c>
      <c r="AA410" s="9" t="e">
        <f ca="1">IF($Q410=AA$2,VLOOKUP($O410,Impact!$A$4:$B$8,2,FALSE)+RANDBETWEEN(-20,20)/100,NA())</f>
        <v>#N/A</v>
      </c>
      <c r="AB410" s="9" t="e">
        <f ca="1">IF($Q410=AB$2,VLOOKUP($O410,Impact!$A$4:$B$8,2,FALSE)+RANDBETWEEN(-20,20)/100,NA())</f>
        <v>#N/A</v>
      </c>
      <c r="AC410" s="9" t="e">
        <f ca="1">IF($Q410=AC$2,VLOOKUP($O410,Impact!$A$4:$B$8,2,FALSE)+RANDBETWEEN(-20,20)/100,NA())</f>
        <v>#N/A</v>
      </c>
    </row>
    <row r="411" spans="1:29" x14ac:dyDescent="0.25">
      <c r="A411" s="17">
        <v>409</v>
      </c>
      <c r="B411" s="3" t="str">
        <f t="shared" si="28"/>
        <v/>
      </c>
      <c r="H411" s="49" t="str">
        <f t="shared" si="27"/>
        <v>s. D.</v>
      </c>
      <c r="I411" s="48" t="str">
        <f t="shared" si="29"/>
        <v/>
      </c>
      <c r="J411" s="49" t="str">
        <f>I411&amp;IF(NOT(ISBLANK(E411)),CHAR(10)&amp;VLOOKUP(E411,AttackRiskStep!$A$3:$C$99,3,FALSE),"see Description")&amp;IF(NOT(ISBLANK(F411))," -&gt; "&amp;CHAR(10)&amp;VLOOKUP(F411,AttackRiskStep!$A$3:$C$99,3,FALSE),"")&amp;IF(NOT(ISBLANK(G411))," -&gt; "&amp;CHAR(10)&amp;VLOOKUP(G411,AttackRiskStep!$A$3:$C$99,3,FALSE),"")</f>
        <v>see Description</v>
      </c>
      <c r="P411" s="38" t="e">
        <f>VLOOKUP($N411,Likelihood!$A$3:$B$7,2,FALSE)*VLOOKUP($O411,Impact!$A$4:$B$8,2,FALSE)</f>
        <v>#N/A</v>
      </c>
      <c r="Q411" s="39" t="e">
        <f>VLOOKUP(P411,RPN!$B$6:$C$22,2)</f>
        <v>#N/A</v>
      </c>
      <c r="Z411" s="9" t="e">
        <f ca="1">VLOOKUP($N411,Likelihood!$A$3:$C$7,2,FALSE)+RANDBETWEEN(-20,20)/100</f>
        <v>#N/A</v>
      </c>
      <c r="AA411" s="9" t="e">
        <f ca="1">IF($Q411=AA$2,VLOOKUP($O411,Impact!$A$4:$B$8,2,FALSE)+RANDBETWEEN(-20,20)/100,NA())</f>
        <v>#N/A</v>
      </c>
      <c r="AB411" s="9" t="e">
        <f ca="1">IF($Q411=AB$2,VLOOKUP($O411,Impact!$A$4:$B$8,2,FALSE)+RANDBETWEEN(-20,20)/100,NA())</f>
        <v>#N/A</v>
      </c>
      <c r="AC411" s="9" t="e">
        <f ca="1">IF($Q411=AC$2,VLOOKUP($O411,Impact!$A$4:$B$8,2,FALSE)+RANDBETWEEN(-20,20)/100,NA())</f>
        <v>#N/A</v>
      </c>
    </row>
    <row r="412" spans="1:29" x14ac:dyDescent="0.25">
      <c r="A412" s="17">
        <v>410</v>
      </c>
      <c r="B412" s="3" t="str">
        <f t="shared" si="28"/>
        <v/>
      </c>
      <c r="H412" s="49" t="str">
        <f t="shared" si="27"/>
        <v>s. D.</v>
      </c>
      <c r="I412" s="48" t="str">
        <f t="shared" si="29"/>
        <v/>
      </c>
      <c r="J412" s="49" t="str">
        <f>I412&amp;IF(NOT(ISBLANK(E412)),CHAR(10)&amp;VLOOKUP(E412,AttackRiskStep!$A$3:$C$99,3,FALSE),"see Description")&amp;IF(NOT(ISBLANK(F412))," -&gt; "&amp;CHAR(10)&amp;VLOOKUP(F412,AttackRiskStep!$A$3:$C$99,3,FALSE),"")&amp;IF(NOT(ISBLANK(G412))," -&gt; "&amp;CHAR(10)&amp;VLOOKUP(G412,AttackRiskStep!$A$3:$C$99,3,FALSE),"")</f>
        <v>see Description</v>
      </c>
      <c r="P412" s="38" t="e">
        <f>VLOOKUP($N412,Likelihood!$A$3:$B$7,2,FALSE)*VLOOKUP($O412,Impact!$A$4:$B$8,2,FALSE)</f>
        <v>#N/A</v>
      </c>
      <c r="Q412" s="39" t="e">
        <f>VLOOKUP(P412,RPN!$B$6:$C$22,2)</f>
        <v>#N/A</v>
      </c>
      <c r="Z412" s="9" t="e">
        <f ca="1">VLOOKUP($N412,Likelihood!$A$3:$C$7,2,FALSE)+RANDBETWEEN(-20,20)/100</f>
        <v>#N/A</v>
      </c>
      <c r="AA412" s="9" t="e">
        <f ca="1">IF($Q412=AA$2,VLOOKUP($O412,Impact!$A$4:$B$8,2,FALSE)+RANDBETWEEN(-20,20)/100,NA())</f>
        <v>#N/A</v>
      </c>
      <c r="AB412" s="9" t="e">
        <f ca="1">IF($Q412=AB$2,VLOOKUP($O412,Impact!$A$4:$B$8,2,FALSE)+RANDBETWEEN(-20,20)/100,NA())</f>
        <v>#N/A</v>
      </c>
      <c r="AC412" s="9" t="e">
        <f ca="1">IF($Q412=AC$2,VLOOKUP($O412,Impact!$A$4:$B$8,2,FALSE)+RANDBETWEEN(-20,20)/100,NA())</f>
        <v>#N/A</v>
      </c>
    </row>
    <row r="413" spans="1:29" x14ac:dyDescent="0.25">
      <c r="A413" s="17">
        <v>411</v>
      </c>
      <c r="B413" s="3" t="str">
        <f t="shared" si="28"/>
        <v/>
      </c>
      <c r="H413" s="49" t="str">
        <f t="shared" si="27"/>
        <v>s. D.</v>
      </c>
      <c r="I413" s="48" t="str">
        <f t="shared" si="29"/>
        <v/>
      </c>
      <c r="J413" s="49" t="str">
        <f>I413&amp;IF(NOT(ISBLANK(E413)),CHAR(10)&amp;VLOOKUP(E413,AttackRiskStep!$A$3:$C$99,3,FALSE),"see Description")&amp;IF(NOT(ISBLANK(F413))," -&gt; "&amp;CHAR(10)&amp;VLOOKUP(F413,AttackRiskStep!$A$3:$C$99,3,FALSE),"")&amp;IF(NOT(ISBLANK(G413))," -&gt; "&amp;CHAR(10)&amp;VLOOKUP(G413,AttackRiskStep!$A$3:$C$99,3,FALSE),"")</f>
        <v>see Description</v>
      </c>
      <c r="P413" s="38" t="e">
        <f>VLOOKUP($N413,Likelihood!$A$3:$B$7,2,FALSE)*VLOOKUP($O413,Impact!$A$4:$B$8,2,FALSE)</f>
        <v>#N/A</v>
      </c>
      <c r="Q413" s="39" t="e">
        <f>VLOOKUP(P413,RPN!$B$6:$C$22,2)</f>
        <v>#N/A</v>
      </c>
      <c r="Z413" s="9" t="e">
        <f ca="1">VLOOKUP($N413,Likelihood!$A$3:$C$7,2,FALSE)+RANDBETWEEN(-20,20)/100</f>
        <v>#N/A</v>
      </c>
      <c r="AA413" s="9" t="e">
        <f ca="1">IF($Q413=AA$2,VLOOKUP($O413,Impact!$A$4:$B$8,2,FALSE)+RANDBETWEEN(-20,20)/100,NA())</f>
        <v>#N/A</v>
      </c>
      <c r="AB413" s="9" t="e">
        <f ca="1">IF($Q413=AB$2,VLOOKUP($O413,Impact!$A$4:$B$8,2,FALSE)+RANDBETWEEN(-20,20)/100,NA())</f>
        <v>#N/A</v>
      </c>
      <c r="AC413" s="9" t="e">
        <f ca="1">IF($Q413=AC$2,VLOOKUP($O413,Impact!$A$4:$B$8,2,FALSE)+RANDBETWEEN(-20,20)/100,NA())</f>
        <v>#N/A</v>
      </c>
    </row>
    <row r="414" spans="1:29" x14ac:dyDescent="0.25">
      <c r="A414" s="17">
        <v>412</v>
      </c>
      <c r="B414" s="3" t="str">
        <f t="shared" si="28"/>
        <v/>
      </c>
      <c r="H414" s="49" t="str">
        <f t="shared" si="27"/>
        <v>s. D.</v>
      </c>
      <c r="I414" s="48" t="str">
        <f t="shared" si="29"/>
        <v/>
      </c>
      <c r="J414" s="49" t="str">
        <f>I414&amp;IF(NOT(ISBLANK(E414)),CHAR(10)&amp;VLOOKUP(E414,AttackRiskStep!$A$3:$C$99,3,FALSE),"see Description")&amp;IF(NOT(ISBLANK(F414))," -&gt; "&amp;CHAR(10)&amp;VLOOKUP(F414,AttackRiskStep!$A$3:$C$99,3,FALSE),"")&amp;IF(NOT(ISBLANK(G414))," -&gt; "&amp;CHAR(10)&amp;VLOOKUP(G414,AttackRiskStep!$A$3:$C$99,3,FALSE),"")</f>
        <v>see Description</v>
      </c>
      <c r="P414" s="38" t="e">
        <f>VLOOKUP($N414,Likelihood!$A$3:$B$7,2,FALSE)*VLOOKUP($O414,Impact!$A$4:$B$8,2,FALSE)</f>
        <v>#N/A</v>
      </c>
      <c r="Q414" s="39" t="e">
        <f>VLOOKUP(P414,RPN!$B$6:$C$22,2)</f>
        <v>#N/A</v>
      </c>
      <c r="Z414" s="9" t="e">
        <f ca="1">VLOOKUP($N414,Likelihood!$A$3:$C$7,2,FALSE)+RANDBETWEEN(-20,20)/100</f>
        <v>#N/A</v>
      </c>
      <c r="AA414" s="9" t="e">
        <f ca="1">IF($Q414=AA$2,VLOOKUP($O414,Impact!$A$4:$B$8,2,FALSE)+RANDBETWEEN(-20,20)/100,NA())</f>
        <v>#N/A</v>
      </c>
      <c r="AB414" s="9" t="e">
        <f ca="1">IF($Q414=AB$2,VLOOKUP($O414,Impact!$A$4:$B$8,2,FALSE)+RANDBETWEEN(-20,20)/100,NA())</f>
        <v>#N/A</v>
      </c>
      <c r="AC414" s="9" t="e">
        <f ca="1">IF($Q414=AC$2,VLOOKUP($O414,Impact!$A$4:$B$8,2,FALSE)+RANDBETWEEN(-20,20)/100,NA())</f>
        <v>#N/A</v>
      </c>
    </row>
    <row r="415" spans="1:29" x14ac:dyDescent="0.25">
      <c r="A415" s="17">
        <v>413</v>
      </c>
      <c r="B415" s="3" t="str">
        <f t="shared" si="28"/>
        <v/>
      </c>
      <c r="H415" s="49" t="str">
        <f t="shared" si="27"/>
        <v>s. D.</v>
      </c>
      <c r="I415" s="48" t="str">
        <f t="shared" si="29"/>
        <v/>
      </c>
      <c r="J415" s="49" t="str">
        <f>I415&amp;IF(NOT(ISBLANK(E415)),CHAR(10)&amp;VLOOKUP(E415,AttackRiskStep!$A$3:$C$99,3,FALSE),"see Description")&amp;IF(NOT(ISBLANK(F415))," -&gt; "&amp;CHAR(10)&amp;VLOOKUP(F415,AttackRiskStep!$A$3:$C$99,3,FALSE),"")&amp;IF(NOT(ISBLANK(G415))," -&gt; "&amp;CHAR(10)&amp;VLOOKUP(G415,AttackRiskStep!$A$3:$C$99,3,FALSE),"")</f>
        <v>see Description</v>
      </c>
      <c r="P415" s="38" t="e">
        <f>VLOOKUP($N415,Likelihood!$A$3:$B$7,2,FALSE)*VLOOKUP($O415,Impact!$A$4:$B$8,2,FALSE)</f>
        <v>#N/A</v>
      </c>
      <c r="Q415" s="39" t="e">
        <f>VLOOKUP(P415,RPN!$B$6:$C$22,2)</f>
        <v>#N/A</v>
      </c>
      <c r="Z415" s="9" t="e">
        <f ca="1">VLOOKUP($N415,Likelihood!$A$3:$C$7,2,FALSE)+RANDBETWEEN(-20,20)/100</f>
        <v>#N/A</v>
      </c>
      <c r="AA415" s="9" t="e">
        <f ca="1">IF($Q415=AA$2,VLOOKUP($O415,Impact!$A$4:$B$8,2,FALSE)+RANDBETWEEN(-20,20)/100,NA())</f>
        <v>#N/A</v>
      </c>
      <c r="AB415" s="9" t="e">
        <f ca="1">IF($Q415=AB$2,VLOOKUP($O415,Impact!$A$4:$B$8,2,FALSE)+RANDBETWEEN(-20,20)/100,NA())</f>
        <v>#N/A</v>
      </c>
      <c r="AC415" s="9" t="e">
        <f ca="1">IF($Q415=AC$2,VLOOKUP($O415,Impact!$A$4:$B$8,2,FALSE)+RANDBETWEEN(-20,20)/100,NA())</f>
        <v>#N/A</v>
      </c>
    </row>
    <row r="416" spans="1:29" x14ac:dyDescent="0.25">
      <c r="A416" s="17">
        <v>414</v>
      </c>
      <c r="B416" s="3" t="str">
        <f t="shared" si="28"/>
        <v/>
      </c>
      <c r="H416" s="49" t="str">
        <f t="shared" si="27"/>
        <v>s. D.</v>
      </c>
      <c r="I416" s="48" t="str">
        <f t="shared" si="29"/>
        <v/>
      </c>
      <c r="J416" s="49" t="str">
        <f>I416&amp;IF(NOT(ISBLANK(E416)),CHAR(10)&amp;VLOOKUP(E416,AttackRiskStep!$A$3:$C$99,3,FALSE),"see Description")&amp;IF(NOT(ISBLANK(F416))," -&gt; "&amp;CHAR(10)&amp;VLOOKUP(F416,AttackRiskStep!$A$3:$C$99,3,FALSE),"")&amp;IF(NOT(ISBLANK(G416))," -&gt; "&amp;CHAR(10)&amp;VLOOKUP(G416,AttackRiskStep!$A$3:$C$99,3,FALSE),"")</f>
        <v>see Description</v>
      </c>
      <c r="P416" s="38" t="e">
        <f>VLOOKUP($N416,Likelihood!$A$3:$B$7,2,FALSE)*VLOOKUP($O416,Impact!$A$4:$B$8,2,FALSE)</f>
        <v>#N/A</v>
      </c>
      <c r="Q416" s="39" t="e">
        <f>VLOOKUP(P416,RPN!$B$6:$C$22,2)</f>
        <v>#N/A</v>
      </c>
      <c r="Z416" s="9" t="e">
        <f ca="1">VLOOKUP($N416,Likelihood!$A$3:$C$7,2,FALSE)+RANDBETWEEN(-20,20)/100</f>
        <v>#N/A</v>
      </c>
      <c r="AA416" s="9" t="e">
        <f ca="1">IF($Q416=AA$2,VLOOKUP($O416,Impact!$A$4:$B$8,2,FALSE)+RANDBETWEEN(-20,20)/100,NA())</f>
        <v>#N/A</v>
      </c>
      <c r="AB416" s="9" t="e">
        <f ca="1">IF($Q416=AB$2,VLOOKUP($O416,Impact!$A$4:$B$8,2,FALSE)+RANDBETWEEN(-20,20)/100,NA())</f>
        <v>#N/A</v>
      </c>
      <c r="AC416" s="9" t="e">
        <f ca="1">IF($Q416=AC$2,VLOOKUP($O416,Impact!$A$4:$B$8,2,FALSE)+RANDBETWEEN(-20,20)/100,NA())</f>
        <v>#N/A</v>
      </c>
    </row>
    <row r="417" spans="1:29" x14ac:dyDescent="0.25">
      <c r="A417" s="17">
        <v>415</v>
      </c>
      <c r="B417" s="3" t="str">
        <f t="shared" si="28"/>
        <v/>
      </c>
      <c r="H417" s="49" t="str">
        <f t="shared" si="27"/>
        <v>s. D.</v>
      </c>
      <c r="I417" s="48" t="str">
        <f t="shared" si="29"/>
        <v/>
      </c>
      <c r="J417" s="49" t="str">
        <f>I417&amp;IF(NOT(ISBLANK(E417)),CHAR(10)&amp;VLOOKUP(E417,AttackRiskStep!$A$3:$C$99,3,FALSE),"see Description")&amp;IF(NOT(ISBLANK(F417))," -&gt; "&amp;CHAR(10)&amp;VLOOKUP(F417,AttackRiskStep!$A$3:$C$99,3,FALSE),"")&amp;IF(NOT(ISBLANK(G417))," -&gt; "&amp;CHAR(10)&amp;VLOOKUP(G417,AttackRiskStep!$A$3:$C$99,3,FALSE),"")</f>
        <v>see Description</v>
      </c>
      <c r="P417" s="38" t="e">
        <f>VLOOKUP($N417,Likelihood!$A$3:$B$7,2,FALSE)*VLOOKUP($O417,Impact!$A$4:$B$8,2,FALSE)</f>
        <v>#N/A</v>
      </c>
      <c r="Q417" s="39" t="e">
        <f>VLOOKUP(P417,RPN!$B$6:$C$22,2)</f>
        <v>#N/A</v>
      </c>
      <c r="Z417" s="9" t="e">
        <f ca="1">VLOOKUP($N417,Likelihood!$A$3:$C$7,2,FALSE)+RANDBETWEEN(-20,20)/100</f>
        <v>#N/A</v>
      </c>
      <c r="AA417" s="9" t="e">
        <f ca="1">IF($Q417=AA$2,VLOOKUP($O417,Impact!$A$4:$B$8,2,FALSE)+RANDBETWEEN(-20,20)/100,NA())</f>
        <v>#N/A</v>
      </c>
      <c r="AB417" s="9" t="e">
        <f ca="1">IF($Q417=AB$2,VLOOKUP($O417,Impact!$A$4:$B$8,2,FALSE)+RANDBETWEEN(-20,20)/100,NA())</f>
        <v>#N/A</v>
      </c>
      <c r="AC417" s="9" t="e">
        <f ca="1">IF($Q417=AC$2,VLOOKUP($O417,Impact!$A$4:$B$8,2,FALSE)+RANDBETWEEN(-20,20)/100,NA())</f>
        <v>#N/A</v>
      </c>
    </row>
    <row r="418" spans="1:29" x14ac:dyDescent="0.25">
      <c r="A418" s="17">
        <v>416</v>
      </c>
      <c r="B418" s="3" t="str">
        <f t="shared" si="28"/>
        <v/>
      </c>
      <c r="H418" s="49" t="str">
        <f t="shared" si="27"/>
        <v>s. D.</v>
      </c>
      <c r="I418" s="48" t="str">
        <f t="shared" si="29"/>
        <v/>
      </c>
      <c r="J418" s="49" t="str">
        <f>I418&amp;IF(NOT(ISBLANK(E418)),CHAR(10)&amp;VLOOKUP(E418,AttackRiskStep!$A$3:$C$99,3,FALSE),"see Description")&amp;IF(NOT(ISBLANK(F418))," -&gt; "&amp;CHAR(10)&amp;VLOOKUP(F418,AttackRiskStep!$A$3:$C$99,3,FALSE),"")&amp;IF(NOT(ISBLANK(G418))," -&gt; "&amp;CHAR(10)&amp;VLOOKUP(G418,AttackRiskStep!$A$3:$C$99,3,FALSE),"")</f>
        <v>see Description</v>
      </c>
      <c r="P418" s="38" t="e">
        <f>VLOOKUP($N418,Likelihood!$A$3:$B$7,2,FALSE)*VLOOKUP($O418,Impact!$A$4:$B$8,2,FALSE)</f>
        <v>#N/A</v>
      </c>
      <c r="Q418" s="39" t="e">
        <f>VLOOKUP(P418,RPN!$B$6:$C$22,2)</f>
        <v>#N/A</v>
      </c>
      <c r="Z418" s="9" t="e">
        <f ca="1">VLOOKUP($N418,Likelihood!$A$3:$C$7,2,FALSE)+RANDBETWEEN(-20,20)/100</f>
        <v>#N/A</v>
      </c>
      <c r="AA418" s="9" t="e">
        <f ca="1">IF($Q418=AA$2,VLOOKUP($O418,Impact!$A$4:$B$8,2,FALSE)+RANDBETWEEN(-20,20)/100,NA())</f>
        <v>#N/A</v>
      </c>
      <c r="AB418" s="9" t="e">
        <f ca="1">IF($Q418=AB$2,VLOOKUP($O418,Impact!$A$4:$B$8,2,FALSE)+RANDBETWEEN(-20,20)/100,NA())</f>
        <v>#N/A</v>
      </c>
      <c r="AC418" s="9" t="e">
        <f ca="1">IF($Q418=AC$2,VLOOKUP($O418,Impact!$A$4:$B$8,2,FALSE)+RANDBETWEEN(-20,20)/100,NA())</f>
        <v>#N/A</v>
      </c>
    </row>
    <row r="419" spans="1:29" x14ac:dyDescent="0.25">
      <c r="A419" s="17">
        <v>417</v>
      </c>
      <c r="B419" s="3" t="str">
        <f t="shared" si="28"/>
        <v/>
      </c>
      <c r="H419" s="49" t="str">
        <f t="shared" si="27"/>
        <v>s. D.</v>
      </c>
      <c r="I419" s="48" t="str">
        <f t="shared" si="29"/>
        <v/>
      </c>
      <c r="J419" s="49" t="str">
        <f>I419&amp;IF(NOT(ISBLANK(E419)),CHAR(10)&amp;VLOOKUP(E419,AttackRiskStep!$A$3:$C$99,3,FALSE),"see Description")&amp;IF(NOT(ISBLANK(F419))," -&gt; "&amp;CHAR(10)&amp;VLOOKUP(F419,AttackRiskStep!$A$3:$C$99,3,FALSE),"")&amp;IF(NOT(ISBLANK(G419))," -&gt; "&amp;CHAR(10)&amp;VLOOKUP(G419,AttackRiskStep!$A$3:$C$99,3,FALSE),"")</f>
        <v>see Description</v>
      </c>
      <c r="P419" s="38" t="e">
        <f>VLOOKUP($N419,Likelihood!$A$3:$B$7,2,FALSE)*VLOOKUP($O419,Impact!$A$4:$B$8,2,FALSE)</f>
        <v>#N/A</v>
      </c>
      <c r="Q419" s="39" t="e">
        <f>VLOOKUP(P419,RPN!$B$6:$C$22,2)</f>
        <v>#N/A</v>
      </c>
      <c r="Z419" s="9" t="e">
        <f ca="1">VLOOKUP($N419,Likelihood!$A$3:$C$7,2,FALSE)+RANDBETWEEN(-20,20)/100</f>
        <v>#N/A</v>
      </c>
      <c r="AA419" s="9" t="e">
        <f ca="1">IF($Q419=AA$2,VLOOKUP($O419,Impact!$A$4:$B$8,2,FALSE)+RANDBETWEEN(-20,20)/100,NA())</f>
        <v>#N/A</v>
      </c>
      <c r="AB419" s="9" t="e">
        <f ca="1">IF($Q419=AB$2,VLOOKUP($O419,Impact!$A$4:$B$8,2,FALSE)+RANDBETWEEN(-20,20)/100,NA())</f>
        <v>#N/A</v>
      </c>
      <c r="AC419" s="9" t="e">
        <f ca="1">IF($Q419=AC$2,VLOOKUP($O419,Impact!$A$4:$B$8,2,FALSE)+RANDBETWEEN(-20,20)/100,NA())</f>
        <v>#N/A</v>
      </c>
    </row>
    <row r="420" spans="1:29" x14ac:dyDescent="0.25">
      <c r="A420" s="17">
        <v>418</v>
      </c>
      <c r="B420" s="3" t="str">
        <f t="shared" si="28"/>
        <v/>
      </c>
      <c r="H420" s="49" t="str">
        <f t="shared" si="27"/>
        <v>s. D.</v>
      </c>
      <c r="I420" s="48" t="str">
        <f t="shared" si="29"/>
        <v/>
      </c>
      <c r="J420" s="49" t="str">
        <f>I420&amp;IF(NOT(ISBLANK(E420)),CHAR(10)&amp;VLOOKUP(E420,AttackRiskStep!$A$3:$C$99,3,FALSE),"see Description")&amp;IF(NOT(ISBLANK(F420))," -&gt; "&amp;CHAR(10)&amp;VLOOKUP(F420,AttackRiskStep!$A$3:$C$99,3,FALSE),"")&amp;IF(NOT(ISBLANK(G420))," -&gt; "&amp;CHAR(10)&amp;VLOOKUP(G420,AttackRiskStep!$A$3:$C$99,3,FALSE),"")</f>
        <v>see Description</v>
      </c>
      <c r="P420" s="38" t="e">
        <f>VLOOKUP($N420,Likelihood!$A$3:$B$7,2,FALSE)*VLOOKUP($O420,Impact!$A$4:$B$8,2,FALSE)</f>
        <v>#N/A</v>
      </c>
      <c r="Q420" s="39" t="e">
        <f>VLOOKUP(P420,RPN!$B$6:$C$22,2)</f>
        <v>#N/A</v>
      </c>
      <c r="Z420" s="9" t="e">
        <f ca="1">VLOOKUP($N420,Likelihood!$A$3:$C$7,2,FALSE)+RANDBETWEEN(-20,20)/100</f>
        <v>#N/A</v>
      </c>
      <c r="AA420" s="9" t="e">
        <f ca="1">IF($Q420=AA$2,VLOOKUP($O420,Impact!$A$4:$B$8,2,FALSE)+RANDBETWEEN(-20,20)/100,NA())</f>
        <v>#N/A</v>
      </c>
      <c r="AB420" s="9" t="e">
        <f ca="1">IF($Q420=AB$2,VLOOKUP($O420,Impact!$A$4:$B$8,2,FALSE)+RANDBETWEEN(-20,20)/100,NA())</f>
        <v>#N/A</v>
      </c>
      <c r="AC420" s="9" t="e">
        <f ca="1">IF($Q420=AC$2,VLOOKUP($O420,Impact!$A$4:$B$8,2,FALSE)+RANDBETWEEN(-20,20)/100,NA())</f>
        <v>#N/A</v>
      </c>
    </row>
    <row r="421" spans="1:29" x14ac:dyDescent="0.25">
      <c r="A421" s="17">
        <v>419</v>
      </c>
      <c r="B421" s="3" t="str">
        <f t="shared" si="28"/>
        <v/>
      </c>
      <c r="H421" s="49" t="str">
        <f t="shared" si="27"/>
        <v>s. D.</v>
      </c>
      <c r="I421" s="48" t="str">
        <f t="shared" si="29"/>
        <v/>
      </c>
      <c r="J421" s="49" t="str">
        <f>I421&amp;IF(NOT(ISBLANK(E421)),CHAR(10)&amp;VLOOKUP(E421,AttackRiskStep!$A$3:$C$99,3,FALSE),"see Description")&amp;IF(NOT(ISBLANK(F421))," -&gt; "&amp;CHAR(10)&amp;VLOOKUP(F421,AttackRiskStep!$A$3:$C$99,3,FALSE),"")&amp;IF(NOT(ISBLANK(G421))," -&gt; "&amp;CHAR(10)&amp;VLOOKUP(G421,AttackRiskStep!$A$3:$C$99,3,FALSE),"")</f>
        <v>see Description</v>
      </c>
      <c r="P421" s="38" t="e">
        <f>VLOOKUP($N421,Likelihood!$A$3:$B$7,2,FALSE)*VLOOKUP($O421,Impact!$A$4:$B$8,2,FALSE)</f>
        <v>#N/A</v>
      </c>
      <c r="Q421" s="39" t="e">
        <f>VLOOKUP(P421,RPN!$B$6:$C$22,2)</f>
        <v>#N/A</v>
      </c>
      <c r="Z421" s="9" t="e">
        <f ca="1">VLOOKUP($N421,Likelihood!$A$3:$C$7,2,FALSE)+RANDBETWEEN(-20,20)/100</f>
        <v>#N/A</v>
      </c>
      <c r="AA421" s="9" t="e">
        <f ca="1">IF($Q421=AA$2,VLOOKUP($O421,Impact!$A$4:$B$8,2,FALSE)+RANDBETWEEN(-20,20)/100,NA())</f>
        <v>#N/A</v>
      </c>
      <c r="AB421" s="9" t="e">
        <f ca="1">IF($Q421=AB$2,VLOOKUP($O421,Impact!$A$4:$B$8,2,FALSE)+RANDBETWEEN(-20,20)/100,NA())</f>
        <v>#N/A</v>
      </c>
      <c r="AC421" s="9" t="e">
        <f ca="1">IF($Q421=AC$2,VLOOKUP($O421,Impact!$A$4:$B$8,2,FALSE)+RANDBETWEEN(-20,20)/100,NA())</f>
        <v>#N/A</v>
      </c>
    </row>
    <row r="422" spans="1:29" x14ac:dyDescent="0.25">
      <c r="A422" s="17">
        <v>420</v>
      </c>
      <c r="B422" s="3" t="str">
        <f t="shared" si="28"/>
        <v/>
      </c>
      <c r="H422" s="49" t="str">
        <f t="shared" si="27"/>
        <v>s. D.</v>
      </c>
      <c r="I422" s="48" t="str">
        <f t="shared" si="29"/>
        <v/>
      </c>
      <c r="J422" s="49" t="str">
        <f>I422&amp;IF(NOT(ISBLANK(E422)),CHAR(10)&amp;VLOOKUP(E422,AttackRiskStep!$A$3:$C$99,3,FALSE),"see Description")&amp;IF(NOT(ISBLANK(F422))," -&gt; "&amp;CHAR(10)&amp;VLOOKUP(F422,AttackRiskStep!$A$3:$C$99,3,FALSE),"")&amp;IF(NOT(ISBLANK(G422))," -&gt; "&amp;CHAR(10)&amp;VLOOKUP(G422,AttackRiskStep!$A$3:$C$99,3,FALSE),"")</f>
        <v>see Description</v>
      </c>
      <c r="P422" s="38" t="e">
        <f>VLOOKUP($N422,Likelihood!$A$3:$B$7,2,FALSE)*VLOOKUP($O422,Impact!$A$4:$B$8,2,FALSE)</f>
        <v>#N/A</v>
      </c>
      <c r="Q422" s="39" t="e">
        <f>VLOOKUP(P422,RPN!$B$6:$C$22,2)</f>
        <v>#N/A</v>
      </c>
      <c r="Z422" s="9" t="e">
        <f ca="1">VLOOKUP($N422,Likelihood!$A$3:$C$7,2,FALSE)+RANDBETWEEN(-20,20)/100</f>
        <v>#N/A</v>
      </c>
      <c r="AA422" s="9" t="e">
        <f ca="1">IF($Q422=AA$2,VLOOKUP($O422,Impact!$A$4:$B$8,2,FALSE)+RANDBETWEEN(-20,20)/100,NA())</f>
        <v>#N/A</v>
      </c>
      <c r="AB422" s="9" t="e">
        <f ca="1">IF($Q422=AB$2,VLOOKUP($O422,Impact!$A$4:$B$8,2,FALSE)+RANDBETWEEN(-20,20)/100,NA())</f>
        <v>#N/A</v>
      </c>
      <c r="AC422" s="9" t="e">
        <f ca="1">IF($Q422=AC$2,VLOOKUP($O422,Impact!$A$4:$B$8,2,FALSE)+RANDBETWEEN(-20,20)/100,NA())</f>
        <v>#N/A</v>
      </c>
    </row>
    <row r="423" spans="1:29" x14ac:dyDescent="0.25">
      <c r="A423" s="17">
        <v>421</v>
      </c>
      <c r="B423" s="3" t="str">
        <f t="shared" si="28"/>
        <v/>
      </c>
      <c r="H423" s="49" t="str">
        <f t="shared" si="27"/>
        <v>s. D.</v>
      </c>
      <c r="I423" s="48" t="str">
        <f t="shared" si="29"/>
        <v/>
      </c>
      <c r="J423" s="49" t="str">
        <f>I423&amp;IF(NOT(ISBLANK(E423)),CHAR(10)&amp;VLOOKUP(E423,AttackRiskStep!$A$3:$C$99,3,FALSE),"see Description")&amp;IF(NOT(ISBLANK(F423))," -&gt; "&amp;CHAR(10)&amp;VLOOKUP(F423,AttackRiskStep!$A$3:$C$99,3,FALSE),"")&amp;IF(NOT(ISBLANK(G423))," -&gt; "&amp;CHAR(10)&amp;VLOOKUP(G423,AttackRiskStep!$A$3:$C$99,3,FALSE),"")</f>
        <v>see Description</v>
      </c>
      <c r="P423" s="38" t="e">
        <f>VLOOKUP($N423,Likelihood!$A$3:$B$7,2,FALSE)*VLOOKUP($O423,Impact!$A$4:$B$8,2,FALSE)</f>
        <v>#N/A</v>
      </c>
      <c r="Q423" s="39" t="e">
        <f>VLOOKUP(P423,RPN!$B$6:$C$22,2)</f>
        <v>#N/A</v>
      </c>
      <c r="Z423" s="9" t="e">
        <f ca="1">VLOOKUP($N423,Likelihood!$A$3:$C$7,2,FALSE)+RANDBETWEEN(-20,20)/100</f>
        <v>#N/A</v>
      </c>
      <c r="AA423" s="9" t="e">
        <f ca="1">IF($Q423=AA$2,VLOOKUP($O423,Impact!$A$4:$B$8,2,FALSE)+RANDBETWEEN(-20,20)/100,NA())</f>
        <v>#N/A</v>
      </c>
      <c r="AB423" s="9" t="e">
        <f ca="1">IF($Q423=AB$2,VLOOKUP($O423,Impact!$A$4:$B$8,2,FALSE)+RANDBETWEEN(-20,20)/100,NA())</f>
        <v>#N/A</v>
      </c>
      <c r="AC423" s="9" t="e">
        <f ca="1">IF($Q423=AC$2,VLOOKUP($O423,Impact!$A$4:$B$8,2,FALSE)+RANDBETWEEN(-20,20)/100,NA())</f>
        <v>#N/A</v>
      </c>
    </row>
    <row r="424" spans="1:29" x14ac:dyDescent="0.25">
      <c r="A424" s="17">
        <v>422</v>
      </c>
      <c r="B424" s="3" t="str">
        <f t="shared" si="28"/>
        <v/>
      </c>
      <c r="H424" s="49" t="str">
        <f t="shared" si="27"/>
        <v>s. D.</v>
      </c>
      <c r="I424" s="48" t="str">
        <f t="shared" si="29"/>
        <v/>
      </c>
      <c r="J424" s="49" t="str">
        <f>I424&amp;IF(NOT(ISBLANK(E424)),CHAR(10)&amp;VLOOKUP(E424,AttackRiskStep!$A$3:$C$99,3,FALSE),"see Description")&amp;IF(NOT(ISBLANK(F424))," -&gt; "&amp;CHAR(10)&amp;VLOOKUP(F424,AttackRiskStep!$A$3:$C$99,3,FALSE),"")&amp;IF(NOT(ISBLANK(G424))," -&gt; "&amp;CHAR(10)&amp;VLOOKUP(G424,AttackRiskStep!$A$3:$C$99,3,FALSE),"")</f>
        <v>see Description</v>
      </c>
      <c r="P424" s="38" t="e">
        <f>VLOOKUP($N424,Likelihood!$A$3:$B$7,2,FALSE)*VLOOKUP($O424,Impact!$A$4:$B$8,2,FALSE)</f>
        <v>#N/A</v>
      </c>
      <c r="Q424" s="39" t="e">
        <f>VLOOKUP(P424,RPN!$B$6:$C$22,2)</f>
        <v>#N/A</v>
      </c>
      <c r="Z424" s="9" t="e">
        <f ca="1">VLOOKUP($N424,Likelihood!$A$3:$C$7,2,FALSE)+RANDBETWEEN(-20,20)/100</f>
        <v>#N/A</v>
      </c>
      <c r="AA424" s="9" t="e">
        <f ca="1">IF($Q424=AA$2,VLOOKUP($O424,Impact!$A$4:$B$8,2,FALSE)+RANDBETWEEN(-20,20)/100,NA())</f>
        <v>#N/A</v>
      </c>
      <c r="AB424" s="9" t="e">
        <f ca="1">IF($Q424=AB$2,VLOOKUP($O424,Impact!$A$4:$B$8,2,FALSE)+RANDBETWEEN(-20,20)/100,NA())</f>
        <v>#N/A</v>
      </c>
      <c r="AC424" s="9" t="e">
        <f ca="1">IF($Q424=AC$2,VLOOKUP($O424,Impact!$A$4:$B$8,2,FALSE)+RANDBETWEEN(-20,20)/100,NA())</f>
        <v>#N/A</v>
      </c>
    </row>
    <row r="425" spans="1:29" x14ac:dyDescent="0.25">
      <c r="A425" s="17">
        <v>423</v>
      </c>
      <c r="B425" s="3" t="str">
        <f t="shared" si="28"/>
        <v/>
      </c>
      <c r="H425" s="49" t="str">
        <f t="shared" si="27"/>
        <v>s. D.</v>
      </c>
      <c r="I425" s="48" t="str">
        <f t="shared" si="29"/>
        <v/>
      </c>
      <c r="J425" s="49" t="str">
        <f>I425&amp;IF(NOT(ISBLANK(E425)),CHAR(10)&amp;VLOOKUP(E425,AttackRiskStep!$A$3:$C$99,3,FALSE),"see Description")&amp;IF(NOT(ISBLANK(F425))," -&gt; "&amp;CHAR(10)&amp;VLOOKUP(F425,AttackRiskStep!$A$3:$C$99,3,FALSE),"")&amp;IF(NOT(ISBLANK(G425))," -&gt; "&amp;CHAR(10)&amp;VLOOKUP(G425,AttackRiskStep!$A$3:$C$99,3,FALSE),"")</f>
        <v>see Description</v>
      </c>
      <c r="P425" s="38" t="e">
        <f>VLOOKUP($N425,Likelihood!$A$3:$B$7,2,FALSE)*VLOOKUP($O425,Impact!$A$4:$B$8,2,FALSE)</f>
        <v>#N/A</v>
      </c>
      <c r="Q425" s="39" t="e">
        <f>VLOOKUP(P425,RPN!$B$6:$C$22,2)</f>
        <v>#N/A</v>
      </c>
      <c r="Z425" s="9" t="e">
        <f ca="1">VLOOKUP($N425,Likelihood!$A$3:$C$7,2,FALSE)+RANDBETWEEN(-20,20)/100</f>
        <v>#N/A</v>
      </c>
      <c r="AA425" s="9" t="e">
        <f ca="1">IF($Q425=AA$2,VLOOKUP($O425,Impact!$A$4:$B$8,2,FALSE)+RANDBETWEEN(-20,20)/100,NA())</f>
        <v>#N/A</v>
      </c>
      <c r="AB425" s="9" t="e">
        <f ca="1">IF($Q425=AB$2,VLOOKUP($O425,Impact!$A$4:$B$8,2,FALSE)+RANDBETWEEN(-20,20)/100,NA())</f>
        <v>#N/A</v>
      </c>
      <c r="AC425" s="9" t="e">
        <f ca="1">IF($Q425=AC$2,VLOOKUP($O425,Impact!$A$4:$B$8,2,FALSE)+RANDBETWEEN(-20,20)/100,NA())</f>
        <v>#N/A</v>
      </c>
    </row>
    <row r="426" spans="1:29" x14ac:dyDescent="0.25">
      <c r="A426" s="17">
        <v>424</v>
      </c>
      <c r="B426" s="3" t="str">
        <f t="shared" si="28"/>
        <v/>
      </c>
      <c r="H426" s="49" t="str">
        <f t="shared" si="27"/>
        <v>s. D.</v>
      </c>
      <c r="I426" s="48" t="str">
        <f t="shared" si="29"/>
        <v/>
      </c>
      <c r="J426" s="49" t="str">
        <f>I426&amp;IF(NOT(ISBLANK(E426)),CHAR(10)&amp;VLOOKUP(E426,AttackRiskStep!$A$3:$C$99,3,FALSE),"see Description")&amp;IF(NOT(ISBLANK(F426))," -&gt; "&amp;CHAR(10)&amp;VLOOKUP(F426,AttackRiskStep!$A$3:$C$99,3,FALSE),"")&amp;IF(NOT(ISBLANK(G426))," -&gt; "&amp;CHAR(10)&amp;VLOOKUP(G426,AttackRiskStep!$A$3:$C$99,3,FALSE),"")</f>
        <v>see Description</v>
      </c>
      <c r="P426" s="38" t="e">
        <f>VLOOKUP($N426,Likelihood!$A$3:$B$7,2,FALSE)*VLOOKUP($O426,Impact!$A$4:$B$8,2,FALSE)</f>
        <v>#N/A</v>
      </c>
      <c r="Q426" s="39" t="e">
        <f>VLOOKUP(P426,RPN!$B$6:$C$22,2)</f>
        <v>#N/A</v>
      </c>
      <c r="Z426" s="9" t="e">
        <f ca="1">VLOOKUP($N426,Likelihood!$A$3:$C$7,2,FALSE)+RANDBETWEEN(-20,20)/100</f>
        <v>#N/A</v>
      </c>
      <c r="AA426" s="9" t="e">
        <f ca="1">IF($Q426=AA$2,VLOOKUP($O426,Impact!$A$4:$B$8,2,FALSE)+RANDBETWEEN(-20,20)/100,NA())</f>
        <v>#N/A</v>
      </c>
      <c r="AB426" s="9" t="e">
        <f ca="1">IF($Q426=AB$2,VLOOKUP($O426,Impact!$A$4:$B$8,2,FALSE)+RANDBETWEEN(-20,20)/100,NA())</f>
        <v>#N/A</v>
      </c>
      <c r="AC426" s="9" t="e">
        <f ca="1">IF($Q426=AC$2,VLOOKUP($O426,Impact!$A$4:$B$8,2,FALSE)+RANDBETWEEN(-20,20)/100,NA())</f>
        <v>#N/A</v>
      </c>
    </row>
    <row r="427" spans="1:29" x14ac:dyDescent="0.25">
      <c r="A427" s="17">
        <v>425</v>
      </c>
      <c r="B427" s="3" t="str">
        <f t="shared" si="28"/>
        <v/>
      </c>
      <c r="H427" s="49" t="str">
        <f t="shared" si="27"/>
        <v>s. D.</v>
      </c>
      <c r="I427" s="48" t="str">
        <f t="shared" si="29"/>
        <v/>
      </c>
      <c r="J427" s="49" t="str">
        <f>I427&amp;IF(NOT(ISBLANK(E427)),CHAR(10)&amp;VLOOKUP(E427,AttackRiskStep!$A$3:$C$99,3,FALSE),"see Description")&amp;IF(NOT(ISBLANK(F427))," -&gt; "&amp;CHAR(10)&amp;VLOOKUP(F427,AttackRiskStep!$A$3:$C$99,3,FALSE),"")&amp;IF(NOT(ISBLANK(G427))," -&gt; "&amp;CHAR(10)&amp;VLOOKUP(G427,AttackRiskStep!$A$3:$C$99,3,FALSE),"")</f>
        <v>see Description</v>
      </c>
      <c r="P427" s="38" t="e">
        <f>VLOOKUP($N427,Likelihood!$A$3:$B$7,2,FALSE)*VLOOKUP($O427,Impact!$A$4:$B$8,2,FALSE)</f>
        <v>#N/A</v>
      </c>
      <c r="Q427" s="39" t="e">
        <f>VLOOKUP(P427,RPN!$B$6:$C$22,2)</f>
        <v>#N/A</v>
      </c>
      <c r="Z427" s="9" t="e">
        <f ca="1">VLOOKUP($N427,Likelihood!$A$3:$C$7,2,FALSE)+RANDBETWEEN(-20,20)/100</f>
        <v>#N/A</v>
      </c>
      <c r="AA427" s="9" t="e">
        <f ca="1">IF($Q427=AA$2,VLOOKUP($O427,Impact!$A$4:$B$8,2,FALSE)+RANDBETWEEN(-20,20)/100,NA())</f>
        <v>#N/A</v>
      </c>
      <c r="AB427" s="9" t="e">
        <f ca="1">IF($Q427=AB$2,VLOOKUP($O427,Impact!$A$4:$B$8,2,FALSE)+RANDBETWEEN(-20,20)/100,NA())</f>
        <v>#N/A</v>
      </c>
      <c r="AC427" s="9" t="e">
        <f ca="1">IF($Q427=AC$2,VLOOKUP($O427,Impact!$A$4:$B$8,2,FALSE)+RANDBETWEEN(-20,20)/100,NA())</f>
        <v>#N/A</v>
      </c>
    </row>
    <row r="428" spans="1:29" x14ac:dyDescent="0.25">
      <c r="A428" s="17">
        <v>426</v>
      </c>
      <c r="B428" s="3" t="str">
        <f t="shared" si="28"/>
        <v/>
      </c>
      <c r="H428" s="49" t="str">
        <f t="shared" si="27"/>
        <v>s. D.</v>
      </c>
      <c r="I428" s="48" t="str">
        <f t="shared" si="29"/>
        <v/>
      </c>
      <c r="J428" s="49" t="str">
        <f>I428&amp;IF(NOT(ISBLANK(E428)),CHAR(10)&amp;VLOOKUP(E428,AttackRiskStep!$A$3:$C$99,3,FALSE),"see Description")&amp;IF(NOT(ISBLANK(F428))," -&gt; "&amp;CHAR(10)&amp;VLOOKUP(F428,AttackRiskStep!$A$3:$C$99,3,FALSE),"")&amp;IF(NOT(ISBLANK(G428))," -&gt; "&amp;CHAR(10)&amp;VLOOKUP(G428,AttackRiskStep!$A$3:$C$99,3,FALSE),"")</f>
        <v>see Description</v>
      </c>
      <c r="P428" s="38" t="e">
        <f>VLOOKUP($N428,Likelihood!$A$3:$B$7,2,FALSE)*VLOOKUP($O428,Impact!$A$4:$B$8,2,FALSE)</f>
        <v>#N/A</v>
      </c>
      <c r="Q428" s="39" t="e">
        <f>VLOOKUP(P428,RPN!$B$6:$C$22,2)</f>
        <v>#N/A</v>
      </c>
      <c r="Z428" s="9" t="e">
        <f ca="1">VLOOKUP($N428,Likelihood!$A$3:$C$7,2,FALSE)+RANDBETWEEN(-20,20)/100</f>
        <v>#N/A</v>
      </c>
      <c r="AA428" s="9" t="e">
        <f ca="1">IF($Q428=AA$2,VLOOKUP($O428,Impact!$A$4:$B$8,2,FALSE)+RANDBETWEEN(-20,20)/100,NA())</f>
        <v>#N/A</v>
      </c>
      <c r="AB428" s="9" t="e">
        <f ca="1">IF($Q428=AB$2,VLOOKUP($O428,Impact!$A$4:$B$8,2,FALSE)+RANDBETWEEN(-20,20)/100,NA())</f>
        <v>#N/A</v>
      </c>
      <c r="AC428" s="9" t="e">
        <f ca="1">IF($Q428=AC$2,VLOOKUP($O428,Impact!$A$4:$B$8,2,FALSE)+RANDBETWEEN(-20,20)/100,NA())</f>
        <v>#N/A</v>
      </c>
    </row>
    <row r="429" spans="1:29" x14ac:dyDescent="0.25">
      <c r="A429" s="17">
        <v>427</v>
      </c>
      <c r="B429" s="3" t="str">
        <f t="shared" si="28"/>
        <v/>
      </c>
      <c r="H429" s="49" t="str">
        <f t="shared" si="27"/>
        <v>s. D.</v>
      </c>
      <c r="I429" s="48" t="str">
        <f t="shared" si="29"/>
        <v/>
      </c>
      <c r="J429" s="49" t="str">
        <f>I429&amp;IF(NOT(ISBLANK(E429)),CHAR(10)&amp;VLOOKUP(E429,AttackRiskStep!$A$3:$C$99,3,FALSE),"see Description")&amp;IF(NOT(ISBLANK(F429))," -&gt; "&amp;CHAR(10)&amp;VLOOKUP(F429,AttackRiskStep!$A$3:$C$99,3,FALSE),"")&amp;IF(NOT(ISBLANK(G429))," -&gt; "&amp;CHAR(10)&amp;VLOOKUP(G429,AttackRiskStep!$A$3:$C$99,3,FALSE),"")</f>
        <v>see Description</v>
      </c>
      <c r="P429" s="38" t="e">
        <f>VLOOKUP($N429,Likelihood!$A$3:$B$7,2,FALSE)*VLOOKUP($O429,Impact!$A$4:$B$8,2,FALSE)</f>
        <v>#N/A</v>
      </c>
      <c r="Q429" s="39" t="e">
        <f>VLOOKUP(P429,RPN!$B$6:$C$22,2)</f>
        <v>#N/A</v>
      </c>
      <c r="Z429" s="9" t="e">
        <f ca="1">VLOOKUP($N429,Likelihood!$A$3:$C$7,2,FALSE)+RANDBETWEEN(-20,20)/100</f>
        <v>#N/A</v>
      </c>
      <c r="AA429" s="9" t="e">
        <f ca="1">IF($Q429=AA$2,VLOOKUP($O429,Impact!$A$4:$B$8,2,FALSE)+RANDBETWEEN(-20,20)/100,NA())</f>
        <v>#N/A</v>
      </c>
      <c r="AB429" s="9" t="e">
        <f ca="1">IF($Q429=AB$2,VLOOKUP($O429,Impact!$A$4:$B$8,2,FALSE)+RANDBETWEEN(-20,20)/100,NA())</f>
        <v>#N/A</v>
      </c>
      <c r="AC429" s="9" t="e">
        <f ca="1">IF($Q429=AC$2,VLOOKUP($O429,Impact!$A$4:$B$8,2,FALSE)+RANDBETWEEN(-20,20)/100,NA())</f>
        <v>#N/A</v>
      </c>
    </row>
    <row r="430" spans="1:29" x14ac:dyDescent="0.25">
      <c r="A430" s="17">
        <v>428</v>
      </c>
      <c r="B430" s="3" t="str">
        <f t="shared" si="28"/>
        <v/>
      </c>
      <c r="H430" s="49" t="str">
        <f t="shared" si="27"/>
        <v>s. D.</v>
      </c>
      <c r="I430" s="48" t="str">
        <f t="shared" si="29"/>
        <v/>
      </c>
      <c r="J430" s="49" t="str">
        <f>I430&amp;IF(NOT(ISBLANK(E430)),CHAR(10)&amp;VLOOKUP(E430,AttackRiskStep!$A$3:$C$99,3,FALSE),"see Description")&amp;IF(NOT(ISBLANK(F430))," -&gt; "&amp;CHAR(10)&amp;VLOOKUP(F430,AttackRiskStep!$A$3:$C$99,3,FALSE),"")&amp;IF(NOT(ISBLANK(G430))," -&gt; "&amp;CHAR(10)&amp;VLOOKUP(G430,AttackRiskStep!$A$3:$C$99,3,FALSE),"")</f>
        <v>see Description</v>
      </c>
      <c r="P430" s="38" t="e">
        <f>VLOOKUP($N430,Likelihood!$A$3:$B$7,2,FALSE)*VLOOKUP($O430,Impact!$A$4:$B$8,2,FALSE)</f>
        <v>#N/A</v>
      </c>
      <c r="Q430" s="39" t="e">
        <f>VLOOKUP(P430,RPN!$B$6:$C$22,2)</f>
        <v>#N/A</v>
      </c>
      <c r="Z430" s="9" t="e">
        <f ca="1">VLOOKUP($N430,Likelihood!$A$3:$C$7,2,FALSE)+RANDBETWEEN(-20,20)/100</f>
        <v>#N/A</v>
      </c>
      <c r="AA430" s="9" t="e">
        <f ca="1">IF($Q430=AA$2,VLOOKUP($O430,Impact!$A$4:$B$8,2,FALSE)+RANDBETWEEN(-20,20)/100,NA())</f>
        <v>#N/A</v>
      </c>
      <c r="AB430" s="9" t="e">
        <f ca="1">IF($Q430=AB$2,VLOOKUP($O430,Impact!$A$4:$B$8,2,FALSE)+RANDBETWEEN(-20,20)/100,NA())</f>
        <v>#N/A</v>
      </c>
      <c r="AC430" s="9" t="e">
        <f ca="1">IF($Q430=AC$2,VLOOKUP($O430,Impact!$A$4:$B$8,2,FALSE)+RANDBETWEEN(-20,20)/100,NA())</f>
        <v>#N/A</v>
      </c>
    </row>
    <row r="431" spans="1:29" x14ac:dyDescent="0.25">
      <c r="A431" s="17">
        <v>429</v>
      </c>
      <c r="B431" s="3" t="str">
        <f t="shared" si="28"/>
        <v/>
      </c>
      <c r="H431" s="49" t="str">
        <f t="shared" si="27"/>
        <v>s. D.</v>
      </c>
      <c r="I431" s="48" t="str">
        <f t="shared" si="29"/>
        <v/>
      </c>
      <c r="J431" s="49" t="str">
        <f>I431&amp;IF(NOT(ISBLANK(E431)),CHAR(10)&amp;VLOOKUP(E431,AttackRiskStep!$A$3:$C$99,3,FALSE),"see Description")&amp;IF(NOT(ISBLANK(F431))," -&gt; "&amp;CHAR(10)&amp;VLOOKUP(F431,AttackRiskStep!$A$3:$C$99,3,FALSE),"")&amp;IF(NOT(ISBLANK(G431))," -&gt; "&amp;CHAR(10)&amp;VLOOKUP(G431,AttackRiskStep!$A$3:$C$99,3,FALSE),"")</f>
        <v>see Description</v>
      </c>
      <c r="P431" s="38" t="e">
        <f>VLOOKUP($N431,Likelihood!$A$3:$B$7,2,FALSE)*VLOOKUP($O431,Impact!$A$4:$B$8,2,FALSE)</f>
        <v>#N/A</v>
      </c>
      <c r="Q431" s="39" t="e">
        <f>VLOOKUP(P431,RPN!$B$6:$C$22,2)</f>
        <v>#N/A</v>
      </c>
      <c r="Z431" s="9" t="e">
        <f ca="1">VLOOKUP($N431,Likelihood!$A$3:$C$7,2,FALSE)+RANDBETWEEN(-20,20)/100</f>
        <v>#N/A</v>
      </c>
      <c r="AA431" s="9" t="e">
        <f ca="1">IF($Q431=AA$2,VLOOKUP($O431,Impact!$A$4:$B$8,2,FALSE)+RANDBETWEEN(-20,20)/100,NA())</f>
        <v>#N/A</v>
      </c>
      <c r="AB431" s="9" t="e">
        <f ca="1">IF($Q431=AB$2,VLOOKUP($O431,Impact!$A$4:$B$8,2,FALSE)+RANDBETWEEN(-20,20)/100,NA())</f>
        <v>#N/A</v>
      </c>
      <c r="AC431" s="9" t="e">
        <f ca="1">IF($Q431=AC$2,VLOOKUP($O431,Impact!$A$4:$B$8,2,FALSE)+RANDBETWEEN(-20,20)/100,NA())</f>
        <v>#N/A</v>
      </c>
    </row>
    <row r="432" spans="1:29" x14ac:dyDescent="0.25">
      <c r="A432" s="17">
        <v>430</v>
      </c>
      <c r="B432" s="3" t="str">
        <f t="shared" si="28"/>
        <v/>
      </c>
      <c r="H432" s="49" t="str">
        <f t="shared" si="27"/>
        <v>s. D.</v>
      </c>
      <c r="I432" s="48" t="str">
        <f t="shared" si="29"/>
        <v/>
      </c>
      <c r="J432" s="49" t="str">
        <f>I432&amp;IF(NOT(ISBLANK(E432)),CHAR(10)&amp;VLOOKUP(E432,AttackRiskStep!$A$3:$C$99,3,FALSE),"see Description")&amp;IF(NOT(ISBLANK(F432))," -&gt; "&amp;CHAR(10)&amp;VLOOKUP(F432,AttackRiskStep!$A$3:$C$99,3,FALSE),"")&amp;IF(NOT(ISBLANK(G432))," -&gt; "&amp;CHAR(10)&amp;VLOOKUP(G432,AttackRiskStep!$A$3:$C$99,3,FALSE),"")</f>
        <v>see Description</v>
      </c>
      <c r="P432" s="38" t="e">
        <f>VLOOKUP($N432,Likelihood!$A$3:$B$7,2,FALSE)*VLOOKUP($O432,Impact!$A$4:$B$8,2,FALSE)</f>
        <v>#N/A</v>
      </c>
      <c r="Q432" s="39" t="e">
        <f>VLOOKUP(P432,RPN!$B$6:$C$22,2)</f>
        <v>#N/A</v>
      </c>
      <c r="Z432" s="9" t="e">
        <f ca="1">VLOOKUP($N432,Likelihood!$A$3:$C$7,2,FALSE)+RANDBETWEEN(-20,20)/100</f>
        <v>#N/A</v>
      </c>
      <c r="AA432" s="9" t="e">
        <f ca="1">IF($Q432=AA$2,VLOOKUP($O432,Impact!$A$4:$B$8,2,FALSE)+RANDBETWEEN(-20,20)/100,NA())</f>
        <v>#N/A</v>
      </c>
      <c r="AB432" s="9" t="e">
        <f ca="1">IF($Q432=AB$2,VLOOKUP($O432,Impact!$A$4:$B$8,2,FALSE)+RANDBETWEEN(-20,20)/100,NA())</f>
        <v>#N/A</v>
      </c>
      <c r="AC432" s="9" t="e">
        <f ca="1">IF($Q432=AC$2,VLOOKUP($O432,Impact!$A$4:$B$8,2,FALSE)+RANDBETWEEN(-20,20)/100,NA())</f>
        <v>#N/A</v>
      </c>
    </row>
    <row r="433" spans="1:29" x14ac:dyDescent="0.25">
      <c r="A433" s="17">
        <v>431</v>
      </c>
      <c r="B433" s="3" t="str">
        <f t="shared" si="28"/>
        <v/>
      </c>
      <c r="H433" s="49" t="str">
        <f t="shared" si="27"/>
        <v>s. D.</v>
      </c>
      <c r="I433" s="48" t="str">
        <f t="shared" si="29"/>
        <v/>
      </c>
      <c r="J433" s="49" t="str">
        <f>I433&amp;IF(NOT(ISBLANK(E433)),CHAR(10)&amp;VLOOKUP(E433,AttackRiskStep!$A$3:$C$99,3,FALSE),"see Description")&amp;IF(NOT(ISBLANK(F433))," -&gt; "&amp;CHAR(10)&amp;VLOOKUP(F433,AttackRiskStep!$A$3:$C$99,3,FALSE),"")&amp;IF(NOT(ISBLANK(G433))," -&gt; "&amp;CHAR(10)&amp;VLOOKUP(G433,AttackRiskStep!$A$3:$C$99,3,FALSE),"")</f>
        <v>see Description</v>
      </c>
      <c r="P433" s="38" t="e">
        <f>VLOOKUP($N433,Likelihood!$A$3:$B$7,2,FALSE)*VLOOKUP($O433,Impact!$A$4:$B$8,2,FALSE)</f>
        <v>#N/A</v>
      </c>
      <c r="Q433" s="39" t="e">
        <f>VLOOKUP(P433,RPN!$B$6:$C$22,2)</f>
        <v>#N/A</v>
      </c>
      <c r="Z433" s="9" t="e">
        <f ca="1">VLOOKUP($N433,Likelihood!$A$3:$C$7,2,FALSE)+RANDBETWEEN(-20,20)/100</f>
        <v>#N/A</v>
      </c>
      <c r="AA433" s="9" t="e">
        <f ca="1">IF($Q433=AA$2,VLOOKUP($O433,Impact!$A$4:$B$8,2,FALSE)+RANDBETWEEN(-20,20)/100,NA())</f>
        <v>#N/A</v>
      </c>
      <c r="AB433" s="9" t="e">
        <f ca="1">IF($Q433=AB$2,VLOOKUP($O433,Impact!$A$4:$B$8,2,FALSE)+RANDBETWEEN(-20,20)/100,NA())</f>
        <v>#N/A</v>
      </c>
      <c r="AC433" s="9" t="e">
        <f ca="1">IF($Q433=AC$2,VLOOKUP($O433,Impact!$A$4:$B$8,2,FALSE)+RANDBETWEEN(-20,20)/100,NA())</f>
        <v>#N/A</v>
      </c>
    </row>
    <row r="434" spans="1:29" x14ac:dyDescent="0.25">
      <c r="A434" s="17">
        <v>432</v>
      </c>
      <c r="B434" s="3" t="str">
        <f t="shared" si="28"/>
        <v/>
      </c>
      <c r="H434" s="49" t="str">
        <f t="shared" si="27"/>
        <v>s. D.</v>
      </c>
      <c r="I434" s="48" t="str">
        <f t="shared" si="29"/>
        <v/>
      </c>
      <c r="J434" s="49" t="str">
        <f>I434&amp;IF(NOT(ISBLANK(E434)),CHAR(10)&amp;VLOOKUP(E434,AttackRiskStep!$A$3:$C$99,3,FALSE),"see Description")&amp;IF(NOT(ISBLANK(F434))," -&gt; "&amp;CHAR(10)&amp;VLOOKUP(F434,AttackRiskStep!$A$3:$C$99,3,FALSE),"")&amp;IF(NOT(ISBLANK(G434))," -&gt; "&amp;CHAR(10)&amp;VLOOKUP(G434,AttackRiskStep!$A$3:$C$99,3,FALSE),"")</f>
        <v>see Description</v>
      </c>
      <c r="P434" s="38" t="e">
        <f>VLOOKUP($N434,Likelihood!$A$3:$B$7,2,FALSE)*VLOOKUP($O434,Impact!$A$4:$B$8,2,FALSE)</f>
        <v>#N/A</v>
      </c>
      <c r="Q434" s="39" t="e">
        <f>VLOOKUP(P434,RPN!$B$6:$C$22,2)</f>
        <v>#N/A</v>
      </c>
      <c r="Z434" s="9" t="e">
        <f ca="1">VLOOKUP($N434,Likelihood!$A$3:$C$7,2,FALSE)+RANDBETWEEN(-20,20)/100</f>
        <v>#N/A</v>
      </c>
      <c r="AA434" s="9" t="e">
        <f ca="1">IF($Q434=AA$2,VLOOKUP($O434,Impact!$A$4:$B$8,2,FALSE)+RANDBETWEEN(-20,20)/100,NA())</f>
        <v>#N/A</v>
      </c>
      <c r="AB434" s="9" t="e">
        <f ca="1">IF($Q434=AB$2,VLOOKUP($O434,Impact!$A$4:$B$8,2,FALSE)+RANDBETWEEN(-20,20)/100,NA())</f>
        <v>#N/A</v>
      </c>
      <c r="AC434" s="9" t="e">
        <f ca="1">IF($Q434=AC$2,VLOOKUP($O434,Impact!$A$4:$B$8,2,FALSE)+RANDBETWEEN(-20,20)/100,NA())</f>
        <v>#N/A</v>
      </c>
    </row>
    <row r="435" spans="1:29" x14ac:dyDescent="0.25">
      <c r="A435" s="17">
        <v>433</v>
      </c>
      <c r="B435" s="3" t="str">
        <f t="shared" si="28"/>
        <v/>
      </c>
      <c r="H435" s="49" t="str">
        <f t="shared" si="27"/>
        <v>s. D.</v>
      </c>
      <c r="I435" s="48" t="str">
        <f t="shared" si="29"/>
        <v/>
      </c>
      <c r="J435" s="49" t="str">
        <f>I435&amp;IF(NOT(ISBLANK(E435)),CHAR(10)&amp;VLOOKUP(E435,AttackRiskStep!$A$3:$C$99,3,FALSE),"see Description")&amp;IF(NOT(ISBLANK(F435))," -&gt; "&amp;CHAR(10)&amp;VLOOKUP(F435,AttackRiskStep!$A$3:$C$99,3,FALSE),"")&amp;IF(NOT(ISBLANK(G435))," -&gt; "&amp;CHAR(10)&amp;VLOOKUP(G435,AttackRiskStep!$A$3:$C$99,3,FALSE),"")</f>
        <v>see Description</v>
      </c>
      <c r="P435" s="38" t="e">
        <f>VLOOKUP($N435,Likelihood!$A$3:$B$7,2,FALSE)*VLOOKUP($O435,Impact!$A$4:$B$8,2,FALSE)</f>
        <v>#N/A</v>
      </c>
      <c r="Q435" s="39" t="e">
        <f>VLOOKUP(P435,RPN!$B$6:$C$22,2)</f>
        <v>#N/A</v>
      </c>
      <c r="Z435" s="9" t="e">
        <f ca="1">VLOOKUP($N435,Likelihood!$A$3:$C$7,2,FALSE)+RANDBETWEEN(-20,20)/100</f>
        <v>#N/A</v>
      </c>
      <c r="AA435" s="9" t="e">
        <f ca="1">IF($Q435=AA$2,VLOOKUP($O435,Impact!$A$4:$B$8,2,FALSE)+RANDBETWEEN(-20,20)/100,NA())</f>
        <v>#N/A</v>
      </c>
      <c r="AB435" s="9" t="e">
        <f ca="1">IF($Q435=AB$2,VLOOKUP($O435,Impact!$A$4:$B$8,2,FALSE)+RANDBETWEEN(-20,20)/100,NA())</f>
        <v>#N/A</v>
      </c>
      <c r="AC435" s="9" t="e">
        <f ca="1">IF($Q435=AC$2,VLOOKUP($O435,Impact!$A$4:$B$8,2,FALSE)+RANDBETWEEN(-20,20)/100,NA())</f>
        <v>#N/A</v>
      </c>
    </row>
    <row r="436" spans="1:29" x14ac:dyDescent="0.25">
      <c r="A436" s="17">
        <v>434</v>
      </c>
      <c r="B436" s="3" t="str">
        <f t="shared" si="28"/>
        <v/>
      </c>
      <c r="H436" s="49" t="str">
        <f t="shared" si="27"/>
        <v>s. D.</v>
      </c>
      <c r="I436" s="48" t="str">
        <f t="shared" si="29"/>
        <v/>
      </c>
      <c r="J436" s="49" t="str">
        <f>I436&amp;IF(NOT(ISBLANK(E436)),CHAR(10)&amp;VLOOKUP(E436,AttackRiskStep!$A$3:$C$99,3,FALSE),"see Description")&amp;IF(NOT(ISBLANK(F436))," -&gt; "&amp;CHAR(10)&amp;VLOOKUP(F436,AttackRiskStep!$A$3:$C$99,3,FALSE),"")&amp;IF(NOT(ISBLANK(G436))," -&gt; "&amp;CHAR(10)&amp;VLOOKUP(G436,AttackRiskStep!$A$3:$C$99,3,FALSE),"")</f>
        <v>see Description</v>
      </c>
      <c r="P436" s="38" t="e">
        <f>VLOOKUP($N436,Likelihood!$A$3:$B$7,2,FALSE)*VLOOKUP($O436,Impact!$A$4:$B$8,2,FALSE)</f>
        <v>#N/A</v>
      </c>
      <c r="Q436" s="39" t="e">
        <f>VLOOKUP(P436,RPN!$B$6:$C$22,2)</f>
        <v>#N/A</v>
      </c>
      <c r="Z436" s="9" t="e">
        <f ca="1">VLOOKUP($N436,Likelihood!$A$3:$C$7,2,FALSE)+RANDBETWEEN(-20,20)/100</f>
        <v>#N/A</v>
      </c>
      <c r="AA436" s="9" t="e">
        <f ca="1">IF($Q436=AA$2,VLOOKUP($O436,Impact!$A$4:$B$8,2,FALSE)+RANDBETWEEN(-20,20)/100,NA())</f>
        <v>#N/A</v>
      </c>
      <c r="AB436" s="9" t="e">
        <f ca="1">IF($Q436=AB$2,VLOOKUP($O436,Impact!$A$4:$B$8,2,FALSE)+RANDBETWEEN(-20,20)/100,NA())</f>
        <v>#N/A</v>
      </c>
      <c r="AC436" s="9" t="e">
        <f ca="1">IF($Q436=AC$2,VLOOKUP($O436,Impact!$A$4:$B$8,2,FALSE)+RANDBETWEEN(-20,20)/100,NA())</f>
        <v>#N/A</v>
      </c>
    </row>
    <row r="437" spans="1:29" x14ac:dyDescent="0.25">
      <c r="A437" s="17">
        <v>435</v>
      </c>
      <c r="B437" s="3" t="str">
        <f t="shared" si="28"/>
        <v/>
      </c>
      <c r="H437" s="49" t="str">
        <f t="shared" si="27"/>
        <v>s. D.</v>
      </c>
      <c r="I437" s="48" t="str">
        <f t="shared" si="29"/>
        <v/>
      </c>
      <c r="J437" s="49" t="str">
        <f>I437&amp;IF(NOT(ISBLANK(E437)),CHAR(10)&amp;VLOOKUP(E437,AttackRiskStep!$A$3:$C$99,3,FALSE),"see Description")&amp;IF(NOT(ISBLANK(F437))," -&gt; "&amp;CHAR(10)&amp;VLOOKUP(F437,AttackRiskStep!$A$3:$C$99,3,FALSE),"")&amp;IF(NOT(ISBLANK(G437))," -&gt; "&amp;CHAR(10)&amp;VLOOKUP(G437,AttackRiskStep!$A$3:$C$99,3,FALSE),"")</f>
        <v>see Description</v>
      </c>
      <c r="P437" s="38" t="e">
        <f>VLOOKUP($N437,Likelihood!$A$3:$B$7,2,FALSE)*VLOOKUP($O437,Impact!$A$4:$B$8,2,FALSE)</f>
        <v>#N/A</v>
      </c>
      <c r="Q437" s="39" t="e">
        <f>VLOOKUP(P437,RPN!$B$6:$C$22,2)</f>
        <v>#N/A</v>
      </c>
      <c r="Z437" s="9" t="e">
        <f ca="1">VLOOKUP($N437,Likelihood!$A$3:$C$7,2,FALSE)+RANDBETWEEN(-20,20)/100</f>
        <v>#N/A</v>
      </c>
      <c r="AA437" s="9" t="e">
        <f ca="1">IF($Q437=AA$2,VLOOKUP($O437,Impact!$A$4:$B$8,2,FALSE)+RANDBETWEEN(-20,20)/100,NA())</f>
        <v>#N/A</v>
      </c>
      <c r="AB437" s="9" t="e">
        <f ca="1">IF($Q437=AB$2,VLOOKUP($O437,Impact!$A$4:$B$8,2,FALSE)+RANDBETWEEN(-20,20)/100,NA())</f>
        <v>#N/A</v>
      </c>
      <c r="AC437" s="9" t="e">
        <f ca="1">IF($Q437=AC$2,VLOOKUP($O437,Impact!$A$4:$B$8,2,FALSE)+RANDBETWEEN(-20,20)/100,NA())</f>
        <v>#N/A</v>
      </c>
    </row>
    <row r="438" spans="1:29" x14ac:dyDescent="0.25">
      <c r="A438" s="17">
        <v>436</v>
      </c>
      <c r="B438" s="3" t="str">
        <f t="shared" si="28"/>
        <v/>
      </c>
      <c r="H438" s="49" t="str">
        <f t="shared" si="27"/>
        <v>s. D.</v>
      </c>
      <c r="I438" s="48" t="str">
        <f t="shared" si="29"/>
        <v/>
      </c>
      <c r="J438" s="49" t="str">
        <f>I438&amp;IF(NOT(ISBLANK(E438)),CHAR(10)&amp;VLOOKUP(E438,AttackRiskStep!$A$3:$C$99,3,FALSE),"see Description")&amp;IF(NOT(ISBLANK(F438))," -&gt; "&amp;CHAR(10)&amp;VLOOKUP(F438,AttackRiskStep!$A$3:$C$99,3,FALSE),"")&amp;IF(NOT(ISBLANK(G438))," -&gt; "&amp;CHAR(10)&amp;VLOOKUP(G438,AttackRiskStep!$A$3:$C$99,3,FALSE),"")</f>
        <v>see Description</v>
      </c>
      <c r="P438" s="38" t="e">
        <f>VLOOKUP($N438,Likelihood!$A$3:$B$7,2,FALSE)*VLOOKUP($O438,Impact!$A$4:$B$8,2,FALSE)</f>
        <v>#N/A</v>
      </c>
      <c r="Q438" s="39" t="e">
        <f>VLOOKUP(P438,RPN!$B$6:$C$22,2)</f>
        <v>#N/A</v>
      </c>
      <c r="Z438" s="9" t="e">
        <f ca="1">VLOOKUP($N438,Likelihood!$A$3:$C$7,2,FALSE)+RANDBETWEEN(-20,20)/100</f>
        <v>#N/A</v>
      </c>
      <c r="AA438" s="9" t="e">
        <f ca="1">IF($Q438=AA$2,VLOOKUP($O438,Impact!$A$4:$B$8,2,FALSE)+RANDBETWEEN(-20,20)/100,NA())</f>
        <v>#N/A</v>
      </c>
      <c r="AB438" s="9" t="e">
        <f ca="1">IF($Q438=AB$2,VLOOKUP($O438,Impact!$A$4:$B$8,2,FALSE)+RANDBETWEEN(-20,20)/100,NA())</f>
        <v>#N/A</v>
      </c>
      <c r="AC438" s="9" t="e">
        <f ca="1">IF($Q438=AC$2,VLOOKUP($O438,Impact!$A$4:$B$8,2,FALSE)+RANDBETWEEN(-20,20)/100,NA())</f>
        <v>#N/A</v>
      </c>
    </row>
    <row r="439" spans="1:29" x14ac:dyDescent="0.25">
      <c r="A439" s="17">
        <v>437</v>
      </c>
      <c r="B439" s="3" t="str">
        <f t="shared" si="28"/>
        <v/>
      </c>
      <c r="H439" s="49" t="str">
        <f t="shared" si="27"/>
        <v>s. D.</v>
      </c>
      <c r="I439" s="48" t="str">
        <f t="shared" si="29"/>
        <v/>
      </c>
      <c r="J439" s="49" t="str">
        <f>I439&amp;IF(NOT(ISBLANK(E439)),CHAR(10)&amp;VLOOKUP(E439,AttackRiskStep!$A$3:$C$99,3,FALSE),"see Description")&amp;IF(NOT(ISBLANK(F439))," -&gt; "&amp;CHAR(10)&amp;VLOOKUP(F439,AttackRiskStep!$A$3:$C$99,3,FALSE),"")&amp;IF(NOT(ISBLANK(G439))," -&gt; "&amp;CHAR(10)&amp;VLOOKUP(G439,AttackRiskStep!$A$3:$C$99,3,FALSE),"")</f>
        <v>see Description</v>
      </c>
      <c r="P439" s="38" t="e">
        <f>VLOOKUP($N439,Likelihood!$A$3:$B$7,2,FALSE)*VLOOKUP($O439,Impact!$A$4:$B$8,2,FALSE)</f>
        <v>#N/A</v>
      </c>
      <c r="Q439" s="39" t="e">
        <f>VLOOKUP(P439,RPN!$B$6:$C$22,2)</f>
        <v>#N/A</v>
      </c>
      <c r="Z439" s="9" t="e">
        <f ca="1">VLOOKUP($N439,Likelihood!$A$3:$C$7,2,FALSE)+RANDBETWEEN(-20,20)/100</f>
        <v>#N/A</v>
      </c>
      <c r="AA439" s="9" t="e">
        <f ca="1">IF($Q439=AA$2,VLOOKUP($O439,Impact!$A$4:$B$8,2,FALSE)+RANDBETWEEN(-20,20)/100,NA())</f>
        <v>#N/A</v>
      </c>
      <c r="AB439" s="9" t="e">
        <f ca="1">IF($Q439=AB$2,VLOOKUP($O439,Impact!$A$4:$B$8,2,FALSE)+RANDBETWEEN(-20,20)/100,NA())</f>
        <v>#N/A</v>
      </c>
      <c r="AC439" s="9" t="e">
        <f ca="1">IF($Q439=AC$2,VLOOKUP($O439,Impact!$A$4:$B$8,2,FALSE)+RANDBETWEEN(-20,20)/100,NA())</f>
        <v>#N/A</v>
      </c>
    </row>
    <row r="440" spans="1:29" x14ac:dyDescent="0.25">
      <c r="A440" s="17">
        <v>438</v>
      </c>
      <c r="B440" s="3" t="str">
        <f t="shared" si="28"/>
        <v/>
      </c>
      <c r="H440" s="49" t="str">
        <f t="shared" si="27"/>
        <v>s. D.</v>
      </c>
      <c r="I440" s="48" t="str">
        <f t="shared" si="29"/>
        <v/>
      </c>
      <c r="J440" s="49" t="str">
        <f>I440&amp;IF(NOT(ISBLANK(E440)),CHAR(10)&amp;VLOOKUP(E440,AttackRiskStep!$A$3:$C$99,3,FALSE),"see Description")&amp;IF(NOT(ISBLANK(F440))," -&gt; "&amp;CHAR(10)&amp;VLOOKUP(F440,AttackRiskStep!$A$3:$C$99,3,FALSE),"")&amp;IF(NOT(ISBLANK(G440))," -&gt; "&amp;CHAR(10)&amp;VLOOKUP(G440,AttackRiskStep!$A$3:$C$99,3,FALSE),"")</f>
        <v>see Description</v>
      </c>
      <c r="P440" s="38" t="e">
        <f>VLOOKUP($N440,Likelihood!$A$3:$B$7,2,FALSE)*VLOOKUP($O440,Impact!$A$4:$B$8,2,FALSE)</f>
        <v>#N/A</v>
      </c>
      <c r="Q440" s="39" t="e">
        <f>VLOOKUP(P440,RPN!$B$6:$C$22,2)</f>
        <v>#N/A</v>
      </c>
      <c r="Z440" s="9" t="e">
        <f ca="1">VLOOKUP($N440,Likelihood!$A$3:$C$7,2,FALSE)+RANDBETWEEN(-20,20)/100</f>
        <v>#N/A</v>
      </c>
      <c r="AA440" s="9" t="e">
        <f ca="1">IF($Q440=AA$2,VLOOKUP($O440,Impact!$A$4:$B$8,2,FALSE)+RANDBETWEEN(-20,20)/100,NA())</f>
        <v>#N/A</v>
      </c>
      <c r="AB440" s="9" t="e">
        <f ca="1">IF($Q440=AB$2,VLOOKUP($O440,Impact!$A$4:$B$8,2,FALSE)+RANDBETWEEN(-20,20)/100,NA())</f>
        <v>#N/A</v>
      </c>
      <c r="AC440" s="9" t="e">
        <f ca="1">IF($Q440=AC$2,VLOOKUP($O440,Impact!$A$4:$B$8,2,FALSE)+RANDBETWEEN(-20,20)/100,NA())</f>
        <v>#N/A</v>
      </c>
    </row>
    <row r="441" spans="1:29" x14ac:dyDescent="0.25">
      <c r="A441" s="17">
        <v>439</v>
      </c>
      <c r="B441" s="3" t="str">
        <f t="shared" si="28"/>
        <v/>
      </c>
      <c r="H441" s="49" t="str">
        <f t="shared" si="27"/>
        <v>s. D.</v>
      </c>
      <c r="I441" s="48" t="str">
        <f t="shared" si="29"/>
        <v/>
      </c>
      <c r="J441" s="49" t="str">
        <f>I441&amp;IF(NOT(ISBLANK(E441)),CHAR(10)&amp;VLOOKUP(E441,AttackRiskStep!$A$3:$C$99,3,FALSE),"see Description")&amp;IF(NOT(ISBLANK(F441))," -&gt; "&amp;CHAR(10)&amp;VLOOKUP(F441,AttackRiskStep!$A$3:$C$99,3,FALSE),"")&amp;IF(NOT(ISBLANK(G441))," -&gt; "&amp;CHAR(10)&amp;VLOOKUP(G441,AttackRiskStep!$A$3:$C$99,3,FALSE),"")</f>
        <v>see Description</v>
      </c>
      <c r="P441" s="38" t="e">
        <f>VLOOKUP($N441,Likelihood!$A$3:$B$7,2,FALSE)*VLOOKUP($O441,Impact!$A$4:$B$8,2,FALSE)</f>
        <v>#N/A</v>
      </c>
      <c r="Q441" s="39" t="e">
        <f>VLOOKUP(P441,RPN!$B$6:$C$22,2)</f>
        <v>#N/A</v>
      </c>
      <c r="Z441" s="9" t="e">
        <f ca="1">VLOOKUP($N441,Likelihood!$A$3:$C$7,2,FALSE)+RANDBETWEEN(-20,20)/100</f>
        <v>#N/A</v>
      </c>
      <c r="AA441" s="9" t="e">
        <f ca="1">IF($Q441=AA$2,VLOOKUP($O441,Impact!$A$4:$B$8,2,FALSE)+RANDBETWEEN(-20,20)/100,NA())</f>
        <v>#N/A</v>
      </c>
      <c r="AB441" s="9" t="e">
        <f ca="1">IF($Q441=AB$2,VLOOKUP($O441,Impact!$A$4:$B$8,2,FALSE)+RANDBETWEEN(-20,20)/100,NA())</f>
        <v>#N/A</v>
      </c>
      <c r="AC441" s="9" t="e">
        <f ca="1">IF($Q441=AC$2,VLOOKUP($O441,Impact!$A$4:$B$8,2,FALSE)+RANDBETWEEN(-20,20)/100,NA())</f>
        <v>#N/A</v>
      </c>
    </row>
    <row r="442" spans="1:29" x14ac:dyDescent="0.25">
      <c r="A442" s="17">
        <v>440</v>
      </c>
      <c r="B442" s="3" t="str">
        <f t="shared" si="28"/>
        <v/>
      </c>
      <c r="H442" s="49" t="str">
        <f t="shared" si="27"/>
        <v>s. D.</v>
      </c>
      <c r="I442" s="48" t="str">
        <f t="shared" si="29"/>
        <v/>
      </c>
      <c r="J442" s="49" t="str">
        <f>I442&amp;IF(NOT(ISBLANK(E442)),CHAR(10)&amp;VLOOKUP(E442,AttackRiskStep!$A$3:$C$99,3,FALSE),"see Description")&amp;IF(NOT(ISBLANK(F442))," -&gt; "&amp;CHAR(10)&amp;VLOOKUP(F442,AttackRiskStep!$A$3:$C$99,3,FALSE),"")&amp;IF(NOT(ISBLANK(G442))," -&gt; "&amp;CHAR(10)&amp;VLOOKUP(G442,AttackRiskStep!$A$3:$C$99,3,FALSE),"")</f>
        <v>see Description</v>
      </c>
      <c r="P442" s="38" t="e">
        <f>VLOOKUP($N442,Likelihood!$A$3:$B$7,2,FALSE)*VLOOKUP($O442,Impact!$A$4:$B$8,2,FALSE)</f>
        <v>#N/A</v>
      </c>
      <c r="Q442" s="39" t="e">
        <f>VLOOKUP(P442,RPN!$B$6:$C$22,2)</f>
        <v>#N/A</v>
      </c>
      <c r="Z442" s="9" t="e">
        <f ca="1">VLOOKUP($N442,Likelihood!$A$3:$C$7,2,FALSE)+RANDBETWEEN(-20,20)/100</f>
        <v>#N/A</v>
      </c>
      <c r="AA442" s="9" t="e">
        <f ca="1">IF($Q442=AA$2,VLOOKUP($O442,Impact!$A$4:$B$8,2,FALSE)+RANDBETWEEN(-20,20)/100,NA())</f>
        <v>#N/A</v>
      </c>
      <c r="AB442" s="9" t="e">
        <f ca="1">IF($Q442=AB$2,VLOOKUP($O442,Impact!$A$4:$B$8,2,FALSE)+RANDBETWEEN(-20,20)/100,NA())</f>
        <v>#N/A</v>
      </c>
      <c r="AC442" s="9" t="e">
        <f ca="1">IF($Q442=AC$2,VLOOKUP($O442,Impact!$A$4:$B$8,2,FALSE)+RANDBETWEEN(-20,20)/100,NA())</f>
        <v>#N/A</v>
      </c>
    </row>
    <row r="443" spans="1:29" x14ac:dyDescent="0.25">
      <c r="A443" s="17">
        <v>441</v>
      </c>
      <c r="B443" s="3" t="str">
        <f t="shared" si="28"/>
        <v/>
      </c>
      <c r="H443" s="49" t="str">
        <f t="shared" si="27"/>
        <v>s. D.</v>
      </c>
      <c r="I443" s="48" t="str">
        <f t="shared" si="29"/>
        <v/>
      </c>
      <c r="J443" s="49" t="str">
        <f>I443&amp;IF(NOT(ISBLANK(E443)),CHAR(10)&amp;VLOOKUP(E443,AttackRiskStep!$A$3:$C$99,3,FALSE),"see Description")&amp;IF(NOT(ISBLANK(F443))," -&gt; "&amp;CHAR(10)&amp;VLOOKUP(F443,AttackRiskStep!$A$3:$C$99,3,FALSE),"")&amp;IF(NOT(ISBLANK(G443))," -&gt; "&amp;CHAR(10)&amp;VLOOKUP(G443,AttackRiskStep!$A$3:$C$99,3,FALSE),"")</f>
        <v>see Description</v>
      </c>
      <c r="P443" s="38" t="e">
        <f>VLOOKUP($N443,Likelihood!$A$3:$B$7,2,FALSE)*VLOOKUP($O443,Impact!$A$4:$B$8,2,FALSE)</f>
        <v>#N/A</v>
      </c>
      <c r="Q443" s="39" t="e">
        <f>VLOOKUP(P443,RPN!$B$6:$C$22,2)</f>
        <v>#N/A</v>
      </c>
      <c r="Z443" s="9" t="e">
        <f ca="1">VLOOKUP($N443,Likelihood!$A$3:$C$7,2,FALSE)+RANDBETWEEN(-20,20)/100</f>
        <v>#N/A</v>
      </c>
      <c r="AA443" s="9" t="e">
        <f ca="1">IF($Q443=AA$2,VLOOKUP($O443,Impact!$A$4:$B$8,2,FALSE)+RANDBETWEEN(-20,20)/100,NA())</f>
        <v>#N/A</v>
      </c>
      <c r="AB443" s="9" t="e">
        <f ca="1">IF($Q443=AB$2,VLOOKUP($O443,Impact!$A$4:$B$8,2,FALSE)+RANDBETWEEN(-20,20)/100,NA())</f>
        <v>#N/A</v>
      </c>
      <c r="AC443" s="9" t="e">
        <f ca="1">IF($Q443=AC$2,VLOOKUP($O443,Impact!$A$4:$B$8,2,FALSE)+RANDBETWEEN(-20,20)/100,NA())</f>
        <v>#N/A</v>
      </c>
    </row>
    <row r="444" spans="1:29" x14ac:dyDescent="0.25">
      <c r="A444" s="17">
        <v>442</v>
      </c>
      <c r="B444" s="3" t="str">
        <f t="shared" si="28"/>
        <v/>
      </c>
      <c r="H444" s="49" t="str">
        <f t="shared" si="27"/>
        <v>s. D.</v>
      </c>
      <c r="I444" s="48" t="str">
        <f t="shared" si="29"/>
        <v/>
      </c>
      <c r="J444" s="49" t="str">
        <f>I444&amp;IF(NOT(ISBLANK(E444)),CHAR(10)&amp;VLOOKUP(E444,AttackRiskStep!$A$3:$C$99,3,FALSE),"see Description")&amp;IF(NOT(ISBLANK(F444))," -&gt; "&amp;CHAR(10)&amp;VLOOKUP(F444,AttackRiskStep!$A$3:$C$99,3,FALSE),"")&amp;IF(NOT(ISBLANK(G444))," -&gt; "&amp;CHAR(10)&amp;VLOOKUP(G444,AttackRiskStep!$A$3:$C$99,3,FALSE),"")</f>
        <v>see Description</v>
      </c>
      <c r="P444" s="38" t="e">
        <f>VLOOKUP($N444,Likelihood!$A$3:$B$7,2,FALSE)*VLOOKUP($O444,Impact!$A$4:$B$8,2,FALSE)</f>
        <v>#N/A</v>
      </c>
      <c r="Q444" s="39" t="e">
        <f>VLOOKUP(P444,RPN!$B$6:$C$22,2)</f>
        <v>#N/A</v>
      </c>
      <c r="Z444" s="9" t="e">
        <f ca="1">VLOOKUP($N444,Likelihood!$A$3:$C$7,2,FALSE)+RANDBETWEEN(-20,20)/100</f>
        <v>#N/A</v>
      </c>
      <c r="AA444" s="9" t="e">
        <f ca="1">IF($Q444=AA$2,VLOOKUP($O444,Impact!$A$4:$B$8,2,FALSE)+RANDBETWEEN(-20,20)/100,NA())</f>
        <v>#N/A</v>
      </c>
      <c r="AB444" s="9" t="e">
        <f ca="1">IF($Q444=AB$2,VLOOKUP($O444,Impact!$A$4:$B$8,2,FALSE)+RANDBETWEEN(-20,20)/100,NA())</f>
        <v>#N/A</v>
      </c>
      <c r="AC444" s="9" t="e">
        <f ca="1">IF($Q444=AC$2,VLOOKUP($O444,Impact!$A$4:$B$8,2,FALSE)+RANDBETWEEN(-20,20)/100,NA())</f>
        <v>#N/A</v>
      </c>
    </row>
    <row r="445" spans="1:29" x14ac:dyDescent="0.25">
      <c r="A445" s="17">
        <v>443</v>
      </c>
      <c r="B445" s="3" t="str">
        <f t="shared" si="28"/>
        <v/>
      </c>
      <c r="H445" s="49" t="str">
        <f t="shared" si="27"/>
        <v>s. D.</v>
      </c>
      <c r="I445" s="48" t="str">
        <f t="shared" si="29"/>
        <v/>
      </c>
      <c r="J445" s="49" t="str">
        <f>I445&amp;IF(NOT(ISBLANK(E445)),CHAR(10)&amp;VLOOKUP(E445,AttackRiskStep!$A$3:$C$99,3,FALSE),"see Description")&amp;IF(NOT(ISBLANK(F445))," -&gt; "&amp;CHAR(10)&amp;VLOOKUP(F445,AttackRiskStep!$A$3:$C$99,3,FALSE),"")&amp;IF(NOT(ISBLANK(G445))," -&gt; "&amp;CHAR(10)&amp;VLOOKUP(G445,AttackRiskStep!$A$3:$C$99,3,FALSE),"")</f>
        <v>see Description</v>
      </c>
      <c r="P445" s="38" t="e">
        <f>VLOOKUP($N445,Likelihood!$A$3:$B$7,2,FALSE)*VLOOKUP($O445,Impact!$A$4:$B$8,2,FALSE)</f>
        <v>#N/A</v>
      </c>
      <c r="Q445" s="39" t="e">
        <f>VLOOKUP(P445,RPN!$B$6:$C$22,2)</f>
        <v>#N/A</v>
      </c>
      <c r="Z445" s="9" t="e">
        <f ca="1">VLOOKUP($N445,Likelihood!$A$3:$C$7,2,FALSE)+RANDBETWEEN(-20,20)/100</f>
        <v>#N/A</v>
      </c>
      <c r="AA445" s="9" t="e">
        <f ca="1">IF($Q445=AA$2,VLOOKUP($O445,Impact!$A$4:$B$8,2,FALSE)+RANDBETWEEN(-20,20)/100,NA())</f>
        <v>#N/A</v>
      </c>
      <c r="AB445" s="9" t="e">
        <f ca="1">IF($Q445=AB$2,VLOOKUP($O445,Impact!$A$4:$B$8,2,FALSE)+RANDBETWEEN(-20,20)/100,NA())</f>
        <v>#N/A</v>
      </c>
      <c r="AC445" s="9" t="e">
        <f ca="1">IF($Q445=AC$2,VLOOKUP($O445,Impact!$A$4:$B$8,2,FALSE)+RANDBETWEEN(-20,20)/100,NA())</f>
        <v>#N/A</v>
      </c>
    </row>
    <row r="446" spans="1:29" x14ac:dyDescent="0.25">
      <c r="A446" s="17">
        <v>444</v>
      </c>
      <c r="B446" s="3" t="str">
        <f t="shared" si="28"/>
        <v/>
      </c>
      <c r="H446" s="49" t="str">
        <f t="shared" si="27"/>
        <v>s. D.</v>
      </c>
      <c r="I446" s="48" t="str">
        <f t="shared" si="29"/>
        <v/>
      </c>
      <c r="J446" s="49" t="str">
        <f>I446&amp;IF(NOT(ISBLANK(E446)),CHAR(10)&amp;VLOOKUP(E446,AttackRiskStep!$A$3:$C$99,3,FALSE),"see Description")&amp;IF(NOT(ISBLANK(F446))," -&gt; "&amp;CHAR(10)&amp;VLOOKUP(F446,AttackRiskStep!$A$3:$C$99,3,FALSE),"")&amp;IF(NOT(ISBLANK(G446))," -&gt; "&amp;CHAR(10)&amp;VLOOKUP(G446,AttackRiskStep!$A$3:$C$99,3,FALSE),"")</f>
        <v>see Description</v>
      </c>
      <c r="P446" s="38" t="e">
        <f>VLOOKUP($N446,Likelihood!$A$3:$B$7,2,FALSE)*VLOOKUP($O446,Impact!$A$4:$B$8,2,FALSE)</f>
        <v>#N/A</v>
      </c>
      <c r="Q446" s="39" t="e">
        <f>VLOOKUP(P446,RPN!$B$6:$C$22,2)</f>
        <v>#N/A</v>
      </c>
      <c r="Z446" s="9" t="e">
        <f ca="1">VLOOKUP($N446,Likelihood!$A$3:$C$7,2,FALSE)+RANDBETWEEN(-20,20)/100</f>
        <v>#N/A</v>
      </c>
      <c r="AA446" s="9" t="e">
        <f ca="1">IF($Q446=AA$2,VLOOKUP($O446,Impact!$A$4:$B$8,2,FALSE)+RANDBETWEEN(-20,20)/100,NA())</f>
        <v>#N/A</v>
      </c>
      <c r="AB446" s="9" t="e">
        <f ca="1">IF($Q446=AB$2,VLOOKUP($O446,Impact!$A$4:$B$8,2,FALSE)+RANDBETWEEN(-20,20)/100,NA())</f>
        <v>#N/A</v>
      </c>
      <c r="AC446" s="9" t="e">
        <f ca="1">IF($Q446=AC$2,VLOOKUP($O446,Impact!$A$4:$B$8,2,FALSE)+RANDBETWEEN(-20,20)/100,NA())</f>
        <v>#N/A</v>
      </c>
    </row>
    <row r="447" spans="1:29" x14ac:dyDescent="0.25">
      <c r="A447" s="17">
        <v>445</v>
      </c>
      <c r="B447" s="3" t="str">
        <f t="shared" si="28"/>
        <v/>
      </c>
      <c r="H447" s="49" t="str">
        <f t="shared" si="27"/>
        <v>s. D.</v>
      </c>
      <c r="I447" s="48" t="str">
        <f t="shared" si="29"/>
        <v/>
      </c>
      <c r="J447" s="49" t="str">
        <f>I447&amp;IF(NOT(ISBLANK(E447)),CHAR(10)&amp;VLOOKUP(E447,AttackRiskStep!$A$3:$C$99,3,FALSE),"see Description")&amp;IF(NOT(ISBLANK(F447))," -&gt; "&amp;CHAR(10)&amp;VLOOKUP(F447,AttackRiskStep!$A$3:$C$99,3,FALSE),"")&amp;IF(NOT(ISBLANK(G447))," -&gt; "&amp;CHAR(10)&amp;VLOOKUP(G447,AttackRiskStep!$A$3:$C$99,3,FALSE),"")</f>
        <v>see Description</v>
      </c>
      <c r="P447" s="38" t="e">
        <f>VLOOKUP($N447,Likelihood!$A$3:$B$7,2,FALSE)*VLOOKUP($O447,Impact!$A$4:$B$8,2,FALSE)</f>
        <v>#N/A</v>
      </c>
      <c r="Q447" s="39" t="e">
        <f>VLOOKUP(P447,RPN!$B$6:$C$22,2)</f>
        <v>#N/A</v>
      </c>
      <c r="Z447" s="9" t="e">
        <f ca="1">VLOOKUP($N447,Likelihood!$A$3:$C$7,2,FALSE)+RANDBETWEEN(-20,20)/100</f>
        <v>#N/A</v>
      </c>
      <c r="AA447" s="9" t="e">
        <f ca="1">IF($Q447=AA$2,VLOOKUP($O447,Impact!$A$4:$B$8,2,FALSE)+RANDBETWEEN(-20,20)/100,NA())</f>
        <v>#N/A</v>
      </c>
      <c r="AB447" s="9" t="e">
        <f ca="1">IF($Q447=AB$2,VLOOKUP($O447,Impact!$A$4:$B$8,2,FALSE)+RANDBETWEEN(-20,20)/100,NA())</f>
        <v>#N/A</v>
      </c>
      <c r="AC447" s="9" t="e">
        <f ca="1">IF($Q447=AC$2,VLOOKUP($O447,Impact!$A$4:$B$8,2,FALSE)+RANDBETWEEN(-20,20)/100,NA())</f>
        <v>#N/A</v>
      </c>
    </row>
    <row r="448" spans="1:29" x14ac:dyDescent="0.25">
      <c r="A448" s="17">
        <v>446</v>
      </c>
      <c r="B448" s="3" t="str">
        <f t="shared" si="28"/>
        <v/>
      </c>
      <c r="H448" s="49" t="str">
        <f t="shared" si="27"/>
        <v>s. D.</v>
      </c>
      <c r="I448" s="48" t="str">
        <f t="shared" si="29"/>
        <v/>
      </c>
      <c r="J448" s="49" t="str">
        <f>I448&amp;IF(NOT(ISBLANK(E448)),CHAR(10)&amp;VLOOKUP(E448,AttackRiskStep!$A$3:$C$99,3,FALSE),"see Description")&amp;IF(NOT(ISBLANK(F448))," -&gt; "&amp;CHAR(10)&amp;VLOOKUP(F448,AttackRiskStep!$A$3:$C$99,3,FALSE),"")&amp;IF(NOT(ISBLANK(G448))," -&gt; "&amp;CHAR(10)&amp;VLOOKUP(G448,AttackRiskStep!$A$3:$C$99,3,FALSE),"")</f>
        <v>see Description</v>
      </c>
      <c r="P448" s="38" t="e">
        <f>VLOOKUP($N448,Likelihood!$A$3:$B$7,2,FALSE)*VLOOKUP($O448,Impact!$A$4:$B$8,2,FALSE)</f>
        <v>#N/A</v>
      </c>
      <c r="Q448" s="39" t="e">
        <f>VLOOKUP(P448,RPN!$B$6:$C$22,2)</f>
        <v>#N/A</v>
      </c>
      <c r="Z448" s="9" t="e">
        <f ca="1">VLOOKUP($N448,Likelihood!$A$3:$C$7,2,FALSE)+RANDBETWEEN(-20,20)/100</f>
        <v>#N/A</v>
      </c>
      <c r="AA448" s="9" t="e">
        <f ca="1">IF($Q448=AA$2,VLOOKUP($O448,Impact!$A$4:$B$8,2,FALSE)+RANDBETWEEN(-20,20)/100,NA())</f>
        <v>#N/A</v>
      </c>
      <c r="AB448" s="9" t="e">
        <f ca="1">IF($Q448=AB$2,VLOOKUP($O448,Impact!$A$4:$B$8,2,FALSE)+RANDBETWEEN(-20,20)/100,NA())</f>
        <v>#N/A</v>
      </c>
      <c r="AC448" s="9" t="e">
        <f ca="1">IF($Q448=AC$2,VLOOKUP($O448,Impact!$A$4:$B$8,2,FALSE)+RANDBETWEEN(-20,20)/100,NA())</f>
        <v>#N/A</v>
      </c>
    </row>
    <row r="449" spans="1:29" x14ac:dyDescent="0.25">
      <c r="A449" s="17">
        <v>447</v>
      </c>
      <c r="B449" s="3" t="str">
        <f t="shared" si="28"/>
        <v/>
      </c>
      <c r="H449" s="49" t="str">
        <f t="shared" ref="H449:H499" si="30">IF(ISBLANK(E449),"s. D.",IF(ISBLANK(F449),E449,IF(ISBLANK(G449),F449,G449)))</f>
        <v>s. D.</v>
      </c>
      <c r="I449" s="48" t="str">
        <f t="shared" si="29"/>
        <v/>
      </c>
      <c r="J449" s="49" t="str">
        <f>I449&amp;IF(NOT(ISBLANK(E449)),CHAR(10)&amp;VLOOKUP(E449,AttackRiskStep!$A$3:$C$99,3,FALSE),"see Description")&amp;IF(NOT(ISBLANK(F449))," -&gt; "&amp;CHAR(10)&amp;VLOOKUP(F449,AttackRiskStep!$A$3:$C$99,3,FALSE),"")&amp;IF(NOT(ISBLANK(G449))," -&gt; "&amp;CHAR(10)&amp;VLOOKUP(G449,AttackRiskStep!$A$3:$C$99,3,FALSE),"")</f>
        <v>see Description</v>
      </c>
      <c r="P449" s="38" t="e">
        <f>VLOOKUP($N449,Likelihood!$A$3:$B$7,2,FALSE)*VLOOKUP($O449,Impact!$A$4:$B$8,2,FALSE)</f>
        <v>#N/A</v>
      </c>
      <c r="Q449" s="39" t="e">
        <f>VLOOKUP(P449,RPN!$B$6:$C$22,2)</f>
        <v>#N/A</v>
      </c>
      <c r="Z449" s="9" t="e">
        <f ca="1">VLOOKUP($N449,Likelihood!$A$3:$C$7,2,FALSE)+RANDBETWEEN(-20,20)/100</f>
        <v>#N/A</v>
      </c>
      <c r="AA449" s="9" t="e">
        <f ca="1">IF($Q449=AA$2,VLOOKUP($O449,Impact!$A$4:$B$8,2,FALSE)+RANDBETWEEN(-20,20)/100,NA())</f>
        <v>#N/A</v>
      </c>
      <c r="AB449" s="9" t="e">
        <f ca="1">IF($Q449=AB$2,VLOOKUP($O449,Impact!$A$4:$B$8,2,FALSE)+RANDBETWEEN(-20,20)/100,NA())</f>
        <v>#N/A</v>
      </c>
      <c r="AC449" s="9" t="e">
        <f ca="1">IF($Q449=AC$2,VLOOKUP($O449,Impact!$A$4:$B$8,2,FALSE)+RANDBETWEEN(-20,20)/100,NA())</f>
        <v>#N/A</v>
      </c>
    </row>
    <row r="450" spans="1:29" x14ac:dyDescent="0.25">
      <c r="A450" s="17">
        <v>448</v>
      </c>
      <c r="B450" s="3" t="str">
        <f t="shared" si="28"/>
        <v/>
      </c>
      <c r="H450" s="49" t="str">
        <f t="shared" si="30"/>
        <v>s. D.</v>
      </c>
      <c r="I450" s="48" t="str">
        <f t="shared" si="29"/>
        <v/>
      </c>
      <c r="J450" s="49" t="str">
        <f>I450&amp;IF(NOT(ISBLANK(E450)),CHAR(10)&amp;VLOOKUP(E450,AttackRiskStep!$A$3:$C$99,3,FALSE),"see Description")&amp;IF(NOT(ISBLANK(F450))," -&gt; "&amp;CHAR(10)&amp;VLOOKUP(F450,AttackRiskStep!$A$3:$C$99,3,FALSE),"")&amp;IF(NOT(ISBLANK(G450))," -&gt; "&amp;CHAR(10)&amp;VLOOKUP(G450,AttackRiskStep!$A$3:$C$99,3,FALSE),"")</f>
        <v>see Description</v>
      </c>
      <c r="P450" s="38" t="e">
        <f>VLOOKUP($N450,Likelihood!$A$3:$B$7,2,FALSE)*VLOOKUP($O450,Impact!$A$4:$B$8,2,FALSE)</f>
        <v>#N/A</v>
      </c>
      <c r="Q450" s="39" t="e">
        <f>VLOOKUP(P450,RPN!$B$6:$C$22,2)</f>
        <v>#N/A</v>
      </c>
      <c r="Z450" s="9" t="e">
        <f ca="1">VLOOKUP($N450,Likelihood!$A$3:$C$7,2,FALSE)+RANDBETWEEN(-20,20)/100</f>
        <v>#N/A</v>
      </c>
      <c r="AA450" s="9" t="e">
        <f ca="1">IF($Q450=AA$2,VLOOKUP($O450,Impact!$A$4:$B$8,2,FALSE)+RANDBETWEEN(-20,20)/100,NA())</f>
        <v>#N/A</v>
      </c>
      <c r="AB450" s="9" t="e">
        <f ca="1">IF($Q450=AB$2,VLOOKUP($O450,Impact!$A$4:$B$8,2,FALSE)+RANDBETWEEN(-20,20)/100,NA())</f>
        <v>#N/A</v>
      </c>
      <c r="AC450" s="9" t="e">
        <f ca="1">IF($Q450=AC$2,VLOOKUP($O450,Impact!$A$4:$B$8,2,FALSE)+RANDBETWEEN(-20,20)/100,NA())</f>
        <v>#N/A</v>
      </c>
    </row>
    <row r="451" spans="1:29" x14ac:dyDescent="0.25">
      <c r="A451" s="17">
        <v>449</v>
      </c>
      <c r="B451" s="3" t="str">
        <f t="shared" ref="B451:B499" si="31">I451</f>
        <v/>
      </c>
      <c r="H451" s="49" t="str">
        <f t="shared" si="30"/>
        <v>s. D.</v>
      </c>
      <c r="I451" s="48" t="str">
        <f t="shared" ref="I451:I499" si="32">IF(NOT(ISBLANK(E451)),E451,"")&amp;IF(NOT(ISBLANK(F451))," -&gt; "&amp;F451,"")&amp;IF(NOT(ISBLANK(G451))," -&gt; "&amp;G451,"")</f>
        <v/>
      </c>
      <c r="J451" s="49" t="str">
        <f>I451&amp;IF(NOT(ISBLANK(E451)),CHAR(10)&amp;VLOOKUP(E451,AttackRiskStep!$A$3:$C$99,3,FALSE),"see Description")&amp;IF(NOT(ISBLANK(F451))," -&gt; "&amp;CHAR(10)&amp;VLOOKUP(F451,AttackRiskStep!$A$3:$C$99,3,FALSE),"")&amp;IF(NOT(ISBLANK(G451))," -&gt; "&amp;CHAR(10)&amp;VLOOKUP(G451,AttackRiskStep!$A$3:$C$99,3,FALSE),"")</f>
        <v>see Description</v>
      </c>
      <c r="P451" s="38" t="e">
        <f>VLOOKUP($N451,Likelihood!$A$3:$B$7,2,FALSE)*VLOOKUP($O451,Impact!$A$4:$B$8,2,FALSE)</f>
        <v>#N/A</v>
      </c>
      <c r="Q451" s="39" t="e">
        <f>VLOOKUP(P451,RPN!$B$6:$C$22,2)</f>
        <v>#N/A</v>
      </c>
      <c r="Z451" s="9" t="e">
        <f ca="1">VLOOKUP($N451,Likelihood!$A$3:$C$7,2,FALSE)+RANDBETWEEN(-20,20)/100</f>
        <v>#N/A</v>
      </c>
      <c r="AA451" s="9" t="e">
        <f ca="1">IF($Q451=AA$2,VLOOKUP($O451,Impact!$A$4:$B$8,2,FALSE)+RANDBETWEEN(-20,20)/100,NA())</f>
        <v>#N/A</v>
      </c>
      <c r="AB451" s="9" t="e">
        <f ca="1">IF($Q451=AB$2,VLOOKUP($O451,Impact!$A$4:$B$8,2,FALSE)+RANDBETWEEN(-20,20)/100,NA())</f>
        <v>#N/A</v>
      </c>
      <c r="AC451" s="9" t="e">
        <f ca="1">IF($Q451=AC$2,VLOOKUP($O451,Impact!$A$4:$B$8,2,FALSE)+RANDBETWEEN(-20,20)/100,NA())</f>
        <v>#N/A</v>
      </c>
    </row>
    <row r="452" spans="1:29" x14ac:dyDescent="0.25">
      <c r="A452" s="17">
        <v>450</v>
      </c>
      <c r="B452" s="3" t="str">
        <f t="shared" si="31"/>
        <v/>
      </c>
      <c r="H452" s="49" t="str">
        <f t="shared" si="30"/>
        <v>s. D.</v>
      </c>
      <c r="I452" s="48" t="str">
        <f t="shared" si="32"/>
        <v/>
      </c>
      <c r="J452" s="49" t="str">
        <f>I452&amp;IF(NOT(ISBLANK(E452)),CHAR(10)&amp;VLOOKUP(E452,AttackRiskStep!$A$3:$C$99,3,FALSE),"see Description")&amp;IF(NOT(ISBLANK(F452))," -&gt; "&amp;CHAR(10)&amp;VLOOKUP(F452,AttackRiskStep!$A$3:$C$99,3,FALSE),"")&amp;IF(NOT(ISBLANK(G452))," -&gt; "&amp;CHAR(10)&amp;VLOOKUP(G452,AttackRiskStep!$A$3:$C$99,3,FALSE),"")</f>
        <v>see Description</v>
      </c>
      <c r="P452" s="38" t="e">
        <f>VLOOKUP($N452,Likelihood!$A$3:$B$7,2,FALSE)*VLOOKUP($O452,Impact!$A$4:$B$8,2,FALSE)</f>
        <v>#N/A</v>
      </c>
      <c r="Q452" s="39" t="e">
        <f>VLOOKUP(P452,RPN!$B$6:$C$22,2)</f>
        <v>#N/A</v>
      </c>
      <c r="Z452" s="9" t="e">
        <f ca="1">VLOOKUP($N452,Likelihood!$A$3:$C$7,2,FALSE)+RANDBETWEEN(-20,20)/100</f>
        <v>#N/A</v>
      </c>
      <c r="AA452" s="9" t="e">
        <f ca="1">IF($Q452=AA$2,VLOOKUP($O452,Impact!$A$4:$B$8,2,FALSE)+RANDBETWEEN(-20,20)/100,NA())</f>
        <v>#N/A</v>
      </c>
      <c r="AB452" s="9" t="e">
        <f ca="1">IF($Q452=AB$2,VLOOKUP($O452,Impact!$A$4:$B$8,2,FALSE)+RANDBETWEEN(-20,20)/100,NA())</f>
        <v>#N/A</v>
      </c>
      <c r="AC452" s="9" t="e">
        <f ca="1">IF($Q452=AC$2,VLOOKUP($O452,Impact!$A$4:$B$8,2,FALSE)+RANDBETWEEN(-20,20)/100,NA())</f>
        <v>#N/A</v>
      </c>
    </row>
    <row r="453" spans="1:29" x14ac:dyDescent="0.25">
      <c r="A453" s="17">
        <v>451</v>
      </c>
      <c r="B453" s="3" t="str">
        <f t="shared" si="31"/>
        <v/>
      </c>
      <c r="H453" s="49" t="str">
        <f t="shared" si="30"/>
        <v>s. D.</v>
      </c>
      <c r="I453" s="48" t="str">
        <f t="shared" si="32"/>
        <v/>
      </c>
      <c r="J453" s="49" t="str">
        <f>I453&amp;IF(NOT(ISBLANK(E453)),CHAR(10)&amp;VLOOKUP(E453,AttackRiskStep!$A$3:$C$99,3,FALSE),"see Description")&amp;IF(NOT(ISBLANK(F453))," -&gt; "&amp;CHAR(10)&amp;VLOOKUP(F453,AttackRiskStep!$A$3:$C$99,3,FALSE),"")&amp;IF(NOT(ISBLANK(G453))," -&gt; "&amp;CHAR(10)&amp;VLOOKUP(G453,AttackRiskStep!$A$3:$C$99,3,FALSE),"")</f>
        <v>see Description</v>
      </c>
      <c r="P453" s="38" t="e">
        <f>VLOOKUP($N453,Likelihood!$A$3:$B$7,2,FALSE)*VLOOKUP($O453,Impact!$A$4:$B$8,2,FALSE)</f>
        <v>#N/A</v>
      </c>
      <c r="Q453" s="39" t="e">
        <f>VLOOKUP(P453,RPN!$B$6:$C$22,2)</f>
        <v>#N/A</v>
      </c>
      <c r="Z453" s="9" t="e">
        <f ca="1">VLOOKUP($N453,Likelihood!$A$3:$C$7,2,FALSE)+RANDBETWEEN(-20,20)/100</f>
        <v>#N/A</v>
      </c>
      <c r="AA453" s="9" t="e">
        <f ca="1">IF($Q453=AA$2,VLOOKUP($O453,Impact!$A$4:$B$8,2,FALSE)+RANDBETWEEN(-20,20)/100,NA())</f>
        <v>#N/A</v>
      </c>
      <c r="AB453" s="9" t="e">
        <f ca="1">IF($Q453=AB$2,VLOOKUP($O453,Impact!$A$4:$B$8,2,FALSE)+RANDBETWEEN(-20,20)/100,NA())</f>
        <v>#N/A</v>
      </c>
      <c r="AC453" s="9" t="e">
        <f ca="1">IF($Q453=AC$2,VLOOKUP($O453,Impact!$A$4:$B$8,2,FALSE)+RANDBETWEEN(-20,20)/100,NA())</f>
        <v>#N/A</v>
      </c>
    </row>
    <row r="454" spans="1:29" x14ac:dyDescent="0.25">
      <c r="A454" s="17">
        <v>452</v>
      </c>
      <c r="B454" s="3" t="str">
        <f t="shared" si="31"/>
        <v/>
      </c>
      <c r="H454" s="49" t="str">
        <f t="shared" si="30"/>
        <v>s. D.</v>
      </c>
      <c r="I454" s="48" t="str">
        <f t="shared" si="32"/>
        <v/>
      </c>
      <c r="J454" s="49" t="str">
        <f>I454&amp;IF(NOT(ISBLANK(E454)),CHAR(10)&amp;VLOOKUP(E454,AttackRiskStep!$A$3:$C$99,3,FALSE),"see Description")&amp;IF(NOT(ISBLANK(F454))," -&gt; "&amp;CHAR(10)&amp;VLOOKUP(F454,AttackRiskStep!$A$3:$C$99,3,FALSE),"")&amp;IF(NOT(ISBLANK(G454))," -&gt; "&amp;CHAR(10)&amp;VLOOKUP(G454,AttackRiskStep!$A$3:$C$99,3,FALSE),"")</f>
        <v>see Description</v>
      </c>
      <c r="P454" s="38" t="e">
        <f>VLOOKUP($N454,Likelihood!$A$3:$B$7,2,FALSE)*VLOOKUP($O454,Impact!$A$4:$B$8,2,FALSE)</f>
        <v>#N/A</v>
      </c>
      <c r="Q454" s="39" t="e">
        <f>VLOOKUP(P454,RPN!$B$6:$C$22,2)</f>
        <v>#N/A</v>
      </c>
      <c r="Z454" s="9" t="e">
        <f ca="1">VLOOKUP($N454,Likelihood!$A$3:$C$7,2,FALSE)+RANDBETWEEN(-20,20)/100</f>
        <v>#N/A</v>
      </c>
      <c r="AA454" s="9" t="e">
        <f ca="1">IF($Q454=AA$2,VLOOKUP($O454,Impact!$A$4:$B$8,2,FALSE)+RANDBETWEEN(-20,20)/100,NA())</f>
        <v>#N/A</v>
      </c>
      <c r="AB454" s="9" t="e">
        <f ca="1">IF($Q454=AB$2,VLOOKUP($O454,Impact!$A$4:$B$8,2,FALSE)+RANDBETWEEN(-20,20)/100,NA())</f>
        <v>#N/A</v>
      </c>
      <c r="AC454" s="9" t="e">
        <f ca="1">IF($Q454=AC$2,VLOOKUP($O454,Impact!$A$4:$B$8,2,FALSE)+RANDBETWEEN(-20,20)/100,NA())</f>
        <v>#N/A</v>
      </c>
    </row>
    <row r="455" spans="1:29" x14ac:dyDescent="0.25">
      <c r="A455" s="17">
        <v>453</v>
      </c>
      <c r="B455" s="3" t="str">
        <f t="shared" si="31"/>
        <v/>
      </c>
      <c r="H455" s="49" t="str">
        <f t="shared" si="30"/>
        <v>s. D.</v>
      </c>
      <c r="I455" s="48" t="str">
        <f t="shared" si="32"/>
        <v/>
      </c>
      <c r="J455" s="49" t="str">
        <f>I455&amp;IF(NOT(ISBLANK(E455)),CHAR(10)&amp;VLOOKUP(E455,AttackRiskStep!$A$3:$C$99,3,FALSE),"see Description")&amp;IF(NOT(ISBLANK(F455))," -&gt; "&amp;CHAR(10)&amp;VLOOKUP(F455,AttackRiskStep!$A$3:$C$99,3,FALSE),"")&amp;IF(NOT(ISBLANK(G455))," -&gt; "&amp;CHAR(10)&amp;VLOOKUP(G455,AttackRiskStep!$A$3:$C$99,3,FALSE),"")</f>
        <v>see Description</v>
      </c>
      <c r="P455" s="38" t="e">
        <f>VLOOKUP($N455,Likelihood!$A$3:$B$7,2,FALSE)*VLOOKUP($O455,Impact!$A$4:$B$8,2,FALSE)</f>
        <v>#N/A</v>
      </c>
      <c r="Q455" s="39" t="e">
        <f>VLOOKUP(P455,RPN!$B$6:$C$22,2)</f>
        <v>#N/A</v>
      </c>
      <c r="Z455" s="9" t="e">
        <f ca="1">VLOOKUP($N455,Likelihood!$A$3:$C$7,2,FALSE)+RANDBETWEEN(-20,20)/100</f>
        <v>#N/A</v>
      </c>
      <c r="AA455" s="9" t="e">
        <f ca="1">IF($Q455=AA$2,VLOOKUP($O455,Impact!$A$4:$B$8,2,FALSE)+RANDBETWEEN(-20,20)/100,NA())</f>
        <v>#N/A</v>
      </c>
      <c r="AB455" s="9" t="e">
        <f ca="1">IF($Q455=AB$2,VLOOKUP($O455,Impact!$A$4:$B$8,2,FALSE)+RANDBETWEEN(-20,20)/100,NA())</f>
        <v>#N/A</v>
      </c>
      <c r="AC455" s="9" t="e">
        <f ca="1">IF($Q455=AC$2,VLOOKUP($O455,Impact!$A$4:$B$8,2,FALSE)+RANDBETWEEN(-20,20)/100,NA())</f>
        <v>#N/A</v>
      </c>
    </row>
    <row r="456" spans="1:29" x14ac:dyDescent="0.25">
      <c r="A456" s="17">
        <v>454</v>
      </c>
      <c r="B456" s="3" t="str">
        <f t="shared" si="31"/>
        <v/>
      </c>
      <c r="H456" s="49" t="str">
        <f t="shared" si="30"/>
        <v>s. D.</v>
      </c>
      <c r="I456" s="48" t="str">
        <f t="shared" si="32"/>
        <v/>
      </c>
      <c r="J456" s="49" t="str">
        <f>I456&amp;IF(NOT(ISBLANK(E456)),CHAR(10)&amp;VLOOKUP(E456,AttackRiskStep!$A$3:$C$99,3,FALSE),"see Description")&amp;IF(NOT(ISBLANK(F456))," -&gt; "&amp;CHAR(10)&amp;VLOOKUP(F456,AttackRiskStep!$A$3:$C$99,3,FALSE),"")&amp;IF(NOT(ISBLANK(G456))," -&gt; "&amp;CHAR(10)&amp;VLOOKUP(G456,AttackRiskStep!$A$3:$C$99,3,FALSE),"")</f>
        <v>see Description</v>
      </c>
      <c r="P456" s="38" t="e">
        <f>VLOOKUP($N456,Likelihood!$A$3:$B$7,2,FALSE)*VLOOKUP($O456,Impact!$A$4:$B$8,2,FALSE)</f>
        <v>#N/A</v>
      </c>
      <c r="Q456" s="39" t="e">
        <f>VLOOKUP(P456,RPN!$B$6:$C$22,2)</f>
        <v>#N/A</v>
      </c>
      <c r="Z456" s="9" t="e">
        <f ca="1">VLOOKUP($N456,Likelihood!$A$3:$C$7,2,FALSE)+RANDBETWEEN(-20,20)/100</f>
        <v>#N/A</v>
      </c>
      <c r="AA456" s="9" t="e">
        <f ca="1">IF($Q456=AA$2,VLOOKUP($O456,Impact!$A$4:$B$8,2,FALSE)+RANDBETWEEN(-20,20)/100,NA())</f>
        <v>#N/A</v>
      </c>
      <c r="AB456" s="9" t="e">
        <f ca="1">IF($Q456=AB$2,VLOOKUP($O456,Impact!$A$4:$B$8,2,FALSE)+RANDBETWEEN(-20,20)/100,NA())</f>
        <v>#N/A</v>
      </c>
      <c r="AC456" s="9" t="e">
        <f ca="1">IF($Q456=AC$2,VLOOKUP($O456,Impact!$A$4:$B$8,2,FALSE)+RANDBETWEEN(-20,20)/100,NA())</f>
        <v>#N/A</v>
      </c>
    </row>
    <row r="457" spans="1:29" x14ac:dyDescent="0.25">
      <c r="A457" s="17">
        <v>455</v>
      </c>
      <c r="B457" s="3" t="str">
        <f t="shared" si="31"/>
        <v/>
      </c>
      <c r="H457" s="49" t="str">
        <f t="shared" si="30"/>
        <v>s. D.</v>
      </c>
      <c r="I457" s="48" t="str">
        <f t="shared" si="32"/>
        <v/>
      </c>
      <c r="J457" s="49" t="str">
        <f>I457&amp;IF(NOT(ISBLANK(E457)),CHAR(10)&amp;VLOOKUP(E457,AttackRiskStep!$A$3:$C$99,3,FALSE),"see Description")&amp;IF(NOT(ISBLANK(F457))," -&gt; "&amp;CHAR(10)&amp;VLOOKUP(F457,AttackRiskStep!$A$3:$C$99,3,FALSE),"")&amp;IF(NOT(ISBLANK(G457))," -&gt; "&amp;CHAR(10)&amp;VLOOKUP(G457,AttackRiskStep!$A$3:$C$99,3,FALSE),"")</f>
        <v>see Description</v>
      </c>
      <c r="P457" s="38" t="e">
        <f>VLOOKUP($N457,Likelihood!$A$3:$B$7,2,FALSE)*VLOOKUP($O457,Impact!$A$4:$B$8,2,FALSE)</f>
        <v>#N/A</v>
      </c>
      <c r="Q457" s="39" t="e">
        <f>VLOOKUP(P457,RPN!$B$6:$C$22,2)</f>
        <v>#N/A</v>
      </c>
      <c r="Z457" s="9" t="e">
        <f ca="1">VLOOKUP($N457,Likelihood!$A$3:$C$7,2,FALSE)+RANDBETWEEN(-20,20)/100</f>
        <v>#N/A</v>
      </c>
      <c r="AA457" s="9" t="e">
        <f ca="1">IF($Q457=AA$2,VLOOKUP($O457,Impact!$A$4:$B$8,2,FALSE)+RANDBETWEEN(-20,20)/100,NA())</f>
        <v>#N/A</v>
      </c>
      <c r="AB457" s="9" t="e">
        <f ca="1">IF($Q457=AB$2,VLOOKUP($O457,Impact!$A$4:$B$8,2,FALSE)+RANDBETWEEN(-20,20)/100,NA())</f>
        <v>#N/A</v>
      </c>
      <c r="AC457" s="9" t="e">
        <f ca="1">IF($Q457=AC$2,VLOOKUP($O457,Impact!$A$4:$B$8,2,FALSE)+RANDBETWEEN(-20,20)/100,NA())</f>
        <v>#N/A</v>
      </c>
    </row>
    <row r="458" spans="1:29" x14ac:dyDescent="0.25">
      <c r="A458" s="17">
        <v>456</v>
      </c>
      <c r="B458" s="3" t="str">
        <f t="shared" si="31"/>
        <v/>
      </c>
      <c r="H458" s="49" t="str">
        <f t="shared" si="30"/>
        <v>s. D.</v>
      </c>
      <c r="I458" s="48" t="str">
        <f t="shared" si="32"/>
        <v/>
      </c>
      <c r="J458" s="49" t="str">
        <f>I458&amp;IF(NOT(ISBLANK(E458)),CHAR(10)&amp;VLOOKUP(E458,AttackRiskStep!$A$3:$C$99,3,FALSE),"see Description")&amp;IF(NOT(ISBLANK(F458))," -&gt; "&amp;CHAR(10)&amp;VLOOKUP(F458,AttackRiskStep!$A$3:$C$99,3,FALSE),"")&amp;IF(NOT(ISBLANK(G458))," -&gt; "&amp;CHAR(10)&amp;VLOOKUP(G458,AttackRiskStep!$A$3:$C$99,3,FALSE),"")</f>
        <v>see Description</v>
      </c>
      <c r="P458" s="38" t="e">
        <f>VLOOKUP($N458,Likelihood!$A$3:$B$7,2,FALSE)*VLOOKUP($O458,Impact!$A$4:$B$8,2,FALSE)</f>
        <v>#N/A</v>
      </c>
      <c r="Q458" s="39" t="e">
        <f>VLOOKUP(P458,RPN!$B$6:$C$22,2)</f>
        <v>#N/A</v>
      </c>
      <c r="Z458" s="9" t="e">
        <f ca="1">VLOOKUP($N458,Likelihood!$A$3:$C$7,2,FALSE)+RANDBETWEEN(-20,20)/100</f>
        <v>#N/A</v>
      </c>
      <c r="AA458" s="9" t="e">
        <f ca="1">IF($Q458=AA$2,VLOOKUP($O458,Impact!$A$4:$B$8,2,FALSE)+RANDBETWEEN(-20,20)/100,NA())</f>
        <v>#N/A</v>
      </c>
      <c r="AB458" s="9" t="e">
        <f ca="1">IF($Q458=AB$2,VLOOKUP($O458,Impact!$A$4:$B$8,2,FALSE)+RANDBETWEEN(-20,20)/100,NA())</f>
        <v>#N/A</v>
      </c>
      <c r="AC458" s="9" t="e">
        <f ca="1">IF($Q458=AC$2,VLOOKUP($O458,Impact!$A$4:$B$8,2,FALSE)+RANDBETWEEN(-20,20)/100,NA())</f>
        <v>#N/A</v>
      </c>
    </row>
    <row r="459" spans="1:29" x14ac:dyDescent="0.25">
      <c r="A459" s="17">
        <v>457</v>
      </c>
      <c r="B459" s="3" t="str">
        <f t="shared" si="31"/>
        <v/>
      </c>
      <c r="H459" s="49" t="str">
        <f t="shared" si="30"/>
        <v>s. D.</v>
      </c>
      <c r="I459" s="48" t="str">
        <f t="shared" si="32"/>
        <v/>
      </c>
      <c r="J459" s="49" t="str">
        <f>I459&amp;IF(NOT(ISBLANK(E459)),CHAR(10)&amp;VLOOKUP(E459,AttackRiskStep!$A$3:$C$99,3,FALSE),"see Description")&amp;IF(NOT(ISBLANK(F459))," -&gt; "&amp;CHAR(10)&amp;VLOOKUP(F459,AttackRiskStep!$A$3:$C$99,3,FALSE),"")&amp;IF(NOT(ISBLANK(G459))," -&gt; "&amp;CHAR(10)&amp;VLOOKUP(G459,AttackRiskStep!$A$3:$C$99,3,FALSE),"")</f>
        <v>see Description</v>
      </c>
      <c r="P459" s="38" t="e">
        <f>VLOOKUP($N459,Likelihood!$A$3:$B$7,2,FALSE)*VLOOKUP($O459,Impact!$A$4:$B$8,2,FALSE)</f>
        <v>#N/A</v>
      </c>
      <c r="Q459" s="39" t="e">
        <f>VLOOKUP(P459,RPN!$B$6:$C$22,2)</f>
        <v>#N/A</v>
      </c>
      <c r="Z459" s="9" t="e">
        <f ca="1">VLOOKUP($N459,Likelihood!$A$3:$C$7,2,FALSE)+RANDBETWEEN(-20,20)/100</f>
        <v>#N/A</v>
      </c>
      <c r="AA459" s="9" t="e">
        <f ca="1">IF($Q459=AA$2,VLOOKUP($O459,Impact!$A$4:$B$8,2,FALSE)+RANDBETWEEN(-20,20)/100,NA())</f>
        <v>#N/A</v>
      </c>
      <c r="AB459" s="9" t="e">
        <f ca="1">IF($Q459=AB$2,VLOOKUP($O459,Impact!$A$4:$B$8,2,FALSE)+RANDBETWEEN(-20,20)/100,NA())</f>
        <v>#N/A</v>
      </c>
      <c r="AC459" s="9" t="e">
        <f ca="1">IF($Q459=AC$2,VLOOKUP($O459,Impact!$A$4:$B$8,2,FALSE)+RANDBETWEEN(-20,20)/100,NA())</f>
        <v>#N/A</v>
      </c>
    </row>
    <row r="460" spans="1:29" x14ac:dyDescent="0.25">
      <c r="A460" s="17">
        <v>458</v>
      </c>
      <c r="B460" s="3" t="str">
        <f t="shared" si="31"/>
        <v/>
      </c>
      <c r="H460" s="49" t="str">
        <f t="shared" si="30"/>
        <v>s. D.</v>
      </c>
      <c r="I460" s="48" t="str">
        <f t="shared" si="32"/>
        <v/>
      </c>
      <c r="J460" s="49" t="str">
        <f>I460&amp;IF(NOT(ISBLANK(E460)),CHAR(10)&amp;VLOOKUP(E460,AttackRiskStep!$A$3:$C$99,3,FALSE),"see Description")&amp;IF(NOT(ISBLANK(F460))," -&gt; "&amp;CHAR(10)&amp;VLOOKUP(F460,AttackRiskStep!$A$3:$C$99,3,FALSE),"")&amp;IF(NOT(ISBLANK(G460))," -&gt; "&amp;CHAR(10)&amp;VLOOKUP(G460,AttackRiskStep!$A$3:$C$99,3,FALSE),"")</f>
        <v>see Description</v>
      </c>
      <c r="P460" s="38" t="e">
        <f>VLOOKUP($N460,Likelihood!$A$3:$B$7,2,FALSE)*VLOOKUP($O460,Impact!$A$4:$B$8,2,FALSE)</f>
        <v>#N/A</v>
      </c>
      <c r="Q460" s="39" t="e">
        <f>VLOOKUP(P460,RPN!$B$6:$C$22,2)</f>
        <v>#N/A</v>
      </c>
      <c r="Z460" s="9" t="e">
        <f ca="1">VLOOKUP($N460,Likelihood!$A$3:$C$7,2,FALSE)+RANDBETWEEN(-20,20)/100</f>
        <v>#N/A</v>
      </c>
      <c r="AA460" s="9" t="e">
        <f ca="1">IF($Q460=AA$2,VLOOKUP($O460,Impact!$A$4:$B$8,2,FALSE)+RANDBETWEEN(-20,20)/100,NA())</f>
        <v>#N/A</v>
      </c>
      <c r="AB460" s="9" t="e">
        <f ca="1">IF($Q460=AB$2,VLOOKUP($O460,Impact!$A$4:$B$8,2,FALSE)+RANDBETWEEN(-20,20)/100,NA())</f>
        <v>#N/A</v>
      </c>
      <c r="AC460" s="9" t="e">
        <f ca="1">IF($Q460=AC$2,VLOOKUP($O460,Impact!$A$4:$B$8,2,FALSE)+RANDBETWEEN(-20,20)/100,NA())</f>
        <v>#N/A</v>
      </c>
    </row>
    <row r="461" spans="1:29" x14ac:dyDescent="0.25">
      <c r="A461" s="17">
        <v>459</v>
      </c>
      <c r="B461" s="3" t="str">
        <f t="shared" si="31"/>
        <v/>
      </c>
      <c r="H461" s="49" t="str">
        <f t="shared" si="30"/>
        <v>s. D.</v>
      </c>
      <c r="I461" s="48" t="str">
        <f t="shared" si="32"/>
        <v/>
      </c>
      <c r="J461" s="49" t="str">
        <f>I461&amp;IF(NOT(ISBLANK(E461)),CHAR(10)&amp;VLOOKUP(E461,AttackRiskStep!$A$3:$C$99,3,FALSE),"see Description")&amp;IF(NOT(ISBLANK(F461))," -&gt; "&amp;CHAR(10)&amp;VLOOKUP(F461,AttackRiskStep!$A$3:$C$99,3,FALSE),"")&amp;IF(NOT(ISBLANK(G461))," -&gt; "&amp;CHAR(10)&amp;VLOOKUP(G461,AttackRiskStep!$A$3:$C$99,3,FALSE),"")</f>
        <v>see Description</v>
      </c>
      <c r="P461" s="38" t="e">
        <f>VLOOKUP($N461,Likelihood!$A$3:$B$7,2,FALSE)*VLOOKUP($O461,Impact!$A$4:$B$8,2,FALSE)</f>
        <v>#N/A</v>
      </c>
      <c r="Q461" s="39" t="e">
        <f>VLOOKUP(P461,RPN!$B$6:$C$22,2)</f>
        <v>#N/A</v>
      </c>
      <c r="Z461" s="9" t="e">
        <f ca="1">VLOOKUP($N461,Likelihood!$A$3:$C$7,2,FALSE)+RANDBETWEEN(-20,20)/100</f>
        <v>#N/A</v>
      </c>
      <c r="AA461" s="9" t="e">
        <f ca="1">IF($Q461=AA$2,VLOOKUP($O461,Impact!$A$4:$B$8,2,FALSE)+RANDBETWEEN(-20,20)/100,NA())</f>
        <v>#N/A</v>
      </c>
      <c r="AB461" s="9" t="e">
        <f ca="1">IF($Q461=AB$2,VLOOKUP($O461,Impact!$A$4:$B$8,2,FALSE)+RANDBETWEEN(-20,20)/100,NA())</f>
        <v>#N/A</v>
      </c>
      <c r="AC461" s="9" t="e">
        <f ca="1">IF($Q461=AC$2,VLOOKUP($O461,Impact!$A$4:$B$8,2,FALSE)+RANDBETWEEN(-20,20)/100,NA())</f>
        <v>#N/A</v>
      </c>
    </row>
    <row r="462" spans="1:29" x14ac:dyDescent="0.25">
      <c r="A462" s="17">
        <v>460</v>
      </c>
      <c r="B462" s="3" t="str">
        <f t="shared" si="31"/>
        <v/>
      </c>
      <c r="H462" s="49" t="str">
        <f t="shared" si="30"/>
        <v>s. D.</v>
      </c>
      <c r="I462" s="48" t="str">
        <f t="shared" si="32"/>
        <v/>
      </c>
      <c r="J462" s="49" t="str">
        <f>I462&amp;IF(NOT(ISBLANK(E462)),CHAR(10)&amp;VLOOKUP(E462,AttackRiskStep!$A$3:$C$99,3,FALSE),"see Description")&amp;IF(NOT(ISBLANK(F462))," -&gt; "&amp;CHAR(10)&amp;VLOOKUP(F462,AttackRiskStep!$A$3:$C$99,3,FALSE),"")&amp;IF(NOT(ISBLANK(G462))," -&gt; "&amp;CHAR(10)&amp;VLOOKUP(G462,AttackRiskStep!$A$3:$C$99,3,FALSE),"")</f>
        <v>see Description</v>
      </c>
      <c r="P462" s="38" t="e">
        <f>VLOOKUP($N462,Likelihood!$A$3:$B$7,2,FALSE)*VLOOKUP($O462,Impact!$A$4:$B$8,2,FALSE)</f>
        <v>#N/A</v>
      </c>
      <c r="Q462" s="39" t="e">
        <f>VLOOKUP(P462,RPN!$B$6:$C$22,2)</f>
        <v>#N/A</v>
      </c>
      <c r="Z462" s="9" t="e">
        <f ca="1">VLOOKUP($N462,Likelihood!$A$3:$C$7,2,FALSE)+RANDBETWEEN(-20,20)/100</f>
        <v>#N/A</v>
      </c>
      <c r="AA462" s="9" t="e">
        <f ca="1">IF($Q462=AA$2,VLOOKUP($O462,Impact!$A$4:$B$8,2,FALSE)+RANDBETWEEN(-20,20)/100,NA())</f>
        <v>#N/A</v>
      </c>
      <c r="AB462" s="9" t="e">
        <f ca="1">IF($Q462=AB$2,VLOOKUP($O462,Impact!$A$4:$B$8,2,FALSE)+RANDBETWEEN(-20,20)/100,NA())</f>
        <v>#N/A</v>
      </c>
      <c r="AC462" s="9" t="e">
        <f ca="1">IF($Q462=AC$2,VLOOKUP($O462,Impact!$A$4:$B$8,2,FALSE)+RANDBETWEEN(-20,20)/100,NA())</f>
        <v>#N/A</v>
      </c>
    </row>
    <row r="463" spans="1:29" x14ac:dyDescent="0.25">
      <c r="A463" s="17">
        <v>461</v>
      </c>
      <c r="B463" s="3" t="str">
        <f t="shared" si="31"/>
        <v/>
      </c>
      <c r="H463" s="49" t="str">
        <f t="shared" si="30"/>
        <v>s. D.</v>
      </c>
      <c r="I463" s="48" t="str">
        <f t="shared" si="32"/>
        <v/>
      </c>
      <c r="J463" s="49" t="str">
        <f>I463&amp;IF(NOT(ISBLANK(E463)),CHAR(10)&amp;VLOOKUP(E463,AttackRiskStep!$A$3:$C$99,3,FALSE),"see Description")&amp;IF(NOT(ISBLANK(F463))," -&gt; "&amp;CHAR(10)&amp;VLOOKUP(F463,AttackRiskStep!$A$3:$C$99,3,FALSE),"")&amp;IF(NOT(ISBLANK(G463))," -&gt; "&amp;CHAR(10)&amp;VLOOKUP(G463,AttackRiskStep!$A$3:$C$99,3,FALSE),"")</f>
        <v>see Description</v>
      </c>
      <c r="P463" s="38" t="e">
        <f>VLOOKUP($N463,Likelihood!$A$3:$B$7,2,FALSE)*VLOOKUP($O463,Impact!$A$4:$B$8,2,FALSE)</f>
        <v>#N/A</v>
      </c>
      <c r="Q463" s="39" t="e">
        <f>VLOOKUP(P463,RPN!$B$6:$C$22,2)</f>
        <v>#N/A</v>
      </c>
      <c r="Z463" s="9" t="e">
        <f ca="1">VLOOKUP($N463,Likelihood!$A$3:$C$7,2,FALSE)+RANDBETWEEN(-20,20)/100</f>
        <v>#N/A</v>
      </c>
      <c r="AA463" s="9" t="e">
        <f ca="1">IF($Q463=AA$2,VLOOKUP($O463,Impact!$A$4:$B$8,2,FALSE)+RANDBETWEEN(-20,20)/100,NA())</f>
        <v>#N/A</v>
      </c>
      <c r="AB463" s="9" t="e">
        <f ca="1">IF($Q463=AB$2,VLOOKUP($O463,Impact!$A$4:$B$8,2,FALSE)+RANDBETWEEN(-20,20)/100,NA())</f>
        <v>#N/A</v>
      </c>
      <c r="AC463" s="9" t="e">
        <f ca="1">IF($Q463=AC$2,VLOOKUP($O463,Impact!$A$4:$B$8,2,FALSE)+RANDBETWEEN(-20,20)/100,NA())</f>
        <v>#N/A</v>
      </c>
    </row>
    <row r="464" spans="1:29" x14ac:dyDescent="0.25">
      <c r="A464" s="17">
        <v>462</v>
      </c>
      <c r="B464" s="3" t="str">
        <f t="shared" si="31"/>
        <v/>
      </c>
      <c r="H464" s="49" t="str">
        <f t="shared" si="30"/>
        <v>s. D.</v>
      </c>
      <c r="I464" s="48" t="str">
        <f t="shared" si="32"/>
        <v/>
      </c>
      <c r="J464" s="49" t="str">
        <f>I464&amp;IF(NOT(ISBLANK(E464)),CHAR(10)&amp;VLOOKUP(E464,AttackRiskStep!$A$3:$C$99,3,FALSE),"see Description")&amp;IF(NOT(ISBLANK(F464))," -&gt; "&amp;CHAR(10)&amp;VLOOKUP(F464,AttackRiskStep!$A$3:$C$99,3,FALSE),"")&amp;IF(NOT(ISBLANK(G464))," -&gt; "&amp;CHAR(10)&amp;VLOOKUP(G464,AttackRiskStep!$A$3:$C$99,3,FALSE),"")</f>
        <v>see Description</v>
      </c>
      <c r="P464" s="38" t="e">
        <f>VLOOKUP($N464,Likelihood!$A$3:$B$7,2,FALSE)*VLOOKUP($O464,Impact!$A$4:$B$8,2,FALSE)</f>
        <v>#N/A</v>
      </c>
      <c r="Q464" s="39" t="e">
        <f>VLOOKUP(P464,RPN!$B$6:$C$22,2)</f>
        <v>#N/A</v>
      </c>
      <c r="Z464" s="9" t="e">
        <f ca="1">VLOOKUP($N464,Likelihood!$A$3:$C$7,2,FALSE)+RANDBETWEEN(-20,20)/100</f>
        <v>#N/A</v>
      </c>
      <c r="AA464" s="9" t="e">
        <f ca="1">IF($Q464=AA$2,VLOOKUP($O464,Impact!$A$4:$B$8,2,FALSE)+RANDBETWEEN(-20,20)/100,NA())</f>
        <v>#N/A</v>
      </c>
      <c r="AB464" s="9" t="e">
        <f ca="1">IF($Q464=AB$2,VLOOKUP($O464,Impact!$A$4:$B$8,2,FALSE)+RANDBETWEEN(-20,20)/100,NA())</f>
        <v>#N/A</v>
      </c>
      <c r="AC464" s="9" t="e">
        <f ca="1">IF($Q464=AC$2,VLOOKUP($O464,Impact!$A$4:$B$8,2,FALSE)+RANDBETWEEN(-20,20)/100,NA())</f>
        <v>#N/A</v>
      </c>
    </row>
    <row r="465" spans="1:29" x14ac:dyDescent="0.25">
      <c r="A465" s="17">
        <v>463</v>
      </c>
      <c r="B465" s="3" t="str">
        <f t="shared" si="31"/>
        <v/>
      </c>
      <c r="H465" s="49" t="str">
        <f t="shared" si="30"/>
        <v>s. D.</v>
      </c>
      <c r="I465" s="48" t="str">
        <f t="shared" si="32"/>
        <v/>
      </c>
      <c r="J465" s="49" t="str">
        <f>I465&amp;IF(NOT(ISBLANK(E465)),CHAR(10)&amp;VLOOKUP(E465,AttackRiskStep!$A$3:$C$99,3,FALSE),"see Description")&amp;IF(NOT(ISBLANK(F465))," -&gt; "&amp;CHAR(10)&amp;VLOOKUP(F465,AttackRiskStep!$A$3:$C$99,3,FALSE),"")&amp;IF(NOT(ISBLANK(G465))," -&gt; "&amp;CHAR(10)&amp;VLOOKUP(G465,AttackRiskStep!$A$3:$C$99,3,FALSE),"")</f>
        <v>see Description</v>
      </c>
      <c r="P465" s="38" t="e">
        <f>VLOOKUP($N465,Likelihood!$A$3:$B$7,2,FALSE)*VLOOKUP($O465,Impact!$A$4:$B$8,2,FALSE)</f>
        <v>#N/A</v>
      </c>
      <c r="Q465" s="39" t="e">
        <f>VLOOKUP(P465,RPN!$B$6:$C$22,2)</f>
        <v>#N/A</v>
      </c>
      <c r="Z465" s="9" t="e">
        <f ca="1">VLOOKUP($N465,Likelihood!$A$3:$C$7,2,FALSE)+RANDBETWEEN(-20,20)/100</f>
        <v>#N/A</v>
      </c>
      <c r="AA465" s="9" t="e">
        <f ca="1">IF($Q465=AA$2,VLOOKUP($O465,Impact!$A$4:$B$8,2,FALSE)+RANDBETWEEN(-20,20)/100,NA())</f>
        <v>#N/A</v>
      </c>
      <c r="AB465" s="9" t="e">
        <f ca="1">IF($Q465=AB$2,VLOOKUP($O465,Impact!$A$4:$B$8,2,FALSE)+RANDBETWEEN(-20,20)/100,NA())</f>
        <v>#N/A</v>
      </c>
      <c r="AC465" s="9" t="e">
        <f ca="1">IF($Q465=AC$2,VLOOKUP($O465,Impact!$A$4:$B$8,2,FALSE)+RANDBETWEEN(-20,20)/100,NA())</f>
        <v>#N/A</v>
      </c>
    </row>
    <row r="466" spans="1:29" x14ac:dyDescent="0.25">
      <c r="A466" s="17">
        <v>464</v>
      </c>
      <c r="B466" s="3" t="str">
        <f t="shared" si="31"/>
        <v/>
      </c>
      <c r="H466" s="49" t="str">
        <f t="shared" si="30"/>
        <v>s. D.</v>
      </c>
      <c r="I466" s="48" t="str">
        <f t="shared" si="32"/>
        <v/>
      </c>
      <c r="J466" s="49" t="str">
        <f>I466&amp;IF(NOT(ISBLANK(E466)),CHAR(10)&amp;VLOOKUP(E466,AttackRiskStep!$A$3:$C$99,3,FALSE),"see Description")&amp;IF(NOT(ISBLANK(F466))," -&gt; "&amp;CHAR(10)&amp;VLOOKUP(F466,AttackRiskStep!$A$3:$C$99,3,FALSE),"")&amp;IF(NOT(ISBLANK(G466))," -&gt; "&amp;CHAR(10)&amp;VLOOKUP(G466,AttackRiskStep!$A$3:$C$99,3,FALSE),"")</f>
        <v>see Description</v>
      </c>
      <c r="P466" s="38" t="e">
        <f>VLOOKUP($N466,Likelihood!$A$3:$B$7,2,FALSE)*VLOOKUP($O466,Impact!$A$4:$B$8,2,FALSE)</f>
        <v>#N/A</v>
      </c>
      <c r="Q466" s="39" t="e">
        <f>VLOOKUP(P466,RPN!$B$6:$C$22,2)</f>
        <v>#N/A</v>
      </c>
      <c r="Z466" s="9" t="e">
        <f ca="1">VLOOKUP($N466,Likelihood!$A$3:$C$7,2,FALSE)+RANDBETWEEN(-20,20)/100</f>
        <v>#N/A</v>
      </c>
      <c r="AA466" s="9" t="e">
        <f ca="1">IF($Q466=AA$2,VLOOKUP($O466,Impact!$A$4:$B$8,2,FALSE)+RANDBETWEEN(-20,20)/100,NA())</f>
        <v>#N/A</v>
      </c>
      <c r="AB466" s="9" t="e">
        <f ca="1">IF($Q466=AB$2,VLOOKUP($O466,Impact!$A$4:$B$8,2,FALSE)+RANDBETWEEN(-20,20)/100,NA())</f>
        <v>#N/A</v>
      </c>
      <c r="AC466" s="9" t="e">
        <f ca="1">IF($Q466=AC$2,VLOOKUP($O466,Impact!$A$4:$B$8,2,FALSE)+RANDBETWEEN(-20,20)/100,NA())</f>
        <v>#N/A</v>
      </c>
    </row>
    <row r="467" spans="1:29" x14ac:dyDescent="0.25">
      <c r="A467" s="17">
        <v>465</v>
      </c>
      <c r="B467" s="3" t="str">
        <f t="shared" si="31"/>
        <v/>
      </c>
      <c r="H467" s="49" t="str">
        <f t="shared" si="30"/>
        <v>s. D.</v>
      </c>
      <c r="I467" s="48" t="str">
        <f t="shared" si="32"/>
        <v/>
      </c>
      <c r="J467" s="49" t="str">
        <f>I467&amp;IF(NOT(ISBLANK(E467)),CHAR(10)&amp;VLOOKUP(E467,AttackRiskStep!$A$3:$C$99,3,FALSE),"see Description")&amp;IF(NOT(ISBLANK(F467))," -&gt; "&amp;CHAR(10)&amp;VLOOKUP(F467,AttackRiskStep!$A$3:$C$99,3,FALSE),"")&amp;IF(NOT(ISBLANK(G467))," -&gt; "&amp;CHAR(10)&amp;VLOOKUP(G467,AttackRiskStep!$A$3:$C$99,3,FALSE),"")</f>
        <v>see Description</v>
      </c>
      <c r="P467" s="38" t="e">
        <f>VLOOKUP($N467,Likelihood!$A$3:$B$7,2,FALSE)*VLOOKUP($O467,Impact!$A$4:$B$8,2,FALSE)</f>
        <v>#N/A</v>
      </c>
      <c r="Q467" s="39" t="e">
        <f>VLOOKUP(P467,RPN!$B$6:$C$22,2)</f>
        <v>#N/A</v>
      </c>
      <c r="Z467" s="9" t="e">
        <f ca="1">VLOOKUP($N467,Likelihood!$A$3:$C$7,2,FALSE)+RANDBETWEEN(-20,20)/100</f>
        <v>#N/A</v>
      </c>
      <c r="AA467" s="9" t="e">
        <f ca="1">IF($Q467=AA$2,VLOOKUP($O467,Impact!$A$4:$B$8,2,FALSE)+RANDBETWEEN(-20,20)/100,NA())</f>
        <v>#N/A</v>
      </c>
      <c r="AB467" s="9" t="e">
        <f ca="1">IF($Q467=AB$2,VLOOKUP($O467,Impact!$A$4:$B$8,2,FALSE)+RANDBETWEEN(-20,20)/100,NA())</f>
        <v>#N/A</v>
      </c>
      <c r="AC467" s="9" t="e">
        <f ca="1">IF($Q467=AC$2,VLOOKUP($O467,Impact!$A$4:$B$8,2,FALSE)+RANDBETWEEN(-20,20)/100,NA())</f>
        <v>#N/A</v>
      </c>
    </row>
    <row r="468" spans="1:29" x14ac:dyDescent="0.25">
      <c r="A468" s="17">
        <v>466</v>
      </c>
      <c r="B468" s="3" t="str">
        <f t="shared" si="31"/>
        <v/>
      </c>
      <c r="H468" s="49" t="str">
        <f t="shared" si="30"/>
        <v>s. D.</v>
      </c>
      <c r="I468" s="48" t="str">
        <f t="shared" si="32"/>
        <v/>
      </c>
      <c r="J468" s="49" t="str">
        <f>I468&amp;IF(NOT(ISBLANK(E468)),CHAR(10)&amp;VLOOKUP(E468,AttackRiskStep!$A$3:$C$99,3,FALSE),"see Description")&amp;IF(NOT(ISBLANK(F468))," -&gt; "&amp;CHAR(10)&amp;VLOOKUP(F468,AttackRiskStep!$A$3:$C$99,3,FALSE),"")&amp;IF(NOT(ISBLANK(G468))," -&gt; "&amp;CHAR(10)&amp;VLOOKUP(G468,AttackRiskStep!$A$3:$C$99,3,FALSE),"")</f>
        <v>see Description</v>
      </c>
      <c r="P468" s="38" t="e">
        <f>VLOOKUP($N468,Likelihood!$A$3:$B$7,2,FALSE)*VLOOKUP($O468,Impact!$A$4:$B$8,2,FALSE)</f>
        <v>#N/A</v>
      </c>
      <c r="Q468" s="39" t="e">
        <f>VLOOKUP(P468,RPN!$B$6:$C$22,2)</f>
        <v>#N/A</v>
      </c>
      <c r="Z468" s="9" t="e">
        <f ca="1">VLOOKUP($N468,Likelihood!$A$3:$C$7,2,FALSE)+RANDBETWEEN(-20,20)/100</f>
        <v>#N/A</v>
      </c>
      <c r="AA468" s="9" t="e">
        <f ca="1">IF($Q468=AA$2,VLOOKUP($O468,Impact!$A$4:$B$8,2,FALSE)+RANDBETWEEN(-20,20)/100,NA())</f>
        <v>#N/A</v>
      </c>
      <c r="AB468" s="9" t="e">
        <f ca="1">IF($Q468=AB$2,VLOOKUP($O468,Impact!$A$4:$B$8,2,FALSE)+RANDBETWEEN(-20,20)/100,NA())</f>
        <v>#N/A</v>
      </c>
      <c r="AC468" s="9" t="e">
        <f ca="1">IF($Q468=AC$2,VLOOKUP($O468,Impact!$A$4:$B$8,2,FALSE)+RANDBETWEEN(-20,20)/100,NA())</f>
        <v>#N/A</v>
      </c>
    </row>
    <row r="469" spans="1:29" x14ac:dyDescent="0.25">
      <c r="A469" s="17">
        <v>467</v>
      </c>
      <c r="B469" s="3" t="str">
        <f t="shared" si="31"/>
        <v/>
      </c>
      <c r="H469" s="49" t="str">
        <f t="shared" si="30"/>
        <v>s. D.</v>
      </c>
      <c r="I469" s="48" t="str">
        <f t="shared" si="32"/>
        <v/>
      </c>
      <c r="J469" s="49" t="str">
        <f>I469&amp;IF(NOT(ISBLANK(E469)),CHAR(10)&amp;VLOOKUP(E469,AttackRiskStep!$A$3:$C$99,3,FALSE),"see Description")&amp;IF(NOT(ISBLANK(F469))," -&gt; "&amp;CHAR(10)&amp;VLOOKUP(F469,AttackRiskStep!$A$3:$C$99,3,FALSE),"")&amp;IF(NOT(ISBLANK(G469))," -&gt; "&amp;CHAR(10)&amp;VLOOKUP(G469,AttackRiskStep!$A$3:$C$99,3,FALSE),"")</f>
        <v>see Description</v>
      </c>
      <c r="P469" s="38" t="e">
        <f>VLOOKUP($N469,Likelihood!$A$3:$B$7,2,FALSE)*VLOOKUP($O469,Impact!$A$4:$B$8,2,FALSE)</f>
        <v>#N/A</v>
      </c>
      <c r="Q469" s="39" t="e">
        <f>VLOOKUP(P469,RPN!$B$6:$C$22,2)</f>
        <v>#N/A</v>
      </c>
      <c r="Z469" s="9" t="e">
        <f ca="1">VLOOKUP($N469,Likelihood!$A$3:$C$7,2,FALSE)+RANDBETWEEN(-20,20)/100</f>
        <v>#N/A</v>
      </c>
      <c r="AA469" s="9" t="e">
        <f ca="1">IF($Q469=AA$2,VLOOKUP($O469,Impact!$A$4:$B$8,2,FALSE)+RANDBETWEEN(-20,20)/100,NA())</f>
        <v>#N/A</v>
      </c>
      <c r="AB469" s="9" t="e">
        <f ca="1">IF($Q469=AB$2,VLOOKUP($O469,Impact!$A$4:$B$8,2,FALSE)+RANDBETWEEN(-20,20)/100,NA())</f>
        <v>#N/A</v>
      </c>
      <c r="AC469" s="9" t="e">
        <f ca="1">IF($Q469=AC$2,VLOOKUP($O469,Impact!$A$4:$B$8,2,FALSE)+RANDBETWEEN(-20,20)/100,NA())</f>
        <v>#N/A</v>
      </c>
    </row>
    <row r="470" spans="1:29" x14ac:dyDescent="0.25">
      <c r="A470" s="17">
        <v>468</v>
      </c>
      <c r="B470" s="3" t="str">
        <f t="shared" si="31"/>
        <v/>
      </c>
      <c r="H470" s="49" t="str">
        <f t="shared" si="30"/>
        <v>s. D.</v>
      </c>
      <c r="I470" s="48" t="str">
        <f t="shared" si="32"/>
        <v/>
      </c>
      <c r="J470" s="49" t="str">
        <f>I470&amp;IF(NOT(ISBLANK(E470)),CHAR(10)&amp;VLOOKUP(E470,AttackRiskStep!$A$3:$C$99,3,FALSE),"see Description")&amp;IF(NOT(ISBLANK(F470))," -&gt; "&amp;CHAR(10)&amp;VLOOKUP(F470,AttackRiskStep!$A$3:$C$99,3,FALSE),"")&amp;IF(NOT(ISBLANK(G470))," -&gt; "&amp;CHAR(10)&amp;VLOOKUP(G470,AttackRiskStep!$A$3:$C$99,3,FALSE),"")</f>
        <v>see Description</v>
      </c>
      <c r="P470" s="38" t="e">
        <f>VLOOKUP($N470,Likelihood!$A$3:$B$7,2,FALSE)*VLOOKUP($O470,Impact!$A$4:$B$8,2,FALSE)</f>
        <v>#N/A</v>
      </c>
      <c r="Q470" s="39" t="e">
        <f>VLOOKUP(P470,RPN!$B$6:$C$22,2)</f>
        <v>#N/A</v>
      </c>
      <c r="Z470" s="9" t="e">
        <f ca="1">VLOOKUP($N470,Likelihood!$A$3:$C$7,2,FALSE)+RANDBETWEEN(-20,20)/100</f>
        <v>#N/A</v>
      </c>
      <c r="AA470" s="9" t="e">
        <f ca="1">IF($Q470=AA$2,VLOOKUP($O470,Impact!$A$4:$B$8,2,FALSE)+RANDBETWEEN(-20,20)/100,NA())</f>
        <v>#N/A</v>
      </c>
      <c r="AB470" s="9" t="e">
        <f ca="1">IF($Q470=AB$2,VLOOKUP($O470,Impact!$A$4:$B$8,2,FALSE)+RANDBETWEEN(-20,20)/100,NA())</f>
        <v>#N/A</v>
      </c>
      <c r="AC470" s="9" t="e">
        <f ca="1">IF($Q470=AC$2,VLOOKUP($O470,Impact!$A$4:$B$8,2,FALSE)+RANDBETWEEN(-20,20)/100,NA())</f>
        <v>#N/A</v>
      </c>
    </row>
    <row r="471" spans="1:29" x14ac:dyDescent="0.25">
      <c r="A471" s="17">
        <v>469</v>
      </c>
      <c r="B471" s="3" t="str">
        <f t="shared" si="31"/>
        <v/>
      </c>
      <c r="H471" s="49" t="str">
        <f t="shared" si="30"/>
        <v>s. D.</v>
      </c>
      <c r="I471" s="48" t="str">
        <f t="shared" si="32"/>
        <v/>
      </c>
      <c r="J471" s="49" t="str">
        <f>I471&amp;IF(NOT(ISBLANK(E471)),CHAR(10)&amp;VLOOKUP(E471,AttackRiskStep!$A$3:$C$99,3,FALSE),"see Description")&amp;IF(NOT(ISBLANK(F471))," -&gt; "&amp;CHAR(10)&amp;VLOOKUP(F471,AttackRiskStep!$A$3:$C$99,3,FALSE),"")&amp;IF(NOT(ISBLANK(G471))," -&gt; "&amp;CHAR(10)&amp;VLOOKUP(G471,AttackRiskStep!$A$3:$C$99,3,FALSE),"")</f>
        <v>see Description</v>
      </c>
      <c r="P471" s="38" t="e">
        <f>VLOOKUP($N471,Likelihood!$A$3:$B$7,2,FALSE)*VLOOKUP($O471,Impact!$A$4:$B$8,2,FALSE)</f>
        <v>#N/A</v>
      </c>
      <c r="Q471" s="39" t="e">
        <f>VLOOKUP(P471,RPN!$B$6:$C$22,2)</f>
        <v>#N/A</v>
      </c>
      <c r="Z471" s="9" t="e">
        <f ca="1">VLOOKUP($N471,Likelihood!$A$3:$C$7,2,FALSE)+RANDBETWEEN(-20,20)/100</f>
        <v>#N/A</v>
      </c>
      <c r="AA471" s="9" t="e">
        <f ca="1">IF($Q471=AA$2,VLOOKUP($O471,Impact!$A$4:$B$8,2,FALSE)+RANDBETWEEN(-20,20)/100,NA())</f>
        <v>#N/A</v>
      </c>
      <c r="AB471" s="9" t="e">
        <f ca="1">IF($Q471=AB$2,VLOOKUP($O471,Impact!$A$4:$B$8,2,FALSE)+RANDBETWEEN(-20,20)/100,NA())</f>
        <v>#N/A</v>
      </c>
      <c r="AC471" s="9" t="e">
        <f ca="1">IF($Q471=AC$2,VLOOKUP($O471,Impact!$A$4:$B$8,2,FALSE)+RANDBETWEEN(-20,20)/100,NA())</f>
        <v>#N/A</v>
      </c>
    </row>
    <row r="472" spans="1:29" x14ac:dyDescent="0.25">
      <c r="A472" s="17">
        <v>470</v>
      </c>
      <c r="B472" s="3" t="str">
        <f t="shared" si="31"/>
        <v/>
      </c>
      <c r="H472" s="49" t="str">
        <f t="shared" si="30"/>
        <v>s. D.</v>
      </c>
      <c r="I472" s="48" t="str">
        <f t="shared" si="32"/>
        <v/>
      </c>
      <c r="J472" s="49" t="str">
        <f>I472&amp;IF(NOT(ISBLANK(E472)),CHAR(10)&amp;VLOOKUP(E472,AttackRiskStep!$A$3:$C$99,3,FALSE),"see Description")&amp;IF(NOT(ISBLANK(F472))," -&gt; "&amp;CHAR(10)&amp;VLOOKUP(F472,AttackRiskStep!$A$3:$C$99,3,FALSE),"")&amp;IF(NOT(ISBLANK(G472))," -&gt; "&amp;CHAR(10)&amp;VLOOKUP(G472,AttackRiskStep!$A$3:$C$99,3,FALSE),"")</f>
        <v>see Description</v>
      </c>
      <c r="P472" s="38" t="e">
        <f>VLOOKUP($N472,Likelihood!$A$3:$B$7,2,FALSE)*VLOOKUP($O472,Impact!$A$4:$B$8,2,FALSE)</f>
        <v>#N/A</v>
      </c>
      <c r="Q472" s="39" t="e">
        <f>VLOOKUP(P472,RPN!$B$6:$C$22,2)</f>
        <v>#N/A</v>
      </c>
      <c r="Z472" s="9" t="e">
        <f ca="1">VLOOKUP($N472,Likelihood!$A$3:$C$7,2,FALSE)+RANDBETWEEN(-20,20)/100</f>
        <v>#N/A</v>
      </c>
      <c r="AA472" s="9" t="e">
        <f ca="1">IF($Q472=AA$2,VLOOKUP($O472,Impact!$A$4:$B$8,2,FALSE)+RANDBETWEEN(-20,20)/100,NA())</f>
        <v>#N/A</v>
      </c>
      <c r="AB472" s="9" t="e">
        <f ca="1">IF($Q472=AB$2,VLOOKUP($O472,Impact!$A$4:$B$8,2,FALSE)+RANDBETWEEN(-20,20)/100,NA())</f>
        <v>#N/A</v>
      </c>
      <c r="AC472" s="9" t="e">
        <f ca="1">IF($Q472=AC$2,VLOOKUP($O472,Impact!$A$4:$B$8,2,FALSE)+RANDBETWEEN(-20,20)/100,NA())</f>
        <v>#N/A</v>
      </c>
    </row>
    <row r="473" spans="1:29" x14ac:dyDescent="0.25">
      <c r="A473" s="17">
        <v>471</v>
      </c>
      <c r="B473" s="3" t="str">
        <f t="shared" si="31"/>
        <v/>
      </c>
      <c r="H473" s="49" t="str">
        <f t="shared" si="30"/>
        <v>s. D.</v>
      </c>
      <c r="I473" s="48" t="str">
        <f t="shared" si="32"/>
        <v/>
      </c>
      <c r="J473" s="49" t="str">
        <f>I473&amp;IF(NOT(ISBLANK(E473)),CHAR(10)&amp;VLOOKUP(E473,AttackRiskStep!$A$3:$C$99,3,FALSE),"see Description")&amp;IF(NOT(ISBLANK(F473))," -&gt; "&amp;CHAR(10)&amp;VLOOKUP(F473,AttackRiskStep!$A$3:$C$99,3,FALSE),"")&amp;IF(NOT(ISBLANK(G473))," -&gt; "&amp;CHAR(10)&amp;VLOOKUP(G473,AttackRiskStep!$A$3:$C$99,3,FALSE),"")</f>
        <v>see Description</v>
      </c>
      <c r="P473" s="38" t="e">
        <f>VLOOKUP($N473,Likelihood!$A$3:$B$7,2,FALSE)*VLOOKUP($O473,Impact!$A$4:$B$8,2,FALSE)</f>
        <v>#N/A</v>
      </c>
      <c r="Q473" s="39" t="e">
        <f>VLOOKUP(P473,RPN!$B$6:$C$22,2)</f>
        <v>#N/A</v>
      </c>
      <c r="Z473" s="9" t="e">
        <f ca="1">VLOOKUP($N473,Likelihood!$A$3:$C$7,2,FALSE)+RANDBETWEEN(-20,20)/100</f>
        <v>#N/A</v>
      </c>
      <c r="AA473" s="9" t="e">
        <f ca="1">IF($Q473=AA$2,VLOOKUP($O473,Impact!$A$4:$B$8,2,FALSE)+RANDBETWEEN(-20,20)/100,NA())</f>
        <v>#N/A</v>
      </c>
      <c r="AB473" s="9" t="e">
        <f ca="1">IF($Q473=AB$2,VLOOKUP($O473,Impact!$A$4:$B$8,2,FALSE)+RANDBETWEEN(-20,20)/100,NA())</f>
        <v>#N/A</v>
      </c>
      <c r="AC473" s="9" t="e">
        <f ca="1">IF($Q473=AC$2,VLOOKUP($O473,Impact!$A$4:$B$8,2,FALSE)+RANDBETWEEN(-20,20)/100,NA())</f>
        <v>#N/A</v>
      </c>
    </row>
    <row r="474" spans="1:29" x14ac:dyDescent="0.25">
      <c r="A474" s="17">
        <v>472</v>
      </c>
      <c r="B474" s="3" t="str">
        <f t="shared" si="31"/>
        <v/>
      </c>
      <c r="H474" s="49" t="str">
        <f t="shared" si="30"/>
        <v>s. D.</v>
      </c>
      <c r="I474" s="48" t="str">
        <f t="shared" si="32"/>
        <v/>
      </c>
      <c r="J474" s="49" t="str">
        <f>I474&amp;IF(NOT(ISBLANK(E474)),CHAR(10)&amp;VLOOKUP(E474,AttackRiskStep!$A$3:$C$99,3,FALSE),"see Description")&amp;IF(NOT(ISBLANK(F474))," -&gt; "&amp;CHAR(10)&amp;VLOOKUP(F474,AttackRiskStep!$A$3:$C$99,3,FALSE),"")&amp;IF(NOT(ISBLANK(G474))," -&gt; "&amp;CHAR(10)&amp;VLOOKUP(G474,AttackRiskStep!$A$3:$C$99,3,FALSE),"")</f>
        <v>see Description</v>
      </c>
      <c r="P474" s="38" t="e">
        <f>VLOOKUP($N474,Likelihood!$A$3:$B$7,2,FALSE)*VLOOKUP($O474,Impact!$A$4:$B$8,2,FALSE)</f>
        <v>#N/A</v>
      </c>
      <c r="Q474" s="39" t="e">
        <f>VLOOKUP(P474,RPN!$B$6:$C$22,2)</f>
        <v>#N/A</v>
      </c>
      <c r="Z474" s="9" t="e">
        <f ca="1">VLOOKUP($N474,Likelihood!$A$3:$C$7,2,FALSE)+RANDBETWEEN(-20,20)/100</f>
        <v>#N/A</v>
      </c>
      <c r="AA474" s="9" t="e">
        <f ca="1">IF($Q474=AA$2,VLOOKUP($O474,Impact!$A$4:$B$8,2,FALSE)+RANDBETWEEN(-20,20)/100,NA())</f>
        <v>#N/A</v>
      </c>
      <c r="AB474" s="9" t="e">
        <f ca="1">IF($Q474=AB$2,VLOOKUP($O474,Impact!$A$4:$B$8,2,FALSE)+RANDBETWEEN(-20,20)/100,NA())</f>
        <v>#N/A</v>
      </c>
      <c r="AC474" s="9" t="e">
        <f ca="1">IF($Q474=AC$2,VLOOKUP($O474,Impact!$A$4:$B$8,2,FALSE)+RANDBETWEEN(-20,20)/100,NA())</f>
        <v>#N/A</v>
      </c>
    </row>
    <row r="475" spans="1:29" x14ac:dyDescent="0.25">
      <c r="A475" s="17">
        <v>473</v>
      </c>
      <c r="B475" s="3" t="str">
        <f t="shared" si="31"/>
        <v/>
      </c>
      <c r="H475" s="49" t="str">
        <f t="shared" si="30"/>
        <v>s. D.</v>
      </c>
      <c r="I475" s="48" t="str">
        <f t="shared" si="32"/>
        <v/>
      </c>
      <c r="J475" s="49" t="str">
        <f>I475&amp;IF(NOT(ISBLANK(E475)),CHAR(10)&amp;VLOOKUP(E475,AttackRiskStep!$A$3:$C$99,3,FALSE),"see Description")&amp;IF(NOT(ISBLANK(F475))," -&gt; "&amp;CHAR(10)&amp;VLOOKUP(F475,AttackRiskStep!$A$3:$C$99,3,FALSE),"")&amp;IF(NOT(ISBLANK(G475))," -&gt; "&amp;CHAR(10)&amp;VLOOKUP(G475,AttackRiskStep!$A$3:$C$99,3,FALSE),"")</f>
        <v>see Description</v>
      </c>
      <c r="P475" s="38" t="e">
        <f>VLOOKUP($N475,Likelihood!$A$3:$B$7,2,FALSE)*VLOOKUP($O475,Impact!$A$4:$B$8,2,FALSE)</f>
        <v>#N/A</v>
      </c>
      <c r="Q475" s="39" t="e">
        <f>VLOOKUP(P475,RPN!$B$6:$C$22,2)</f>
        <v>#N/A</v>
      </c>
      <c r="Z475" s="9" t="e">
        <f ca="1">VLOOKUP($N475,Likelihood!$A$3:$C$7,2,FALSE)+RANDBETWEEN(-20,20)/100</f>
        <v>#N/A</v>
      </c>
      <c r="AA475" s="9" t="e">
        <f ca="1">IF($Q475=AA$2,VLOOKUP($O475,Impact!$A$4:$B$8,2,FALSE)+RANDBETWEEN(-20,20)/100,NA())</f>
        <v>#N/A</v>
      </c>
      <c r="AB475" s="9" t="e">
        <f ca="1">IF($Q475=AB$2,VLOOKUP($O475,Impact!$A$4:$B$8,2,FALSE)+RANDBETWEEN(-20,20)/100,NA())</f>
        <v>#N/A</v>
      </c>
      <c r="AC475" s="9" t="e">
        <f ca="1">IF($Q475=AC$2,VLOOKUP($O475,Impact!$A$4:$B$8,2,FALSE)+RANDBETWEEN(-20,20)/100,NA())</f>
        <v>#N/A</v>
      </c>
    </row>
    <row r="476" spans="1:29" x14ac:dyDescent="0.25">
      <c r="A476" s="17">
        <v>474</v>
      </c>
      <c r="B476" s="3" t="str">
        <f t="shared" si="31"/>
        <v/>
      </c>
      <c r="H476" s="49" t="str">
        <f t="shared" si="30"/>
        <v>s. D.</v>
      </c>
      <c r="I476" s="48" t="str">
        <f t="shared" si="32"/>
        <v/>
      </c>
      <c r="J476" s="49" t="str">
        <f>I476&amp;IF(NOT(ISBLANK(E476)),CHAR(10)&amp;VLOOKUP(E476,AttackRiskStep!$A$3:$C$99,3,FALSE),"see Description")&amp;IF(NOT(ISBLANK(F476))," -&gt; "&amp;CHAR(10)&amp;VLOOKUP(F476,AttackRiskStep!$A$3:$C$99,3,FALSE),"")&amp;IF(NOT(ISBLANK(G476))," -&gt; "&amp;CHAR(10)&amp;VLOOKUP(G476,AttackRiskStep!$A$3:$C$99,3,FALSE),"")</f>
        <v>see Description</v>
      </c>
      <c r="P476" s="38" t="e">
        <f>VLOOKUP($N476,Likelihood!$A$3:$B$7,2,FALSE)*VLOOKUP($O476,Impact!$A$4:$B$8,2,FALSE)</f>
        <v>#N/A</v>
      </c>
      <c r="Q476" s="39" t="e">
        <f>VLOOKUP(P476,RPN!$B$6:$C$22,2)</f>
        <v>#N/A</v>
      </c>
      <c r="Z476" s="9" t="e">
        <f ca="1">VLOOKUP($N476,Likelihood!$A$3:$C$7,2,FALSE)+RANDBETWEEN(-20,20)/100</f>
        <v>#N/A</v>
      </c>
      <c r="AA476" s="9" t="e">
        <f ca="1">IF($Q476=AA$2,VLOOKUP($O476,Impact!$A$4:$B$8,2,FALSE)+RANDBETWEEN(-20,20)/100,NA())</f>
        <v>#N/A</v>
      </c>
      <c r="AB476" s="9" t="e">
        <f ca="1">IF($Q476=AB$2,VLOOKUP($O476,Impact!$A$4:$B$8,2,FALSE)+RANDBETWEEN(-20,20)/100,NA())</f>
        <v>#N/A</v>
      </c>
      <c r="AC476" s="9" t="e">
        <f ca="1">IF($Q476=AC$2,VLOOKUP($O476,Impact!$A$4:$B$8,2,FALSE)+RANDBETWEEN(-20,20)/100,NA())</f>
        <v>#N/A</v>
      </c>
    </row>
    <row r="477" spans="1:29" x14ac:dyDescent="0.25">
      <c r="A477" s="17">
        <v>475</v>
      </c>
      <c r="B477" s="3" t="str">
        <f t="shared" si="31"/>
        <v/>
      </c>
      <c r="H477" s="49" t="str">
        <f t="shared" si="30"/>
        <v>s. D.</v>
      </c>
      <c r="I477" s="48" t="str">
        <f t="shared" si="32"/>
        <v/>
      </c>
      <c r="J477" s="49" t="str">
        <f>I477&amp;IF(NOT(ISBLANK(E477)),CHAR(10)&amp;VLOOKUP(E477,AttackRiskStep!$A$3:$C$99,3,FALSE),"see Description")&amp;IF(NOT(ISBLANK(F477))," -&gt; "&amp;CHAR(10)&amp;VLOOKUP(F477,AttackRiskStep!$A$3:$C$99,3,FALSE),"")&amp;IF(NOT(ISBLANK(G477))," -&gt; "&amp;CHAR(10)&amp;VLOOKUP(G477,AttackRiskStep!$A$3:$C$99,3,FALSE),"")</f>
        <v>see Description</v>
      </c>
      <c r="P477" s="38" t="e">
        <f>VLOOKUP($N477,Likelihood!$A$3:$B$7,2,FALSE)*VLOOKUP($O477,Impact!$A$4:$B$8,2,FALSE)</f>
        <v>#N/A</v>
      </c>
      <c r="Q477" s="39" t="e">
        <f>VLOOKUP(P477,RPN!$B$6:$C$22,2)</f>
        <v>#N/A</v>
      </c>
      <c r="Z477" s="9" t="e">
        <f ca="1">VLOOKUP($N477,Likelihood!$A$3:$C$7,2,FALSE)+RANDBETWEEN(-20,20)/100</f>
        <v>#N/A</v>
      </c>
      <c r="AA477" s="9" t="e">
        <f ca="1">IF($Q477=AA$2,VLOOKUP($O477,Impact!$A$4:$B$8,2,FALSE)+RANDBETWEEN(-20,20)/100,NA())</f>
        <v>#N/A</v>
      </c>
      <c r="AB477" s="9" t="e">
        <f ca="1">IF($Q477=AB$2,VLOOKUP($O477,Impact!$A$4:$B$8,2,FALSE)+RANDBETWEEN(-20,20)/100,NA())</f>
        <v>#N/A</v>
      </c>
      <c r="AC477" s="9" t="e">
        <f ca="1">IF($Q477=AC$2,VLOOKUP($O477,Impact!$A$4:$B$8,2,FALSE)+RANDBETWEEN(-20,20)/100,NA())</f>
        <v>#N/A</v>
      </c>
    </row>
    <row r="478" spans="1:29" x14ac:dyDescent="0.25">
      <c r="A478" s="17">
        <v>476</v>
      </c>
      <c r="B478" s="3" t="str">
        <f t="shared" si="31"/>
        <v/>
      </c>
      <c r="H478" s="49" t="str">
        <f t="shared" si="30"/>
        <v>s. D.</v>
      </c>
      <c r="I478" s="48" t="str">
        <f t="shared" si="32"/>
        <v/>
      </c>
      <c r="J478" s="49" t="str">
        <f>I478&amp;IF(NOT(ISBLANK(E478)),CHAR(10)&amp;VLOOKUP(E478,AttackRiskStep!$A$3:$C$99,3,FALSE),"see Description")&amp;IF(NOT(ISBLANK(F478))," -&gt; "&amp;CHAR(10)&amp;VLOOKUP(F478,AttackRiskStep!$A$3:$C$99,3,FALSE),"")&amp;IF(NOT(ISBLANK(G478))," -&gt; "&amp;CHAR(10)&amp;VLOOKUP(G478,AttackRiskStep!$A$3:$C$99,3,FALSE),"")</f>
        <v>see Description</v>
      </c>
      <c r="P478" s="38" t="e">
        <f>VLOOKUP($N478,Likelihood!$A$3:$B$7,2,FALSE)*VLOOKUP($O478,Impact!$A$4:$B$8,2,FALSE)</f>
        <v>#N/A</v>
      </c>
      <c r="Q478" s="39" t="e">
        <f>VLOOKUP(P478,RPN!$B$6:$C$22,2)</f>
        <v>#N/A</v>
      </c>
      <c r="Z478" s="9" t="e">
        <f ca="1">VLOOKUP($N478,Likelihood!$A$3:$C$7,2,FALSE)+RANDBETWEEN(-20,20)/100</f>
        <v>#N/A</v>
      </c>
      <c r="AA478" s="9" t="e">
        <f ca="1">IF($Q478=AA$2,VLOOKUP($O478,Impact!$A$4:$B$8,2,FALSE)+RANDBETWEEN(-20,20)/100,NA())</f>
        <v>#N/A</v>
      </c>
      <c r="AB478" s="9" t="e">
        <f ca="1">IF($Q478=AB$2,VLOOKUP($O478,Impact!$A$4:$B$8,2,FALSE)+RANDBETWEEN(-20,20)/100,NA())</f>
        <v>#N/A</v>
      </c>
      <c r="AC478" s="9" t="e">
        <f ca="1">IF($Q478=AC$2,VLOOKUP($O478,Impact!$A$4:$B$8,2,FALSE)+RANDBETWEEN(-20,20)/100,NA())</f>
        <v>#N/A</v>
      </c>
    </row>
    <row r="479" spans="1:29" x14ac:dyDescent="0.25">
      <c r="A479" s="17">
        <v>477</v>
      </c>
      <c r="B479" s="3" t="str">
        <f t="shared" si="31"/>
        <v/>
      </c>
      <c r="H479" s="49" t="str">
        <f t="shared" si="30"/>
        <v>s. D.</v>
      </c>
      <c r="I479" s="48" t="str">
        <f t="shared" si="32"/>
        <v/>
      </c>
      <c r="J479" s="49" t="str">
        <f>I479&amp;IF(NOT(ISBLANK(E479)),CHAR(10)&amp;VLOOKUP(E479,AttackRiskStep!$A$3:$C$99,3,FALSE),"see Description")&amp;IF(NOT(ISBLANK(F479))," -&gt; "&amp;CHAR(10)&amp;VLOOKUP(F479,AttackRiskStep!$A$3:$C$99,3,FALSE),"")&amp;IF(NOT(ISBLANK(G479))," -&gt; "&amp;CHAR(10)&amp;VLOOKUP(G479,AttackRiskStep!$A$3:$C$99,3,FALSE),"")</f>
        <v>see Description</v>
      </c>
      <c r="P479" s="38" t="e">
        <f>VLOOKUP($N479,Likelihood!$A$3:$B$7,2,FALSE)*VLOOKUP($O479,Impact!$A$4:$B$8,2,FALSE)</f>
        <v>#N/A</v>
      </c>
      <c r="Q479" s="39" t="e">
        <f>VLOOKUP(P479,RPN!$B$6:$C$22,2)</f>
        <v>#N/A</v>
      </c>
      <c r="Z479" s="9" t="e">
        <f ca="1">VLOOKUP($N479,Likelihood!$A$3:$C$7,2,FALSE)+RANDBETWEEN(-20,20)/100</f>
        <v>#N/A</v>
      </c>
      <c r="AA479" s="9" t="e">
        <f ca="1">IF($Q479=AA$2,VLOOKUP($O479,Impact!$A$4:$B$8,2,FALSE)+RANDBETWEEN(-20,20)/100,NA())</f>
        <v>#N/A</v>
      </c>
      <c r="AB479" s="9" t="e">
        <f ca="1">IF($Q479=AB$2,VLOOKUP($O479,Impact!$A$4:$B$8,2,FALSE)+RANDBETWEEN(-20,20)/100,NA())</f>
        <v>#N/A</v>
      </c>
      <c r="AC479" s="9" t="e">
        <f ca="1">IF($Q479=AC$2,VLOOKUP($O479,Impact!$A$4:$B$8,2,FALSE)+RANDBETWEEN(-20,20)/100,NA())</f>
        <v>#N/A</v>
      </c>
    </row>
    <row r="480" spans="1:29" x14ac:dyDescent="0.25">
      <c r="A480" s="17">
        <v>478</v>
      </c>
      <c r="B480" s="3" t="str">
        <f t="shared" si="31"/>
        <v/>
      </c>
      <c r="H480" s="49" t="str">
        <f t="shared" si="30"/>
        <v>s. D.</v>
      </c>
      <c r="I480" s="48" t="str">
        <f t="shared" si="32"/>
        <v/>
      </c>
      <c r="J480" s="49" t="str">
        <f>I480&amp;IF(NOT(ISBLANK(E480)),CHAR(10)&amp;VLOOKUP(E480,AttackRiskStep!$A$3:$C$99,3,FALSE),"see Description")&amp;IF(NOT(ISBLANK(F480))," -&gt; "&amp;CHAR(10)&amp;VLOOKUP(F480,AttackRiskStep!$A$3:$C$99,3,FALSE),"")&amp;IF(NOT(ISBLANK(G480))," -&gt; "&amp;CHAR(10)&amp;VLOOKUP(G480,AttackRiskStep!$A$3:$C$99,3,FALSE),"")</f>
        <v>see Description</v>
      </c>
      <c r="P480" s="38" t="e">
        <f>VLOOKUP($N480,Likelihood!$A$3:$B$7,2,FALSE)*VLOOKUP($O480,Impact!$A$4:$B$8,2,FALSE)</f>
        <v>#N/A</v>
      </c>
      <c r="Q480" s="39" t="e">
        <f>VLOOKUP(P480,RPN!$B$6:$C$22,2)</f>
        <v>#N/A</v>
      </c>
      <c r="Z480" s="9" t="e">
        <f ca="1">VLOOKUP($N480,Likelihood!$A$3:$C$7,2,FALSE)+RANDBETWEEN(-20,20)/100</f>
        <v>#N/A</v>
      </c>
      <c r="AA480" s="9" t="e">
        <f ca="1">IF($Q480=AA$2,VLOOKUP($O480,Impact!$A$4:$B$8,2,FALSE)+RANDBETWEEN(-20,20)/100,NA())</f>
        <v>#N/A</v>
      </c>
      <c r="AB480" s="9" t="e">
        <f ca="1">IF($Q480=AB$2,VLOOKUP($O480,Impact!$A$4:$B$8,2,FALSE)+RANDBETWEEN(-20,20)/100,NA())</f>
        <v>#N/A</v>
      </c>
      <c r="AC480" s="9" t="e">
        <f ca="1">IF($Q480=AC$2,VLOOKUP($O480,Impact!$A$4:$B$8,2,FALSE)+RANDBETWEEN(-20,20)/100,NA())</f>
        <v>#N/A</v>
      </c>
    </row>
    <row r="481" spans="1:29" x14ac:dyDescent="0.25">
      <c r="A481" s="17">
        <v>479</v>
      </c>
      <c r="B481" s="3" t="str">
        <f t="shared" si="31"/>
        <v/>
      </c>
      <c r="H481" s="49" t="str">
        <f t="shared" si="30"/>
        <v>s. D.</v>
      </c>
      <c r="I481" s="48" t="str">
        <f t="shared" si="32"/>
        <v/>
      </c>
      <c r="J481" s="49" t="str">
        <f>I481&amp;IF(NOT(ISBLANK(E481)),CHAR(10)&amp;VLOOKUP(E481,AttackRiskStep!$A$3:$C$99,3,FALSE),"see Description")&amp;IF(NOT(ISBLANK(F481))," -&gt; "&amp;CHAR(10)&amp;VLOOKUP(F481,AttackRiskStep!$A$3:$C$99,3,FALSE),"")&amp;IF(NOT(ISBLANK(G481))," -&gt; "&amp;CHAR(10)&amp;VLOOKUP(G481,AttackRiskStep!$A$3:$C$99,3,FALSE),"")</f>
        <v>see Description</v>
      </c>
      <c r="P481" s="38" t="e">
        <f>VLOOKUP($N481,Likelihood!$A$3:$B$7,2,FALSE)*VLOOKUP($O481,Impact!$A$4:$B$8,2,FALSE)</f>
        <v>#N/A</v>
      </c>
      <c r="Q481" s="39" t="e">
        <f>VLOOKUP(P481,RPN!$B$6:$C$22,2)</f>
        <v>#N/A</v>
      </c>
      <c r="Z481" s="9" t="e">
        <f ca="1">VLOOKUP($N481,Likelihood!$A$3:$C$7,2,FALSE)+RANDBETWEEN(-20,20)/100</f>
        <v>#N/A</v>
      </c>
      <c r="AA481" s="9" t="e">
        <f ca="1">IF($Q481=AA$2,VLOOKUP($O481,Impact!$A$4:$B$8,2,FALSE)+RANDBETWEEN(-20,20)/100,NA())</f>
        <v>#N/A</v>
      </c>
      <c r="AB481" s="9" t="e">
        <f ca="1">IF($Q481=AB$2,VLOOKUP($O481,Impact!$A$4:$B$8,2,FALSE)+RANDBETWEEN(-20,20)/100,NA())</f>
        <v>#N/A</v>
      </c>
      <c r="AC481" s="9" t="e">
        <f ca="1">IF($Q481=AC$2,VLOOKUP($O481,Impact!$A$4:$B$8,2,FALSE)+RANDBETWEEN(-20,20)/100,NA())</f>
        <v>#N/A</v>
      </c>
    </row>
    <row r="482" spans="1:29" x14ac:dyDescent="0.25">
      <c r="A482" s="17">
        <v>480</v>
      </c>
      <c r="B482" s="3" t="str">
        <f t="shared" si="31"/>
        <v/>
      </c>
      <c r="H482" s="49" t="str">
        <f t="shared" si="30"/>
        <v>s. D.</v>
      </c>
      <c r="I482" s="48" t="str">
        <f t="shared" si="32"/>
        <v/>
      </c>
      <c r="J482" s="49" t="str">
        <f>I482&amp;IF(NOT(ISBLANK(E482)),CHAR(10)&amp;VLOOKUP(E482,AttackRiskStep!$A$3:$C$99,3,FALSE),"see Description")&amp;IF(NOT(ISBLANK(F482))," -&gt; "&amp;CHAR(10)&amp;VLOOKUP(F482,AttackRiskStep!$A$3:$C$99,3,FALSE),"")&amp;IF(NOT(ISBLANK(G482))," -&gt; "&amp;CHAR(10)&amp;VLOOKUP(G482,AttackRiskStep!$A$3:$C$99,3,FALSE),"")</f>
        <v>see Description</v>
      </c>
      <c r="P482" s="38" t="e">
        <f>VLOOKUP($N482,Likelihood!$A$3:$B$7,2,FALSE)*VLOOKUP($O482,Impact!$A$4:$B$8,2,FALSE)</f>
        <v>#N/A</v>
      </c>
      <c r="Q482" s="39" t="e">
        <f>VLOOKUP(P482,RPN!$B$6:$C$22,2)</f>
        <v>#N/A</v>
      </c>
      <c r="Z482" s="9" t="e">
        <f ca="1">VLOOKUP($N482,Likelihood!$A$3:$C$7,2,FALSE)+RANDBETWEEN(-20,20)/100</f>
        <v>#N/A</v>
      </c>
      <c r="AA482" s="9" t="e">
        <f ca="1">IF($Q482=AA$2,VLOOKUP($O482,Impact!$A$4:$B$8,2,FALSE)+RANDBETWEEN(-20,20)/100,NA())</f>
        <v>#N/A</v>
      </c>
      <c r="AB482" s="9" t="e">
        <f ca="1">IF($Q482=AB$2,VLOOKUP($O482,Impact!$A$4:$B$8,2,FALSE)+RANDBETWEEN(-20,20)/100,NA())</f>
        <v>#N/A</v>
      </c>
      <c r="AC482" s="9" t="e">
        <f ca="1">IF($Q482=AC$2,VLOOKUP($O482,Impact!$A$4:$B$8,2,FALSE)+RANDBETWEEN(-20,20)/100,NA())</f>
        <v>#N/A</v>
      </c>
    </row>
    <row r="483" spans="1:29" x14ac:dyDescent="0.25">
      <c r="A483" s="17">
        <v>481</v>
      </c>
      <c r="B483" s="3" t="str">
        <f t="shared" si="31"/>
        <v/>
      </c>
      <c r="H483" s="49" t="str">
        <f t="shared" si="30"/>
        <v>s. D.</v>
      </c>
      <c r="I483" s="48" t="str">
        <f t="shared" si="32"/>
        <v/>
      </c>
      <c r="J483" s="49" t="str">
        <f>I483&amp;IF(NOT(ISBLANK(E483)),CHAR(10)&amp;VLOOKUP(E483,AttackRiskStep!$A$3:$C$99,3,FALSE),"see Description")&amp;IF(NOT(ISBLANK(F483))," -&gt; "&amp;CHAR(10)&amp;VLOOKUP(F483,AttackRiskStep!$A$3:$C$99,3,FALSE),"")&amp;IF(NOT(ISBLANK(G483))," -&gt; "&amp;CHAR(10)&amp;VLOOKUP(G483,AttackRiskStep!$A$3:$C$99,3,FALSE),"")</f>
        <v>see Description</v>
      </c>
      <c r="P483" s="38" t="e">
        <f>VLOOKUP($N483,Likelihood!$A$3:$B$7,2,FALSE)*VLOOKUP($O483,Impact!$A$4:$B$8,2,FALSE)</f>
        <v>#N/A</v>
      </c>
      <c r="Q483" s="39" t="e">
        <f>VLOOKUP(P483,RPN!$B$6:$C$22,2)</f>
        <v>#N/A</v>
      </c>
      <c r="Z483" s="9" t="e">
        <f ca="1">VLOOKUP($N483,Likelihood!$A$3:$C$7,2,FALSE)+RANDBETWEEN(-20,20)/100</f>
        <v>#N/A</v>
      </c>
      <c r="AA483" s="9" t="e">
        <f ca="1">IF($Q483=AA$2,VLOOKUP($O483,Impact!$A$4:$B$8,2,FALSE)+RANDBETWEEN(-20,20)/100,NA())</f>
        <v>#N/A</v>
      </c>
      <c r="AB483" s="9" t="e">
        <f ca="1">IF($Q483=AB$2,VLOOKUP($O483,Impact!$A$4:$B$8,2,FALSE)+RANDBETWEEN(-20,20)/100,NA())</f>
        <v>#N/A</v>
      </c>
      <c r="AC483" s="9" t="e">
        <f ca="1">IF($Q483=AC$2,VLOOKUP($O483,Impact!$A$4:$B$8,2,FALSE)+RANDBETWEEN(-20,20)/100,NA())</f>
        <v>#N/A</v>
      </c>
    </row>
    <row r="484" spans="1:29" x14ac:dyDescent="0.25">
      <c r="A484" s="17">
        <v>482</v>
      </c>
      <c r="B484" s="3" t="str">
        <f t="shared" si="31"/>
        <v/>
      </c>
      <c r="H484" s="49" t="str">
        <f t="shared" si="30"/>
        <v>s. D.</v>
      </c>
      <c r="I484" s="48" t="str">
        <f t="shared" si="32"/>
        <v/>
      </c>
      <c r="J484" s="49" t="str">
        <f>I484&amp;IF(NOT(ISBLANK(E484)),CHAR(10)&amp;VLOOKUP(E484,AttackRiskStep!$A$3:$C$99,3,FALSE),"see Description")&amp;IF(NOT(ISBLANK(F484))," -&gt; "&amp;CHAR(10)&amp;VLOOKUP(F484,AttackRiskStep!$A$3:$C$99,3,FALSE),"")&amp;IF(NOT(ISBLANK(G484))," -&gt; "&amp;CHAR(10)&amp;VLOOKUP(G484,AttackRiskStep!$A$3:$C$99,3,FALSE),"")</f>
        <v>see Description</v>
      </c>
      <c r="P484" s="38" t="e">
        <f>VLOOKUP($N484,Likelihood!$A$3:$B$7,2,FALSE)*VLOOKUP($O484,Impact!$A$4:$B$8,2,FALSE)</f>
        <v>#N/A</v>
      </c>
      <c r="Q484" s="39" t="e">
        <f>VLOOKUP(P484,RPN!$B$6:$C$22,2)</f>
        <v>#N/A</v>
      </c>
      <c r="Z484" s="9" t="e">
        <f ca="1">VLOOKUP($N484,Likelihood!$A$3:$C$7,2,FALSE)+RANDBETWEEN(-20,20)/100</f>
        <v>#N/A</v>
      </c>
      <c r="AA484" s="9" t="e">
        <f ca="1">IF($Q484=AA$2,VLOOKUP($O484,Impact!$A$4:$B$8,2,FALSE)+RANDBETWEEN(-20,20)/100,NA())</f>
        <v>#N/A</v>
      </c>
      <c r="AB484" s="9" t="e">
        <f ca="1">IF($Q484=AB$2,VLOOKUP($O484,Impact!$A$4:$B$8,2,FALSE)+RANDBETWEEN(-20,20)/100,NA())</f>
        <v>#N/A</v>
      </c>
      <c r="AC484" s="9" t="e">
        <f ca="1">IF($Q484=AC$2,VLOOKUP($O484,Impact!$A$4:$B$8,2,FALSE)+RANDBETWEEN(-20,20)/100,NA())</f>
        <v>#N/A</v>
      </c>
    </row>
    <row r="485" spans="1:29" x14ac:dyDescent="0.25">
      <c r="A485" s="17">
        <v>483</v>
      </c>
      <c r="B485" s="3" t="str">
        <f t="shared" si="31"/>
        <v/>
      </c>
      <c r="H485" s="49" t="str">
        <f t="shared" si="30"/>
        <v>s. D.</v>
      </c>
      <c r="I485" s="48" t="str">
        <f t="shared" si="32"/>
        <v/>
      </c>
      <c r="J485" s="49" t="str">
        <f>I485&amp;IF(NOT(ISBLANK(E485)),CHAR(10)&amp;VLOOKUP(E485,AttackRiskStep!$A$3:$C$99,3,FALSE),"see Description")&amp;IF(NOT(ISBLANK(F485))," -&gt; "&amp;CHAR(10)&amp;VLOOKUP(F485,AttackRiskStep!$A$3:$C$99,3,FALSE),"")&amp;IF(NOT(ISBLANK(G485))," -&gt; "&amp;CHAR(10)&amp;VLOOKUP(G485,AttackRiskStep!$A$3:$C$99,3,FALSE),"")</f>
        <v>see Description</v>
      </c>
      <c r="P485" s="38" t="e">
        <f>VLOOKUP($N485,Likelihood!$A$3:$B$7,2,FALSE)*VLOOKUP($O485,Impact!$A$4:$B$8,2,FALSE)</f>
        <v>#N/A</v>
      </c>
      <c r="Q485" s="39" t="e">
        <f>VLOOKUP(P485,RPN!$B$6:$C$22,2)</f>
        <v>#N/A</v>
      </c>
      <c r="Z485" s="9" t="e">
        <f ca="1">VLOOKUP($N485,Likelihood!$A$3:$C$7,2,FALSE)+RANDBETWEEN(-20,20)/100</f>
        <v>#N/A</v>
      </c>
      <c r="AA485" s="9" t="e">
        <f ca="1">IF($Q485=AA$2,VLOOKUP($O485,Impact!$A$4:$B$8,2,FALSE)+RANDBETWEEN(-20,20)/100,NA())</f>
        <v>#N/A</v>
      </c>
      <c r="AB485" s="9" t="e">
        <f ca="1">IF($Q485=AB$2,VLOOKUP($O485,Impact!$A$4:$B$8,2,FALSE)+RANDBETWEEN(-20,20)/100,NA())</f>
        <v>#N/A</v>
      </c>
      <c r="AC485" s="9" t="e">
        <f ca="1">IF($Q485=AC$2,VLOOKUP($O485,Impact!$A$4:$B$8,2,FALSE)+RANDBETWEEN(-20,20)/100,NA())</f>
        <v>#N/A</v>
      </c>
    </row>
    <row r="486" spans="1:29" x14ac:dyDescent="0.25">
      <c r="A486" s="17">
        <v>484</v>
      </c>
      <c r="B486" s="3" t="str">
        <f t="shared" si="31"/>
        <v/>
      </c>
      <c r="H486" s="49" t="str">
        <f t="shared" si="30"/>
        <v>s. D.</v>
      </c>
      <c r="I486" s="48" t="str">
        <f t="shared" si="32"/>
        <v/>
      </c>
      <c r="J486" s="49" t="str">
        <f>I486&amp;IF(NOT(ISBLANK(E486)),CHAR(10)&amp;VLOOKUP(E486,AttackRiskStep!$A$3:$C$99,3,FALSE),"see Description")&amp;IF(NOT(ISBLANK(F486))," -&gt; "&amp;CHAR(10)&amp;VLOOKUP(F486,AttackRiskStep!$A$3:$C$99,3,FALSE),"")&amp;IF(NOT(ISBLANK(G486))," -&gt; "&amp;CHAR(10)&amp;VLOOKUP(G486,AttackRiskStep!$A$3:$C$99,3,FALSE),"")</f>
        <v>see Description</v>
      </c>
      <c r="P486" s="38" t="e">
        <f>VLOOKUP($N486,Likelihood!$A$3:$B$7,2,FALSE)*VLOOKUP($O486,Impact!$A$4:$B$8,2,FALSE)</f>
        <v>#N/A</v>
      </c>
      <c r="Q486" s="39" t="e">
        <f>VLOOKUP(P486,RPN!$B$6:$C$22,2)</f>
        <v>#N/A</v>
      </c>
      <c r="Z486" s="9" t="e">
        <f ca="1">VLOOKUP($N486,Likelihood!$A$3:$C$7,2,FALSE)+RANDBETWEEN(-20,20)/100</f>
        <v>#N/A</v>
      </c>
      <c r="AA486" s="9" t="e">
        <f ca="1">IF($Q486=AA$2,VLOOKUP($O486,Impact!$A$4:$B$8,2,FALSE)+RANDBETWEEN(-20,20)/100,NA())</f>
        <v>#N/A</v>
      </c>
      <c r="AB486" s="9" t="e">
        <f ca="1">IF($Q486=AB$2,VLOOKUP($O486,Impact!$A$4:$B$8,2,FALSE)+RANDBETWEEN(-20,20)/100,NA())</f>
        <v>#N/A</v>
      </c>
      <c r="AC486" s="9" t="e">
        <f ca="1">IF($Q486=AC$2,VLOOKUP($O486,Impact!$A$4:$B$8,2,FALSE)+RANDBETWEEN(-20,20)/100,NA())</f>
        <v>#N/A</v>
      </c>
    </row>
    <row r="487" spans="1:29" x14ac:dyDescent="0.25">
      <c r="A487" s="17">
        <v>485</v>
      </c>
      <c r="B487" s="3" t="str">
        <f t="shared" si="31"/>
        <v/>
      </c>
      <c r="H487" s="49" t="str">
        <f t="shared" si="30"/>
        <v>s. D.</v>
      </c>
      <c r="I487" s="48" t="str">
        <f t="shared" si="32"/>
        <v/>
      </c>
      <c r="J487" s="49" t="str">
        <f>I487&amp;IF(NOT(ISBLANK(E487)),CHAR(10)&amp;VLOOKUP(E487,AttackRiskStep!$A$3:$C$99,3,FALSE),"see Description")&amp;IF(NOT(ISBLANK(F487))," -&gt; "&amp;CHAR(10)&amp;VLOOKUP(F487,AttackRiskStep!$A$3:$C$99,3,FALSE),"")&amp;IF(NOT(ISBLANK(G487))," -&gt; "&amp;CHAR(10)&amp;VLOOKUP(G487,AttackRiskStep!$A$3:$C$99,3,FALSE),"")</f>
        <v>see Description</v>
      </c>
      <c r="P487" s="38" t="e">
        <f>VLOOKUP($N487,Likelihood!$A$3:$B$7,2,FALSE)*VLOOKUP($O487,Impact!$A$4:$B$8,2,FALSE)</f>
        <v>#N/A</v>
      </c>
      <c r="Q487" s="39" t="e">
        <f>VLOOKUP(P487,RPN!$B$6:$C$22,2)</f>
        <v>#N/A</v>
      </c>
      <c r="Z487" s="9" t="e">
        <f ca="1">VLOOKUP($N487,Likelihood!$A$3:$C$7,2,FALSE)+RANDBETWEEN(-20,20)/100</f>
        <v>#N/A</v>
      </c>
      <c r="AA487" s="9" t="e">
        <f ca="1">IF($Q487=AA$2,VLOOKUP($O487,Impact!$A$4:$B$8,2,FALSE)+RANDBETWEEN(-20,20)/100,NA())</f>
        <v>#N/A</v>
      </c>
      <c r="AB487" s="9" t="e">
        <f ca="1">IF($Q487=AB$2,VLOOKUP($O487,Impact!$A$4:$B$8,2,FALSE)+RANDBETWEEN(-20,20)/100,NA())</f>
        <v>#N/A</v>
      </c>
      <c r="AC487" s="9" t="e">
        <f ca="1">IF($Q487=AC$2,VLOOKUP($O487,Impact!$A$4:$B$8,2,FALSE)+RANDBETWEEN(-20,20)/100,NA())</f>
        <v>#N/A</v>
      </c>
    </row>
    <row r="488" spans="1:29" x14ac:dyDescent="0.25">
      <c r="A488" s="17">
        <v>486</v>
      </c>
      <c r="B488" s="3" t="str">
        <f t="shared" si="31"/>
        <v/>
      </c>
      <c r="H488" s="49" t="str">
        <f t="shared" si="30"/>
        <v>s. D.</v>
      </c>
      <c r="I488" s="48" t="str">
        <f t="shared" si="32"/>
        <v/>
      </c>
      <c r="J488" s="49" t="str">
        <f>I488&amp;IF(NOT(ISBLANK(E488)),CHAR(10)&amp;VLOOKUP(E488,AttackRiskStep!$A$3:$C$99,3,FALSE),"see Description")&amp;IF(NOT(ISBLANK(F488))," -&gt; "&amp;CHAR(10)&amp;VLOOKUP(F488,AttackRiskStep!$A$3:$C$99,3,FALSE),"")&amp;IF(NOT(ISBLANK(G488))," -&gt; "&amp;CHAR(10)&amp;VLOOKUP(G488,AttackRiskStep!$A$3:$C$99,3,FALSE),"")</f>
        <v>see Description</v>
      </c>
      <c r="P488" s="38" t="e">
        <f>VLOOKUP($N488,Likelihood!$A$3:$B$7,2,FALSE)*VLOOKUP($O488,Impact!$A$4:$B$8,2,FALSE)</f>
        <v>#N/A</v>
      </c>
      <c r="Q488" s="39" t="e">
        <f>VLOOKUP(P488,RPN!$B$6:$C$22,2)</f>
        <v>#N/A</v>
      </c>
      <c r="Z488" s="9" t="e">
        <f ca="1">VLOOKUP($N488,Likelihood!$A$3:$C$7,2,FALSE)+RANDBETWEEN(-20,20)/100</f>
        <v>#N/A</v>
      </c>
      <c r="AA488" s="9" t="e">
        <f ca="1">IF($Q488=AA$2,VLOOKUP($O488,Impact!$A$4:$B$8,2,FALSE)+RANDBETWEEN(-20,20)/100,NA())</f>
        <v>#N/A</v>
      </c>
      <c r="AB488" s="9" t="e">
        <f ca="1">IF($Q488=AB$2,VLOOKUP($O488,Impact!$A$4:$B$8,2,FALSE)+RANDBETWEEN(-20,20)/100,NA())</f>
        <v>#N/A</v>
      </c>
      <c r="AC488" s="9" t="e">
        <f ca="1">IF($Q488=AC$2,VLOOKUP($O488,Impact!$A$4:$B$8,2,FALSE)+RANDBETWEEN(-20,20)/100,NA())</f>
        <v>#N/A</v>
      </c>
    </row>
    <row r="489" spans="1:29" x14ac:dyDescent="0.25">
      <c r="A489" s="17">
        <v>487</v>
      </c>
      <c r="B489" s="3" t="str">
        <f t="shared" si="31"/>
        <v/>
      </c>
      <c r="H489" s="49" t="str">
        <f t="shared" si="30"/>
        <v>s. D.</v>
      </c>
      <c r="I489" s="48" t="str">
        <f t="shared" si="32"/>
        <v/>
      </c>
      <c r="J489" s="49" t="str">
        <f>I489&amp;IF(NOT(ISBLANK(E489)),CHAR(10)&amp;VLOOKUP(E489,AttackRiskStep!$A$3:$C$99,3,FALSE),"see Description")&amp;IF(NOT(ISBLANK(F489))," -&gt; "&amp;CHAR(10)&amp;VLOOKUP(F489,AttackRiskStep!$A$3:$C$99,3,FALSE),"")&amp;IF(NOT(ISBLANK(G489))," -&gt; "&amp;CHAR(10)&amp;VLOOKUP(G489,AttackRiskStep!$A$3:$C$99,3,FALSE),"")</f>
        <v>see Description</v>
      </c>
      <c r="P489" s="38" t="e">
        <f>VLOOKUP($N489,Likelihood!$A$3:$B$7,2,FALSE)*VLOOKUP($O489,Impact!$A$4:$B$8,2,FALSE)</f>
        <v>#N/A</v>
      </c>
      <c r="Q489" s="39" t="e">
        <f>VLOOKUP(P489,RPN!$B$6:$C$22,2)</f>
        <v>#N/A</v>
      </c>
      <c r="Z489" s="9" t="e">
        <f ca="1">VLOOKUP($N489,Likelihood!$A$3:$C$7,2,FALSE)+RANDBETWEEN(-20,20)/100</f>
        <v>#N/A</v>
      </c>
      <c r="AA489" s="9" t="e">
        <f ca="1">IF($Q489=AA$2,VLOOKUP($O489,Impact!$A$4:$B$8,2,FALSE)+RANDBETWEEN(-20,20)/100,NA())</f>
        <v>#N/A</v>
      </c>
      <c r="AB489" s="9" t="e">
        <f ca="1">IF($Q489=AB$2,VLOOKUP($O489,Impact!$A$4:$B$8,2,FALSE)+RANDBETWEEN(-20,20)/100,NA())</f>
        <v>#N/A</v>
      </c>
      <c r="AC489" s="9" t="e">
        <f ca="1">IF($Q489=AC$2,VLOOKUP($O489,Impact!$A$4:$B$8,2,FALSE)+RANDBETWEEN(-20,20)/100,NA())</f>
        <v>#N/A</v>
      </c>
    </row>
    <row r="490" spans="1:29" x14ac:dyDescent="0.25">
      <c r="A490" s="17">
        <v>488</v>
      </c>
      <c r="B490" s="3" t="str">
        <f t="shared" si="31"/>
        <v/>
      </c>
      <c r="H490" s="49" t="str">
        <f t="shared" si="30"/>
        <v>s. D.</v>
      </c>
      <c r="I490" s="48" t="str">
        <f t="shared" si="32"/>
        <v/>
      </c>
      <c r="J490" s="49" t="str">
        <f>I490&amp;IF(NOT(ISBLANK(E490)),CHAR(10)&amp;VLOOKUP(E490,AttackRiskStep!$A$3:$C$99,3,FALSE),"see Description")&amp;IF(NOT(ISBLANK(F490))," -&gt; "&amp;CHAR(10)&amp;VLOOKUP(F490,AttackRiskStep!$A$3:$C$99,3,FALSE),"")&amp;IF(NOT(ISBLANK(G490))," -&gt; "&amp;CHAR(10)&amp;VLOOKUP(G490,AttackRiskStep!$A$3:$C$99,3,FALSE),"")</f>
        <v>see Description</v>
      </c>
      <c r="P490" s="38" t="e">
        <f>VLOOKUP($N490,Likelihood!$A$3:$B$7,2,FALSE)*VLOOKUP($O490,Impact!$A$4:$B$8,2,FALSE)</f>
        <v>#N/A</v>
      </c>
      <c r="Q490" s="39" t="e">
        <f>VLOOKUP(P490,RPN!$B$6:$C$22,2)</f>
        <v>#N/A</v>
      </c>
      <c r="Z490" s="9" t="e">
        <f ca="1">VLOOKUP($N490,Likelihood!$A$3:$C$7,2,FALSE)+RANDBETWEEN(-20,20)/100</f>
        <v>#N/A</v>
      </c>
      <c r="AA490" s="9" t="e">
        <f ca="1">IF($Q490=AA$2,VLOOKUP($O490,Impact!$A$4:$B$8,2,FALSE)+RANDBETWEEN(-20,20)/100,NA())</f>
        <v>#N/A</v>
      </c>
      <c r="AB490" s="9" t="e">
        <f ca="1">IF($Q490=AB$2,VLOOKUP($O490,Impact!$A$4:$B$8,2,FALSE)+RANDBETWEEN(-20,20)/100,NA())</f>
        <v>#N/A</v>
      </c>
      <c r="AC490" s="9" t="e">
        <f ca="1">IF($Q490=AC$2,VLOOKUP($O490,Impact!$A$4:$B$8,2,FALSE)+RANDBETWEEN(-20,20)/100,NA())</f>
        <v>#N/A</v>
      </c>
    </row>
    <row r="491" spans="1:29" x14ac:dyDescent="0.25">
      <c r="A491" s="17">
        <v>489</v>
      </c>
      <c r="B491" s="3" t="str">
        <f t="shared" si="31"/>
        <v/>
      </c>
      <c r="H491" s="49" t="str">
        <f t="shared" si="30"/>
        <v>s. D.</v>
      </c>
      <c r="I491" s="48" t="str">
        <f t="shared" si="32"/>
        <v/>
      </c>
      <c r="J491" s="49" t="str">
        <f>I491&amp;IF(NOT(ISBLANK(E491)),CHAR(10)&amp;VLOOKUP(E491,AttackRiskStep!$A$3:$C$99,3,FALSE),"see Description")&amp;IF(NOT(ISBLANK(F491))," -&gt; "&amp;CHAR(10)&amp;VLOOKUP(F491,AttackRiskStep!$A$3:$C$99,3,FALSE),"")&amp;IF(NOT(ISBLANK(G491))," -&gt; "&amp;CHAR(10)&amp;VLOOKUP(G491,AttackRiskStep!$A$3:$C$99,3,FALSE),"")</f>
        <v>see Description</v>
      </c>
      <c r="P491" s="38" t="e">
        <f>VLOOKUP($N491,Likelihood!$A$3:$B$7,2,FALSE)*VLOOKUP($O491,Impact!$A$4:$B$8,2,FALSE)</f>
        <v>#N/A</v>
      </c>
      <c r="Q491" s="39" t="e">
        <f>VLOOKUP(P491,RPN!$B$6:$C$22,2)</f>
        <v>#N/A</v>
      </c>
      <c r="Z491" s="9" t="e">
        <f ca="1">VLOOKUP($N491,Likelihood!$A$3:$C$7,2,FALSE)+RANDBETWEEN(-20,20)/100</f>
        <v>#N/A</v>
      </c>
      <c r="AA491" s="9" t="e">
        <f ca="1">IF($Q491=AA$2,VLOOKUP($O491,Impact!$A$4:$B$8,2,FALSE)+RANDBETWEEN(-20,20)/100,NA())</f>
        <v>#N/A</v>
      </c>
      <c r="AB491" s="9" t="e">
        <f ca="1">IF($Q491=AB$2,VLOOKUP($O491,Impact!$A$4:$B$8,2,FALSE)+RANDBETWEEN(-20,20)/100,NA())</f>
        <v>#N/A</v>
      </c>
      <c r="AC491" s="9" t="e">
        <f ca="1">IF($Q491=AC$2,VLOOKUP($O491,Impact!$A$4:$B$8,2,FALSE)+RANDBETWEEN(-20,20)/100,NA())</f>
        <v>#N/A</v>
      </c>
    </row>
    <row r="492" spans="1:29" x14ac:dyDescent="0.25">
      <c r="A492" s="17">
        <v>490</v>
      </c>
      <c r="B492" s="3" t="str">
        <f t="shared" si="31"/>
        <v/>
      </c>
      <c r="H492" s="49" t="str">
        <f t="shared" si="30"/>
        <v>s. D.</v>
      </c>
      <c r="I492" s="48" t="str">
        <f t="shared" si="32"/>
        <v/>
      </c>
      <c r="J492" s="49" t="str">
        <f>I492&amp;IF(NOT(ISBLANK(E492)),CHAR(10)&amp;VLOOKUP(E492,AttackRiskStep!$A$3:$C$99,3,FALSE),"see Description")&amp;IF(NOT(ISBLANK(F492))," -&gt; "&amp;CHAR(10)&amp;VLOOKUP(F492,AttackRiskStep!$A$3:$C$99,3,FALSE),"")&amp;IF(NOT(ISBLANK(G492))," -&gt; "&amp;CHAR(10)&amp;VLOOKUP(G492,AttackRiskStep!$A$3:$C$99,3,FALSE),"")</f>
        <v>see Description</v>
      </c>
      <c r="P492" s="38" t="e">
        <f>VLOOKUP($N492,Likelihood!$A$3:$B$7,2,FALSE)*VLOOKUP($O492,Impact!$A$4:$B$8,2,FALSE)</f>
        <v>#N/A</v>
      </c>
      <c r="Q492" s="39" t="e">
        <f>VLOOKUP(P492,RPN!$B$6:$C$22,2)</f>
        <v>#N/A</v>
      </c>
      <c r="Z492" s="9" t="e">
        <f ca="1">VLOOKUP($N492,Likelihood!$A$3:$C$7,2,FALSE)+RANDBETWEEN(-20,20)/100</f>
        <v>#N/A</v>
      </c>
      <c r="AA492" s="9" t="e">
        <f ca="1">IF($Q492=AA$2,VLOOKUP($O492,Impact!$A$4:$B$8,2,FALSE)+RANDBETWEEN(-20,20)/100,NA())</f>
        <v>#N/A</v>
      </c>
      <c r="AB492" s="9" t="e">
        <f ca="1">IF($Q492=AB$2,VLOOKUP($O492,Impact!$A$4:$B$8,2,FALSE)+RANDBETWEEN(-20,20)/100,NA())</f>
        <v>#N/A</v>
      </c>
      <c r="AC492" s="9" t="e">
        <f ca="1">IF($Q492=AC$2,VLOOKUP($O492,Impact!$A$4:$B$8,2,FALSE)+RANDBETWEEN(-20,20)/100,NA())</f>
        <v>#N/A</v>
      </c>
    </row>
    <row r="493" spans="1:29" x14ac:dyDescent="0.25">
      <c r="A493" s="17">
        <v>491</v>
      </c>
      <c r="B493" s="3" t="str">
        <f t="shared" si="31"/>
        <v/>
      </c>
      <c r="H493" s="49" t="str">
        <f t="shared" si="30"/>
        <v>s. D.</v>
      </c>
      <c r="I493" s="48" t="str">
        <f t="shared" si="32"/>
        <v/>
      </c>
      <c r="J493" s="49" t="str">
        <f>I493&amp;IF(NOT(ISBLANK(E493)),CHAR(10)&amp;VLOOKUP(E493,AttackRiskStep!$A$3:$C$99,3,FALSE),"see Description")&amp;IF(NOT(ISBLANK(F493))," -&gt; "&amp;CHAR(10)&amp;VLOOKUP(F493,AttackRiskStep!$A$3:$C$99,3,FALSE),"")&amp;IF(NOT(ISBLANK(G493))," -&gt; "&amp;CHAR(10)&amp;VLOOKUP(G493,AttackRiskStep!$A$3:$C$99,3,FALSE),"")</f>
        <v>see Description</v>
      </c>
      <c r="P493" s="38" t="e">
        <f>VLOOKUP($N493,Likelihood!$A$3:$B$7,2,FALSE)*VLOOKUP($O493,Impact!$A$4:$B$8,2,FALSE)</f>
        <v>#N/A</v>
      </c>
      <c r="Q493" s="39" t="e">
        <f>VLOOKUP(P493,RPN!$B$6:$C$22,2)</f>
        <v>#N/A</v>
      </c>
      <c r="Z493" s="9" t="e">
        <f ca="1">VLOOKUP($N493,Likelihood!$A$3:$C$7,2,FALSE)+RANDBETWEEN(-20,20)/100</f>
        <v>#N/A</v>
      </c>
      <c r="AA493" s="9" t="e">
        <f ca="1">IF($Q493=AA$2,VLOOKUP($O493,Impact!$A$4:$B$8,2,FALSE)+RANDBETWEEN(-20,20)/100,NA())</f>
        <v>#N/A</v>
      </c>
      <c r="AB493" s="9" t="e">
        <f ca="1">IF($Q493=AB$2,VLOOKUP($O493,Impact!$A$4:$B$8,2,FALSE)+RANDBETWEEN(-20,20)/100,NA())</f>
        <v>#N/A</v>
      </c>
      <c r="AC493" s="9" t="e">
        <f ca="1">IF($Q493=AC$2,VLOOKUP($O493,Impact!$A$4:$B$8,2,FALSE)+RANDBETWEEN(-20,20)/100,NA())</f>
        <v>#N/A</v>
      </c>
    </row>
    <row r="494" spans="1:29" x14ac:dyDescent="0.25">
      <c r="A494" s="17">
        <v>492</v>
      </c>
      <c r="B494" s="3" t="str">
        <f t="shared" si="31"/>
        <v/>
      </c>
      <c r="H494" s="49" t="str">
        <f t="shared" si="30"/>
        <v>s. D.</v>
      </c>
      <c r="I494" s="48" t="str">
        <f t="shared" si="32"/>
        <v/>
      </c>
      <c r="J494" s="49" t="str">
        <f>I494&amp;IF(NOT(ISBLANK(E494)),CHAR(10)&amp;VLOOKUP(E494,AttackRiskStep!$A$3:$C$99,3,FALSE),"see Description")&amp;IF(NOT(ISBLANK(F494))," -&gt; "&amp;CHAR(10)&amp;VLOOKUP(F494,AttackRiskStep!$A$3:$C$99,3,FALSE),"")&amp;IF(NOT(ISBLANK(G494))," -&gt; "&amp;CHAR(10)&amp;VLOOKUP(G494,AttackRiskStep!$A$3:$C$99,3,FALSE),"")</f>
        <v>see Description</v>
      </c>
      <c r="P494" s="38" t="e">
        <f>VLOOKUP($N494,Likelihood!$A$3:$B$7,2,FALSE)*VLOOKUP($O494,Impact!$A$4:$B$8,2,FALSE)</f>
        <v>#N/A</v>
      </c>
      <c r="Q494" s="39" t="e">
        <f>VLOOKUP(P494,RPN!$B$6:$C$22,2)</f>
        <v>#N/A</v>
      </c>
      <c r="Z494" s="9" t="e">
        <f ca="1">VLOOKUP($N494,Likelihood!$A$3:$C$7,2,FALSE)+RANDBETWEEN(-20,20)/100</f>
        <v>#N/A</v>
      </c>
      <c r="AA494" s="9" t="e">
        <f ca="1">IF($Q494=AA$2,VLOOKUP($O494,Impact!$A$4:$B$8,2,FALSE)+RANDBETWEEN(-20,20)/100,NA())</f>
        <v>#N/A</v>
      </c>
      <c r="AB494" s="9" t="e">
        <f ca="1">IF($Q494=AB$2,VLOOKUP($O494,Impact!$A$4:$B$8,2,FALSE)+RANDBETWEEN(-20,20)/100,NA())</f>
        <v>#N/A</v>
      </c>
      <c r="AC494" s="9" t="e">
        <f ca="1">IF($Q494=AC$2,VLOOKUP($O494,Impact!$A$4:$B$8,2,FALSE)+RANDBETWEEN(-20,20)/100,NA())</f>
        <v>#N/A</v>
      </c>
    </row>
    <row r="495" spans="1:29" x14ac:dyDescent="0.25">
      <c r="A495" s="17">
        <v>493</v>
      </c>
      <c r="B495" s="3" t="str">
        <f t="shared" si="31"/>
        <v/>
      </c>
      <c r="H495" s="49" t="str">
        <f t="shared" si="30"/>
        <v>s. D.</v>
      </c>
      <c r="I495" s="48" t="str">
        <f t="shared" si="32"/>
        <v/>
      </c>
      <c r="J495" s="49" t="str">
        <f>I495&amp;IF(NOT(ISBLANK(E495)),CHAR(10)&amp;VLOOKUP(E495,AttackRiskStep!$A$3:$C$99,3,FALSE),"see Description")&amp;IF(NOT(ISBLANK(F495))," -&gt; "&amp;CHAR(10)&amp;VLOOKUP(F495,AttackRiskStep!$A$3:$C$99,3,FALSE),"")&amp;IF(NOT(ISBLANK(G495))," -&gt; "&amp;CHAR(10)&amp;VLOOKUP(G495,AttackRiskStep!$A$3:$C$99,3,FALSE),"")</f>
        <v>see Description</v>
      </c>
      <c r="P495" s="38" t="e">
        <f>VLOOKUP($N495,Likelihood!$A$3:$B$7,2,FALSE)*VLOOKUP($O495,Impact!$A$4:$B$8,2,FALSE)</f>
        <v>#N/A</v>
      </c>
      <c r="Q495" s="39" t="e">
        <f>VLOOKUP(P495,RPN!$B$6:$C$22,2)</f>
        <v>#N/A</v>
      </c>
      <c r="Z495" s="9" t="e">
        <f ca="1">VLOOKUP($N495,Likelihood!$A$3:$C$7,2,FALSE)+RANDBETWEEN(-20,20)/100</f>
        <v>#N/A</v>
      </c>
      <c r="AA495" s="9" t="e">
        <f ca="1">IF($Q495=AA$2,VLOOKUP($O495,Impact!$A$4:$B$8,2,FALSE)+RANDBETWEEN(-20,20)/100,NA())</f>
        <v>#N/A</v>
      </c>
      <c r="AB495" s="9" t="e">
        <f ca="1">IF($Q495=AB$2,VLOOKUP($O495,Impact!$A$4:$B$8,2,FALSE)+RANDBETWEEN(-20,20)/100,NA())</f>
        <v>#N/A</v>
      </c>
      <c r="AC495" s="9" t="e">
        <f ca="1">IF($Q495=AC$2,VLOOKUP($O495,Impact!$A$4:$B$8,2,FALSE)+RANDBETWEEN(-20,20)/100,NA())</f>
        <v>#N/A</v>
      </c>
    </row>
    <row r="496" spans="1:29" x14ac:dyDescent="0.25">
      <c r="A496" s="17">
        <v>494</v>
      </c>
      <c r="B496" s="3" t="str">
        <f t="shared" si="31"/>
        <v/>
      </c>
      <c r="H496" s="49" t="str">
        <f t="shared" si="30"/>
        <v>s. D.</v>
      </c>
      <c r="I496" s="48" t="str">
        <f t="shared" si="32"/>
        <v/>
      </c>
      <c r="J496" s="49" t="str">
        <f>I496&amp;IF(NOT(ISBLANK(E496)),CHAR(10)&amp;VLOOKUP(E496,AttackRiskStep!$A$3:$C$99,3,FALSE),"see Description")&amp;IF(NOT(ISBLANK(F496))," -&gt; "&amp;CHAR(10)&amp;VLOOKUP(F496,AttackRiskStep!$A$3:$C$99,3,FALSE),"")&amp;IF(NOT(ISBLANK(G496))," -&gt; "&amp;CHAR(10)&amp;VLOOKUP(G496,AttackRiskStep!$A$3:$C$99,3,FALSE),"")</f>
        <v>see Description</v>
      </c>
      <c r="P496" s="38" t="e">
        <f>VLOOKUP($N496,Likelihood!$A$3:$B$7,2,FALSE)*VLOOKUP($O496,Impact!$A$4:$B$8,2,FALSE)</f>
        <v>#N/A</v>
      </c>
      <c r="Q496" s="39" t="e">
        <f>VLOOKUP(P496,RPN!$B$6:$C$22,2)</f>
        <v>#N/A</v>
      </c>
      <c r="Z496" s="9" t="e">
        <f ca="1">VLOOKUP($N496,Likelihood!$A$3:$C$7,2,FALSE)+RANDBETWEEN(-20,20)/100</f>
        <v>#N/A</v>
      </c>
      <c r="AA496" s="9" t="e">
        <f ca="1">IF($Q496=AA$2,VLOOKUP($O496,Impact!$A$4:$B$8,2,FALSE)+RANDBETWEEN(-20,20)/100,NA())</f>
        <v>#N/A</v>
      </c>
      <c r="AB496" s="9" t="e">
        <f ca="1">IF($Q496=AB$2,VLOOKUP($O496,Impact!$A$4:$B$8,2,FALSE)+RANDBETWEEN(-20,20)/100,NA())</f>
        <v>#N/A</v>
      </c>
      <c r="AC496" s="9" t="e">
        <f ca="1">IF($Q496=AC$2,VLOOKUP($O496,Impact!$A$4:$B$8,2,FALSE)+RANDBETWEEN(-20,20)/100,NA())</f>
        <v>#N/A</v>
      </c>
    </row>
    <row r="497" spans="1:29" x14ac:dyDescent="0.25">
      <c r="A497" s="17">
        <v>495</v>
      </c>
      <c r="B497" s="3" t="str">
        <f t="shared" si="31"/>
        <v/>
      </c>
      <c r="H497" s="49" t="str">
        <f t="shared" si="30"/>
        <v>s. D.</v>
      </c>
      <c r="I497" s="48" t="str">
        <f t="shared" si="32"/>
        <v/>
      </c>
      <c r="J497" s="49" t="str">
        <f>I497&amp;IF(NOT(ISBLANK(E497)),CHAR(10)&amp;VLOOKUP(E497,AttackRiskStep!$A$3:$C$99,3,FALSE),"see Description")&amp;IF(NOT(ISBLANK(F497))," -&gt; "&amp;CHAR(10)&amp;VLOOKUP(F497,AttackRiskStep!$A$3:$C$99,3,FALSE),"")&amp;IF(NOT(ISBLANK(G497))," -&gt; "&amp;CHAR(10)&amp;VLOOKUP(G497,AttackRiskStep!$A$3:$C$99,3,FALSE),"")</f>
        <v>see Description</v>
      </c>
      <c r="P497" s="38" t="e">
        <f>VLOOKUP($N497,Likelihood!$A$3:$B$7,2,FALSE)*VLOOKUP($O497,Impact!$A$4:$B$8,2,FALSE)</f>
        <v>#N/A</v>
      </c>
      <c r="Q497" s="39" t="e">
        <f>VLOOKUP(P497,RPN!$B$6:$C$22,2)</f>
        <v>#N/A</v>
      </c>
      <c r="Z497" s="9" t="e">
        <f ca="1">VLOOKUP($N497,Likelihood!$A$3:$C$7,2,FALSE)+RANDBETWEEN(-20,20)/100</f>
        <v>#N/A</v>
      </c>
      <c r="AA497" s="9" t="e">
        <f ca="1">IF($Q497=AA$2,VLOOKUP($O497,Impact!$A$4:$B$8,2,FALSE)+RANDBETWEEN(-20,20)/100,NA())</f>
        <v>#N/A</v>
      </c>
      <c r="AB497" s="9" t="e">
        <f ca="1">IF($Q497=AB$2,VLOOKUP($O497,Impact!$A$4:$B$8,2,FALSE)+RANDBETWEEN(-20,20)/100,NA())</f>
        <v>#N/A</v>
      </c>
      <c r="AC497" s="9" t="e">
        <f ca="1">IF($Q497=AC$2,VLOOKUP($O497,Impact!$A$4:$B$8,2,FALSE)+RANDBETWEEN(-20,20)/100,NA())</f>
        <v>#N/A</v>
      </c>
    </row>
    <row r="498" spans="1:29" x14ac:dyDescent="0.25">
      <c r="A498" s="17">
        <v>496</v>
      </c>
      <c r="B498" s="3" t="str">
        <f t="shared" si="31"/>
        <v/>
      </c>
      <c r="H498" s="49" t="str">
        <f t="shared" si="30"/>
        <v>s. D.</v>
      </c>
      <c r="I498" s="48" t="str">
        <f t="shared" si="32"/>
        <v/>
      </c>
      <c r="J498" s="49" t="str">
        <f>I498&amp;IF(NOT(ISBLANK(E498)),CHAR(10)&amp;VLOOKUP(E498,AttackRiskStep!$A$3:$C$99,3,FALSE),"see Description")&amp;IF(NOT(ISBLANK(F498))," -&gt; "&amp;CHAR(10)&amp;VLOOKUP(F498,AttackRiskStep!$A$3:$C$99,3,FALSE),"")&amp;IF(NOT(ISBLANK(G498))," -&gt; "&amp;CHAR(10)&amp;VLOOKUP(G498,AttackRiskStep!$A$3:$C$99,3,FALSE),"")</f>
        <v>see Description</v>
      </c>
      <c r="P498" s="38" t="e">
        <f>VLOOKUP($N498,Likelihood!$A$3:$B$7,2,FALSE)*VLOOKUP($O498,Impact!$A$4:$B$8,2,FALSE)</f>
        <v>#N/A</v>
      </c>
      <c r="Q498" s="39" t="e">
        <f>VLOOKUP(P498,RPN!$B$6:$C$22,2)</f>
        <v>#N/A</v>
      </c>
      <c r="Z498" s="9" t="e">
        <f ca="1">VLOOKUP($N498,Likelihood!$A$3:$C$7,2,FALSE)+RANDBETWEEN(-20,20)/100</f>
        <v>#N/A</v>
      </c>
      <c r="AA498" s="9" t="e">
        <f ca="1">IF($Q498=AA$2,VLOOKUP($O498,Impact!$A$4:$B$8,2,FALSE)+RANDBETWEEN(-20,20)/100,NA())</f>
        <v>#N/A</v>
      </c>
      <c r="AB498" s="9" t="e">
        <f ca="1">IF($Q498=AB$2,VLOOKUP($O498,Impact!$A$4:$B$8,2,FALSE)+RANDBETWEEN(-20,20)/100,NA())</f>
        <v>#N/A</v>
      </c>
      <c r="AC498" s="9" t="e">
        <f ca="1">IF($Q498=AC$2,VLOOKUP($O498,Impact!$A$4:$B$8,2,FALSE)+RANDBETWEEN(-20,20)/100,NA())</f>
        <v>#N/A</v>
      </c>
    </row>
    <row r="499" spans="1:29" x14ac:dyDescent="0.25">
      <c r="A499" s="17">
        <v>497</v>
      </c>
      <c r="B499" s="3" t="str">
        <f t="shared" si="31"/>
        <v/>
      </c>
      <c r="H499" s="49" t="str">
        <f t="shared" si="30"/>
        <v>s. D.</v>
      </c>
      <c r="I499" s="48" t="str">
        <f t="shared" si="32"/>
        <v/>
      </c>
      <c r="J499" s="49" t="str">
        <f>I499&amp;IF(NOT(ISBLANK(E499)),CHAR(10)&amp;VLOOKUP(E499,AttackRiskStep!$A$3:$C$99,3,FALSE),"see Description")&amp;IF(NOT(ISBLANK(F499))," -&gt; "&amp;CHAR(10)&amp;VLOOKUP(F499,AttackRiskStep!$A$3:$C$99,3,FALSE),"")&amp;IF(NOT(ISBLANK(G499))," -&gt; "&amp;CHAR(10)&amp;VLOOKUP(G499,AttackRiskStep!$A$3:$C$99,3,FALSE),"")</f>
        <v>see Description</v>
      </c>
      <c r="P499" s="38" t="e">
        <f>VLOOKUP($N499,Likelihood!$A$3:$B$7,2,FALSE)*VLOOKUP($O499,Impact!$A$4:$B$8,2,FALSE)</f>
        <v>#N/A</v>
      </c>
      <c r="Q499" s="39" t="e">
        <f>VLOOKUP(P499,RPN!$B$6:$C$22,2)</f>
        <v>#N/A</v>
      </c>
      <c r="Z499" s="9" t="e">
        <f ca="1">VLOOKUP($N499,Likelihood!$A$3:$C$7,2,FALSE)+RANDBETWEEN(-20,20)/100</f>
        <v>#N/A</v>
      </c>
      <c r="AA499" s="9" t="e">
        <f ca="1">IF($Q499=AA$2,VLOOKUP($O499,Impact!$A$4:$B$8,2,FALSE)+RANDBETWEEN(-20,20)/100,NA())</f>
        <v>#N/A</v>
      </c>
      <c r="AB499" s="9" t="e">
        <f ca="1">IF($Q499=AB$2,VLOOKUP($O499,Impact!$A$4:$B$8,2,FALSE)+RANDBETWEEN(-20,20)/100,NA())</f>
        <v>#N/A</v>
      </c>
      <c r="AC499" s="9" t="e">
        <f ca="1">IF($Q499=AC$2,VLOOKUP($O499,Impact!$A$4:$B$8,2,FALSE)+RANDBETWEEN(-20,20)/100,NA())</f>
        <v>#N/A</v>
      </c>
    </row>
  </sheetData>
  <autoFilter ref="A2:Y499" xr:uid="{00000000-0001-0000-0000-000000000000}"/>
  <mergeCells count="5">
    <mergeCell ref="R1:S1"/>
    <mergeCell ref="T1:Y1"/>
    <mergeCell ref="A1:M1"/>
    <mergeCell ref="Z1:AC1"/>
    <mergeCell ref="N1:Q1"/>
  </mergeCells>
  <phoneticPr fontId="10" type="noConversion"/>
  <conditionalFormatting sqref="P3:P499">
    <cfRule type="colorScale" priority="461">
      <colorScale>
        <cfvo type="min"/>
        <cfvo type="percentile" val="50"/>
        <cfvo type="max"/>
        <color rgb="FF63BE7B"/>
        <color rgb="FFFFEB84"/>
        <color rgb="FFF8696B"/>
      </colorScale>
    </cfRule>
  </conditionalFormatting>
  <dataValidations count="1">
    <dataValidation type="date" allowBlank="1" showInputMessage="1" showErrorMessage="1" sqref="X3" xr:uid="{48832CA5-9ED7-4193-8907-B780564BF77E}">
      <formula1>46075</formula1>
      <formula2>47536</formula2>
    </dataValidation>
  </dataValidations>
  <pageMargins left="0.75" right="0.75" top="1" bottom="1" header="0.5" footer="0.5"/>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ellIs" priority="49" operator="equal" id="{FBE75192-D8F5-4469-8997-4C38FEC44743}">
            <xm:f>Likelihood!$A$3</xm:f>
            <x14:dxf>
              <fill>
                <patternFill>
                  <bgColor rgb="FF00B050"/>
                </patternFill>
              </fill>
            </x14:dxf>
          </x14:cfRule>
          <x14:cfRule type="cellIs" priority="50" operator="equal" id="{0095437B-6C0A-4C6C-8AC2-0D905359F98B}">
            <xm:f>Likelihood!$A$4</xm:f>
            <x14:dxf>
              <fill>
                <patternFill>
                  <bgColor rgb="FF92D050"/>
                </patternFill>
              </fill>
            </x14:dxf>
          </x14:cfRule>
          <x14:cfRule type="cellIs" priority="51" operator="equal" id="{3E43ECC2-0CC5-47E9-8A7F-F7F605325B65}">
            <xm:f>Likelihood!$A$5</xm:f>
            <x14:dxf>
              <fill>
                <patternFill>
                  <bgColor rgb="FFFFFF00"/>
                </patternFill>
              </fill>
            </x14:dxf>
          </x14:cfRule>
          <x14:cfRule type="cellIs" priority="52" operator="equal" id="{9233DAB5-923C-4461-9303-215B2E2404C1}">
            <xm:f>Likelihood!$A$6</xm:f>
            <x14:dxf>
              <fill>
                <patternFill>
                  <bgColor rgb="FFFFC000"/>
                </patternFill>
              </fill>
            </x14:dxf>
          </x14:cfRule>
          <x14:cfRule type="cellIs" priority="53" operator="equal" id="{809D66AE-D3FA-4639-B944-8805CE203813}">
            <xm:f>Likelihood!$A$7</xm:f>
            <x14:dxf>
              <fill>
                <patternFill>
                  <bgColor rgb="FFFF0000"/>
                </patternFill>
              </fill>
            </x14:dxf>
          </x14:cfRule>
          <xm:sqref>N3:N499</xm:sqref>
        </x14:conditionalFormatting>
        <x14:conditionalFormatting xmlns:xm="http://schemas.microsoft.com/office/excel/2006/main">
          <x14:cfRule type="cellIs" priority="44" operator="equal" id="{CEE7BA5F-0148-4760-B0AD-A2091DBA157D}">
            <xm:f>Impact!$A$4</xm:f>
            <x14:dxf>
              <fill>
                <patternFill>
                  <bgColor rgb="FF00B050"/>
                </patternFill>
              </fill>
            </x14:dxf>
          </x14:cfRule>
          <x14:cfRule type="cellIs" priority="45" operator="equal" id="{62907CAF-781B-4B4C-9249-1FE62E478482}">
            <xm:f>Impact!$A$5</xm:f>
            <x14:dxf>
              <fill>
                <patternFill>
                  <bgColor rgb="FF92D050"/>
                </patternFill>
              </fill>
            </x14:dxf>
          </x14:cfRule>
          <x14:cfRule type="cellIs" priority="46" operator="equal" id="{760D1A58-8233-479C-8853-CD5763E3A4BB}">
            <xm:f>Impact!$A$6</xm:f>
            <x14:dxf>
              <fill>
                <patternFill>
                  <bgColor rgb="FFFFFF00"/>
                </patternFill>
              </fill>
            </x14:dxf>
          </x14:cfRule>
          <x14:cfRule type="cellIs" priority="47" operator="equal" id="{9B6167B8-53C6-46D4-A725-118F730A45B5}">
            <xm:f>Impact!$A$7</xm:f>
            <x14:dxf>
              <fill>
                <patternFill>
                  <bgColor rgb="FFFFC000"/>
                </patternFill>
              </fill>
            </x14:dxf>
          </x14:cfRule>
          <x14:cfRule type="cellIs" priority="48" operator="equal" id="{0E507402-36B8-4ABB-945B-412FAD5F7DF0}">
            <xm:f>Impact!$A$8</xm:f>
            <x14:dxf>
              <fill>
                <patternFill>
                  <bgColor rgb="FFFF0000"/>
                </patternFill>
              </fill>
            </x14:dxf>
          </x14:cfRule>
          <xm:sqref>O3:O499</xm:sqref>
        </x14:conditionalFormatting>
        <x14:conditionalFormatting xmlns:xm="http://schemas.microsoft.com/office/excel/2006/main">
          <x14:cfRule type="cellIs" priority="13" operator="equal" id="{6CFA82A9-7D4A-488F-8F3D-FDC0A9DA68EE}">
            <xm:f>RPN!$C$2</xm:f>
            <x14:dxf>
              <fill>
                <patternFill>
                  <bgColor rgb="FF00B050"/>
                </patternFill>
              </fill>
            </x14:dxf>
          </x14:cfRule>
          <x14:cfRule type="cellIs" priority="14" operator="equal" id="{F57717BA-842A-4514-9D2E-FEFCFB8DB75D}">
            <xm:f>RPN!$C$3</xm:f>
            <x14:dxf>
              <fill>
                <patternFill>
                  <bgColor rgb="FFFFFF00"/>
                </patternFill>
              </fill>
            </x14:dxf>
          </x14:cfRule>
          <x14:cfRule type="cellIs" priority="15" operator="equal" id="{B05B5C72-FD18-4033-A740-6B723CDE742D}">
            <xm:f>RPN!$C$4</xm:f>
            <x14:dxf>
              <fill>
                <patternFill>
                  <bgColor rgb="FFFF0000"/>
                </patternFill>
              </fill>
            </x14:dxf>
          </x14:cfRule>
          <xm:sqref>Q3:Q499</xm:sqref>
        </x14:conditionalFormatting>
        <x14:conditionalFormatting xmlns:xm="http://schemas.microsoft.com/office/excel/2006/main">
          <x14:cfRule type="cellIs" priority="54" operator="equal" id="{ED708E44-98E3-47A1-B04D-34D9F2563BA0}">
            <xm:f>ActionStatus!$A$4</xm:f>
            <x14:dxf>
              <fill>
                <patternFill>
                  <bgColor rgb="FF00B050"/>
                </patternFill>
              </fill>
            </x14:dxf>
          </x14:cfRule>
          <x14:cfRule type="cellIs" priority="55" operator="equal" id="{C50601BB-8BDB-44A2-AD1F-894AFF8DEAA8}">
            <xm:f>ActionStatus!$A$3</xm:f>
            <x14:dxf>
              <fill>
                <patternFill>
                  <bgColor rgb="FFFFFF00"/>
                </patternFill>
              </fill>
            </x14:dxf>
          </x14:cfRule>
          <x14:cfRule type="cellIs" priority="56" stopIfTrue="1" operator="equal" id="{7300AE1A-FC81-475E-AD5D-E8206DB40C59}">
            <xm:f>ActionStatus!$A$2</xm:f>
            <x14:dxf>
              <fill>
                <patternFill>
                  <bgColor rgb="FFFF0000"/>
                </patternFill>
              </fill>
            </x14:dxf>
          </x14:cfRule>
          <xm:sqref>V3:V499</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C9231FD2-1519-4DF8-84AE-140E48F59012}">
          <x14:formula1>
            <xm:f>Impact!$A$4:$A$8</xm:f>
          </x14:formula1>
          <xm:sqref>O3:O1048576</xm:sqref>
        </x14:dataValidation>
        <x14:dataValidation type="list" allowBlank="1" showInputMessage="1" showErrorMessage="1" xr:uid="{A024DAB2-87ED-4705-BC32-3AF78372320C}">
          <x14:formula1>
            <xm:f>Likelihood!$A$3:$A$7</xm:f>
          </x14:formula1>
          <xm:sqref>N3:N1048576</xm:sqref>
        </x14:dataValidation>
        <x14:dataValidation type="list" allowBlank="1" showInputMessage="1" showErrorMessage="1" xr:uid="{8585091D-354E-4B99-88A1-8C096FE5E0A1}">
          <x14:formula1>
            <xm:f>DamageCategory!$A$2:$A$6</xm:f>
          </x14:formula1>
          <xm:sqref>K3:K1048576</xm:sqref>
        </x14:dataValidation>
        <x14:dataValidation type="list" allowBlank="1" showInputMessage="1" showErrorMessage="1" xr:uid="{ED65C31D-C597-4591-AA69-6B3B63E7DBB2}">
          <x14:formula1>
            <xm:f>ActionStatus!$A$2:$A$4</xm:f>
          </x14:formula1>
          <xm:sqref>V3:V1048576</xm:sqref>
        </x14:dataValidation>
        <x14:dataValidation type="list" allowBlank="1" showInputMessage="1" showErrorMessage="1" xr:uid="{D64B1280-8382-417D-8232-28DBAB0B815B}">
          <x14:formula1>
            <xm:f>Stakeholder!$A$2:$A$3</xm:f>
          </x14:formula1>
          <xm:sqref>L3:L1048576</xm:sqref>
        </x14:dataValidation>
        <x14:dataValidation type="list" allowBlank="1" showInputMessage="1" showErrorMessage="1" xr:uid="{28D9F934-986D-4C8E-BD8E-FFF2E58BD944}">
          <x14:formula1>
            <xm:f>Owner!$A$2:$A$100</xm:f>
          </x14:formula1>
          <xm:sqref>W3:W1048576</xm:sqref>
        </x14:dataValidation>
        <x14:dataValidation type="list" allowBlank="1" showInputMessage="1" showErrorMessage="1" xr:uid="{62E7AD3D-9E69-49B4-8C69-57A534057B2C}">
          <x14:formula1>
            <xm:f>AttackRiskStep!$A$3:$A$99</xm:f>
          </x14:formula1>
          <xm:sqref>E3:G1048576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C99E8-7685-4EE6-AB28-D8CC102042DE}">
  <sheetPr>
    <tabColor theme="0" tint="-0.249977111117893"/>
  </sheetPr>
  <dimension ref="A1:D44"/>
  <sheetViews>
    <sheetView workbookViewId="0">
      <selection activeCell="D5" sqref="D5"/>
    </sheetView>
  </sheetViews>
  <sheetFormatPr baseColWidth="10" defaultRowHeight="15" x14ac:dyDescent="0.25"/>
  <cols>
    <col min="1" max="1" width="5.28515625" style="36" bestFit="1" customWidth="1"/>
    <col min="2" max="2" width="114.28515625" style="36" bestFit="1" customWidth="1"/>
    <col min="3" max="3" width="121.42578125" style="36" bestFit="1" customWidth="1"/>
    <col min="4" max="4" width="68.42578125" style="36" bestFit="1" customWidth="1"/>
    <col min="5" max="16384" width="11.42578125" style="36"/>
  </cols>
  <sheetData>
    <row r="1" spans="1:4" s="33" customFormat="1" ht="15.75" thickBot="1" x14ac:dyDescent="0.3">
      <c r="A1" s="55" t="s">
        <v>97</v>
      </c>
      <c r="B1" s="56"/>
      <c r="C1" s="57"/>
    </row>
    <row r="2" spans="1:4" s="33" customFormat="1" ht="15.75" thickBot="1" x14ac:dyDescent="0.3">
      <c r="A2" s="34" t="s">
        <v>98</v>
      </c>
      <c r="B2" s="35" t="s">
        <v>99</v>
      </c>
      <c r="C2" s="35" t="s">
        <v>100</v>
      </c>
      <c r="D2" s="66" t="s">
        <v>222</v>
      </c>
    </row>
    <row r="3" spans="1:4" s="33" customFormat="1" x14ac:dyDescent="0.25">
      <c r="A3" s="33" t="s">
        <v>93</v>
      </c>
      <c r="B3" s="33" t="s">
        <v>101</v>
      </c>
      <c r="C3" s="33" t="str">
        <f>SUBSTITUTE(SUBSTITUTE(B3,"company",Info!$B$1),"product",Info!$B$2)</f>
        <v>Gain access to a trusted operational environment</v>
      </c>
    </row>
    <row r="4" spans="1:4" s="33" customFormat="1" x14ac:dyDescent="0.25">
      <c r="A4" s="33" t="s">
        <v>94</v>
      </c>
      <c r="B4" s="33" t="s">
        <v>102</v>
      </c>
      <c r="C4" s="33" t="str">
        <f>SUBSTITUTE(SUBSTITUTE(B4,"company",Info!$B$1),"product",Info!$B$2)</f>
        <v>Gain access to a local network</v>
      </c>
    </row>
    <row r="5" spans="1:4" s="33" customFormat="1" x14ac:dyDescent="0.25">
      <c r="A5" s="33" t="s">
        <v>95</v>
      </c>
      <c r="B5" s="33" t="s">
        <v>103</v>
      </c>
      <c r="C5" s="33" t="str">
        <f>SUBSTITUTE(SUBSTITUTE(B5,"company",Info!$B$1),"product",Info!$B$2)</f>
        <v>Compromising the EC-Master stack using a software vulnerability</v>
      </c>
      <c r="D5" s="33" t="s">
        <v>221</v>
      </c>
    </row>
    <row r="6" spans="1:4" s="33" customFormat="1" x14ac:dyDescent="0.25">
      <c r="A6" s="33" t="s">
        <v>104</v>
      </c>
      <c r="B6" s="33" t="s">
        <v>178</v>
      </c>
      <c r="C6" s="33" t="str">
        <f>SUBSTITUTE(SUBSTITUTE(B6,"company",Info!$B$1),"product",Info!$B$2)</f>
        <v>Interrupting the EC-Master stack with a Denial of Service (DoS) attack</v>
      </c>
    </row>
    <row r="7" spans="1:4" s="33" customFormat="1" x14ac:dyDescent="0.25">
      <c r="A7" s="33" t="s">
        <v>105</v>
      </c>
      <c r="B7" s="33" t="s">
        <v>106</v>
      </c>
      <c r="C7" s="33" t="str">
        <f>SUBSTITUTE(SUBSTITUTE(B7,"company",Info!$B$1),"product",Info!$B$2)</f>
        <v>Eavesdropping on the EC-Master stack's communication</v>
      </c>
    </row>
    <row r="8" spans="1:4" s="33" customFormat="1" x14ac:dyDescent="0.25">
      <c r="A8" s="33" t="s">
        <v>107</v>
      </c>
      <c r="B8" s="33" t="s">
        <v>108</v>
      </c>
      <c r="C8" s="33" t="str">
        <f>SUBSTITUTE(SUBSTITUTE(B8,"company",Info!$B$1),"product",Info!$B$2)</f>
        <v>Spoofing / tampering with the EC-Master stack's outgoing communication</v>
      </c>
    </row>
    <row r="9" spans="1:4" s="33" customFormat="1" x14ac:dyDescent="0.25">
      <c r="A9" s="33" t="s">
        <v>109</v>
      </c>
      <c r="B9" s="33" t="s">
        <v>110</v>
      </c>
      <c r="C9" s="33" t="str">
        <f>SUBSTITUTE(SUBSTITUTE(B9,"company",Info!$B$1),"product",Info!$B$2)</f>
        <v>Spoofing / tampering with the EC-Master stack's incoming communication</v>
      </c>
    </row>
    <row r="10" spans="1:4" s="33" customFormat="1" x14ac:dyDescent="0.25">
      <c r="A10" s="33" t="s">
        <v>111</v>
      </c>
      <c r="B10" s="33" t="s">
        <v>112</v>
      </c>
      <c r="C10" s="33" t="str">
        <f>SUBSTITUTE(SUBSTITUTE(B10,"company",Info!$B$1),"product",Info!$B$2)</f>
        <v>Disrupting the EC-Master stack's communication over the wireless network</v>
      </c>
    </row>
    <row r="11" spans="1:4" s="33" customFormat="1" x14ac:dyDescent="0.25">
      <c r="A11" s="33" t="s">
        <v>113</v>
      </c>
      <c r="B11" s="33" t="s">
        <v>114</v>
      </c>
      <c r="C11" s="33" t="str">
        <f>SUBSTITUTE(SUBSTITUTE(B11,"company",Info!$B$1),"product",Info!$B$2)</f>
        <v>Attacking the EC-Master stack's internal gateway from the Internet</v>
      </c>
    </row>
    <row r="12" spans="1:4" s="33" customFormat="1" x14ac:dyDescent="0.25">
      <c r="A12" s="33" t="s">
        <v>115</v>
      </c>
      <c r="B12" s="33" t="s">
        <v>116</v>
      </c>
      <c r="C12" s="33" t="str">
        <f>SUBSTITUTE(SUBSTITUTE(B12,"company",Info!$B$1),"product",Info!$B$2)</f>
        <v>Attacking devices in the customer's network</v>
      </c>
    </row>
    <row r="13" spans="1:4" s="33" customFormat="1" x14ac:dyDescent="0.25">
      <c r="A13" s="33" t="s">
        <v>117</v>
      </c>
      <c r="B13" s="33" t="s">
        <v>179</v>
      </c>
      <c r="C13" s="33" t="str">
        <f>SUBSTITUTE(SUBSTITUTE(B13,"company",Info!$B$1),"product",Info!$B$2)</f>
        <v>Denial of Service (DoS) on the customer's network</v>
      </c>
    </row>
    <row r="14" spans="1:4" s="33" customFormat="1" x14ac:dyDescent="0.25">
      <c r="A14" s="33" t="s">
        <v>118</v>
      </c>
      <c r="B14" s="33" t="s">
        <v>119</v>
      </c>
      <c r="C14" s="33" t="str">
        <f>SUBSTITUTE(SUBSTITUTE(B14,"company",Info!$B$1),"product",Info!$B$2)</f>
        <v>Compromising an untrusted device that communicates directly with the EC-Master stack</v>
      </c>
    </row>
    <row r="15" spans="1:4" s="33" customFormat="1" x14ac:dyDescent="0.25">
      <c r="A15" s="33" t="s">
        <v>120</v>
      </c>
      <c r="B15" s="33" t="s">
        <v>121</v>
      </c>
      <c r="C15" s="33" t="str">
        <f>SUBSTITUTE(SUBSTITUTE(B15,"company",Info!$B$1),"product",Info!$B$2)</f>
        <v>Attacking the EC-Master stack or its communication from an untrusted local network</v>
      </c>
    </row>
    <row r="16" spans="1:4" s="33" customFormat="1" x14ac:dyDescent="0.25">
      <c r="A16" s="33" t="s">
        <v>122</v>
      </c>
      <c r="B16" s="33" t="s">
        <v>123</v>
      </c>
      <c r="C16" s="33" t="str">
        <f>SUBSTITUTE(SUBSTITUTE(B16,"company",Info!$B$1),"product",Info!$B$2)</f>
        <v>Disrupting the EC-Master stack's communication over the local network</v>
      </c>
    </row>
    <row r="17" spans="1:3" s="33" customFormat="1" x14ac:dyDescent="0.25">
      <c r="A17" s="33" t="s">
        <v>124</v>
      </c>
      <c r="B17" s="33" t="s">
        <v>125</v>
      </c>
      <c r="C17" s="33" t="str">
        <f>SUBSTITUTE(SUBSTITUTE(B17,"company",Info!$B$1),"product",Info!$B$2)</f>
        <v>Attacking the EC-Master stack from the Internet or a mobile network</v>
      </c>
    </row>
    <row r="18" spans="1:3" s="33" customFormat="1" x14ac:dyDescent="0.25">
      <c r="A18" s="33" t="s">
        <v>126</v>
      </c>
      <c r="B18" s="33" t="s">
        <v>127</v>
      </c>
      <c r="C18" s="33" t="str">
        <f>SUBSTITUTE(SUBSTITUTE(B18,"company",Info!$B$1),"product",Info!$B$2)</f>
        <v>Manipulating the EC-Master stack's configuration via its configuration interface</v>
      </c>
    </row>
    <row r="19" spans="1:3" s="33" customFormat="1" x14ac:dyDescent="0.25">
      <c r="A19" s="33" t="s">
        <v>128</v>
      </c>
      <c r="B19" s="33" t="s">
        <v>129</v>
      </c>
      <c r="C19" s="33" t="str">
        <f>SUBSTITUTE(SUBSTITUTE(B19,"company",Info!$B$1),"product",Info!$B$2)</f>
        <v>Sending manipulated or malicious data to the EC-Master stack (from an untrusted source)</v>
      </c>
    </row>
    <row r="20" spans="1:3" s="33" customFormat="1" x14ac:dyDescent="0.25">
      <c r="A20" s="33" t="s">
        <v>130</v>
      </c>
      <c r="B20" s="33" t="s">
        <v>131</v>
      </c>
      <c r="C20" s="33" t="str">
        <f>SUBSTITUTE(SUBSTITUTE(B20,"company",Info!$B$1),"product",Info!$B$2)</f>
        <v>Abusing the software update functionality to manipulate the EC-Master stack</v>
      </c>
    </row>
    <row r="21" spans="1:3" s="33" customFormat="1" x14ac:dyDescent="0.25">
      <c r="A21" s="33" t="s">
        <v>132</v>
      </c>
      <c r="B21" s="33" t="s">
        <v>133</v>
      </c>
      <c r="C21" s="33" t="str">
        <f>SUBSTITUTE(SUBSTITUTE(B21,"company",Info!$B$1),"product",Info!$B$2)</f>
        <v>Spoofing an entity sending a software update or manipulation of the update during transmission</v>
      </c>
    </row>
    <row r="22" spans="1:3" s="33" customFormat="1" x14ac:dyDescent="0.25">
      <c r="A22" s="33" t="s">
        <v>134</v>
      </c>
      <c r="B22" s="33" t="s">
        <v>135</v>
      </c>
      <c r="C22" s="33" t="str">
        <f>SUBSTITUTE(SUBSTITUTE(B22,"company",Info!$B$1),"product",Info!$B$2)</f>
        <v>Providing a malicious software update from an untrusted source</v>
      </c>
    </row>
    <row r="23" spans="1:3" s="33" customFormat="1" x14ac:dyDescent="0.25">
      <c r="A23" s="33" t="s">
        <v>136</v>
      </c>
      <c r="B23" s="33" t="s">
        <v>137</v>
      </c>
      <c r="C23" s="33" t="str">
        <f>SUBSTITUTE(SUBSTITUTE(B23,"company",Info!$B$1),"product",Info!$B$2)</f>
        <v>Gaining physical access to the EC-Master stack (3rd party)</v>
      </c>
    </row>
    <row r="24" spans="1:3" s="33" customFormat="1" x14ac:dyDescent="0.25">
      <c r="A24" s="33" t="s">
        <v>138</v>
      </c>
      <c r="B24" s="33" t="s">
        <v>139</v>
      </c>
      <c r="C24" s="33" t="str">
        <f>SUBSTITUTE(SUBSTITUTE(B24,"company",Info!$B$1),"product",Info!$B$2)</f>
        <v>Gaining physical access to the EC-Master stack (customer)</v>
      </c>
    </row>
    <row r="25" spans="1:3" s="33" customFormat="1" x14ac:dyDescent="0.25">
      <c r="A25" s="33" t="s">
        <v>140</v>
      </c>
      <c r="B25" s="33" t="s">
        <v>141</v>
      </c>
      <c r="C25" s="33" t="str">
        <f>SUBSTITUTE(SUBSTITUTE(B25,"company",Info!$B$1),"product",Info!$B$2)</f>
        <v>Compromising the EC-Master stack with direct access to its persistent memory</v>
      </c>
    </row>
    <row r="26" spans="1:3" s="33" customFormat="1" x14ac:dyDescent="0.25">
      <c r="A26" s="33" t="s">
        <v>142</v>
      </c>
      <c r="B26" s="33" t="s">
        <v>143</v>
      </c>
      <c r="C26" s="33" t="str">
        <f>SUBSTITUTE(SUBSTITUTE(B26,"company",Info!$B$1),"product",Info!$B$2)</f>
        <v>Data extraction from the EC-Master stack's persistent memory</v>
      </c>
    </row>
    <row r="27" spans="1:3" s="33" customFormat="1" x14ac:dyDescent="0.25">
      <c r="A27" s="33" t="s">
        <v>144</v>
      </c>
      <c r="B27" s="33" t="s">
        <v>145</v>
      </c>
      <c r="C27" s="33" t="str">
        <f>SUBSTITUTE(SUBSTITUTE(B27,"company",Info!$B$1),"product",Info!$B$2)</f>
        <v>Accessing the EC-Master stack's debug interfaces remotely</v>
      </c>
    </row>
    <row r="28" spans="1:3" s="33" customFormat="1" x14ac:dyDescent="0.25">
      <c r="A28" s="33" t="s">
        <v>146</v>
      </c>
      <c r="B28" s="33" t="s">
        <v>147</v>
      </c>
      <c r="C28" s="33" t="str">
        <f>SUBSTITUTE(SUBSTITUTE(B28,"company",Info!$B$1),"product",Info!$B$2)</f>
        <v>Accessing the EC-Master stack's physical debug interfaces</v>
      </c>
    </row>
    <row r="29" spans="1:3" s="33" customFormat="1" x14ac:dyDescent="0.25">
      <c r="A29" s="33" t="s">
        <v>148</v>
      </c>
      <c r="B29" s="33" t="s">
        <v>149</v>
      </c>
      <c r="C29" s="33" t="str">
        <f>SUBSTITUTE(SUBSTITUTE(B29,"company",Info!$B$1),"product",Info!$B$2)</f>
        <v>Getting physical access to the EC-Master stack's linked communication media (e.g., field buses)</v>
      </c>
    </row>
    <row r="30" spans="1:3" s="33" customFormat="1" x14ac:dyDescent="0.25">
      <c r="A30" s="33" t="s">
        <v>150</v>
      </c>
      <c r="B30" s="33" t="s">
        <v>151</v>
      </c>
      <c r="C30" s="33" t="str">
        <f>SUBSTITUTE(SUBSTITUTE(B30,"company",Info!$B$1),"product",Info!$B$2)</f>
        <v>Getting access to a trusted entity</v>
      </c>
    </row>
    <row r="31" spans="1:3" s="33" customFormat="1" x14ac:dyDescent="0.25">
      <c r="A31" s="33" t="s">
        <v>152</v>
      </c>
      <c r="B31" s="33" t="s">
        <v>153</v>
      </c>
      <c r="C31" s="33" t="str">
        <f>SUBSTITUTE(SUBSTITUTE(B31,"company",Info!$B$1),"product",Info!$B$2)</f>
        <v>Brute-forcing the authentication mechanism over IP</v>
      </c>
    </row>
    <row r="32" spans="1:3" s="33" customFormat="1" x14ac:dyDescent="0.25">
      <c r="A32" s="33" t="s">
        <v>154</v>
      </c>
      <c r="B32" s="33" t="s">
        <v>155</v>
      </c>
      <c r="C32" s="33" t="str">
        <f>SUBSTITUTE(SUBSTITUTE(B32,"company",Info!$B$1),"product",Info!$B$2)</f>
        <v>Extracting information from a decommissioned or second-hand device's persistent memory</v>
      </c>
    </row>
    <row r="33" spans="1:3" s="33" customFormat="1" x14ac:dyDescent="0.25">
      <c r="A33" s="33" t="s">
        <v>156</v>
      </c>
      <c r="B33" s="33" t="s">
        <v>157</v>
      </c>
      <c r="C33" s="33" t="str">
        <f>SUBSTITUTE(SUBSTITUTE(B33,"company",Info!$B$1),"product",Info!$B$2)</f>
        <v>Attacking a customer network from another customer network via the EC-Master stack's internal gateway</v>
      </c>
    </row>
    <row r="34" spans="1:3" s="33" customFormat="1" x14ac:dyDescent="0.25">
      <c r="A34" s="33" t="s">
        <v>158</v>
      </c>
      <c r="B34" s="33" t="s">
        <v>182</v>
      </c>
      <c r="C34" s="33" t="str">
        <f>SUBSTITUTE(SUBSTITUTE(B34,"company",Info!$B$1),"product",Info!$B$2)</f>
        <v>Extracting or misusing the acontis technology GmbH IP</v>
      </c>
    </row>
    <row r="35" spans="1:3" s="33" customFormat="1" x14ac:dyDescent="0.25">
      <c r="A35" s="33" t="s">
        <v>159</v>
      </c>
      <c r="B35" s="33" t="s">
        <v>160</v>
      </c>
      <c r="C35" s="33" t="str">
        <f>SUBSTITUTE(SUBSTITUTE(B35,"company",Info!$B$1),"product",Info!$B$2)</f>
        <v>Disclosure of data by an untrusted entity receiving data from the EC-Master stack</v>
      </c>
    </row>
    <row r="36" spans="1:3" s="33" customFormat="1" x14ac:dyDescent="0.25">
      <c r="A36" s="33" t="s">
        <v>161</v>
      </c>
      <c r="B36" s="33" t="s">
        <v>162</v>
      </c>
      <c r="C36" s="33" t="str">
        <f>SUBSTITUTE(SUBSTITUTE(B36,"company",Info!$B$1),"product",Info!$B$2)</f>
        <v>Attacking the EC-Master stack's outgoing communication to an external communication partner over the Internet or a mobile network</v>
      </c>
    </row>
    <row r="37" spans="1:3" s="33" customFormat="1" x14ac:dyDescent="0.25">
      <c r="A37" s="33" t="s">
        <v>163</v>
      </c>
      <c r="B37" s="33" t="s">
        <v>164</v>
      </c>
      <c r="C37" s="33" t="str">
        <f>SUBSTITUTE(SUBSTITUTE(B37,"company",Info!$B$1),"product",Info!$B$2)</f>
        <v>Disrupting the EC-Master stack's communication with an external entity (with communication over the Internet or a mobile network)</v>
      </c>
    </row>
    <row r="38" spans="1:3" s="33" customFormat="1" x14ac:dyDescent="0.25">
      <c r="A38" s="33" t="s">
        <v>165</v>
      </c>
      <c r="B38" s="33" t="s">
        <v>166</v>
      </c>
      <c r="C38" s="33" t="str">
        <f>SUBSTITUTE(SUBSTITUTE(B38,"company",Info!$B$1),"product",Info!$B$2)</f>
        <v>Attacking the EC-Master stack's incoming communication from the Internet or a mobile network</v>
      </c>
    </row>
    <row r="39" spans="1:3" s="33" customFormat="1" x14ac:dyDescent="0.25">
      <c r="A39" s="33" t="s">
        <v>167</v>
      </c>
      <c r="B39" s="33" t="s">
        <v>168</v>
      </c>
      <c r="C39" s="33" t="str">
        <f>SUBSTITUTE(SUBSTITUTE(B39,"company",Info!$B$1),"product",Info!$B$2)</f>
        <v>The EC-Master stack is manipulated during EC-Master stackion and consequently behaves maliciously</v>
      </c>
    </row>
    <row r="40" spans="1:3" s="33" customFormat="1" x14ac:dyDescent="0.25">
      <c r="A40" s="33" t="s">
        <v>169</v>
      </c>
      <c r="B40" s="33" t="s">
        <v>170</v>
      </c>
      <c r="C40" s="33" t="str">
        <f>SUBSTITUTE(SUBSTITUTE(B40,"company",Info!$B$1),"product",Info!$B$2)</f>
        <v>Manipulated parts from the supply chain are integrated into the EC-Master stack, leading to the EC-Master stack behaving maliciously</v>
      </c>
    </row>
    <row r="41" spans="1:3" s="33" customFormat="1" x14ac:dyDescent="0.25">
      <c r="A41" s="33" t="s">
        <v>171</v>
      </c>
      <c r="B41" s="33" t="s">
        <v>172</v>
      </c>
      <c r="C41" s="33" t="str">
        <f>SUBSTITUTE(SUBSTITUTE(B41,"company",Info!$B$1),"product",Info!$B$2)</f>
        <v>Data extraction from the EC-Master stack's volatile memory</v>
      </c>
    </row>
    <row r="42" spans="1:3" s="33" customFormat="1" x14ac:dyDescent="0.25">
      <c r="A42" s="33" t="s">
        <v>173</v>
      </c>
      <c r="B42" s="33" t="s">
        <v>174</v>
      </c>
      <c r="C42" s="33" t="str">
        <f>SUBSTITUTE(SUBSTITUTE(B42,"company",Info!$B$1),"product",Info!$B$2)</f>
        <v>Abusing the lack of a software update functionality to exploit an unpatched vulnerability</v>
      </c>
    </row>
    <row r="43" spans="1:3" s="33" customFormat="1" x14ac:dyDescent="0.25">
      <c r="A43" s="33" t="s">
        <v>175</v>
      </c>
      <c r="B43" s="33" t="s">
        <v>176</v>
      </c>
      <c r="C43" s="33" t="str">
        <f>SUBSTITUTE(SUBSTITUTE(B43,"company",Info!$B$1),"product",Info!$B$2)</f>
        <v>Extracting information from a decommissioned or second-hand device's RAM</v>
      </c>
    </row>
    <row r="44" spans="1:3" x14ac:dyDescent="0.25">
      <c r="A44" s="36" t="s">
        <v>218</v>
      </c>
      <c r="B44" s="36" t="s">
        <v>217</v>
      </c>
      <c r="C44" s="36" t="str">
        <f>SUBSTITUTE(SUBSTITUTE(B44,"company",Info!$B$1),"product",Info!$B$2)</f>
        <v>Circumvention of licence provisions or bypassing of licensing procedures</v>
      </c>
    </row>
  </sheetData>
  <mergeCells count="1">
    <mergeCell ref="A1:C1"/>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B7C24-BB2B-4606-9F4F-C5F52090FA8F}">
  <sheetPr>
    <tabColor theme="0" tint="-0.249977111117893"/>
  </sheetPr>
  <dimension ref="A1:A6"/>
  <sheetViews>
    <sheetView workbookViewId="0"/>
  </sheetViews>
  <sheetFormatPr baseColWidth="10" defaultRowHeight="15" x14ac:dyDescent="0.25"/>
  <cols>
    <col min="1" max="1" width="26" bestFit="1" customWidth="1"/>
  </cols>
  <sheetData>
    <row r="1" spans="1:1" ht="15.75" thickBot="1" x14ac:dyDescent="0.3">
      <c r="A1" s="26" t="s">
        <v>26</v>
      </c>
    </row>
    <row r="2" spans="1:1" x14ac:dyDescent="0.25">
      <c r="A2" s="18" t="s">
        <v>22</v>
      </c>
    </row>
    <row r="3" spans="1:1" x14ac:dyDescent="0.25">
      <c r="A3" s="18" t="s">
        <v>23</v>
      </c>
    </row>
    <row r="4" spans="1:1" x14ac:dyDescent="0.25">
      <c r="A4" s="18" t="s">
        <v>24</v>
      </c>
    </row>
    <row r="5" spans="1:1" x14ac:dyDescent="0.25">
      <c r="A5" s="18" t="s">
        <v>62</v>
      </c>
    </row>
    <row r="6" spans="1:1" x14ac:dyDescent="0.25">
      <c r="A6" s="18" t="s">
        <v>25</v>
      </c>
    </row>
  </sheetData>
  <sheetProtection sheet="1" objects="1" scenarios="1"/>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6EE2E-E9F4-4B3E-AE87-EEEE61B13238}">
  <sheetPr>
    <tabColor theme="0" tint="-0.249977111117893"/>
  </sheetPr>
  <dimension ref="A1:A3"/>
  <sheetViews>
    <sheetView workbookViewId="0"/>
  </sheetViews>
  <sheetFormatPr baseColWidth="10" defaultRowHeight="15" x14ac:dyDescent="0.25"/>
  <sheetData>
    <row r="1" spans="1:1" ht="15.75" thickBot="1" x14ac:dyDescent="0.3">
      <c r="A1" s="26" t="s">
        <v>21</v>
      </c>
    </row>
    <row r="2" spans="1:1" x14ac:dyDescent="0.25">
      <c r="A2" s="18" t="s">
        <v>16</v>
      </c>
    </row>
    <row r="3" spans="1:1" x14ac:dyDescent="0.25">
      <c r="A3" s="18" t="s">
        <v>15</v>
      </c>
    </row>
  </sheetData>
  <sheetProtection sheet="1" objects="1" scenarios="1"/>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5D19C-03B3-4646-9AA6-45EE5609861F}">
  <sheetPr>
    <tabColor theme="0" tint="-0.249977111117893"/>
  </sheetPr>
  <dimension ref="A1:C7"/>
  <sheetViews>
    <sheetView workbookViewId="0">
      <selection sqref="A1:C1"/>
    </sheetView>
  </sheetViews>
  <sheetFormatPr baseColWidth="10" defaultRowHeight="15" x14ac:dyDescent="0.25"/>
  <cols>
    <col min="1" max="1" width="10.28515625" bestFit="1" customWidth="1"/>
    <col min="2" max="2" width="5.7109375" bestFit="1" customWidth="1"/>
    <col min="3" max="3" width="70.7109375" bestFit="1" customWidth="1"/>
  </cols>
  <sheetData>
    <row r="1" spans="1:3" x14ac:dyDescent="0.25">
      <c r="A1" s="58" t="s">
        <v>35</v>
      </c>
      <c r="B1" s="59"/>
      <c r="C1" s="60"/>
    </row>
    <row r="2" spans="1:3" ht="15.75" thickBot="1" x14ac:dyDescent="0.3">
      <c r="A2" s="25" t="s">
        <v>32</v>
      </c>
      <c r="B2" s="23" t="s">
        <v>33</v>
      </c>
      <c r="C2" s="24" t="s">
        <v>1</v>
      </c>
    </row>
    <row r="3" spans="1:3" x14ac:dyDescent="0.25">
      <c r="A3" s="20" t="s">
        <v>36</v>
      </c>
      <c r="B3" s="19">
        <v>1</v>
      </c>
      <c r="C3" s="20" t="s">
        <v>66</v>
      </c>
    </row>
    <row r="4" spans="1:3" x14ac:dyDescent="0.25">
      <c r="A4" s="20" t="s">
        <v>45</v>
      </c>
      <c r="B4" s="19">
        <v>2</v>
      </c>
      <c r="C4" s="19" t="s">
        <v>67</v>
      </c>
    </row>
    <row r="5" spans="1:3" x14ac:dyDescent="0.25">
      <c r="A5" s="20" t="s">
        <v>46</v>
      </c>
      <c r="B5" s="19">
        <v>3</v>
      </c>
      <c r="C5" s="20" t="s">
        <v>63</v>
      </c>
    </row>
    <row r="6" spans="1:3" x14ac:dyDescent="0.25">
      <c r="A6" s="20" t="s">
        <v>47</v>
      </c>
      <c r="B6" s="19">
        <v>4</v>
      </c>
      <c r="C6" s="20" t="s">
        <v>64</v>
      </c>
    </row>
    <row r="7" spans="1:3" x14ac:dyDescent="0.25">
      <c r="A7" s="20" t="s">
        <v>48</v>
      </c>
      <c r="B7" s="19">
        <v>5</v>
      </c>
      <c r="C7" s="20" t="s">
        <v>65</v>
      </c>
    </row>
  </sheetData>
  <sheetProtection sheet="1" objects="1" scenarios="1"/>
  <mergeCells count="1">
    <mergeCell ref="A1:C1"/>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76AAB-BF6F-455B-8B12-01A88B149FD5}">
  <sheetPr>
    <tabColor theme="0" tint="-0.249977111117893"/>
  </sheetPr>
  <dimension ref="A1:G8"/>
  <sheetViews>
    <sheetView workbookViewId="0">
      <selection sqref="A1:G1"/>
    </sheetView>
  </sheetViews>
  <sheetFormatPr baseColWidth="10" defaultRowHeight="15" x14ac:dyDescent="0.25"/>
  <cols>
    <col min="1" max="1" width="12" bestFit="1" customWidth="1"/>
    <col min="2" max="2" width="5.7109375" bestFit="1" customWidth="1"/>
    <col min="3" max="3" width="48" bestFit="1" customWidth="1"/>
    <col min="4" max="4" width="53.7109375" bestFit="1" customWidth="1"/>
    <col min="5" max="5" width="47.28515625" bestFit="1" customWidth="1"/>
    <col min="6" max="6" width="50.42578125" bestFit="1" customWidth="1"/>
    <col min="7" max="7" width="51.42578125" bestFit="1" customWidth="1"/>
  </cols>
  <sheetData>
    <row r="1" spans="1:7" x14ac:dyDescent="0.25">
      <c r="A1" s="58" t="s">
        <v>34</v>
      </c>
      <c r="B1" s="59"/>
      <c r="C1" s="59"/>
      <c r="D1" s="59"/>
      <c r="E1" s="59"/>
      <c r="F1" s="59"/>
      <c r="G1" s="60"/>
    </row>
    <row r="2" spans="1:7" x14ac:dyDescent="0.25">
      <c r="A2" s="63" t="s">
        <v>32</v>
      </c>
      <c r="B2" s="61" t="s">
        <v>33</v>
      </c>
      <c r="C2" s="61" t="s">
        <v>1</v>
      </c>
      <c r="D2" s="61"/>
      <c r="E2" s="61"/>
      <c r="F2" s="61"/>
      <c r="G2" s="62"/>
    </row>
    <row r="3" spans="1:7" ht="15.75" thickBot="1" x14ac:dyDescent="0.3">
      <c r="A3" s="64"/>
      <c r="B3" s="65"/>
      <c r="C3" s="23" t="str">
        <f>DamageCategory!$A$2</f>
        <v>Personal Data</v>
      </c>
      <c r="D3" s="23" t="str">
        <f>DamageCategory!$A$3</f>
        <v>Loss of Intellectual Property</v>
      </c>
      <c r="E3" s="23" t="str">
        <f>DamageCategory!$A$4</f>
        <v>Financial and Legal</v>
      </c>
      <c r="F3" s="23" t="str">
        <f>DamageCategory!$A$5</f>
        <v>Safety and Security</v>
      </c>
      <c r="G3" s="24" t="str">
        <f>DamageCategory!$A$6</f>
        <v>Function and Availability</v>
      </c>
    </row>
    <row r="4" spans="1:7" x14ac:dyDescent="0.25">
      <c r="A4" s="20" t="s">
        <v>36</v>
      </c>
      <c r="B4" s="19">
        <v>1</v>
      </c>
      <c r="C4" s="20" t="s">
        <v>68</v>
      </c>
      <c r="D4" s="20" t="s">
        <v>69</v>
      </c>
      <c r="E4" s="20" t="s">
        <v>70</v>
      </c>
      <c r="F4" s="20" t="s">
        <v>71</v>
      </c>
      <c r="G4" s="20" t="s">
        <v>72</v>
      </c>
    </row>
    <row r="5" spans="1:7" x14ac:dyDescent="0.25">
      <c r="A5" s="20" t="s">
        <v>44</v>
      </c>
      <c r="B5" s="19">
        <v>2</v>
      </c>
      <c r="C5" s="20" t="s">
        <v>73</v>
      </c>
      <c r="D5" s="20" t="s">
        <v>74</v>
      </c>
      <c r="E5" s="20" t="s">
        <v>75</v>
      </c>
      <c r="F5" s="20" t="s">
        <v>76</v>
      </c>
      <c r="G5" s="20" t="s">
        <v>77</v>
      </c>
    </row>
    <row r="6" spans="1:7" x14ac:dyDescent="0.25">
      <c r="A6" s="20" t="s">
        <v>20</v>
      </c>
      <c r="B6" s="19">
        <v>3</v>
      </c>
      <c r="C6" s="20" t="s">
        <v>78</v>
      </c>
      <c r="D6" s="20" t="s">
        <v>79</v>
      </c>
      <c r="E6" s="20" t="s">
        <v>80</v>
      </c>
      <c r="F6" s="20" t="s">
        <v>81</v>
      </c>
      <c r="G6" s="20" t="s">
        <v>82</v>
      </c>
    </row>
    <row r="7" spans="1:7" x14ac:dyDescent="0.25">
      <c r="A7" s="20" t="s">
        <v>43</v>
      </c>
      <c r="B7" s="19">
        <v>4</v>
      </c>
      <c r="C7" s="20" t="s">
        <v>83</v>
      </c>
      <c r="D7" s="20" t="s">
        <v>84</v>
      </c>
      <c r="E7" s="20" t="s">
        <v>85</v>
      </c>
      <c r="F7" s="20" t="s">
        <v>86</v>
      </c>
      <c r="G7" s="20" t="s">
        <v>87</v>
      </c>
    </row>
    <row r="8" spans="1:7" x14ac:dyDescent="0.25">
      <c r="A8" s="20" t="s">
        <v>42</v>
      </c>
      <c r="B8" s="19">
        <v>5</v>
      </c>
      <c r="C8" s="20" t="s">
        <v>88</v>
      </c>
      <c r="D8" s="20" t="s">
        <v>89</v>
      </c>
      <c r="E8" s="20" t="s">
        <v>90</v>
      </c>
      <c r="F8" s="20" t="s">
        <v>91</v>
      </c>
      <c r="G8" s="20" t="s">
        <v>92</v>
      </c>
    </row>
  </sheetData>
  <sheetProtection sheet="1" objects="1" scenarios="1"/>
  <mergeCells count="4">
    <mergeCell ref="C2:G2"/>
    <mergeCell ref="A2:A3"/>
    <mergeCell ref="B2:B3"/>
    <mergeCell ref="A1:G1"/>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8897-94AE-418E-8085-E8AE8567699F}">
  <sheetPr codeName="Tabelle4">
    <tabColor theme="0" tint="-0.249977111117893"/>
  </sheetPr>
  <dimension ref="A1:AF43"/>
  <sheetViews>
    <sheetView workbookViewId="0"/>
  </sheetViews>
  <sheetFormatPr baseColWidth="10" defaultRowHeight="15" x14ac:dyDescent="0.25"/>
  <cols>
    <col min="1" max="1" width="5.140625" style="18" bestFit="1" customWidth="1"/>
    <col min="2" max="2" width="4.28515625" style="18" bestFit="1" customWidth="1"/>
    <col min="3" max="3" width="11.42578125" style="18"/>
    <col min="4" max="11" width="3.7109375" style="18" customWidth="1"/>
    <col min="12" max="12" width="5.7109375" style="18" customWidth="1"/>
    <col min="13" max="13" width="11.42578125" style="18"/>
    <col min="14" max="14" width="5.7109375" style="18" customWidth="1"/>
    <col min="15" max="15" width="26" style="18" bestFit="1" customWidth="1"/>
    <col min="16" max="16" width="5.7109375" style="18" customWidth="1"/>
    <col min="17" max="21" width="40.7109375" style="18" customWidth="1"/>
    <col min="22" max="16384" width="11.42578125" style="18"/>
  </cols>
  <sheetData>
    <row r="1" spans="1:10" ht="15.75" thickBot="1" x14ac:dyDescent="0.3">
      <c r="A1" s="29" t="s">
        <v>8</v>
      </c>
      <c r="B1" s="30" t="s">
        <v>9</v>
      </c>
      <c r="C1" s="31" t="s">
        <v>39</v>
      </c>
    </row>
    <row r="2" spans="1:10" x14ac:dyDescent="0.25">
      <c r="A2" s="18">
        <v>1</v>
      </c>
      <c r="B2" s="18">
        <v>6</v>
      </c>
      <c r="C2" s="18" t="s">
        <v>10</v>
      </c>
    </row>
    <row r="3" spans="1:10" x14ac:dyDescent="0.25">
      <c r="A3" s="18">
        <f>B2+1</f>
        <v>7</v>
      </c>
      <c r="B3" s="18">
        <v>12</v>
      </c>
      <c r="C3" s="18" t="s">
        <v>11</v>
      </c>
    </row>
    <row r="4" spans="1:10" x14ac:dyDescent="0.25">
      <c r="A4" s="18">
        <f>B3+1</f>
        <v>13</v>
      </c>
      <c r="B4" s="18">
        <v>25</v>
      </c>
      <c r="C4" s="18" t="s">
        <v>12</v>
      </c>
    </row>
    <row r="6" spans="1:10" x14ac:dyDescent="0.25">
      <c r="B6" s="1">
        <v>0</v>
      </c>
      <c r="C6" s="18" t="str">
        <f t="shared" ref="C6:C31" si="0">IF(B6&lt;$B$2,$C$2,IF(B6&lt;=$B$3,$C$3,$C$4))</f>
        <v>Low</v>
      </c>
      <c r="E6" s="1">
        <v>5</v>
      </c>
      <c r="F6" s="2">
        <f t="shared" ref="F6:J10" si="1">$E6*F$11</f>
        <v>5</v>
      </c>
      <c r="G6" s="2">
        <f t="shared" si="1"/>
        <v>10</v>
      </c>
      <c r="H6" s="2">
        <f t="shared" si="1"/>
        <v>15</v>
      </c>
      <c r="I6" s="2">
        <f t="shared" si="1"/>
        <v>20</v>
      </c>
      <c r="J6" s="2">
        <f t="shared" si="1"/>
        <v>25</v>
      </c>
    </row>
    <row r="7" spans="1:10" x14ac:dyDescent="0.25">
      <c r="B7" s="1">
        <v>1</v>
      </c>
      <c r="C7" s="18" t="str">
        <f t="shared" si="0"/>
        <v>Low</v>
      </c>
      <c r="E7" s="1">
        <v>4</v>
      </c>
      <c r="F7" s="2">
        <f t="shared" si="1"/>
        <v>4</v>
      </c>
      <c r="G7" s="2">
        <f t="shared" si="1"/>
        <v>8</v>
      </c>
      <c r="H7" s="2">
        <f t="shared" si="1"/>
        <v>12</v>
      </c>
      <c r="I7" s="2">
        <f t="shared" si="1"/>
        <v>16</v>
      </c>
      <c r="J7" s="2">
        <f t="shared" si="1"/>
        <v>20</v>
      </c>
    </row>
    <row r="8" spans="1:10" x14ac:dyDescent="0.25">
      <c r="B8" s="1">
        <v>2</v>
      </c>
      <c r="C8" s="18" t="str">
        <f t="shared" si="0"/>
        <v>Low</v>
      </c>
      <c r="E8" s="1">
        <v>3</v>
      </c>
      <c r="F8" s="2">
        <f t="shared" si="1"/>
        <v>3</v>
      </c>
      <c r="G8" s="2">
        <f t="shared" si="1"/>
        <v>6</v>
      </c>
      <c r="H8" s="2">
        <f t="shared" si="1"/>
        <v>9</v>
      </c>
      <c r="I8" s="2">
        <f t="shared" si="1"/>
        <v>12</v>
      </c>
      <c r="J8" s="2">
        <f t="shared" si="1"/>
        <v>15</v>
      </c>
    </row>
    <row r="9" spans="1:10" x14ac:dyDescent="0.25">
      <c r="B9" s="1">
        <v>3</v>
      </c>
      <c r="C9" s="18" t="str">
        <f t="shared" si="0"/>
        <v>Low</v>
      </c>
      <c r="E9" s="1">
        <v>2</v>
      </c>
      <c r="F9" s="2">
        <f t="shared" si="1"/>
        <v>2</v>
      </c>
      <c r="G9" s="2">
        <f t="shared" si="1"/>
        <v>4</v>
      </c>
      <c r="H9" s="2">
        <f t="shared" si="1"/>
        <v>6</v>
      </c>
      <c r="I9" s="2">
        <f t="shared" si="1"/>
        <v>8</v>
      </c>
      <c r="J9" s="2">
        <f t="shared" si="1"/>
        <v>10</v>
      </c>
    </row>
    <row r="10" spans="1:10" x14ac:dyDescent="0.25">
      <c r="B10" s="1">
        <v>4</v>
      </c>
      <c r="C10" s="18" t="str">
        <f t="shared" si="0"/>
        <v>Low</v>
      </c>
      <c r="E10" s="1">
        <v>1</v>
      </c>
      <c r="F10" s="2">
        <f t="shared" si="1"/>
        <v>1</v>
      </c>
      <c r="G10" s="2">
        <f t="shared" si="1"/>
        <v>2</v>
      </c>
      <c r="H10" s="2">
        <f t="shared" si="1"/>
        <v>3</v>
      </c>
      <c r="I10" s="2">
        <f t="shared" si="1"/>
        <v>4</v>
      </c>
      <c r="J10" s="2">
        <f t="shared" si="1"/>
        <v>5</v>
      </c>
    </row>
    <row r="11" spans="1:10" x14ac:dyDescent="0.25">
      <c r="B11" s="1">
        <v>5</v>
      </c>
      <c r="C11" s="18" t="str">
        <f t="shared" si="0"/>
        <v>Low</v>
      </c>
      <c r="E11" s="1" t="s">
        <v>7</v>
      </c>
      <c r="F11" s="1">
        <v>1</v>
      </c>
      <c r="G11" s="1">
        <v>2</v>
      </c>
      <c r="H11" s="1">
        <v>3</v>
      </c>
      <c r="I11" s="1">
        <v>4</v>
      </c>
      <c r="J11" s="1">
        <v>5</v>
      </c>
    </row>
    <row r="12" spans="1:10" x14ac:dyDescent="0.25">
      <c r="B12" s="1">
        <v>6</v>
      </c>
      <c r="C12" s="18" t="str">
        <f t="shared" si="0"/>
        <v>Medium</v>
      </c>
      <c r="E12" s="1"/>
      <c r="F12" s="1"/>
      <c r="G12" s="1"/>
      <c r="H12" s="1"/>
      <c r="I12" s="1"/>
      <c r="J12" s="1"/>
    </row>
    <row r="13" spans="1:10" x14ac:dyDescent="0.25">
      <c r="B13" s="1">
        <v>7</v>
      </c>
      <c r="C13" s="18" t="str">
        <f t="shared" si="0"/>
        <v>Medium</v>
      </c>
      <c r="E13" s="1"/>
      <c r="F13" s="1"/>
      <c r="G13" s="1"/>
      <c r="H13" s="1"/>
      <c r="I13" s="1"/>
      <c r="J13" s="1"/>
    </row>
    <row r="14" spans="1:10" x14ac:dyDescent="0.25">
      <c r="B14" s="1">
        <v>8</v>
      </c>
      <c r="C14" s="18" t="str">
        <f t="shared" si="0"/>
        <v>Medium</v>
      </c>
    </row>
    <row r="15" spans="1:10" x14ac:dyDescent="0.25">
      <c r="B15" s="1">
        <v>9</v>
      </c>
      <c r="C15" s="18" t="str">
        <f t="shared" si="0"/>
        <v>Medium</v>
      </c>
    </row>
    <row r="16" spans="1:10" x14ac:dyDescent="0.25">
      <c r="B16" s="1">
        <v>10</v>
      </c>
      <c r="C16" s="18" t="str">
        <f t="shared" si="0"/>
        <v>Medium</v>
      </c>
    </row>
    <row r="17" spans="2:3" x14ac:dyDescent="0.25">
      <c r="B17" s="1">
        <v>11</v>
      </c>
      <c r="C17" s="18" t="str">
        <f t="shared" si="0"/>
        <v>Medium</v>
      </c>
    </row>
    <row r="18" spans="2:3" x14ac:dyDescent="0.25">
      <c r="B18" s="1">
        <v>12</v>
      </c>
      <c r="C18" s="18" t="str">
        <f t="shared" si="0"/>
        <v>Medium</v>
      </c>
    </row>
    <row r="19" spans="2:3" x14ac:dyDescent="0.25">
      <c r="B19" s="1">
        <v>13</v>
      </c>
      <c r="C19" s="18" t="str">
        <f t="shared" si="0"/>
        <v>High</v>
      </c>
    </row>
    <row r="20" spans="2:3" x14ac:dyDescent="0.25">
      <c r="B20" s="1">
        <v>14</v>
      </c>
      <c r="C20" s="18" t="str">
        <f t="shared" si="0"/>
        <v>High</v>
      </c>
    </row>
    <row r="21" spans="2:3" x14ac:dyDescent="0.25">
      <c r="B21" s="1">
        <v>15</v>
      </c>
      <c r="C21" s="18" t="str">
        <f t="shared" si="0"/>
        <v>High</v>
      </c>
    </row>
    <row r="22" spans="2:3" x14ac:dyDescent="0.25">
      <c r="B22" s="1">
        <v>16</v>
      </c>
      <c r="C22" s="18" t="str">
        <f t="shared" si="0"/>
        <v>High</v>
      </c>
    </row>
    <row r="23" spans="2:3" x14ac:dyDescent="0.25">
      <c r="B23" s="1">
        <v>17</v>
      </c>
      <c r="C23" s="18" t="str">
        <f t="shared" si="0"/>
        <v>High</v>
      </c>
    </row>
    <row r="24" spans="2:3" x14ac:dyDescent="0.25">
      <c r="B24" s="1">
        <v>18</v>
      </c>
      <c r="C24" s="18" t="str">
        <f t="shared" si="0"/>
        <v>High</v>
      </c>
    </row>
    <row r="25" spans="2:3" x14ac:dyDescent="0.25">
      <c r="B25" s="1">
        <v>19</v>
      </c>
      <c r="C25" s="18" t="str">
        <f t="shared" si="0"/>
        <v>High</v>
      </c>
    </row>
    <row r="26" spans="2:3" x14ac:dyDescent="0.25">
      <c r="B26" s="1">
        <v>20</v>
      </c>
      <c r="C26" s="18" t="str">
        <f t="shared" si="0"/>
        <v>High</v>
      </c>
    </row>
    <row r="27" spans="2:3" x14ac:dyDescent="0.25">
      <c r="B27" s="1">
        <v>21</v>
      </c>
      <c r="C27" s="18" t="str">
        <f t="shared" si="0"/>
        <v>High</v>
      </c>
    </row>
    <row r="28" spans="2:3" x14ac:dyDescent="0.25">
      <c r="B28" s="1">
        <v>22</v>
      </c>
      <c r="C28" s="18" t="str">
        <f t="shared" si="0"/>
        <v>High</v>
      </c>
    </row>
    <row r="29" spans="2:3" x14ac:dyDescent="0.25">
      <c r="B29" s="1">
        <v>23</v>
      </c>
      <c r="C29" s="18" t="str">
        <f t="shared" si="0"/>
        <v>High</v>
      </c>
    </row>
    <row r="30" spans="2:3" x14ac:dyDescent="0.25">
      <c r="B30" s="1">
        <v>24</v>
      </c>
      <c r="C30" s="18" t="str">
        <f t="shared" si="0"/>
        <v>High</v>
      </c>
    </row>
    <row r="31" spans="2:3" x14ac:dyDescent="0.25">
      <c r="B31" s="1">
        <v>25</v>
      </c>
      <c r="C31" s="18" t="str">
        <f t="shared" si="0"/>
        <v>High</v>
      </c>
    </row>
    <row r="36" spans="25:32" x14ac:dyDescent="0.25">
      <c r="Y36" s="20"/>
      <c r="Z36" s="20"/>
      <c r="AA36" s="20"/>
      <c r="AB36" s="20"/>
      <c r="AC36" s="20"/>
      <c r="AD36" s="20"/>
      <c r="AE36" s="20"/>
      <c r="AF36" s="20"/>
    </row>
    <row r="37" spans="25:32" x14ac:dyDescent="0.25">
      <c r="Y37" s="20"/>
      <c r="Z37" s="21"/>
      <c r="AA37" s="21"/>
      <c r="AB37" s="21"/>
      <c r="AC37" s="21"/>
      <c r="AD37" s="21"/>
      <c r="AE37" s="21"/>
      <c r="AF37" s="20"/>
    </row>
    <row r="38" spans="25:32" x14ac:dyDescent="0.25">
      <c r="Y38" s="20"/>
      <c r="Z38" s="21"/>
      <c r="AA38" s="22"/>
      <c r="AB38" s="22"/>
      <c r="AC38" s="22"/>
      <c r="AD38" s="22"/>
      <c r="AE38" s="22"/>
      <c r="AF38" s="20"/>
    </row>
    <row r="39" spans="25:32" x14ac:dyDescent="0.25">
      <c r="Y39" s="20"/>
      <c r="Z39" s="21"/>
      <c r="AA39" s="22"/>
      <c r="AB39" s="22"/>
      <c r="AC39" s="22"/>
      <c r="AD39" s="22"/>
      <c r="AE39" s="22"/>
      <c r="AF39" s="20"/>
    </row>
    <row r="40" spans="25:32" x14ac:dyDescent="0.25">
      <c r="Y40" s="20"/>
      <c r="Z40" s="21"/>
      <c r="AA40" s="22"/>
      <c r="AB40" s="22"/>
      <c r="AC40" s="22"/>
      <c r="AD40" s="22"/>
      <c r="AE40" s="22"/>
      <c r="AF40" s="20"/>
    </row>
    <row r="41" spans="25:32" x14ac:dyDescent="0.25">
      <c r="Y41" s="20"/>
      <c r="Z41" s="21"/>
      <c r="AA41" s="22"/>
      <c r="AB41" s="22"/>
      <c r="AC41" s="22"/>
      <c r="AD41" s="22"/>
      <c r="AE41" s="22"/>
      <c r="AF41" s="20"/>
    </row>
    <row r="42" spans="25:32" x14ac:dyDescent="0.25">
      <c r="Y42" s="20"/>
      <c r="Z42" s="21"/>
      <c r="AA42" s="22"/>
      <c r="AB42" s="22"/>
      <c r="AC42" s="22"/>
      <c r="AD42" s="22"/>
      <c r="AE42" s="22"/>
      <c r="AF42" s="20"/>
    </row>
    <row r="43" spans="25:32" x14ac:dyDescent="0.25">
      <c r="Y43" s="20"/>
      <c r="Z43" s="20"/>
      <c r="AA43" s="20"/>
      <c r="AB43" s="20"/>
      <c r="AC43" s="20"/>
      <c r="AD43" s="20"/>
      <c r="AE43" s="20"/>
      <c r="AF43" s="20"/>
    </row>
  </sheetData>
  <sheetProtection sheet="1" objects="1" scenarios="1"/>
  <sortState xmlns:xlrd2="http://schemas.microsoft.com/office/spreadsheetml/2017/richdata2" ref="M5:M34">
    <sortCondition ref="M5:M34"/>
  </sortState>
  <conditionalFormatting sqref="C6:C31">
    <cfRule type="cellIs" dxfId="5" priority="1" operator="equal">
      <formula>$C$4</formula>
    </cfRule>
    <cfRule type="cellIs" dxfId="4" priority="2" operator="equal">
      <formula>$C$2</formula>
    </cfRule>
    <cfRule type="cellIs" dxfId="3" priority="3" operator="equal">
      <formula>$C$3</formula>
    </cfRule>
  </conditionalFormatting>
  <conditionalFormatting sqref="F6:J10 B6:B31">
    <cfRule type="cellIs" dxfId="2" priority="4" operator="lessThan">
      <formula>$B$2</formula>
    </cfRule>
    <cfRule type="cellIs" dxfId="1" priority="5" operator="lessThanOrEqual">
      <formula>$B$3</formula>
    </cfRule>
    <cfRule type="cellIs" dxfId="0" priority="6" operator="lessThanOrEqual">
      <formula>$B$4</formula>
    </cfRule>
  </conditionalFormatting>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CC94A-D2CC-44B2-B03C-DE3CC17D38AE}">
  <sheetPr>
    <tabColor theme="0" tint="-0.249977111117893"/>
  </sheetPr>
  <dimension ref="A1:A4"/>
  <sheetViews>
    <sheetView workbookViewId="0"/>
  </sheetViews>
  <sheetFormatPr baseColWidth="10" defaultRowHeight="15" x14ac:dyDescent="0.25"/>
  <cols>
    <col min="1" max="1" width="12.42578125" bestFit="1" customWidth="1"/>
  </cols>
  <sheetData>
    <row r="1" spans="1:1" ht="15.75" thickBot="1" x14ac:dyDescent="0.3">
      <c r="A1" s="26" t="s">
        <v>41</v>
      </c>
    </row>
    <row r="2" spans="1:1" x14ac:dyDescent="0.25">
      <c r="A2" s="20" t="s">
        <v>5</v>
      </c>
    </row>
    <row r="3" spans="1:1" x14ac:dyDescent="0.25">
      <c r="A3" s="20" t="s">
        <v>6</v>
      </c>
    </row>
    <row r="4" spans="1:1" x14ac:dyDescent="0.25">
      <c r="A4" s="20" t="s">
        <v>18</v>
      </c>
    </row>
  </sheetData>
  <sheetProtection sheet="1" objects="1" scenarios="1"/>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D2F94-0E20-48A8-B921-601676970E67}">
  <sheetPr>
    <tabColor theme="0" tint="-0.249977111117893"/>
  </sheetPr>
  <dimension ref="A1:A31"/>
  <sheetViews>
    <sheetView workbookViewId="0"/>
  </sheetViews>
  <sheetFormatPr baseColWidth="10" defaultRowHeight="15" x14ac:dyDescent="0.25"/>
  <cols>
    <col min="1" max="1" width="7" bestFit="1" customWidth="1"/>
  </cols>
  <sheetData>
    <row r="1" spans="1:1" ht="15.75" thickBot="1" x14ac:dyDescent="0.3">
      <c r="A1" s="26" t="s">
        <v>3</v>
      </c>
    </row>
    <row r="2" spans="1:1" x14ac:dyDescent="0.25">
      <c r="A2" s="27" t="s">
        <v>58</v>
      </c>
    </row>
    <row r="3" spans="1:1" x14ac:dyDescent="0.25">
      <c r="A3" s="27" t="s">
        <v>55</v>
      </c>
    </row>
    <row r="4" spans="1:1" x14ac:dyDescent="0.25">
      <c r="A4" s="27" t="s">
        <v>51</v>
      </c>
    </row>
    <row r="5" spans="1:1" x14ac:dyDescent="0.25">
      <c r="A5" s="27" t="s">
        <v>56</v>
      </c>
    </row>
    <row r="6" spans="1:1" x14ac:dyDescent="0.25">
      <c r="A6" s="27" t="s">
        <v>59</v>
      </c>
    </row>
    <row r="7" spans="1:1" x14ac:dyDescent="0.25">
      <c r="A7" s="27" t="s">
        <v>60</v>
      </c>
    </row>
    <row r="8" spans="1:1" x14ac:dyDescent="0.25">
      <c r="A8" s="27" t="s">
        <v>54</v>
      </c>
    </row>
    <row r="9" spans="1:1" x14ac:dyDescent="0.25">
      <c r="A9" s="27" t="s">
        <v>52</v>
      </c>
    </row>
    <row r="10" spans="1:1" x14ac:dyDescent="0.25">
      <c r="A10" s="28" t="s">
        <v>53</v>
      </c>
    </row>
    <row r="11" spans="1:1" x14ac:dyDescent="0.25">
      <c r="A11" s="27" t="s">
        <v>57</v>
      </c>
    </row>
    <row r="12" spans="1:1" x14ac:dyDescent="0.25">
      <c r="A12" s="27" t="s">
        <v>61</v>
      </c>
    </row>
    <row r="13" spans="1:1" x14ac:dyDescent="0.25">
      <c r="A13" s="27"/>
    </row>
    <row r="14" spans="1:1" x14ac:dyDescent="0.25">
      <c r="A14" s="27"/>
    </row>
    <row r="15" spans="1:1" x14ac:dyDescent="0.25">
      <c r="A15" s="27"/>
    </row>
    <row r="16" spans="1:1" x14ac:dyDescent="0.25">
      <c r="A16" s="27"/>
    </row>
    <row r="17" spans="1:1" x14ac:dyDescent="0.25">
      <c r="A17" s="27"/>
    </row>
    <row r="18" spans="1:1" x14ac:dyDescent="0.25">
      <c r="A18" s="27"/>
    </row>
    <row r="19" spans="1:1" x14ac:dyDescent="0.25">
      <c r="A19" s="27"/>
    </row>
    <row r="20" spans="1:1" x14ac:dyDescent="0.25">
      <c r="A20" s="27"/>
    </row>
    <row r="21" spans="1:1" x14ac:dyDescent="0.25">
      <c r="A21" s="27"/>
    </row>
    <row r="22" spans="1:1" x14ac:dyDescent="0.25">
      <c r="A22" s="27"/>
    </row>
    <row r="23" spans="1:1" x14ac:dyDescent="0.25">
      <c r="A23" s="27"/>
    </row>
    <row r="24" spans="1:1" x14ac:dyDescent="0.25">
      <c r="A24" s="27"/>
    </row>
    <row r="25" spans="1:1" x14ac:dyDescent="0.25">
      <c r="A25" s="27"/>
    </row>
    <row r="26" spans="1:1" x14ac:dyDescent="0.25">
      <c r="A26" s="27"/>
    </row>
    <row r="27" spans="1:1" x14ac:dyDescent="0.25">
      <c r="A27" s="27"/>
    </row>
    <row r="28" spans="1:1" x14ac:dyDescent="0.25">
      <c r="A28" s="27"/>
    </row>
    <row r="29" spans="1:1" x14ac:dyDescent="0.25">
      <c r="A29" s="27"/>
    </row>
    <row r="30" spans="1:1" x14ac:dyDescent="0.25">
      <c r="A30" s="27"/>
    </row>
    <row r="31" spans="1:1" x14ac:dyDescent="0.25">
      <c r="A31" s="27"/>
    </row>
  </sheetData>
  <sheetProtection sheet="1" objects="1" scenarios="1"/>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10</vt:i4>
      </vt:variant>
      <vt:variant>
        <vt:lpstr>Diagramme</vt:lpstr>
      </vt:variant>
      <vt:variant>
        <vt:i4>1</vt:i4>
      </vt:variant>
    </vt:vector>
  </HeadingPairs>
  <TitlesOfParts>
    <vt:vector size="11" baseType="lpstr">
      <vt:lpstr>Info</vt:lpstr>
      <vt:lpstr>RiskAssessment</vt:lpstr>
      <vt:lpstr>AttackRiskStep</vt:lpstr>
      <vt:lpstr>DamageCategory</vt:lpstr>
      <vt:lpstr>Stakeholder</vt:lpstr>
      <vt:lpstr>Likelihood</vt:lpstr>
      <vt:lpstr>Impact</vt:lpstr>
      <vt:lpstr>RPN</vt:lpstr>
      <vt:lpstr>ActionStatus</vt:lpstr>
      <vt:lpstr>Owner</vt:lpstr>
      <vt:lpstr>RiskMatrix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 Nußbaumer</dc:creator>
  <cp:lastModifiedBy>Timo Nußbaumer</cp:lastModifiedBy>
  <dcterms:created xsi:type="dcterms:W3CDTF">2025-12-04T09:45:00Z</dcterms:created>
  <dcterms:modified xsi:type="dcterms:W3CDTF">2026-03-05T07:39:44Z</dcterms:modified>
</cp:coreProperties>
</file>